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c88d9992d7bc54/Área de Trabalho/"/>
    </mc:Choice>
  </mc:AlternateContent>
  <xr:revisionPtr revIDLastSave="976" documentId="13_ncr:1_{A11B3F50-99FC-418B-BCBC-E25C66C6C094}" xr6:coauthVersionLast="47" xr6:coauthVersionMax="47" xr10:uidLastSave="{F1444127-BFC4-4119-8005-0D2650F30423}"/>
  <bookViews>
    <workbookView xWindow="28680" yWindow="-120" windowWidth="29040" windowHeight="15720" activeTab="2" xr2:uid="{00000000-000D-0000-FFFF-FFFF00000000}"/>
  </bookViews>
  <sheets>
    <sheet name="01.2026" sheetId="1" r:id="rId1"/>
    <sheet name="02.2026" sheetId="2" r:id="rId2"/>
    <sheet name="03.2026" sheetId="4" r:id="rId3"/>
    <sheet name="04.2026" sheetId="5" r:id="rId4"/>
    <sheet name="ANÁLISE DE RESULTADO" sheetId="6" r:id="rId5"/>
  </sheets>
  <definedNames>
    <definedName name="_xlnm._FilterDatabase" localSheetId="0" hidden="1">'01.2026'!$A$1:$H$202</definedName>
    <definedName name="_xlnm._FilterDatabase" localSheetId="1" hidden="1">'02.2026'!$A$1:$H$199</definedName>
    <definedName name="_xlnm._FilterDatabase" localSheetId="2" hidden="1">'03.2026'!$A$1:$J$206</definedName>
    <definedName name="_xlnm._FilterDatabase" localSheetId="4" hidden="1">'ANÁLISE DE RESULTADO'!$A$1:$G$100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5" l="1"/>
  <c r="G175" i="5"/>
  <c r="F152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7" i="6" s="1"/>
  <c r="G16" i="6" s="1"/>
  <c r="G125" i="5"/>
  <c r="G126" i="5"/>
  <c r="G127" i="5"/>
  <c r="G128" i="5"/>
  <c r="G129" i="5"/>
  <c r="G130" i="5"/>
  <c r="G131" i="5"/>
  <c r="G132" i="5"/>
  <c r="G133" i="5"/>
  <c r="G134" i="5"/>
  <c r="G135" i="5"/>
  <c r="G136" i="5"/>
  <c r="G160" i="5"/>
  <c r="G54" i="6" s="1"/>
  <c r="G161" i="5"/>
  <c r="G55" i="6" s="1"/>
  <c r="G162" i="5"/>
  <c r="G163" i="5"/>
  <c r="G57" i="6" s="1"/>
  <c r="G164" i="5"/>
  <c r="G58" i="6" s="1"/>
  <c r="G165" i="5"/>
  <c r="G59" i="6" s="1"/>
  <c r="G166" i="5"/>
  <c r="G60" i="6" s="1"/>
  <c r="G167" i="5"/>
  <c r="G61" i="6" s="1"/>
  <c r="G168" i="5"/>
  <c r="G62" i="6" s="1"/>
  <c r="G169" i="5"/>
  <c r="G170" i="5"/>
  <c r="G171" i="5"/>
  <c r="G64" i="6" s="1"/>
  <c r="G172" i="5"/>
  <c r="G65" i="6" s="1"/>
  <c r="G173" i="5"/>
  <c r="G66" i="6" s="1"/>
  <c r="G174" i="5"/>
  <c r="G67" i="6" s="1"/>
  <c r="G176" i="5"/>
  <c r="G177" i="5"/>
  <c r="G69" i="6" s="1"/>
  <c r="G68" i="6" s="1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L21" i="6"/>
  <c r="L22" i="6" s="1"/>
  <c r="L20" i="6"/>
  <c r="L18" i="6"/>
  <c r="L17" i="6"/>
  <c r="L16" i="6"/>
  <c r="L14" i="6"/>
  <c r="L13" i="6"/>
  <c r="D37" i="6"/>
  <c r="L12" i="6"/>
  <c r="L11" i="6"/>
  <c r="L9" i="6"/>
  <c r="L8" i="6"/>
  <c r="L7" i="6"/>
  <c r="L5" i="6"/>
  <c r="L4" i="6"/>
  <c r="L3" i="6"/>
  <c r="L2" i="6"/>
  <c r="D76" i="6"/>
  <c r="F69" i="6"/>
  <c r="F68" i="6" s="1"/>
  <c r="G87" i="6"/>
  <c r="G86" i="6"/>
  <c r="F86" i="6"/>
  <c r="G85" i="6"/>
  <c r="F85" i="6"/>
  <c r="G84" i="6"/>
  <c r="F84" i="6"/>
  <c r="G81" i="6"/>
  <c r="F81" i="6"/>
  <c r="G80" i="6"/>
  <c r="F80" i="6"/>
  <c r="G79" i="6"/>
  <c r="F79" i="6"/>
  <c r="G74" i="6"/>
  <c r="F74" i="6"/>
  <c r="G73" i="6"/>
  <c r="F73" i="6"/>
  <c r="G72" i="6"/>
  <c r="F72" i="6"/>
  <c r="G71" i="6"/>
  <c r="F71" i="6"/>
  <c r="F67" i="6"/>
  <c r="F66" i="6"/>
  <c r="F65" i="6"/>
  <c r="F64" i="6"/>
  <c r="F62" i="6"/>
  <c r="F61" i="6"/>
  <c r="F60" i="6"/>
  <c r="F59" i="6"/>
  <c r="F58" i="6"/>
  <c r="F57" i="6"/>
  <c r="F56" i="6" s="1"/>
  <c r="F55" i="6"/>
  <c r="F54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6" i="6"/>
  <c r="F36" i="6"/>
  <c r="G35" i="6"/>
  <c r="F35" i="6"/>
  <c r="G34" i="6"/>
  <c r="F34" i="6"/>
  <c r="F33" i="6" s="1"/>
  <c r="N12" i="6" s="1"/>
  <c r="G32" i="6"/>
  <c r="F32" i="6"/>
  <c r="G31" i="6"/>
  <c r="F31" i="6"/>
  <c r="G26" i="6"/>
  <c r="G25" i="6" s="1"/>
  <c r="F26" i="6"/>
  <c r="F25" i="6" s="1"/>
  <c r="G24" i="6"/>
  <c r="F24" i="6"/>
  <c r="G23" i="6"/>
  <c r="F23" i="6"/>
  <c r="G22" i="6"/>
  <c r="F22" i="6"/>
  <c r="G21" i="6"/>
  <c r="F21" i="6"/>
  <c r="G20" i="6"/>
  <c r="F20" i="6"/>
  <c r="F19" i="6" s="1"/>
  <c r="N7" i="6" s="1"/>
  <c r="F17" i="6"/>
  <c r="F16" i="6" s="1"/>
  <c r="G14" i="6"/>
  <c r="F14" i="6"/>
  <c r="G13" i="6"/>
  <c r="F13" i="6"/>
  <c r="G12" i="6"/>
  <c r="F12" i="6"/>
  <c r="G11" i="6"/>
  <c r="F11" i="6"/>
  <c r="G10" i="6"/>
  <c r="F10" i="6"/>
  <c r="G8" i="6"/>
  <c r="G7" i="6" s="1"/>
  <c r="F8" i="6"/>
  <c r="F7" i="6" s="1"/>
  <c r="G6" i="6"/>
  <c r="G5" i="6" s="1"/>
  <c r="O3" i="6" s="1"/>
  <c r="F6" i="6"/>
  <c r="F5" i="6" s="1"/>
  <c r="N3" i="6" s="1"/>
  <c r="G4" i="6"/>
  <c r="F4" i="6"/>
  <c r="E59" i="6"/>
  <c r="E58" i="6"/>
  <c r="E13" i="6"/>
  <c r="D87" i="6"/>
  <c r="D86" i="6"/>
  <c r="D85" i="6"/>
  <c r="D84" i="6"/>
  <c r="D81" i="6"/>
  <c r="D80" i="6"/>
  <c r="D79" i="6"/>
  <c r="D74" i="6"/>
  <c r="D73" i="6"/>
  <c r="D72" i="6"/>
  <c r="D71" i="6"/>
  <c r="D69" i="6"/>
  <c r="D68" i="6" s="1"/>
  <c r="D67" i="6"/>
  <c r="D66" i="6"/>
  <c r="D65" i="6"/>
  <c r="D64" i="6"/>
  <c r="D62" i="6"/>
  <c r="D61" i="6"/>
  <c r="D60" i="6"/>
  <c r="D59" i="6"/>
  <c r="D58" i="6"/>
  <c r="D57" i="6"/>
  <c r="D55" i="6"/>
  <c r="D54" i="6"/>
  <c r="D49" i="6"/>
  <c r="D48" i="6"/>
  <c r="D47" i="6"/>
  <c r="D46" i="6"/>
  <c r="D45" i="6"/>
  <c r="D44" i="6"/>
  <c r="D43" i="6"/>
  <c r="D42" i="6"/>
  <c r="D41" i="6"/>
  <c r="D40" i="6"/>
  <c r="D36" i="6"/>
  <c r="D35" i="6"/>
  <c r="D34" i="6"/>
  <c r="D32" i="6"/>
  <c r="D31" i="6"/>
  <c r="D26" i="6"/>
  <c r="D25" i="6" s="1"/>
  <c r="D24" i="6"/>
  <c r="D23" i="6"/>
  <c r="D22" i="6"/>
  <c r="D21" i="6"/>
  <c r="D20" i="6"/>
  <c r="D17" i="6"/>
  <c r="D16" i="6" s="1"/>
  <c r="D14" i="6"/>
  <c r="D13" i="6"/>
  <c r="D12" i="6"/>
  <c r="D11" i="6"/>
  <c r="D10" i="6"/>
  <c r="D8" i="6"/>
  <c r="D7" i="6" s="1"/>
  <c r="D6" i="6"/>
  <c r="D5" i="6" s="1"/>
  <c r="D4" i="6"/>
  <c r="G197" i="4"/>
  <c r="F87" i="6" s="1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99" i="2"/>
  <c r="E87" i="6" s="1"/>
  <c r="G198" i="2"/>
  <c r="E86" i="6" s="1"/>
  <c r="G197" i="2"/>
  <c r="E85" i="6" s="1"/>
  <c r="G196" i="2"/>
  <c r="E84" i="6" s="1"/>
  <c r="G195" i="2"/>
  <c r="G194" i="2"/>
  <c r="G193" i="2"/>
  <c r="G192" i="2"/>
  <c r="G191" i="2"/>
  <c r="G190" i="2"/>
  <c r="E81" i="6" s="1"/>
  <c r="G189" i="2"/>
  <c r="E80" i="6" s="1"/>
  <c r="G188" i="2"/>
  <c r="E79" i="6" s="1"/>
  <c r="G187" i="2"/>
  <c r="G186" i="2"/>
  <c r="G185" i="2"/>
  <c r="E74" i="6" s="1"/>
  <c r="G184" i="2"/>
  <c r="E73" i="6" s="1"/>
  <c r="G183" i="2"/>
  <c r="E72" i="6" s="1"/>
  <c r="G182" i="2"/>
  <c r="E71" i="6" s="1"/>
  <c r="G181" i="2"/>
  <c r="G180" i="2"/>
  <c r="G179" i="2"/>
  <c r="E69" i="6" s="1"/>
  <c r="E68" i="6" s="1"/>
  <c r="G178" i="2"/>
  <c r="G177" i="2"/>
  <c r="E67" i="6" s="1"/>
  <c r="G176" i="2"/>
  <c r="E66" i="6" s="1"/>
  <c r="G175" i="2"/>
  <c r="E65" i="6" s="1"/>
  <c r="G174" i="2"/>
  <c r="E64" i="6" s="1"/>
  <c r="G173" i="2"/>
  <c r="G172" i="2"/>
  <c r="E62" i="6" s="1"/>
  <c r="G171" i="2"/>
  <c r="E61" i="6" s="1"/>
  <c r="G170" i="2"/>
  <c r="E60" i="6" s="1"/>
  <c r="G169" i="2"/>
  <c r="E57" i="6" s="1"/>
  <c r="G168" i="2"/>
  <c r="G167" i="2"/>
  <c r="E55" i="6" s="1"/>
  <c r="G166" i="2"/>
  <c r="E54" i="6" s="1"/>
  <c r="E53" i="6" s="1"/>
  <c r="G165" i="2"/>
  <c r="G164" i="2"/>
  <c r="G163" i="2"/>
  <c r="E49" i="6" s="1"/>
  <c r="G162" i="2"/>
  <c r="E48" i="6" s="1"/>
  <c r="G161" i="2"/>
  <c r="E47" i="6" s="1"/>
  <c r="G160" i="2"/>
  <c r="E46" i="6" s="1"/>
  <c r="G159" i="2"/>
  <c r="E45" i="6" s="1"/>
  <c r="G158" i="2"/>
  <c r="E44" i="6" s="1"/>
  <c r="G157" i="2"/>
  <c r="E43" i="6" s="1"/>
  <c r="G156" i="2"/>
  <c r="E42" i="6" s="1"/>
  <c r="G155" i="2"/>
  <c r="E41" i="6" s="1"/>
  <c r="G154" i="2"/>
  <c r="E40" i="6" s="1"/>
  <c r="G153" i="2"/>
  <c r="G152" i="2"/>
  <c r="G151" i="2"/>
  <c r="E36" i="6" s="1"/>
  <c r="G150" i="2"/>
  <c r="E35" i="6" s="1"/>
  <c r="G149" i="2"/>
  <c r="E34" i="6" s="1"/>
  <c r="G148" i="2"/>
  <c r="G147" i="2"/>
  <c r="E32" i="6" s="1"/>
  <c r="G146" i="2"/>
  <c r="G145" i="2"/>
  <c r="E31" i="6" s="1"/>
  <c r="G144" i="2"/>
  <c r="G143" i="2"/>
  <c r="G142" i="2"/>
  <c r="G141" i="2"/>
  <c r="E26" i="6" s="1"/>
  <c r="E25" i="6" s="1"/>
  <c r="G140" i="2"/>
  <c r="G139" i="2"/>
  <c r="E24" i="6" s="1"/>
  <c r="G138" i="2"/>
  <c r="E23" i="6" s="1"/>
  <c r="G137" i="2"/>
  <c r="E22" i="6" s="1"/>
  <c r="G136" i="2"/>
  <c r="E21" i="6" s="1"/>
  <c r="G135" i="2"/>
  <c r="E20" i="6" s="1"/>
  <c r="G134" i="2"/>
  <c r="G133" i="2"/>
  <c r="G132" i="2"/>
  <c r="G131" i="2"/>
  <c r="G130" i="2"/>
  <c r="E17" i="6" s="1"/>
  <c r="E16" i="6" s="1"/>
  <c r="G129" i="2"/>
  <c r="G128" i="2"/>
  <c r="G127" i="2"/>
  <c r="G126" i="2"/>
  <c r="E14" i="6" s="1"/>
  <c r="G125" i="2"/>
  <c r="E12" i="6" s="1"/>
  <c r="G124" i="2"/>
  <c r="E11" i="6" s="1"/>
  <c r="G123" i="2"/>
  <c r="E10" i="6" s="1"/>
  <c r="G122" i="2"/>
  <c r="G121" i="2"/>
  <c r="G120" i="2"/>
  <c r="E8" i="6" s="1"/>
  <c r="E7" i="6" s="1"/>
  <c r="G119" i="2"/>
  <c r="G118" i="2"/>
  <c r="E6" i="6" s="1"/>
  <c r="E5" i="6" s="1"/>
  <c r="M3" i="6" s="1"/>
  <c r="G117" i="2"/>
  <c r="G116" i="2"/>
  <c r="E4" i="6" s="1"/>
  <c r="G115" i="2"/>
  <c r="G114" i="2"/>
  <c r="G113" i="2"/>
  <c r="G112" i="2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H206" i="2"/>
  <c r="H206" i="4"/>
  <c r="E39" i="6" l="1"/>
  <c r="G30" i="6"/>
  <c r="O11" i="6" s="1"/>
  <c r="G33" i="6"/>
  <c r="O12" i="6" s="1"/>
  <c r="F78" i="6"/>
  <c r="F77" i="6" s="1"/>
  <c r="F70" i="6"/>
  <c r="N20" i="6" s="1"/>
  <c r="E3" i="6"/>
  <c r="M2" i="6" s="1"/>
  <c r="E30" i="6"/>
  <c r="M11" i="6" s="1"/>
  <c r="D30" i="6"/>
  <c r="D3" i="6"/>
  <c r="E78" i="6"/>
  <c r="E77" i="6" s="1"/>
  <c r="D78" i="6"/>
  <c r="D77" i="6" s="1"/>
  <c r="F83" i="6"/>
  <c r="F82" i="6" s="1"/>
  <c r="F63" i="6"/>
  <c r="F3" i="6"/>
  <c r="N2" i="6" s="1"/>
  <c r="G3" i="6"/>
  <c r="O2" i="6" s="1"/>
  <c r="E9" i="6"/>
  <c r="M4" i="6" s="1"/>
  <c r="E56" i="6"/>
  <c r="F53" i="6"/>
  <c r="D63" i="6"/>
  <c r="F9" i="6"/>
  <c r="N4" i="6" s="1"/>
  <c r="E63" i="6"/>
  <c r="D83" i="6"/>
  <c r="D82" i="6" s="1"/>
  <c r="D53" i="6"/>
  <c r="F39" i="6"/>
  <c r="D56" i="6"/>
  <c r="E33" i="6"/>
  <c r="M12" i="6" s="1"/>
  <c r="E70" i="6"/>
  <c r="M20" i="6" s="1"/>
  <c r="F30" i="6"/>
  <c r="N11" i="6" s="1"/>
  <c r="E19" i="6"/>
  <c r="M7" i="6" s="1"/>
  <c r="G19" i="6"/>
  <c r="O7" i="6" s="1"/>
  <c r="G56" i="6"/>
  <c r="G9" i="6"/>
  <c r="O4" i="6" s="1"/>
  <c r="G83" i="6"/>
  <c r="G82" i="6" s="1"/>
  <c r="G53" i="6"/>
  <c r="G39" i="6"/>
  <c r="G78" i="6"/>
  <c r="G77" i="6" s="1"/>
  <c r="G70" i="6"/>
  <c r="O20" i="6" s="1"/>
  <c r="G63" i="6"/>
  <c r="D39" i="6"/>
  <c r="D33" i="6"/>
  <c r="D19" i="6"/>
  <c r="D9" i="6"/>
  <c r="E83" i="6"/>
  <c r="E82" i="6" s="1"/>
  <c r="D70" i="6"/>
  <c r="H202" i="1"/>
  <c r="N5" i="6" l="1"/>
  <c r="N8" i="6" s="1"/>
  <c r="M5" i="6"/>
  <c r="M8" i="6" s="1"/>
  <c r="M13" i="6"/>
  <c r="M14" i="6" s="1"/>
  <c r="M9" i="6"/>
  <c r="O5" i="6"/>
  <c r="O8" i="6" s="1"/>
  <c r="D15" i="6"/>
  <c r="F15" i="6"/>
  <c r="G15" i="6"/>
  <c r="G37" i="6" s="1"/>
  <c r="G38" i="6" s="1"/>
  <c r="E2" i="6"/>
  <c r="E15" i="6"/>
  <c r="F52" i="6"/>
  <c r="F29" i="6" s="1"/>
  <c r="E52" i="6"/>
  <c r="E29" i="6" s="1"/>
  <c r="F2" i="6"/>
  <c r="G2" i="6"/>
  <c r="D2" i="6"/>
  <c r="D52" i="6"/>
  <c r="D29" i="6" s="1"/>
  <c r="G52" i="6"/>
  <c r="G29" i="6" s="1"/>
  <c r="N13" i="6" l="1"/>
  <c r="N14" i="6" s="1"/>
  <c r="N9" i="6"/>
  <c r="F18" i="6"/>
  <c r="F89" i="6" s="1"/>
  <c r="N16" i="6"/>
  <c r="E18" i="6"/>
  <c r="E89" i="6" s="1"/>
  <c r="M16" i="6"/>
  <c r="O13" i="6"/>
  <c r="O14" i="6" s="1"/>
  <c r="O9" i="6"/>
  <c r="G18" i="6"/>
  <c r="G89" i="6" s="1"/>
  <c r="O16" i="6"/>
  <c r="D38" i="6"/>
  <c r="D27" i="6"/>
  <c r="D50" i="6" s="1"/>
  <c r="F27" i="6"/>
  <c r="F37" i="6"/>
  <c r="F38" i="6" s="1"/>
  <c r="G27" i="6"/>
  <c r="E27" i="6"/>
  <c r="E37" i="6"/>
  <c r="E38" i="6" s="1"/>
  <c r="D18" i="6"/>
  <c r="D89" i="6" s="1"/>
  <c r="D75" i="6" l="1"/>
  <c r="D51" i="6"/>
  <c r="D28" i="6"/>
  <c r="F28" i="6"/>
  <c r="F50" i="6"/>
  <c r="N17" i="6" s="1"/>
  <c r="N21" i="6" s="1"/>
  <c r="N22" i="6" s="1"/>
  <c r="G28" i="6"/>
  <c r="G50" i="6"/>
  <c r="O17" i="6" s="1"/>
  <c r="O21" i="6" s="1"/>
  <c r="O22" i="6" s="1"/>
  <c r="E28" i="6"/>
  <c r="E50" i="6"/>
  <c r="M17" i="6" s="1"/>
  <c r="M21" i="6" s="1"/>
  <c r="M22" i="6" s="1"/>
  <c r="F75" i="6" l="1"/>
  <c r="F76" i="6" s="1"/>
  <c r="F51" i="6"/>
  <c r="N18" i="6" s="1"/>
  <c r="G75" i="6"/>
  <c r="G76" i="6" s="1"/>
  <c r="G51" i="6"/>
  <c r="O18" i="6" s="1"/>
  <c r="E75" i="6"/>
  <c r="E76" i="6" s="1"/>
  <c r="E51" i="6"/>
  <c r="M18" i="6" s="1"/>
</calcChain>
</file>

<file path=xl/sharedStrings.xml><?xml version="1.0" encoding="utf-8"?>
<sst xmlns="http://schemas.openxmlformats.org/spreadsheetml/2006/main" count="1802" uniqueCount="449">
  <si>
    <t>Conta contábil</t>
  </si>
  <si>
    <t>Descrição da Conta</t>
  </si>
  <si>
    <t xml:space="preserve">        Saldo anterior        </t>
  </si>
  <si>
    <t xml:space="preserve">            Débito            </t>
  </si>
  <si>
    <t xml:space="preserve">            Crédito           </t>
  </si>
  <si>
    <t xml:space="preserve">          Saldo Atual         </t>
  </si>
  <si>
    <t>ATIVO</t>
  </si>
  <si>
    <t>ATIVO CIRCULANTE</t>
  </si>
  <si>
    <t>DISPONÍVEL</t>
  </si>
  <si>
    <t>CAIXA</t>
  </si>
  <si>
    <t>Entre Contas</t>
  </si>
  <si>
    <t>BANCOS CONTA MOVIMENTO</t>
  </si>
  <si>
    <t>Banco Bradesco</t>
  </si>
  <si>
    <t>Banco Itaú</t>
  </si>
  <si>
    <t>Banco Pag Útil</t>
  </si>
  <si>
    <t>Mercado Pago - Banco Digital</t>
  </si>
  <si>
    <t>APLICAÇÕES FINANCEIRAS</t>
  </si>
  <si>
    <t>Aplicações Banco Itaú</t>
  </si>
  <si>
    <t>CONTAS A RECEBER</t>
  </si>
  <si>
    <t>CLIENTES NACIONAIS</t>
  </si>
  <si>
    <t>Clientes B2B</t>
  </si>
  <si>
    <t>Clientes Nacionais</t>
  </si>
  <si>
    <t>OUTROS CRÉDITOS</t>
  </si>
  <si>
    <t>CRÉDITOS DE FUNCIONÁRIOS</t>
  </si>
  <si>
    <t>Adiantamento de Férias</t>
  </si>
  <si>
    <t>Adiantamento de Salários</t>
  </si>
  <si>
    <t>ADIANTAMENTO A FORNECEDORES</t>
  </si>
  <si>
    <t>Adiantamento a Fornecedores</t>
  </si>
  <si>
    <t>OUTROS CREDITOS A RECEBER</t>
  </si>
  <si>
    <t>Outros Creditos a Receber</t>
  </si>
  <si>
    <t>IMPOSTOS A RECUPERAR</t>
  </si>
  <si>
    <t>ICMS a Recuperar</t>
  </si>
  <si>
    <t>ICMS Difal a Recuperar</t>
  </si>
  <si>
    <t>TRIBUTOS A COMPENSAR</t>
  </si>
  <si>
    <t>CSLL a Compensar</t>
  </si>
  <si>
    <t>IRPJ a Compensar</t>
  </si>
  <si>
    <t>IRRF Aplicação</t>
  </si>
  <si>
    <t>Saldo Negativo IRPJ</t>
  </si>
  <si>
    <t>ESTOQUES</t>
  </si>
  <si>
    <t>ESTOQUES PARA REVENDA</t>
  </si>
  <si>
    <t>Mercadorias para Revenda</t>
  </si>
  <si>
    <t>ATIVO NÃO CIRCULANTE</t>
  </si>
  <si>
    <t>ATIVO REALIZÁVEL A LONGO PRAZO</t>
  </si>
  <si>
    <t>CRÉDITOS A SÓCIOS</t>
  </si>
  <si>
    <t>Débitos de Sócios</t>
  </si>
  <si>
    <t>Mutuo Sócios</t>
  </si>
  <si>
    <t>ATIVO IMOBILIZADO</t>
  </si>
  <si>
    <t>IMOBILIZADO</t>
  </si>
  <si>
    <t>Computadores e Periféricos</t>
  </si>
  <si>
    <t>Equipamentos de Comunicação</t>
  </si>
  <si>
    <t>Móveis e Utensílios</t>
  </si>
  <si>
    <t>(-) DEPRECIAÇÃO/AMORTIZAÇÃO ACUMULADA</t>
  </si>
  <si>
    <t>(-) Computadores e Periféricos</t>
  </si>
  <si>
    <t>(-) Equipamentos de Comunicação</t>
  </si>
  <si>
    <t>(-) Móveis e Utensílios</t>
  </si>
  <si>
    <t>INTANGÍVEL</t>
  </si>
  <si>
    <t>Marcas e Patentes</t>
  </si>
  <si>
    <t>Software</t>
  </si>
  <si>
    <t>AMORTIZAÇÃO ACUMULADA</t>
  </si>
  <si>
    <t>(-) Software</t>
  </si>
  <si>
    <t>REMESSAS DE MERCADORIAS</t>
  </si>
  <si>
    <t>SIMPLES REMESSA</t>
  </si>
  <si>
    <t>Remessa de Bonificação</t>
  </si>
  <si>
    <t>Simples Remessa</t>
  </si>
  <si>
    <t>Transferencia entre Filiais</t>
  </si>
  <si>
    <t>PASSIVO</t>
  </si>
  <si>
    <t>PASSIVO CIRCULANTE</t>
  </si>
  <si>
    <t>OBRIGAÇÕES DE CURTO PRAZO</t>
  </si>
  <si>
    <t>FORNECEDORES</t>
  </si>
  <si>
    <t>Fornecedores Nacionais</t>
  </si>
  <si>
    <t>EMPRÉSTIMOS/FINANCIAMENTOS BANCÁRIOS</t>
  </si>
  <si>
    <t>Banco Itaú Conta Garantida</t>
  </si>
  <si>
    <t>OBRIGAÇÕES TRABALHISTAS</t>
  </si>
  <si>
    <t>E-Consignado a Pagar</t>
  </si>
  <si>
    <t>FGTS a Recolher</t>
  </si>
  <si>
    <t>INSS a Recolher</t>
  </si>
  <si>
    <t>Salários e Ordenados a Pagar</t>
  </si>
  <si>
    <t>CONTRIBUIÇÕES FISCAIS A RECOLHER</t>
  </si>
  <si>
    <t>COFINS a Recolher</t>
  </si>
  <si>
    <t>IRRF sobre Salários</t>
  </si>
  <si>
    <t>PIS a Recolher</t>
  </si>
  <si>
    <t>PROVISÕES</t>
  </si>
  <si>
    <t>Provisão de 13º Salário</t>
  </si>
  <si>
    <t>Provisão de Despesas</t>
  </si>
  <si>
    <t>Provisão de Encargos sobre 13º Salário</t>
  </si>
  <si>
    <t>Provisão de Encargos sobre Férias</t>
  </si>
  <si>
    <t>Provisão de Férias</t>
  </si>
  <si>
    <t>Provisão para Contingência Fiscal</t>
  </si>
  <si>
    <t>OBRIGAÇÕES TRIBUTÁRIAS</t>
  </si>
  <si>
    <t>CSLL Retido a Recolher</t>
  </si>
  <si>
    <t>CSRF a Recolher</t>
  </si>
  <si>
    <t>ICMS a Recolher</t>
  </si>
  <si>
    <t>ICMS Destino Difal a Recolher</t>
  </si>
  <si>
    <t>IRRF Retido a Recollher</t>
  </si>
  <si>
    <t>OUTRAS OBRIGAÇÕES</t>
  </si>
  <si>
    <t>Cartão de Crédito a Pagar</t>
  </si>
  <si>
    <t>Fretes e Armazenagem a Pagar</t>
  </si>
  <si>
    <t>Reembolso a Pagar - Carol Rojas</t>
  </si>
  <si>
    <t>Reembolsos a Pagar - Ivanildo Pinheiro</t>
  </si>
  <si>
    <t>PASSIVO NÃO CIRCULANTE</t>
  </si>
  <si>
    <t>OBRIGAÇÕES A LONGO PRAZO</t>
  </si>
  <si>
    <t>Débitos de Pessoas Ligadas a Longo Prazo</t>
  </si>
  <si>
    <t>PATRIMÔNIO LÍQUIDO</t>
  </si>
  <si>
    <t>CAPITAL REALIZADO</t>
  </si>
  <si>
    <t>CAPITAL SOCIAL</t>
  </si>
  <si>
    <t>Capital Social - Nacional</t>
  </si>
  <si>
    <t>LUCROS OU PREJUÍZOS ACUMULADOS</t>
  </si>
  <si>
    <t>Prejuízos Acumulados</t>
  </si>
  <si>
    <t>REMESSA DE MERCADORIAS</t>
  </si>
  <si>
    <t>RECEITAS</t>
  </si>
  <si>
    <t>RECEITA LÍQUIDA OPERACIONAIS</t>
  </si>
  <si>
    <t>RECEITA BRUTA DE VENDAS E SERVIÇOS</t>
  </si>
  <si>
    <t>RECEITA BRUTA DE REVENDAS DE MERCADORIAS</t>
  </si>
  <si>
    <t>Revendas de Mercadorias B2C</t>
  </si>
  <si>
    <t>DEDUÇÕES DA RECEITA BRUTA</t>
  </si>
  <si>
    <t>(-) Devolução de Revenda</t>
  </si>
  <si>
    <t>RECEITA BRUTA REVENDA - B2B</t>
  </si>
  <si>
    <t>Revenda de mercadoria - B2B</t>
  </si>
  <si>
    <t>IMPOSTOS INCIDENTES</t>
  </si>
  <si>
    <t>IMPOSTOS E CONTRIBUIÇÕES SOBRE VENDAS</t>
  </si>
  <si>
    <t>(-) COFINS sobre Revendas</t>
  </si>
  <si>
    <t>(-) ICMS Revenda Reg. Especial Cred. Pre</t>
  </si>
  <si>
    <t>(-) ICMS sobre Revendas</t>
  </si>
  <si>
    <t>(-) PIS sobre Revendas</t>
  </si>
  <si>
    <t>OUTRAS RECEITAS OPERACIONAIS</t>
  </si>
  <si>
    <t>RESULTADO FINANCEIRO</t>
  </si>
  <si>
    <t>RECEITAS FINANCEIRAS</t>
  </si>
  <si>
    <t>Rendimento de Aplicações Financeiras</t>
  </si>
  <si>
    <t>CUSTO E DESPESAS</t>
  </si>
  <si>
    <t>CUSTO DE MERCADORIAS REVENDIDAS</t>
  </si>
  <si>
    <t>CUSTO - CONTROLE ESTOQUE</t>
  </si>
  <si>
    <t>(-) Estoque Final</t>
  </si>
  <si>
    <t>(+) Estoque Inicial</t>
  </si>
  <si>
    <t>CMV</t>
  </si>
  <si>
    <t>CUSTO - B2B</t>
  </si>
  <si>
    <t>CMV - B2B</t>
  </si>
  <si>
    <t>DESPESAS OPERACIONAIS</t>
  </si>
  <si>
    <t>DESPESAS COM PUBLICIDADE E VENDAS</t>
  </si>
  <si>
    <t>OUTRAS DESPESAS COMERCIAIS</t>
  </si>
  <si>
    <t>Propaganda e Publicidade Online</t>
  </si>
  <si>
    <t>DESPESAS COM VENDAS</t>
  </si>
  <si>
    <t>Armazenagem</t>
  </si>
  <si>
    <t>Comissões sobre Vendas - PJ</t>
  </si>
  <si>
    <t>Fretes e Carretos</t>
  </si>
  <si>
    <t>DESPESAS COM PESSOAL</t>
  </si>
  <si>
    <t>Assistencia Médica</t>
  </si>
  <si>
    <t>Férias</t>
  </si>
  <si>
    <t>FGTS</t>
  </si>
  <si>
    <t>INSS</t>
  </si>
  <si>
    <t>Provisão Encargos Sobre 13º Salário</t>
  </si>
  <si>
    <t>Salários e Ordenados</t>
  </si>
  <si>
    <t>Vale Refeição</t>
  </si>
  <si>
    <t>DESPESAS ADMINISTRATIVAS</t>
  </si>
  <si>
    <t>DESPESAS DE OCUPAÇÃO</t>
  </si>
  <si>
    <t>Alugueis Pagos a PJ</t>
  </si>
  <si>
    <t>Telefone</t>
  </si>
  <si>
    <t>DESPESAS GERAIS E ADMINISTRATIVAS</t>
  </si>
  <si>
    <t>Material de Uso e Consumo</t>
  </si>
  <si>
    <t>DESP COM SERVICOS PROFISSIONAIS</t>
  </si>
  <si>
    <t>Contabilidade</t>
  </si>
  <si>
    <t>Informática/Software</t>
  </si>
  <si>
    <t>Juridico</t>
  </si>
  <si>
    <t>Outros Serviços Prestados</t>
  </si>
  <si>
    <t>DESPESAS COM DOAÇÃO E BONIFICAÇÃO</t>
  </si>
  <si>
    <t>Bonificações</t>
  </si>
  <si>
    <t>DEPRECIAÇÃO E AMORTIZAÇÃO</t>
  </si>
  <si>
    <t>DEPRECIAÇÕES</t>
  </si>
  <si>
    <t>Amortização de Software</t>
  </si>
  <si>
    <t>Depreciação de Computadores e Periférico</t>
  </si>
  <si>
    <t>Depreciação de Equipamentos de Comunicaç</t>
  </si>
  <si>
    <t>Depreciação de Móveis e Utensilios</t>
  </si>
  <si>
    <t>DESPESAS TRIBUTÁRIAS</t>
  </si>
  <si>
    <t>TRIBUTOS E CONTRIBUIÇÕES</t>
  </si>
  <si>
    <t>Impostos e Taxas Diversas</t>
  </si>
  <si>
    <t>IOF</t>
  </si>
  <si>
    <t>Provisão - Boniteca</t>
  </si>
  <si>
    <t>DESPESAS FINANCEIRAS</t>
  </si>
  <si>
    <t>Despesas Bancárias</t>
  </si>
  <si>
    <t>Encargos Financeiros - SELIC</t>
  </si>
  <si>
    <t>Multa/Juros sobre Impostos Pagos em Atra</t>
  </si>
  <si>
    <t>Multa/Juros sobre Outras Contas Pagas</t>
  </si>
  <si>
    <t>Prejuízo</t>
  </si>
  <si>
    <t>Código Red.</t>
  </si>
  <si>
    <t>1.1</t>
  </si>
  <si>
    <t>1.1.01</t>
  </si>
  <si>
    <t>1.1.01.01</t>
  </si>
  <si>
    <t>1.1.01.01.0010</t>
  </si>
  <si>
    <t>1.1.01.02</t>
  </si>
  <si>
    <t>1.1.01.02.0102</t>
  </si>
  <si>
    <t>1.1.01.02.0001</t>
  </si>
  <si>
    <t>1.1.01.02.0002</t>
  </si>
  <si>
    <t>1.1.01.02.0101</t>
  </si>
  <si>
    <t>1.1.01.03</t>
  </si>
  <si>
    <t>1.1.01.03.0001</t>
  </si>
  <si>
    <t>1.1.02</t>
  </si>
  <si>
    <t>1.1.02.01</t>
  </si>
  <si>
    <t>1.1.02.01.0002</t>
  </si>
  <si>
    <t>1.1.02.01.0001</t>
  </si>
  <si>
    <t>1.1.03</t>
  </si>
  <si>
    <t>1.1.03.01</t>
  </si>
  <si>
    <t>1.1.03.01.0002</t>
  </si>
  <si>
    <t>1.1.03.01.0003</t>
  </si>
  <si>
    <t>1.1.03.02</t>
  </si>
  <si>
    <t>1.1.03.02.0001</t>
  </si>
  <si>
    <t>1.1.03.03</t>
  </si>
  <si>
    <t>1.1.03.03.0001</t>
  </si>
  <si>
    <t>1.1.03.05</t>
  </si>
  <si>
    <t>1.1.03.05.0003</t>
  </si>
  <si>
    <t>1.1.03.05.0008</t>
  </si>
  <si>
    <t>1.1.03.06</t>
  </si>
  <si>
    <t>1.1.03.06.0004</t>
  </si>
  <si>
    <t>1.1.03.06.0009</t>
  </si>
  <si>
    <t>1.1.03.06.0007</t>
  </si>
  <si>
    <t>1.1.03.06.0003</t>
  </si>
  <si>
    <t>1.1.06</t>
  </si>
  <si>
    <t>1.1.06.01</t>
  </si>
  <si>
    <t>1.1.06.01.0001</t>
  </si>
  <si>
    <t>1.2</t>
  </si>
  <si>
    <t>1.2.01</t>
  </si>
  <si>
    <t>1.2.01.05</t>
  </si>
  <si>
    <t>1.2.01.05.0002</t>
  </si>
  <si>
    <t>1.2.01.05.0001</t>
  </si>
  <si>
    <t>1.2.03</t>
  </si>
  <si>
    <t>1.2.03.01</t>
  </si>
  <si>
    <t>1.2.03.01.0001</t>
  </si>
  <si>
    <t>1.2.03.01.0002</t>
  </si>
  <si>
    <t>1.2.03.01.0005</t>
  </si>
  <si>
    <t>1.2.03.02</t>
  </si>
  <si>
    <t>1.2.03.02.0001</t>
  </si>
  <si>
    <t>1.2.03.02.0002</t>
  </si>
  <si>
    <t>1.2.03.02.0006</t>
  </si>
  <si>
    <t>1.2.04</t>
  </si>
  <si>
    <t>1.2.04.01</t>
  </si>
  <si>
    <t>1.2.04.01.0001</t>
  </si>
  <si>
    <t>1.2.04.01.0002</t>
  </si>
  <si>
    <t>1.2.04.02</t>
  </si>
  <si>
    <t>1.2.04.02.0001</t>
  </si>
  <si>
    <t>1.9</t>
  </si>
  <si>
    <t>1.9.01</t>
  </si>
  <si>
    <t>1.9.01.00.0003</t>
  </si>
  <si>
    <t>1.9.01.00.0001</t>
  </si>
  <si>
    <t>1.9.01.00.0002</t>
  </si>
  <si>
    <t>2.1</t>
  </si>
  <si>
    <t>2.1.01</t>
  </si>
  <si>
    <t>2.1.01.01</t>
  </si>
  <si>
    <t>2.1.01.01.0001</t>
  </si>
  <si>
    <t>2.1.01.02</t>
  </si>
  <si>
    <t>2.1.01.02.0002</t>
  </si>
  <si>
    <t>2.1.01.02.0001</t>
  </si>
  <si>
    <t>2.1.01.02.0003</t>
  </si>
  <si>
    <t>2.1.01.04</t>
  </si>
  <si>
    <t>2.1.01.04.0004</t>
  </si>
  <si>
    <t>2.1.01.04.0007</t>
  </si>
  <si>
    <t>2.1.01.04.0008</t>
  </si>
  <si>
    <t>2.1.01.04.0006</t>
  </si>
  <si>
    <t>2.1.01.05</t>
  </si>
  <si>
    <t>2.1.01.05.0002</t>
  </si>
  <si>
    <t>2.1.01.05.0001</t>
  </si>
  <si>
    <t>2.1.01.05.0007</t>
  </si>
  <si>
    <t>2.1.01.06</t>
  </si>
  <si>
    <t>2.1.01.06.0001</t>
  </si>
  <si>
    <t>2.1.01.06.0008</t>
  </si>
  <si>
    <t>2.1.01.06.0003</t>
  </si>
  <si>
    <t>2.1.01.06.0004</t>
  </si>
  <si>
    <t>2.1.01.06.0002</t>
  </si>
  <si>
    <t>2.1.01.06.0007</t>
  </si>
  <si>
    <t>2.1.01.07</t>
  </si>
  <si>
    <t>2.1.01.07.0007</t>
  </si>
  <si>
    <t>2.1.01.07.0015</t>
  </si>
  <si>
    <t>2.1.01.07.0001</t>
  </si>
  <si>
    <t>2.1.01.07.0009</t>
  </si>
  <si>
    <t>2.1.01.07.0003</t>
  </si>
  <si>
    <t>2.1.01.08</t>
  </si>
  <si>
    <t>2.1.01.08.0001</t>
  </si>
  <si>
    <t>2.1.01.08.0004</t>
  </si>
  <si>
    <t>2.1.01.08.0012</t>
  </si>
  <si>
    <t>2.1.01.08.0011</t>
  </si>
  <si>
    <t>2.2</t>
  </si>
  <si>
    <t>2.2.01</t>
  </si>
  <si>
    <t>2.2.01.04</t>
  </si>
  <si>
    <t>2.2.01.04.0001</t>
  </si>
  <si>
    <t>2.4</t>
  </si>
  <si>
    <t>2.4.01</t>
  </si>
  <si>
    <t>2.4.01.01</t>
  </si>
  <si>
    <t>2.4.01.01.0001</t>
  </si>
  <si>
    <t>2.4.06</t>
  </si>
  <si>
    <t>2.4.06.01</t>
  </si>
  <si>
    <t>2.4.06.01.0004</t>
  </si>
  <si>
    <t>2.9</t>
  </si>
  <si>
    <t>2.9.01</t>
  </si>
  <si>
    <t>2.9.01.00.0003</t>
  </si>
  <si>
    <t>2.9.01.00.0001</t>
  </si>
  <si>
    <t>2.9.01.00.0002</t>
  </si>
  <si>
    <t>3.1</t>
  </si>
  <si>
    <t>3.1.01</t>
  </si>
  <si>
    <t>3.1.01.01</t>
  </si>
  <si>
    <t>3.1.01.01.0001</t>
  </si>
  <si>
    <t>3.1.01.02</t>
  </si>
  <si>
    <t>3.1.01.02.0004</t>
  </si>
  <si>
    <t>3.1.01.03</t>
  </si>
  <si>
    <t>3.1.01.03.0001</t>
  </si>
  <si>
    <t>3.1.03</t>
  </si>
  <si>
    <t>3.1.03.03</t>
  </si>
  <si>
    <t>3.1.03.03.0001</t>
  </si>
  <si>
    <t>3.1.03.03.0015</t>
  </si>
  <si>
    <t>3.1.03.03.0003</t>
  </si>
  <si>
    <t>3.1.03.03.0002</t>
  </si>
  <si>
    <t>3.2</t>
  </si>
  <si>
    <t>3.2.01</t>
  </si>
  <si>
    <t>3.2.01.01</t>
  </si>
  <si>
    <t>3.2.01.01.0001</t>
  </si>
  <si>
    <t>4.2</t>
  </si>
  <si>
    <t>4.2.01</t>
  </si>
  <si>
    <t>4.2.01.01</t>
  </si>
  <si>
    <t>4.2.01.01.0010</t>
  </si>
  <si>
    <t>4.2.01.01.0001</t>
  </si>
  <si>
    <t>4.2.01.01.0011</t>
  </si>
  <si>
    <t>4.2.01.02</t>
  </si>
  <si>
    <t>4.2.01.02.0001</t>
  </si>
  <si>
    <t>4.3</t>
  </si>
  <si>
    <t>4.3.01</t>
  </si>
  <si>
    <t>4.3.01.01</t>
  </si>
  <si>
    <t>4.3.01.01.0010</t>
  </si>
  <si>
    <t>4.3.01.03</t>
  </si>
  <si>
    <t>4.3.01.03.0004</t>
  </si>
  <si>
    <t>4.3.01.03.0002</t>
  </si>
  <si>
    <t>4.3.01.03.0001</t>
  </si>
  <si>
    <t>4.3.02</t>
  </si>
  <si>
    <t>4.3.02.01</t>
  </si>
  <si>
    <t>4.3.02.01.0017</t>
  </si>
  <si>
    <t>4.3.02.01.0003</t>
  </si>
  <si>
    <t>4.3.02.01.0004</t>
  </si>
  <si>
    <t>4.3.02.01.0005</t>
  </si>
  <si>
    <t>4.3.02.01.0011</t>
  </si>
  <si>
    <t>4.3.02.01.0010</t>
  </si>
  <si>
    <t>4.3.02.01.0013</t>
  </si>
  <si>
    <t>4.3.02.01.0006</t>
  </si>
  <si>
    <t>4.3.02.01.0015</t>
  </si>
  <si>
    <t>4.3.03</t>
  </si>
  <si>
    <t>4.3.03.01</t>
  </si>
  <si>
    <t>4.3.03.01.0001</t>
  </si>
  <si>
    <t>4.3.03.01.0002</t>
  </si>
  <si>
    <t>4.3.03.02</t>
  </si>
  <si>
    <t>4.3.03.02.0015</t>
  </si>
  <si>
    <t>4.3.03.03</t>
  </si>
  <si>
    <t>4.3.03.03.0003</t>
  </si>
  <si>
    <t>4.3.03.03.0004</t>
  </si>
  <si>
    <t>4.3.03.03.0002</t>
  </si>
  <si>
    <t>4.3.03.03.0005</t>
  </si>
  <si>
    <t>4.3.03.04</t>
  </si>
  <si>
    <t>4.3.03.04.0006</t>
  </si>
  <si>
    <t>4.3.04</t>
  </si>
  <si>
    <t>4.3.04.01</t>
  </si>
  <si>
    <t>4.3.04.01.0004</t>
  </si>
  <si>
    <t>4.3.04.01.0001</t>
  </si>
  <si>
    <t>4.3.04.01.0002</t>
  </si>
  <si>
    <t>4.3.04.01.0005</t>
  </si>
  <si>
    <t>4.3.06</t>
  </si>
  <si>
    <t>4.3.06.01</t>
  </si>
  <si>
    <t>4.3.06.01.0005</t>
  </si>
  <si>
    <t>4.3.06.01.0007</t>
  </si>
  <si>
    <t>4.3.10</t>
  </si>
  <si>
    <t>4.3.10.01</t>
  </si>
  <si>
    <t>4.3.10.01.0002</t>
  </si>
  <si>
    <t>4.3.11</t>
  </si>
  <si>
    <t>4.3.11.01</t>
  </si>
  <si>
    <t>4.3.11.01.0001</t>
  </si>
  <si>
    <t>4.3.11.01.0007</t>
  </si>
  <si>
    <t>4.3.11.01.0002</t>
  </si>
  <si>
    <t>4.3.11.01.0003</t>
  </si>
  <si>
    <t>COFINS a Recuperar</t>
  </si>
  <si>
    <t>PIS a Recuperar</t>
  </si>
  <si>
    <t>Rescisões a Pagar</t>
  </si>
  <si>
    <t>(-) Devolução de Compras</t>
  </si>
  <si>
    <t>DESPESAS COMERCIAIS - B2B</t>
  </si>
  <si>
    <t>Propaganda e Publicidade - B2B</t>
  </si>
  <si>
    <t>Aviso Prévio</t>
  </si>
  <si>
    <t>Combustíveis e Lubrificantes</t>
  </si>
  <si>
    <t>Correios</t>
  </si>
  <si>
    <t>1.1.03.05.0001</t>
  </si>
  <si>
    <t>1.1.03.05.0007</t>
  </si>
  <si>
    <t>2.1.01.04.0009</t>
  </si>
  <si>
    <t>4.2.01.01.0009</t>
  </si>
  <si>
    <t>4.3.01.02</t>
  </si>
  <si>
    <t>4.3.01.02.0010</t>
  </si>
  <si>
    <t>4.3.02.01.0002</t>
  </si>
  <si>
    <t>4.3.03.02.0002</t>
  </si>
  <si>
    <t>4.3.03.02.0020</t>
  </si>
  <si>
    <t>(+) Compra Mercadorias Brutas</t>
  </si>
  <si>
    <t>Material de Escritório</t>
  </si>
  <si>
    <t>4.2.01.01.0002</t>
  </si>
  <si>
    <t>4.3.03.02.0009</t>
  </si>
  <si>
    <t>ICMS Destino Difal sobre Brinde</t>
  </si>
  <si>
    <t>4.3.06.01.0009</t>
  </si>
  <si>
    <t>atualizado</t>
  </si>
  <si>
    <t>Lanches e Refeições</t>
  </si>
  <si>
    <t>4.3.03.02.0012</t>
  </si>
  <si>
    <t>Código Reduzido</t>
  </si>
  <si>
    <t>1.1.01.03.0002</t>
  </si>
  <si>
    <t>Aplicações Brando Bradesco</t>
  </si>
  <si>
    <t>3.1.03.03.0004</t>
  </si>
  <si>
    <t>(-) ICMS Destino Difal s/ Vendas</t>
  </si>
  <si>
    <t>4.3.03.02.0010</t>
  </si>
  <si>
    <t>Viagens e Estadias</t>
  </si>
  <si>
    <t>4.3.03.03.0001</t>
  </si>
  <si>
    <t>Conta Contábil</t>
  </si>
  <si>
    <t>C. Reduzido</t>
  </si>
  <si>
    <t>Descrição</t>
  </si>
  <si>
    <t>JANEIRO</t>
  </si>
  <si>
    <t>FEVEREIRO</t>
  </si>
  <si>
    <t>MARÇO</t>
  </si>
  <si>
    <t>ABRIL</t>
  </si>
  <si>
    <t>RESULTADO LÍQUIDO DO PERÍODO</t>
  </si>
  <si>
    <t xml:space="preserve">Movimento do Mês </t>
  </si>
  <si>
    <t>DESPESAS COM PUBLICIDADE</t>
  </si>
  <si>
    <t>RECEITAS BRUTAS</t>
  </si>
  <si>
    <t>RECEITA LÍQUIDA</t>
  </si>
  <si>
    <t>LUCRO BRUTO</t>
  </si>
  <si>
    <t>MARGEM OPERACIONAL BRUTA</t>
  </si>
  <si>
    <t>MARGEM DE CONTRIBUIÇÃO</t>
  </si>
  <si>
    <t>MARGEM DE CONTRIBUIÇÃO (%)</t>
  </si>
  <si>
    <t>EBITDA</t>
  </si>
  <si>
    <t>RESULTADO OPERACIONAL</t>
  </si>
  <si>
    <t>MARGEM OPERACIONAL LIQUIDA (%)</t>
  </si>
  <si>
    <t>MARGEM EBITDA (%)</t>
  </si>
  <si>
    <t>RECEITA BRUTA</t>
  </si>
  <si>
    <t>(-) DEDUÇÕES</t>
  </si>
  <si>
    <t>(-) IMPOSTOS</t>
  </si>
  <si>
    <t>(-) CMV</t>
  </si>
  <si>
    <t>= LUCRO BRUTO</t>
  </si>
  <si>
    <t>(-) PUBLICIDADE</t>
  </si>
  <si>
    <t>(-) DESPESAS COM VENDAS</t>
  </si>
  <si>
    <t>(-) DESPESAS OPERACIONAIS</t>
  </si>
  <si>
    <t>(+) DEPRECIAÇÃO / AMORTIZAÇÃO</t>
  </si>
  <si>
    <t>"= RECEITA LÍQUIDA</t>
  </si>
  <si>
    <t>"= MARGEM BRUTA %</t>
  </si>
  <si>
    <t>"= MARGEM DE CONTRIBUIÇÃO</t>
  </si>
  <si>
    <t>"= MARGEM CONTRIBUIÇÃO %</t>
  </si>
  <si>
    <t>"= RESULTADO OPERACIONAL</t>
  </si>
  <si>
    <t>"= MARGEM OPERACIONAL %</t>
  </si>
  <si>
    <t>"= EBITDA</t>
  </si>
  <si>
    <t>"= MARGEM EBITDA %</t>
  </si>
  <si>
    <t>INDICADOR</t>
  </si>
  <si>
    <t>Reembolsos a Pagar</t>
  </si>
  <si>
    <t>Estacionamentos e Pedágios</t>
  </si>
  <si>
    <t>Confraternização Final de Ano</t>
  </si>
  <si>
    <t>Fretes e Transportes</t>
  </si>
  <si>
    <t>2.1.01.08.0010</t>
  </si>
  <si>
    <t>4.3.03.03.0006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</si>
</sst>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,###,##0.00;\(#,###,###,##0.00\)"/>
    <numFmt numFmtId="165" formatCode="#,##0.00_ ;[Red]\-#,##0.00\ "/>
  </numFmts>
  <fonts count="17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ashed">
        <color indexed="64"/>
      </left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3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vertical="top"/>
    </xf>
    <xf numFmtId="0" fontId="3" fillId="0" borderId="2" xfId="0" applyFont="1" applyBorder="1"/>
    <xf numFmtId="43" fontId="3" fillId="0" borderId="2" xfId="1" applyFont="1" applyBorder="1"/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/>
    <xf numFmtId="0" fontId="4" fillId="0" borderId="2" xfId="0" applyFont="1" applyBorder="1" applyAlignment="1">
      <alignment horizontal="left"/>
    </xf>
    <xf numFmtId="0" fontId="4" fillId="0" borderId="2" xfId="0" applyFont="1" applyBorder="1"/>
    <xf numFmtId="43" fontId="4" fillId="0" borderId="2" xfId="1" applyFont="1" applyBorder="1"/>
    <xf numFmtId="0" fontId="3" fillId="0" borderId="0" xfId="0" applyFont="1"/>
    <xf numFmtId="0" fontId="3" fillId="0" borderId="4" xfId="0" applyFont="1" applyBorder="1"/>
    <xf numFmtId="0" fontId="0" fillId="0" borderId="4" xfId="0" applyBorder="1"/>
    <xf numFmtId="4" fontId="0" fillId="0" borderId="4" xfId="0" applyNumberFormat="1" applyBorder="1"/>
    <xf numFmtId="0" fontId="3" fillId="4" borderId="4" xfId="0" applyFont="1" applyFill="1" applyBorder="1"/>
    <xf numFmtId="0" fontId="3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43" fontId="3" fillId="0" borderId="4" xfId="1" applyFont="1" applyBorder="1"/>
    <xf numFmtId="43" fontId="0" fillId="0" borderId="4" xfId="1" applyFont="1" applyBorder="1"/>
    <xf numFmtId="4" fontId="3" fillId="4" borderId="0" xfId="0" applyNumberFormat="1" applyFont="1" applyFill="1"/>
    <xf numFmtId="4" fontId="0" fillId="0" borderId="0" xfId="0" applyNumberFormat="1"/>
    <xf numFmtId="0" fontId="4" fillId="0" borderId="4" xfId="0" applyFont="1" applyBorder="1"/>
    <xf numFmtId="43" fontId="4" fillId="0" borderId="4" xfId="1" applyFont="1" applyBorder="1"/>
    <xf numFmtId="43" fontId="1" fillId="2" borderId="3" xfId="1" applyFont="1" applyFill="1" applyBorder="1" applyAlignment="1">
      <alignment vertical="top"/>
    </xf>
    <xf numFmtId="43" fontId="0" fillId="0" borderId="0" xfId="1" applyFont="1"/>
    <xf numFmtId="43" fontId="3" fillId="4" borderId="0" xfId="1" applyFont="1" applyFill="1"/>
    <xf numFmtId="43" fontId="5" fillId="0" borderId="2" xfId="1" applyFont="1" applyBorder="1"/>
    <xf numFmtId="43" fontId="6" fillId="0" borderId="2" xfId="1" applyFont="1" applyBorder="1"/>
    <xf numFmtId="0" fontId="1" fillId="2" borderId="4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vertical="top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vertical="top"/>
    </xf>
    <xf numFmtId="43" fontId="3" fillId="0" borderId="4" xfId="1" applyFont="1" applyBorder="1" applyAlignment="1">
      <alignment vertical="top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43" fontId="4" fillId="0" borderId="4" xfId="1" applyFont="1" applyBorder="1" applyAlignment="1">
      <alignment vertical="top"/>
    </xf>
    <xf numFmtId="0" fontId="8" fillId="4" borderId="4" xfId="0" applyFont="1" applyFill="1" applyBorder="1" applyAlignment="1">
      <alignment horizontal="left"/>
    </xf>
    <xf numFmtId="0" fontId="8" fillId="4" borderId="4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/>
    <xf numFmtId="43" fontId="8" fillId="0" borderId="4" xfId="1" applyFont="1" applyBorder="1"/>
    <xf numFmtId="0" fontId="0" fillId="0" borderId="4" xfId="0" applyBorder="1" applyAlignment="1">
      <alignment horizontal="left"/>
    </xf>
    <xf numFmtId="0" fontId="0" fillId="4" borderId="4" xfId="0" applyFill="1" applyBorder="1"/>
    <xf numFmtId="165" fontId="9" fillId="3" borderId="1" xfId="0" applyNumberFormat="1" applyFont="1" applyFill="1" applyBorder="1" applyAlignment="1">
      <alignment vertical="top"/>
    </xf>
    <xf numFmtId="165" fontId="0" fillId="0" borderId="0" xfId="0" applyNumberFormat="1"/>
    <xf numFmtId="0" fontId="8" fillId="5" borderId="4" xfId="0" applyFont="1" applyFill="1" applyBorder="1" applyAlignment="1">
      <alignment horizontal="left"/>
    </xf>
    <xf numFmtId="0" fontId="8" fillId="5" borderId="4" xfId="0" applyFont="1" applyFill="1" applyBorder="1"/>
    <xf numFmtId="0" fontId="8" fillId="6" borderId="4" xfId="0" applyFont="1" applyFill="1" applyBorder="1" applyAlignment="1">
      <alignment horizontal="left"/>
    </xf>
    <xf numFmtId="0" fontId="8" fillId="6" borderId="4" xfId="0" applyFont="1" applyFill="1" applyBorder="1"/>
    <xf numFmtId="0" fontId="8" fillId="0" borderId="4" xfId="0" quotePrefix="1" applyFont="1" applyBorder="1"/>
    <xf numFmtId="165" fontId="8" fillId="0" borderId="4" xfId="0" quotePrefix="1" applyNumberFormat="1" applyFont="1" applyBorder="1"/>
    <xf numFmtId="165" fontId="11" fillId="5" borderId="4" xfId="0" applyNumberFormat="1" applyFont="1" applyFill="1" applyBorder="1"/>
    <xf numFmtId="165" fontId="10" fillId="0" borderId="4" xfId="0" applyNumberFormat="1" applyFont="1" applyBorder="1"/>
    <xf numFmtId="43" fontId="11" fillId="5" borderId="4" xfId="1" applyFont="1" applyFill="1" applyBorder="1"/>
    <xf numFmtId="43" fontId="10" fillId="0" borderId="4" xfId="1" applyFont="1" applyBorder="1"/>
    <xf numFmtId="165" fontId="1" fillId="6" borderId="4" xfId="0" applyNumberFormat="1" applyFont="1" applyFill="1" applyBorder="1"/>
    <xf numFmtId="43" fontId="1" fillId="6" borderId="4" xfId="1" applyFont="1" applyFill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165" fontId="12" fillId="7" borderId="4" xfId="0" applyNumberFormat="1" applyFont="1" applyFill="1" applyBorder="1"/>
    <xf numFmtId="0" fontId="8" fillId="8" borderId="4" xfId="0" applyFont="1" applyFill="1" applyBorder="1" applyAlignment="1">
      <alignment horizontal="left"/>
    </xf>
    <xf numFmtId="0" fontId="8" fillId="8" borderId="4" xfId="0" applyFont="1" applyFill="1" applyBorder="1"/>
    <xf numFmtId="165" fontId="12" fillId="8" borderId="4" xfId="0" applyNumberFormat="1" applyFont="1" applyFill="1" applyBorder="1"/>
    <xf numFmtId="0" fontId="0" fillId="4" borderId="0" xfId="0" applyFill="1"/>
    <xf numFmtId="165" fontId="1" fillId="4" borderId="0" xfId="0" applyNumberFormat="1" applyFont="1" applyFill="1"/>
    <xf numFmtId="0" fontId="13" fillId="4" borderId="0" xfId="0" applyFont="1" applyFill="1"/>
    <xf numFmtId="0" fontId="0" fillId="0" borderId="5" xfId="0" applyBorder="1" applyAlignment="1">
      <alignment horizontal="left"/>
    </xf>
    <xf numFmtId="0" fontId="0" fillId="0" borderId="5" xfId="0" applyBorder="1"/>
    <xf numFmtId="165" fontId="10" fillId="0" borderId="5" xfId="0" applyNumberFormat="1" applyFont="1" applyBorder="1"/>
    <xf numFmtId="0" fontId="8" fillId="5" borderId="6" xfId="0" applyFont="1" applyFill="1" applyBorder="1" applyAlignment="1">
      <alignment horizontal="left"/>
    </xf>
    <xf numFmtId="0" fontId="8" fillId="5" borderId="6" xfId="0" applyFont="1" applyFill="1" applyBorder="1"/>
    <xf numFmtId="165" fontId="11" fillId="5" borderId="6" xfId="0" applyNumberFormat="1" applyFont="1" applyFill="1" applyBorder="1"/>
    <xf numFmtId="43" fontId="10" fillId="0" borderId="5" xfId="1" applyFont="1" applyBorder="1"/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/>
    <xf numFmtId="165" fontId="1" fillId="6" borderId="6" xfId="0" applyNumberFormat="1" applyFont="1" applyFill="1" applyBorder="1"/>
    <xf numFmtId="0" fontId="0" fillId="9" borderId="4" xfId="0" applyFill="1" applyBorder="1" applyAlignment="1">
      <alignment horizontal="left"/>
    </xf>
    <xf numFmtId="0" fontId="0" fillId="9" borderId="4" xfId="0" applyFill="1" applyBorder="1"/>
    <xf numFmtId="165" fontId="10" fillId="9" borderId="4" xfId="0" applyNumberFormat="1" applyFont="1" applyFill="1" applyBorder="1"/>
    <xf numFmtId="9" fontId="16" fillId="9" borderId="4" xfId="2" applyFont="1" applyFill="1" applyBorder="1" applyAlignment="1">
      <alignment horizontal="center"/>
    </xf>
    <xf numFmtId="0" fontId="16" fillId="9" borderId="7" xfId="0" applyFont="1" applyFill="1" applyBorder="1" applyAlignment="1">
      <alignment horizontal="left"/>
    </xf>
    <xf numFmtId="0" fontId="16" fillId="9" borderId="7" xfId="0" applyFont="1" applyFill="1" applyBorder="1"/>
    <xf numFmtId="165" fontId="16" fillId="9" borderId="7" xfId="0" applyNumberFormat="1" applyFont="1" applyFill="1" applyBorder="1"/>
    <xf numFmtId="9" fontId="16" fillId="9" borderId="7" xfId="2" applyFont="1" applyFill="1" applyBorder="1" applyAlignment="1">
      <alignment horizontal="center"/>
    </xf>
    <xf numFmtId="0" fontId="1" fillId="9" borderId="4" xfId="0" applyFont="1" applyFill="1" applyBorder="1"/>
    <xf numFmtId="0" fontId="15" fillId="9" borderId="7" xfId="0" applyFont="1" applyFill="1" applyBorder="1" applyAlignment="1">
      <alignment horizontal="left"/>
    </xf>
    <xf numFmtId="0" fontId="15" fillId="9" borderId="7" xfId="0" applyFont="1" applyFill="1" applyBorder="1"/>
    <xf numFmtId="0" fontId="16" fillId="0" borderId="0" xfId="0" applyFont="1"/>
    <xf numFmtId="0" fontId="16" fillId="9" borderId="8" xfId="0" applyFont="1" applyFill="1" applyBorder="1" applyAlignment="1">
      <alignment horizontal="left"/>
    </xf>
    <xf numFmtId="0" fontId="16" fillId="9" borderId="8" xfId="0" applyFont="1" applyFill="1" applyBorder="1"/>
    <xf numFmtId="9" fontId="16" fillId="9" borderId="8" xfId="2" applyFont="1" applyFill="1" applyBorder="1" applyAlignment="1">
      <alignment horizontal="center"/>
    </xf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0" fontId="1" fillId="0" borderId="9" xfId="0" applyFont="1" applyBorder="1"/>
    <xf numFmtId="165" fontId="1" fillId="0" borderId="9" xfId="0" applyNumberFormat="1" applyFont="1" applyBorder="1"/>
    <xf numFmtId="0" fontId="2" fillId="0" borderId="10" xfId="0" applyFont="1" applyBorder="1"/>
    <xf numFmtId="9" fontId="0" fillId="0" borderId="10" xfId="2" applyFont="1" applyBorder="1" applyAlignment="1">
      <alignment horizontal="center"/>
    </xf>
    <xf numFmtId="165" fontId="1" fillId="0" borderId="10" xfId="0" applyNumberFormat="1" applyFont="1" applyBorder="1"/>
    <xf numFmtId="165" fontId="0" fillId="0" borderId="10" xfId="0" applyNumberFormat="1" applyBorder="1"/>
    <xf numFmtId="9" fontId="0" fillId="0" borderId="10" xfId="0" applyNumberFormat="1" applyBorder="1"/>
    <xf numFmtId="0" fontId="1" fillId="0" borderId="10" xfId="0" applyFont="1" applyBorder="1"/>
    <xf numFmtId="43" fontId="0" fillId="0" borderId="11" xfId="1" applyFont="1" applyFill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"/>
  <sheetViews>
    <sheetView topLeftCell="A179" workbookViewId="0">
      <selection activeCell="H114" sqref="H114"/>
    </sheetView>
  </sheetViews>
  <sheetFormatPr defaultColWidth="11.44140625" defaultRowHeight="12.75" customHeight="1" x14ac:dyDescent="0.25"/>
  <cols>
    <col min="1" max="1" width="11.44140625" style="6"/>
    <col min="2" max="2" width="14.109375" style="3" customWidth="1"/>
    <col min="3" max="3" width="46.44140625" style="3" customWidth="1"/>
    <col min="4" max="4" width="23.109375" style="3" customWidth="1"/>
    <col min="5" max="5" width="20.5546875" style="3" customWidth="1"/>
    <col min="6" max="6" width="20.6640625" style="3" customWidth="1"/>
    <col min="7" max="7" width="20.6640625" style="3" hidden="1" customWidth="1"/>
    <col min="8" max="8" width="22.44140625" style="3" customWidth="1"/>
    <col min="9" max="16384" width="11.44140625" style="3"/>
  </cols>
  <sheetData>
    <row r="1" spans="1:8" ht="12.75" customHeight="1" x14ac:dyDescent="0.25">
      <c r="A1" s="36" t="s">
        <v>0</v>
      </c>
      <c r="B1" s="37" t="s">
        <v>182</v>
      </c>
      <c r="C1" s="37" t="s">
        <v>1</v>
      </c>
      <c r="D1" s="38" t="s">
        <v>2</v>
      </c>
      <c r="E1" s="38" t="s">
        <v>3</v>
      </c>
      <c r="F1" s="38" t="s">
        <v>4</v>
      </c>
      <c r="G1" s="38" t="s">
        <v>413</v>
      </c>
      <c r="H1" s="38" t="s">
        <v>5</v>
      </c>
    </row>
    <row r="2" spans="1:8" ht="12.75" customHeight="1" x14ac:dyDescent="0.25">
      <c r="A2" s="39">
        <v>1</v>
      </c>
      <c r="B2" s="40"/>
      <c r="C2" s="40" t="s">
        <v>6</v>
      </c>
      <c r="D2" s="41">
        <v>5330654</v>
      </c>
      <c r="E2" s="41">
        <v>2385665.27</v>
      </c>
      <c r="F2" s="41">
        <v>2788249.53</v>
      </c>
      <c r="G2" s="41"/>
      <c r="H2" s="41">
        <v>4928069.74</v>
      </c>
    </row>
    <row r="3" spans="1:8" ht="12.75" customHeight="1" x14ac:dyDescent="0.25">
      <c r="A3" s="39" t="s">
        <v>183</v>
      </c>
      <c r="B3" s="40"/>
      <c r="C3" s="40" t="s">
        <v>7</v>
      </c>
      <c r="D3" s="41">
        <v>2183243.4300000002</v>
      </c>
      <c r="E3" s="41">
        <v>2201940.77</v>
      </c>
      <c r="F3" s="41">
        <v>2598441.17</v>
      </c>
      <c r="G3" s="41"/>
      <c r="H3" s="41">
        <v>1786743.03</v>
      </c>
    </row>
    <row r="4" spans="1:8" ht="12.75" customHeight="1" x14ac:dyDescent="0.25">
      <c r="A4" s="39" t="s">
        <v>184</v>
      </c>
      <c r="B4" s="40"/>
      <c r="C4" s="40" t="s">
        <v>8</v>
      </c>
      <c r="D4" s="41">
        <v>22157</v>
      </c>
      <c r="E4" s="41">
        <v>1411427.66</v>
      </c>
      <c r="F4" s="41">
        <v>1427037.45</v>
      </c>
      <c r="G4" s="41"/>
      <c r="H4" s="41">
        <v>6547.21</v>
      </c>
    </row>
    <row r="5" spans="1:8" ht="12.75" customHeight="1" x14ac:dyDescent="0.25">
      <c r="A5" s="39" t="s">
        <v>185</v>
      </c>
      <c r="B5" s="40"/>
      <c r="C5" s="40" t="s">
        <v>9</v>
      </c>
      <c r="D5" s="41">
        <v>0</v>
      </c>
      <c r="E5" s="41">
        <v>150694.49</v>
      </c>
      <c r="F5" s="41">
        <v>150694.49</v>
      </c>
      <c r="G5" s="41"/>
      <c r="H5" s="41">
        <v>0</v>
      </c>
    </row>
    <row r="6" spans="1:8" ht="12.75" customHeight="1" x14ac:dyDescent="0.25">
      <c r="A6" s="45" t="s">
        <v>186</v>
      </c>
      <c r="B6" s="46">
        <v>5</v>
      </c>
      <c r="C6" s="46" t="s">
        <v>10</v>
      </c>
      <c r="D6" s="47">
        <v>0</v>
      </c>
      <c r="E6" s="47">
        <v>150694.49</v>
      </c>
      <c r="F6" s="47">
        <v>150694.49</v>
      </c>
      <c r="G6" s="41"/>
      <c r="H6" s="47">
        <v>0</v>
      </c>
    </row>
    <row r="7" spans="1:8" ht="12.75" customHeight="1" x14ac:dyDescent="0.25">
      <c r="A7" s="39" t="s">
        <v>187</v>
      </c>
      <c r="B7" s="40"/>
      <c r="C7" s="40" t="s">
        <v>11</v>
      </c>
      <c r="D7" s="41">
        <v>18003.95</v>
      </c>
      <c r="E7" s="41">
        <v>1260733.17</v>
      </c>
      <c r="F7" s="41">
        <v>1272189.9099999999</v>
      </c>
      <c r="G7" s="41"/>
      <c r="H7" s="41">
        <v>6547.21</v>
      </c>
    </row>
    <row r="8" spans="1:8" ht="12.75" customHeight="1" x14ac:dyDescent="0.25">
      <c r="A8" s="45" t="s">
        <v>189</v>
      </c>
      <c r="B8" s="46">
        <v>27</v>
      </c>
      <c r="C8" s="46" t="s">
        <v>13</v>
      </c>
      <c r="D8" s="47">
        <v>1</v>
      </c>
      <c r="E8" s="47">
        <v>1076581.5900000001</v>
      </c>
      <c r="F8" s="47">
        <v>1076582.5900000001</v>
      </c>
      <c r="G8" s="41"/>
      <c r="H8" s="47">
        <v>0</v>
      </c>
    </row>
    <row r="9" spans="1:8" ht="12.75" customHeight="1" x14ac:dyDescent="0.25">
      <c r="A9" s="45" t="s">
        <v>190</v>
      </c>
      <c r="B9" s="46">
        <v>576</v>
      </c>
      <c r="C9" s="46" t="s">
        <v>14</v>
      </c>
      <c r="D9" s="47">
        <v>0</v>
      </c>
      <c r="E9" s="47">
        <v>3194.49</v>
      </c>
      <c r="F9" s="47">
        <v>1834.58</v>
      </c>
      <c r="G9" s="41"/>
      <c r="H9" s="47">
        <v>1359.91</v>
      </c>
    </row>
    <row r="10" spans="1:8" ht="12.75" customHeight="1" x14ac:dyDescent="0.25">
      <c r="A10" s="45" t="s">
        <v>191</v>
      </c>
      <c r="B10" s="46">
        <v>5444</v>
      </c>
      <c r="C10" s="46" t="s">
        <v>15</v>
      </c>
      <c r="D10" s="47">
        <v>4760.3100000000004</v>
      </c>
      <c r="E10" s="47">
        <v>549.21</v>
      </c>
      <c r="F10" s="47">
        <v>122.22</v>
      </c>
      <c r="G10" s="41"/>
      <c r="H10" s="47">
        <v>5187.3</v>
      </c>
    </row>
    <row r="11" spans="1:8" ht="12.75" customHeight="1" x14ac:dyDescent="0.25">
      <c r="A11" s="45" t="s">
        <v>188</v>
      </c>
      <c r="B11" s="46">
        <v>5860</v>
      </c>
      <c r="C11" s="46" t="s">
        <v>12</v>
      </c>
      <c r="D11" s="47">
        <v>13242.64</v>
      </c>
      <c r="E11" s="47">
        <v>180407.88</v>
      </c>
      <c r="F11" s="47">
        <v>193650.52</v>
      </c>
      <c r="G11" s="41"/>
      <c r="H11" s="47">
        <v>0</v>
      </c>
    </row>
    <row r="12" spans="1:8" ht="12.75" customHeight="1" x14ac:dyDescent="0.25">
      <c r="A12" s="39" t="s">
        <v>192</v>
      </c>
      <c r="B12" s="40"/>
      <c r="C12" s="40" t="s">
        <v>16</v>
      </c>
      <c r="D12" s="41">
        <v>4153.05</v>
      </c>
      <c r="E12" s="41">
        <v>0</v>
      </c>
      <c r="F12" s="41">
        <v>4153.05</v>
      </c>
      <c r="G12" s="41"/>
      <c r="H12" s="41">
        <v>0</v>
      </c>
    </row>
    <row r="13" spans="1:8" ht="12.75" customHeight="1" x14ac:dyDescent="0.25">
      <c r="A13" s="45" t="s">
        <v>193</v>
      </c>
      <c r="B13" s="46">
        <v>35</v>
      </c>
      <c r="C13" s="46" t="s">
        <v>17</v>
      </c>
      <c r="D13" s="47">
        <v>4153.05</v>
      </c>
      <c r="E13" s="47">
        <v>0</v>
      </c>
      <c r="F13" s="47">
        <v>4153.05</v>
      </c>
      <c r="G13" s="41"/>
      <c r="H13" s="47">
        <v>0</v>
      </c>
    </row>
    <row r="14" spans="1:8" ht="12.75" customHeight="1" x14ac:dyDescent="0.25">
      <c r="A14" s="39" t="s">
        <v>194</v>
      </c>
      <c r="B14" s="40"/>
      <c r="C14" s="40" t="s">
        <v>18</v>
      </c>
      <c r="D14" s="41">
        <v>857471.45</v>
      </c>
      <c r="E14" s="41">
        <v>710212.13</v>
      </c>
      <c r="F14" s="41">
        <v>953371.47</v>
      </c>
      <c r="G14" s="41"/>
      <c r="H14" s="41">
        <v>614312.11</v>
      </c>
    </row>
    <row r="15" spans="1:8" ht="12.75" customHeight="1" x14ac:dyDescent="0.25">
      <c r="A15" s="39" t="s">
        <v>195</v>
      </c>
      <c r="B15" s="40"/>
      <c r="C15" s="40" t="s">
        <v>19</v>
      </c>
      <c r="D15" s="41">
        <v>857471.45</v>
      </c>
      <c r="E15" s="41">
        <v>710212.13</v>
      </c>
      <c r="F15" s="41">
        <v>953371.47</v>
      </c>
      <c r="G15" s="41"/>
      <c r="H15" s="41">
        <v>614312.11</v>
      </c>
    </row>
    <row r="16" spans="1:8" ht="12.75" customHeight="1" x14ac:dyDescent="0.25">
      <c r="A16" s="45" t="s">
        <v>197</v>
      </c>
      <c r="B16" s="46">
        <v>43</v>
      </c>
      <c r="C16" s="46" t="s">
        <v>21</v>
      </c>
      <c r="D16" s="47">
        <v>513164.42</v>
      </c>
      <c r="E16" s="47">
        <v>651228.61</v>
      </c>
      <c r="F16" s="47">
        <v>765371.47</v>
      </c>
      <c r="G16" s="41"/>
      <c r="H16" s="47">
        <v>399021.56</v>
      </c>
    </row>
    <row r="17" spans="1:8" ht="12.75" customHeight="1" x14ac:dyDescent="0.25">
      <c r="A17" s="45" t="s">
        <v>196</v>
      </c>
      <c r="B17" s="46">
        <v>5347</v>
      </c>
      <c r="C17" s="46" t="s">
        <v>20</v>
      </c>
      <c r="D17" s="47">
        <v>344307.03</v>
      </c>
      <c r="E17" s="47">
        <v>58983.519999999997</v>
      </c>
      <c r="F17" s="47">
        <v>188000</v>
      </c>
      <c r="G17" s="41"/>
      <c r="H17" s="47">
        <v>215290.55</v>
      </c>
    </row>
    <row r="18" spans="1:8" ht="12.75" customHeight="1" x14ac:dyDescent="0.25">
      <c r="A18" s="39" t="s">
        <v>198</v>
      </c>
      <c r="B18" s="40"/>
      <c r="C18" s="40" t="s">
        <v>22</v>
      </c>
      <c r="D18" s="41">
        <v>350507.25</v>
      </c>
      <c r="E18" s="41">
        <v>53317.65</v>
      </c>
      <c r="F18" s="41">
        <v>55870.19</v>
      </c>
      <c r="G18" s="41"/>
      <c r="H18" s="41">
        <v>347954.71</v>
      </c>
    </row>
    <row r="19" spans="1:8" ht="12.75" customHeight="1" x14ac:dyDescent="0.25">
      <c r="A19" s="39" t="s">
        <v>199</v>
      </c>
      <c r="B19" s="40"/>
      <c r="C19" s="40" t="s">
        <v>23</v>
      </c>
      <c r="D19" s="41">
        <v>6071.56</v>
      </c>
      <c r="E19" s="41">
        <v>34747.35</v>
      </c>
      <c r="F19" s="41">
        <v>37600.01</v>
      </c>
      <c r="G19" s="41"/>
      <c r="H19" s="41">
        <v>3218.9</v>
      </c>
    </row>
    <row r="20" spans="1:8" ht="12.75" customHeight="1" x14ac:dyDescent="0.25">
      <c r="A20" s="45" t="s">
        <v>200</v>
      </c>
      <c r="B20" s="46">
        <v>60</v>
      </c>
      <c r="C20" s="46" t="s">
        <v>24</v>
      </c>
      <c r="D20" s="47">
        <v>6071.56</v>
      </c>
      <c r="E20" s="47">
        <v>2972.89</v>
      </c>
      <c r="F20" s="47">
        <v>5825.55</v>
      </c>
      <c r="G20" s="41"/>
      <c r="H20" s="47">
        <v>3218.9</v>
      </c>
    </row>
    <row r="21" spans="1:8" ht="12.75" customHeight="1" x14ac:dyDescent="0.25">
      <c r="A21" s="45" t="s">
        <v>201</v>
      </c>
      <c r="B21" s="46">
        <v>3263</v>
      </c>
      <c r="C21" s="46" t="s">
        <v>25</v>
      </c>
      <c r="D21" s="47">
        <v>0</v>
      </c>
      <c r="E21" s="47">
        <v>31774.46</v>
      </c>
      <c r="F21" s="47">
        <v>31774.46</v>
      </c>
      <c r="G21" s="41"/>
      <c r="H21" s="47">
        <v>0</v>
      </c>
    </row>
    <row r="22" spans="1:8" ht="12.75" customHeight="1" x14ac:dyDescent="0.25">
      <c r="A22" s="39" t="s">
        <v>202</v>
      </c>
      <c r="B22" s="40"/>
      <c r="C22" s="40" t="s">
        <v>26</v>
      </c>
      <c r="D22" s="41">
        <v>147010.20000000001</v>
      </c>
      <c r="E22" s="41">
        <v>0</v>
      </c>
      <c r="F22" s="41">
        <v>0</v>
      </c>
      <c r="G22" s="41"/>
      <c r="H22" s="41">
        <v>147010.20000000001</v>
      </c>
    </row>
    <row r="23" spans="1:8" ht="12.75" customHeight="1" x14ac:dyDescent="0.25">
      <c r="A23" s="45" t="s">
        <v>203</v>
      </c>
      <c r="B23" s="46">
        <v>3220</v>
      </c>
      <c r="C23" s="46" t="s">
        <v>27</v>
      </c>
      <c r="D23" s="47">
        <v>147010.20000000001</v>
      </c>
      <c r="E23" s="47">
        <v>0</v>
      </c>
      <c r="F23" s="47">
        <v>0</v>
      </c>
      <c r="G23" s="41"/>
      <c r="H23" s="47">
        <v>147010.20000000001</v>
      </c>
    </row>
    <row r="24" spans="1:8" ht="12.75" customHeight="1" x14ac:dyDescent="0.25">
      <c r="A24" s="39" t="s">
        <v>204</v>
      </c>
      <c r="B24" s="40"/>
      <c r="C24" s="40" t="s">
        <v>28</v>
      </c>
      <c r="D24" s="41">
        <v>126211.51</v>
      </c>
      <c r="E24" s="41">
        <v>0</v>
      </c>
      <c r="F24" s="41">
        <v>0</v>
      </c>
      <c r="G24" s="41"/>
      <c r="H24" s="41">
        <v>126211.51</v>
      </c>
    </row>
    <row r="25" spans="1:8" ht="12.75" customHeight="1" x14ac:dyDescent="0.25">
      <c r="A25" s="45" t="s">
        <v>205</v>
      </c>
      <c r="B25" s="46">
        <v>5789</v>
      </c>
      <c r="C25" s="46" t="s">
        <v>29</v>
      </c>
      <c r="D25" s="47">
        <v>126211.51</v>
      </c>
      <c r="E25" s="47">
        <v>0</v>
      </c>
      <c r="F25" s="47">
        <v>0</v>
      </c>
      <c r="G25" s="41"/>
      <c r="H25" s="47">
        <v>126211.51</v>
      </c>
    </row>
    <row r="26" spans="1:8" ht="12.75" customHeight="1" x14ac:dyDescent="0.25">
      <c r="A26" s="39" t="s">
        <v>206</v>
      </c>
      <c r="B26" s="40"/>
      <c r="C26" s="40" t="s">
        <v>30</v>
      </c>
      <c r="D26" s="41">
        <v>7120.88</v>
      </c>
      <c r="E26" s="41">
        <v>18570.3</v>
      </c>
      <c r="F26" s="41">
        <v>18270.18</v>
      </c>
      <c r="G26" s="41"/>
      <c r="H26" s="41">
        <v>7421</v>
      </c>
    </row>
    <row r="27" spans="1:8" ht="12.75" customHeight="1" x14ac:dyDescent="0.25">
      <c r="A27" s="45" t="s">
        <v>207</v>
      </c>
      <c r="B27" s="46">
        <v>116</v>
      </c>
      <c r="C27" s="46" t="s">
        <v>31</v>
      </c>
      <c r="D27" s="47">
        <v>0</v>
      </c>
      <c r="E27" s="47">
        <v>18570.3</v>
      </c>
      <c r="F27" s="47">
        <v>18270.18</v>
      </c>
      <c r="G27" s="41"/>
      <c r="H27" s="47">
        <v>300.12</v>
      </c>
    </row>
    <row r="28" spans="1:8" ht="12.75" customHeight="1" x14ac:dyDescent="0.25">
      <c r="A28" s="45" t="s">
        <v>208</v>
      </c>
      <c r="B28" s="46">
        <v>5274</v>
      </c>
      <c r="C28" s="46" t="s">
        <v>32</v>
      </c>
      <c r="D28" s="47">
        <v>7120.88</v>
      </c>
      <c r="E28" s="47">
        <v>0</v>
      </c>
      <c r="F28" s="47">
        <v>0</v>
      </c>
      <c r="G28" s="41"/>
      <c r="H28" s="47">
        <v>7120.88</v>
      </c>
    </row>
    <row r="29" spans="1:8" ht="12.75" customHeight="1" x14ac:dyDescent="0.25">
      <c r="A29" s="39" t="s">
        <v>209</v>
      </c>
      <c r="B29" s="40"/>
      <c r="C29" s="40" t="s">
        <v>33</v>
      </c>
      <c r="D29" s="41">
        <v>64093.1</v>
      </c>
      <c r="E29" s="41">
        <v>0</v>
      </c>
      <c r="F29" s="41">
        <v>0</v>
      </c>
      <c r="G29" s="41"/>
      <c r="H29" s="41">
        <v>64093.1</v>
      </c>
    </row>
    <row r="30" spans="1:8" ht="12.75" customHeight="1" x14ac:dyDescent="0.25">
      <c r="A30" s="45" t="s">
        <v>213</v>
      </c>
      <c r="B30" s="46">
        <v>4502</v>
      </c>
      <c r="C30" s="46" t="s">
        <v>37</v>
      </c>
      <c r="D30" s="47">
        <v>13.87</v>
      </c>
      <c r="E30" s="47">
        <v>0</v>
      </c>
      <c r="F30" s="47">
        <v>0</v>
      </c>
      <c r="G30" s="41"/>
      <c r="H30" s="47">
        <v>13.87</v>
      </c>
    </row>
    <row r="31" spans="1:8" ht="12.75" customHeight="1" x14ac:dyDescent="0.25">
      <c r="A31" s="45" t="s">
        <v>210</v>
      </c>
      <c r="B31" s="46">
        <v>4510</v>
      </c>
      <c r="C31" s="46" t="s">
        <v>34</v>
      </c>
      <c r="D31" s="47">
        <v>34627.339999999997</v>
      </c>
      <c r="E31" s="47">
        <v>0</v>
      </c>
      <c r="F31" s="47">
        <v>0</v>
      </c>
      <c r="G31" s="41"/>
      <c r="H31" s="47">
        <v>34627.339999999997</v>
      </c>
    </row>
    <row r="32" spans="1:8" ht="12.75" customHeight="1" x14ac:dyDescent="0.25">
      <c r="A32" s="45" t="s">
        <v>212</v>
      </c>
      <c r="B32" s="46">
        <v>4545</v>
      </c>
      <c r="C32" s="46" t="s">
        <v>36</v>
      </c>
      <c r="D32" s="47">
        <v>16.21</v>
      </c>
      <c r="E32" s="47">
        <v>0</v>
      </c>
      <c r="F32" s="47">
        <v>0</v>
      </c>
      <c r="G32" s="41"/>
      <c r="H32" s="47">
        <v>16.21</v>
      </c>
    </row>
    <row r="33" spans="1:8" ht="12.75" customHeight="1" x14ac:dyDescent="0.25">
      <c r="A33" s="45" t="s">
        <v>211</v>
      </c>
      <c r="B33" s="46">
        <v>4561</v>
      </c>
      <c r="C33" s="46" t="s">
        <v>35</v>
      </c>
      <c r="D33" s="47">
        <v>29435.68</v>
      </c>
      <c r="E33" s="47">
        <v>0</v>
      </c>
      <c r="F33" s="47">
        <v>0</v>
      </c>
      <c r="G33" s="41"/>
      <c r="H33" s="47">
        <v>29435.68</v>
      </c>
    </row>
    <row r="34" spans="1:8" ht="12.75" customHeight="1" x14ac:dyDescent="0.25">
      <c r="A34" s="39" t="s">
        <v>214</v>
      </c>
      <c r="B34" s="40"/>
      <c r="C34" s="40" t="s">
        <v>38</v>
      </c>
      <c r="D34" s="41">
        <v>953107.73</v>
      </c>
      <c r="E34" s="41">
        <v>26983.33</v>
      </c>
      <c r="F34" s="41">
        <v>162162.06</v>
      </c>
      <c r="G34" s="41"/>
      <c r="H34" s="41">
        <v>817929</v>
      </c>
    </row>
    <row r="35" spans="1:8" ht="12.75" customHeight="1" x14ac:dyDescent="0.25">
      <c r="A35" s="39" t="s">
        <v>215</v>
      </c>
      <c r="B35" s="40"/>
      <c r="C35" s="40" t="s">
        <v>39</v>
      </c>
      <c r="D35" s="41">
        <v>953107.73</v>
      </c>
      <c r="E35" s="41">
        <v>26983.33</v>
      </c>
      <c r="F35" s="41">
        <v>162162.06</v>
      </c>
      <c r="G35" s="41"/>
      <c r="H35" s="41">
        <v>817929</v>
      </c>
    </row>
    <row r="36" spans="1:8" ht="12.75" customHeight="1" x14ac:dyDescent="0.25">
      <c r="A36" s="45" t="s">
        <v>216</v>
      </c>
      <c r="B36" s="46">
        <v>175</v>
      </c>
      <c r="C36" s="46" t="s">
        <v>40</v>
      </c>
      <c r="D36" s="47">
        <v>953107.73</v>
      </c>
      <c r="E36" s="47">
        <v>26983.33</v>
      </c>
      <c r="F36" s="47">
        <v>162162.06</v>
      </c>
      <c r="G36" s="41"/>
      <c r="H36" s="47">
        <v>817929</v>
      </c>
    </row>
    <row r="37" spans="1:8" ht="12.75" customHeight="1" x14ac:dyDescent="0.25">
      <c r="A37" s="39" t="s">
        <v>217</v>
      </c>
      <c r="B37" s="40"/>
      <c r="C37" s="40" t="s">
        <v>41</v>
      </c>
      <c r="D37" s="41">
        <v>3147410.57</v>
      </c>
      <c r="E37" s="41">
        <v>0</v>
      </c>
      <c r="F37" s="41">
        <v>6083.86</v>
      </c>
      <c r="G37" s="41"/>
      <c r="H37" s="41">
        <v>3141326.71</v>
      </c>
    </row>
    <row r="38" spans="1:8" ht="12.75" customHeight="1" x14ac:dyDescent="0.25">
      <c r="A38" s="39" t="s">
        <v>218</v>
      </c>
      <c r="B38" s="40"/>
      <c r="C38" s="40" t="s">
        <v>42</v>
      </c>
      <c r="D38" s="41">
        <v>3022148.98</v>
      </c>
      <c r="E38" s="41">
        <v>0</v>
      </c>
      <c r="F38" s="41">
        <v>0</v>
      </c>
      <c r="G38" s="41"/>
      <c r="H38" s="41">
        <v>3022148.98</v>
      </c>
    </row>
    <row r="39" spans="1:8" ht="12.75" customHeight="1" x14ac:dyDescent="0.25">
      <c r="A39" s="39" t="s">
        <v>219</v>
      </c>
      <c r="B39" s="40"/>
      <c r="C39" s="40" t="s">
        <v>43</v>
      </c>
      <c r="D39" s="41">
        <v>3022148.98</v>
      </c>
      <c r="E39" s="41">
        <v>0</v>
      </c>
      <c r="F39" s="41">
        <v>0</v>
      </c>
      <c r="G39" s="41"/>
      <c r="H39" s="41">
        <v>3022148.98</v>
      </c>
    </row>
    <row r="40" spans="1:8" ht="12.75" customHeight="1" x14ac:dyDescent="0.25">
      <c r="A40" s="45" t="s">
        <v>221</v>
      </c>
      <c r="B40" s="46">
        <v>3336</v>
      </c>
      <c r="C40" s="46" t="s">
        <v>45</v>
      </c>
      <c r="D40" s="47">
        <v>1224589.32</v>
      </c>
      <c r="E40" s="47">
        <v>0</v>
      </c>
      <c r="F40" s="47">
        <v>0</v>
      </c>
      <c r="G40" s="41"/>
      <c r="H40" s="47">
        <v>1224589.32</v>
      </c>
    </row>
    <row r="41" spans="1:8" ht="12.75" customHeight="1" x14ac:dyDescent="0.25">
      <c r="A41" s="45" t="s">
        <v>220</v>
      </c>
      <c r="B41" s="46">
        <v>3344</v>
      </c>
      <c r="C41" s="46" t="s">
        <v>44</v>
      </c>
      <c r="D41" s="47">
        <v>1797559.66</v>
      </c>
      <c r="E41" s="47">
        <v>0</v>
      </c>
      <c r="F41" s="47">
        <v>0</v>
      </c>
      <c r="G41" s="41"/>
      <c r="H41" s="47">
        <v>1797559.66</v>
      </c>
    </row>
    <row r="42" spans="1:8" ht="12.75" customHeight="1" x14ac:dyDescent="0.25">
      <c r="A42" s="39" t="s">
        <v>222</v>
      </c>
      <c r="B42" s="40"/>
      <c r="C42" s="40" t="s">
        <v>46</v>
      </c>
      <c r="D42" s="41">
        <v>69663.17</v>
      </c>
      <c r="E42" s="41">
        <v>0</v>
      </c>
      <c r="F42" s="41">
        <v>1767.19</v>
      </c>
      <c r="G42" s="41"/>
      <c r="H42" s="41">
        <v>67895.98</v>
      </c>
    </row>
    <row r="43" spans="1:8" ht="12.75" customHeight="1" x14ac:dyDescent="0.25">
      <c r="A43" s="39" t="s">
        <v>223</v>
      </c>
      <c r="B43" s="40"/>
      <c r="C43" s="40" t="s">
        <v>47</v>
      </c>
      <c r="D43" s="41">
        <v>139435.51</v>
      </c>
      <c r="E43" s="41">
        <v>0</v>
      </c>
      <c r="F43" s="41">
        <v>0</v>
      </c>
      <c r="G43" s="41"/>
      <c r="H43" s="41">
        <v>139435.51</v>
      </c>
    </row>
    <row r="44" spans="1:8" ht="12.75" customHeight="1" x14ac:dyDescent="0.25">
      <c r="A44" s="45" t="s">
        <v>224</v>
      </c>
      <c r="B44" s="46">
        <v>205</v>
      </c>
      <c r="C44" s="46" t="s">
        <v>48</v>
      </c>
      <c r="D44" s="47">
        <v>132597.82</v>
      </c>
      <c r="E44" s="47">
        <v>0</v>
      </c>
      <c r="F44" s="47">
        <v>0</v>
      </c>
      <c r="G44" s="41"/>
      <c r="H44" s="47">
        <v>132597.82</v>
      </c>
    </row>
    <row r="45" spans="1:8" ht="12.75" customHeight="1" x14ac:dyDescent="0.25">
      <c r="A45" s="45" t="s">
        <v>225</v>
      </c>
      <c r="B45" s="46">
        <v>4588</v>
      </c>
      <c r="C45" s="46" t="s">
        <v>49</v>
      </c>
      <c r="D45" s="47">
        <v>4888.6899999999996</v>
      </c>
      <c r="E45" s="47">
        <v>0</v>
      </c>
      <c r="F45" s="47">
        <v>0</v>
      </c>
      <c r="G45" s="41"/>
      <c r="H45" s="47">
        <v>4888.6899999999996</v>
      </c>
    </row>
    <row r="46" spans="1:8" ht="12.75" customHeight="1" x14ac:dyDescent="0.25">
      <c r="A46" s="45" t="s">
        <v>226</v>
      </c>
      <c r="B46" s="46">
        <v>248</v>
      </c>
      <c r="C46" s="46" t="s">
        <v>50</v>
      </c>
      <c r="D46" s="47">
        <v>1949</v>
      </c>
      <c r="E46" s="47">
        <v>0</v>
      </c>
      <c r="F46" s="47">
        <v>0</v>
      </c>
      <c r="G46" s="41"/>
      <c r="H46" s="47">
        <v>1949</v>
      </c>
    </row>
    <row r="47" spans="1:8" ht="12.75" customHeight="1" x14ac:dyDescent="0.25">
      <c r="A47" s="39" t="s">
        <v>227</v>
      </c>
      <c r="B47" s="40"/>
      <c r="C47" s="40" t="s">
        <v>51</v>
      </c>
      <c r="D47" s="41">
        <v>-69772.34</v>
      </c>
      <c r="E47" s="41">
        <v>0</v>
      </c>
      <c r="F47" s="41">
        <v>1767.19</v>
      </c>
      <c r="G47" s="41"/>
      <c r="H47" s="41">
        <v>-71539.53</v>
      </c>
    </row>
    <row r="48" spans="1:8" ht="12.75" customHeight="1" x14ac:dyDescent="0.25">
      <c r="A48" s="45" t="s">
        <v>228</v>
      </c>
      <c r="B48" s="46">
        <v>280</v>
      </c>
      <c r="C48" s="46" t="s">
        <v>52</v>
      </c>
      <c r="D48" s="47">
        <v>-66138.73</v>
      </c>
      <c r="E48" s="47">
        <v>0</v>
      </c>
      <c r="F48" s="47">
        <v>1666.29</v>
      </c>
      <c r="G48" s="41"/>
      <c r="H48" s="47">
        <v>-67805.02</v>
      </c>
    </row>
    <row r="49" spans="1:8" ht="12.75" customHeight="1" x14ac:dyDescent="0.25">
      <c r="A49" s="45" t="s">
        <v>229</v>
      </c>
      <c r="B49" s="46">
        <v>299</v>
      </c>
      <c r="C49" s="46" t="s">
        <v>53</v>
      </c>
      <c r="D49" s="47">
        <v>-3471.21</v>
      </c>
      <c r="E49" s="47">
        <v>0</v>
      </c>
      <c r="F49" s="47">
        <v>84.66</v>
      </c>
      <c r="G49" s="41"/>
      <c r="H49" s="47">
        <v>-3555.87</v>
      </c>
    </row>
    <row r="50" spans="1:8" ht="12.75" customHeight="1" x14ac:dyDescent="0.25">
      <c r="A50" s="45" t="s">
        <v>230</v>
      </c>
      <c r="B50" s="46">
        <v>329</v>
      </c>
      <c r="C50" s="46" t="s">
        <v>54</v>
      </c>
      <c r="D50" s="47">
        <v>-162.4</v>
      </c>
      <c r="E50" s="47">
        <v>0</v>
      </c>
      <c r="F50" s="47">
        <v>16.239999999999998</v>
      </c>
      <c r="G50" s="41"/>
      <c r="H50" s="47">
        <v>-178.64</v>
      </c>
    </row>
    <row r="51" spans="1:8" ht="12.75" customHeight="1" x14ac:dyDescent="0.25">
      <c r="A51" s="39" t="s">
        <v>231</v>
      </c>
      <c r="B51" s="40"/>
      <c r="C51" s="40" t="s">
        <v>55</v>
      </c>
      <c r="D51" s="41">
        <v>55598.42</v>
      </c>
      <c r="E51" s="41">
        <v>0</v>
      </c>
      <c r="F51" s="41">
        <v>4316.67</v>
      </c>
      <c r="G51" s="41"/>
      <c r="H51" s="41">
        <v>51281.75</v>
      </c>
    </row>
    <row r="52" spans="1:8" ht="12.75" customHeight="1" x14ac:dyDescent="0.25">
      <c r="A52" s="39" t="s">
        <v>232</v>
      </c>
      <c r="B52" s="40"/>
      <c r="C52" s="40" t="s">
        <v>55</v>
      </c>
      <c r="D52" s="41">
        <v>109099</v>
      </c>
      <c r="E52" s="41">
        <v>0</v>
      </c>
      <c r="F52" s="41">
        <v>0</v>
      </c>
      <c r="G52" s="41"/>
      <c r="H52" s="41">
        <v>109099</v>
      </c>
    </row>
    <row r="53" spans="1:8" ht="12.75" customHeight="1" x14ac:dyDescent="0.25">
      <c r="A53" s="45" t="s">
        <v>233</v>
      </c>
      <c r="B53" s="46">
        <v>2615</v>
      </c>
      <c r="C53" s="46" t="s">
        <v>56</v>
      </c>
      <c r="D53" s="47">
        <v>5499</v>
      </c>
      <c r="E53" s="47">
        <v>0</v>
      </c>
      <c r="F53" s="47">
        <v>0</v>
      </c>
      <c r="G53" s="41"/>
      <c r="H53" s="47">
        <v>5499</v>
      </c>
    </row>
    <row r="54" spans="1:8" ht="12.75" customHeight="1" x14ac:dyDescent="0.25">
      <c r="A54" s="45" t="s">
        <v>234</v>
      </c>
      <c r="B54" s="46">
        <v>3948</v>
      </c>
      <c r="C54" s="46" t="s">
        <v>57</v>
      </c>
      <c r="D54" s="47">
        <v>103600</v>
      </c>
      <c r="E54" s="47">
        <v>0</v>
      </c>
      <c r="F54" s="47">
        <v>0</v>
      </c>
      <c r="G54" s="41"/>
      <c r="H54" s="47">
        <v>103600</v>
      </c>
    </row>
    <row r="55" spans="1:8" ht="12.75" customHeight="1" x14ac:dyDescent="0.25">
      <c r="A55" s="39" t="s">
        <v>235</v>
      </c>
      <c r="B55" s="40"/>
      <c r="C55" s="40" t="s">
        <v>58</v>
      </c>
      <c r="D55" s="41">
        <v>-53500.58</v>
      </c>
      <c r="E55" s="41">
        <v>0</v>
      </c>
      <c r="F55" s="41">
        <v>4316.67</v>
      </c>
      <c r="G55" s="41"/>
      <c r="H55" s="41">
        <v>-57817.25</v>
      </c>
    </row>
    <row r="56" spans="1:8" ht="12.75" customHeight="1" x14ac:dyDescent="0.25">
      <c r="A56" s="45" t="s">
        <v>236</v>
      </c>
      <c r="B56" s="46">
        <v>3964</v>
      </c>
      <c r="C56" s="46" t="s">
        <v>59</v>
      </c>
      <c r="D56" s="47">
        <v>-53500.58</v>
      </c>
      <c r="E56" s="47">
        <v>0</v>
      </c>
      <c r="F56" s="47">
        <v>4316.67</v>
      </c>
      <c r="G56" s="41"/>
      <c r="H56" s="47">
        <v>-57817.25</v>
      </c>
    </row>
    <row r="57" spans="1:8" ht="12.75" customHeight="1" x14ac:dyDescent="0.25">
      <c r="A57" s="39" t="s">
        <v>237</v>
      </c>
      <c r="B57" s="40"/>
      <c r="C57" s="40" t="s">
        <v>60</v>
      </c>
      <c r="D57" s="41">
        <v>0</v>
      </c>
      <c r="E57" s="41">
        <v>183724.5</v>
      </c>
      <c r="F57" s="41">
        <v>183724.5</v>
      </c>
      <c r="G57" s="41"/>
      <c r="H57" s="41">
        <v>0</v>
      </c>
    </row>
    <row r="58" spans="1:8" ht="12.75" customHeight="1" x14ac:dyDescent="0.25">
      <c r="A58" s="39" t="s">
        <v>238</v>
      </c>
      <c r="B58" s="40"/>
      <c r="C58" s="40" t="s">
        <v>61</v>
      </c>
      <c r="D58" s="41">
        <v>0</v>
      </c>
      <c r="E58" s="41">
        <v>183724.5</v>
      </c>
      <c r="F58" s="41">
        <v>183724.5</v>
      </c>
      <c r="G58" s="41"/>
      <c r="H58" s="41">
        <v>0</v>
      </c>
    </row>
    <row r="59" spans="1:8" ht="12.75" customHeight="1" x14ac:dyDescent="0.25">
      <c r="A59" s="45" t="s">
        <v>240</v>
      </c>
      <c r="B59" s="46">
        <v>5881</v>
      </c>
      <c r="C59" s="46" t="s">
        <v>63</v>
      </c>
      <c r="D59" s="47">
        <v>0</v>
      </c>
      <c r="E59" s="47">
        <v>63929.27</v>
      </c>
      <c r="F59" s="47">
        <v>63929.27</v>
      </c>
      <c r="G59" s="41"/>
      <c r="H59" s="47">
        <v>0</v>
      </c>
    </row>
    <row r="60" spans="1:8" ht="12.75" customHeight="1" x14ac:dyDescent="0.25">
      <c r="A60" s="45" t="s">
        <v>241</v>
      </c>
      <c r="B60" s="46">
        <v>5883</v>
      </c>
      <c r="C60" s="46" t="s">
        <v>64</v>
      </c>
      <c r="D60" s="47">
        <v>0</v>
      </c>
      <c r="E60" s="47">
        <v>24219</v>
      </c>
      <c r="F60" s="47">
        <v>24219</v>
      </c>
      <c r="G60" s="41"/>
      <c r="H60" s="47">
        <v>0</v>
      </c>
    </row>
    <row r="61" spans="1:8" ht="12.75" customHeight="1" x14ac:dyDescent="0.25">
      <c r="A61" s="45" t="s">
        <v>239</v>
      </c>
      <c r="B61" s="46">
        <v>5886</v>
      </c>
      <c r="C61" s="46" t="s">
        <v>62</v>
      </c>
      <c r="D61" s="47">
        <v>0</v>
      </c>
      <c r="E61" s="47">
        <v>95576.23</v>
      </c>
      <c r="F61" s="47">
        <v>95576.23</v>
      </c>
      <c r="G61" s="41"/>
      <c r="H61" s="47">
        <v>0</v>
      </c>
    </row>
    <row r="62" spans="1:8" ht="12.75" customHeight="1" x14ac:dyDescent="0.25">
      <c r="A62" s="39">
        <v>2</v>
      </c>
      <c r="B62" s="40"/>
      <c r="C62" s="40" t="s">
        <v>65</v>
      </c>
      <c r="D62" s="41">
        <v>5330654</v>
      </c>
      <c r="E62" s="41">
        <v>1784422.6</v>
      </c>
      <c r="F62" s="41">
        <v>1734481.35</v>
      </c>
      <c r="G62" s="41"/>
      <c r="H62" s="41">
        <v>5280712.75</v>
      </c>
    </row>
    <row r="63" spans="1:8" ht="12.75" customHeight="1" x14ac:dyDescent="0.25">
      <c r="A63" s="39" t="s">
        <v>242</v>
      </c>
      <c r="B63" s="40"/>
      <c r="C63" s="40" t="s">
        <v>66</v>
      </c>
      <c r="D63" s="41">
        <v>3163021.99</v>
      </c>
      <c r="E63" s="41">
        <v>1597791.82</v>
      </c>
      <c r="F63" s="41">
        <v>1506878.22</v>
      </c>
      <c r="G63" s="41"/>
      <c r="H63" s="41">
        <v>3072108.39</v>
      </c>
    </row>
    <row r="64" spans="1:8" ht="12.75" customHeight="1" x14ac:dyDescent="0.25">
      <c r="A64" s="39" t="s">
        <v>243</v>
      </c>
      <c r="B64" s="40"/>
      <c r="C64" s="40" t="s">
        <v>67</v>
      </c>
      <c r="D64" s="41">
        <v>3163021.99</v>
      </c>
      <c r="E64" s="41">
        <v>1597791.82</v>
      </c>
      <c r="F64" s="41">
        <v>1506878.22</v>
      </c>
      <c r="G64" s="41"/>
      <c r="H64" s="41">
        <v>3072108.39</v>
      </c>
    </row>
    <row r="65" spans="1:8" ht="12.75" customHeight="1" x14ac:dyDescent="0.25">
      <c r="A65" s="39" t="s">
        <v>244</v>
      </c>
      <c r="B65" s="40"/>
      <c r="C65" s="40" t="s">
        <v>68</v>
      </c>
      <c r="D65" s="41">
        <v>1901555.71</v>
      </c>
      <c r="E65" s="41">
        <v>651639.39</v>
      </c>
      <c r="F65" s="41">
        <v>663057.06999999995</v>
      </c>
      <c r="G65" s="41"/>
      <c r="H65" s="41">
        <v>1912973.39</v>
      </c>
    </row>
    <row r="66" spans="1:8" ht="12.75" customHeight="1" x14ac:dyDescent="0.25">
      <c r="A66" s="45" t="s">
        <v>245</v>
      </c>
      <c r="B66" s="46">
        <v>353</v>
      </c>
      <c r="C66" s="46" t="s">
        <v>69</v>
      </c>
      <c r="D66" s="47">
        <v>1901555.71</v>
      </c>
      <c r="E66" s="47">
        <v>651639.39</v>
      </c>
      <c r="F66" s="47">
        <v>663057.06999999995</v>
      </c>
      <c r="G66" s="41"/>
      <c r="H66" s="47">
        <v>1912973.39</v>
      </c>
    </row>
    <row r="67" spans="1:8" ht="12.75" customHeight="1" x14ac:dyDescent="0.25">
      <c r="A67" s="39" t="s">
        <v>246</v>
      </c>
      <c r="B67" s="40"/>
      <c r="C67" s="40" t="s">
        <v>70</v>
      </c>
      <c r="D67" s="41">
        <v>0</v>
      </c>
      <c r="E67" s="41">
        <v>0</v>
      </c>
      <c r="F67" s="41">
        <v>218367.14</v>
      </c>
      <c r="G67" s="41"/>
      <c r="H67" s="41">
        <v>218367.14</v>
      </c>
    </row>
    <row r="68" spans="1:8" ht="12.75" customHeight="1" x14ac:dyDescent="0.25">
      <c r="A68" s="45" t="s">
        <v>248</v>
      </c>
      <c r="B68" s="46">
        <v>361</v>
      </c>
      <c r="C68" s="46" t="s">
        <v>13</v>
      </c>
      <c r="D68" s="47">
        <v>0</v>
      </c>
      <c r="E68" s="47">
        <v>0</v>
      </c>
      <c r="F68" s="47">
        <v>28351.71</v>
      </c>
      <c r="G68" s="41"/>
      <c r="H68" s="47">
        <v>28351.71</v>
      </c>
    </row>
    <row r="69" spans="1:8" ht="12.75" customHeight="1" x14ac:dyDescent="0.25">
      <c r="A69" s="45" t="s">
        <v>247</v>
      </c>
      <c r="B69" s="46">
        <v>362</v>
      </c>
      <c r="C69" s="46" t="s">
        <v>12</v>
      </c>
      <c r="D69" s="47">
        <v>0</v>
      </c>
      <c r="E69" s="47">
        <v>0</v>
      </c>
      <c r="F69" s="47">
        <v>26575.43</v>
      </c>
      <c r="G69" s="41"/>
      <c r="H69" s="47">
        <v>26575.43</v>
      </c>
    </row>
    <row r="70" spans="1:8" ht="12.75" customHeight="1" x14ac:dyDescent="0.25">
      <c r="A70" s="45" t="s">
        <v>249</v>
      </c>
      <c r="B70" s="46">
        <v>5885</v>
      </c>
      <c r="C70" s="46" t="s">
        <v>71</v>
      </c>
      <c r="D70" s="47">
        <v>0</v>
      </c>
      <c r="E70" s="47">
        <v>0</v>
      </c>
      <c r="F70" s="47">
        <v>163440</v>
      </c>
      <c r="G70" s="41"/>
      <c r="H70" s="47">
        <v>163440</v>
      </c>
    </row>
    <row r="71" spans="1:8" ht="12.75" customHeight="1" x14ac:dyDescent="0.25">
      <c r="A71" s="39" t="s">
        <v>250</v>
      </c>
      <c r="B71" s="40"/>
      <c r="C71" s="40" t="s">
        <v>72</v>
      </c>
      <c r="D71" s="41">
        <v>26074.38</v>
      </c>
      <c r="E71" s="41">
        <v>58194.76</v>
      </c>
      <c r="F71" s="41">
        <v>73519.929999999993</v>
      </c>
      <c r="G71" s="41"/>
      <c r="H71" s="41">
        <v>41399.550000000003</v>
      </c>
    </row>
    <row r="72" spans="1:8" ht="12.75" customHeight="1" x14ac:dyDescent="0.25">
      <c r="A72" s="45" t="s">
        <v>251</v>
      </c>
      <c r="B72" s="46">
        <v>418</v>
      </c>
      <c r="C72" s="46" t="s">
        <v>73</v>
      </c>
      <c r="D72" s="47">
        <v>0</v>
      </c>
      <c r="E72" s="47">
        <v>1056.6400000000001</v>
      </c>
      <c r="F72" s="47">
        <v>1056.6400000000001</v>
      </c>
      <c r="G72" s="41"/>
      <c r="H72" s="47">
        <v>0</v>
      </c>
    </row>
    <row r="73" spans="1:8" ht="12.75" customHeight="1" x14ac:dyDescent="0.25">
      <c r="A73" s="45" t="s">
        <v>254</v>
      </c>
      <c r="B73" s="46">
        <v>434</v>
      </c>
      <c r="C73" s="46" t="s">
        <v>76</v>
      </c>
      <c r="D73" s="47">
        <v>0</v>
      </c>
      <c r="E73" s="47">
        <v>50352.94</v>
      </c>
      <c r="F73" s="47">
        <v>50352.94</v>
      </c>
      <c r="G73" s="41"/>
      <c r="H73" s="47">
        <v>0</v>
      </c>
    </row>
    <row r="74" spans="1:8" ht="12.75" customHeight="1" x14ac:dyDescent="0.25">
      <c r="A74" s="45" t="s">
        <v>252</v>
      </c>
      <c r="B74" s="46">
        <v>4596</v>
      </c>
      <c r="C74" s="46" t="s">
        <v>74</v>
      </c>
      <c r="D74" s="47">
        <v>6785.18</v>
      </c>
      <c r="E74" s="47">
        <v>6785.18</v>
      </c>
      <c r="F74" s="47">
        <v>4495.99</v>
      </c>
      <c r="G74" s="41"/>
      <c r="H74" s="47">
        <v>4495.99</v>
      </c>
    </row>
    <row r="75" spans="1:8" ht="12.75" customHeight="1" x14ac:dyDescent="0.25">
      <c r="A75" s="45" t="s">
        <v>253</v>
      </c>
      <c r="B75" s="46">
        <v>4600</v>
      </c>
      <c r="C75" s="46" t="s">
        <v>75</v>
      </c>
      <c r="D75" s="47">
        <v>19289.2</v>
      </c>
      <c r="E75" s="47">
        <v>0</v>
      </c>
      <c r="F75" s="47">
        <v>17614.36</v>
      </c>
      <c r="G75" s="41"/>
      <c r="H75" s="47">
        <v>36903.56</v>
      </c>
    </row>
    <row r="76" spans="1:8" ht="12.75" customHeight="1" x14ac:dyDescent="0.25">
      <c r="A76" s="39" t="s">
        <v>255</v>
      </c>
      <c r="B76" s="40"/>
      <c r="C76" s="40" t="s">
        <v>77</v>
      </c>
      <c r="D76" s="41">
        <v>4994.6099999999997</v>
      </c>
      <c r="E76" s="41">
        <v>2843.05</v>
      </c>
      <c r="F76" s="41">
        <v>1543</v>
      </c>
      <c r="G76" s="41"/>
      <c r="H76" s="41">
        <v>3694.56</v>
      </c>
    </row>
    <row r="77" spans="1:8" ht="12.75" customHeight="1" x14ac:dyDescent="0.25">
      <c r="A77" s="45" t="s">
        <v>257</v>
      </c>
      <c r="B77" s="46">
        <v>4618</v>
      </c>
      <c r="C77" s="46" t="s">
        <v>79</v>
      </c>
      <c r="D77" s="47">
        <v>2151.56</v>
      </c>
      <c r="E77" s="47">
        <v>0</v>
      </c>
      <c r="F77" s="47">
        <v>561.92999999999995</v>
      </c>
      <c r="G77" s="41"/>
      <c r="H77" s="47">
        <v>2713.49</v>
      </c>
    </row>
    <row r="78" spans="1:8" ht="12.75" customHeight="1" x14ac:dyDescent="0.25">
      <c r="A78" s="45" t="s">
        <v>256</v>
      </c>
      <c r="B78" s="46">
        <v>4626</v>
      </c>
      <c r="C78" s="46" t="s">
        <v>78</v>
      </c>
      <c r="D78" s="47">
        <v>2343.41</v>
      </c>
      <c r="E78" s="47">
        <v>2343.41</v>
      </c>
      <c r="F78" s="47">
        <v>806.07</v>
      </c>
      <c r="G78" s="41"/>
      <c r="H78" s="47">
        <v>806.07</v>
      </c>
    </row>
    <row r="79" spans="1:8" ht="12.75" customHeight="1" x14ac:dyDescent="0.25">
      <c r="A79" s="45" t="s">
        <v>258</v>
      </c>
      <c r="B79" s="46">
        <v>4677</v>
      </c>
      <c r="C79" s="46" t="s">
        <v>80</v>
      </c>
      <c r="D79" s="47">
        <v>499.64</v>
      </c>
      <c r="E79" s="47">
        <v>499.64</v>
      </c>
      <c r="F79" s="47">
        <v>175</v>
      </c>
      <c r="G79" s="41"/>
      <c r="H79" s="47">
        <v>175</v>
      </c>
    </row>
    <row r="80" spans="1:8" ht="12.75" customHeight="1" x14ac:dyDescent="0.25">
      <c r="A80" s="39" t="s">
        <v>259</v>
      </c>
      <c r="B80" s="40"/>
      <c r="C80" s="40" t="s">
        <v>81</v>
      </c>
      <c r="D80" s="41">
        <v>411354.16</v>
      </c>
      <c r="E80" s="41">
        <v>190224.22</v>
      </c>
      <c r="F80" s="41">
        <v>215586.85</v>
      </c>
      <c r="G80" s="41"/>
      <c r="H80" s="41">
        <v>436716.79</v>
      </c>
    </row>
    <row r="81" spans="1:8" ht="12.75" customHeight="1" x14ac:dyDescent="0.25">
      <c r="A81" s="45" t="s">
        <v>260</v>
      </c>
      <c r="B81" s="46">
        <v>582</v>
      </c>
      <c r="C81" s="46" t="s">
        <v>82</v>
      </c>
      <c r="D81" s="47">
        <v>0</v>
      </c>
      <c r="E81" s="47">
        <v>0</v>
      </c>
      <c r="F81" s="47">
        <v>3848.18</v>
      </c>
      <c r="G81" s="41"/>
      <c r="H81" s="47">
        <v>3848.18</v>
      </c>
    </row>
    <row r="82" spans="1:8" ht="12.75" customHeight="1" x14ac:dyDescent="0.25">
      <c r="A82" s="45" t="s">
        <v>264</v>
      </c>
      <c r="B82" s="46">
        <v>590</v>
      </c>
      <c r="C82" s="46" t="s">
        <v>86</v>
      </c>
      <c r="D82" s="47">
        <v>36554.57</v>
      </c>
      <c r="E82" s="47">
        <v>4559.21</v>
      </c>
      <c r="F82" s="47">
        <v>41546.57</v>
      </c>
      <c r="G82" s="41"/>
      <c r="H82" s="47">
        <v>73541.929999999993</v>
      </c>
    </row>
    <row r="83" spans="1:8" ht="12.75" customHeight="1" x14ac:dyDescent="0.25">
      <c r="A83" s="45" t="s">
        <v>262</v>
      </c>
      <c r="B83" s="46">
        <v>3417</v>
      </c>
      <c r="C83" s="46" t="s">
        <v>84</v>
      </c>
      <c r="D83" s="47">
        <v>0</v>
      </c>
      <c r="E83" s="47">
        <v>0</v>
      </c>
      <c r="F83" s="47">
        <v>1346.86</v>
      </c>
      <c r="G83" s="41"/>
      <c r="H83" s="47">
        <v>1346.86</v>
      </c>
    </row>
    <row r="84" spans="1:8" ht="12.75" customHeight="1" x14ac:dyDescent="0.25">
      <c r="A84" s="45" t="s">
        <v>263</v>
      </c>
      <c r="B84" s="46">
        <v>3425</v>
      </c>
      <c r="C84" s="46" t="s">
        <v>85</v>
      </c>
      <c r="D84" s="47">
        <v>12720.91</v>
      </c>
      <c r="E84" s="47">
        <v>0</v>
      </c>
      <c r="F84" s="47">
        <v>14541.3</v>
      </c>
      <c r="G84" s="41"/>
      <c r="H84" s="47">
        <v>27262.21</v>
      </c>
    </row>
    <row r="85" spans="1:8" ht="12.75" customHeight="1" x14ac:dyDescent="0.25">
      <c r="A85" s="45" t="s">
        <v>265</v>
      </c>
      <c r="B85" s="46">
        <v>5150</v>
      </c>
      <c r="C85" s="46" t="s">
        <v>87</v>
      </c>
      <c r="D85" s="47">
        <v>34906.44</v>
      </c>
      <c r="E85" s="47">
        <v>0</v>
      </c>
      <c r="F85" s="47">
        <v>576.26</v>
      </c>
      <c r="G85" s="41"/>
      <c r="H85" s="47">
        <v>35482.699999999997</v>
      </c>
    </row>
    <row r="86" spans="1:8" ht="12.75" customHeight="1" x14ac:dyDescent="0.25">
      <c r="A86" s="45" t="s">
        <v>261</v>
      </c>
      <c r="B86" s="46">
        <v>5240</v>
      </c>
      <c r="C86" s="46" t="s">
        <v>83</v>
      </c>
      <c r="D86" s="47">
        <v>327172.24</v>
      </c>
      <c r="E86" s="47">
        <v>185665.01</v>
      </c>
      <c r="F86" s="47">
        <v>153727.67999999999</v>
      </c>
      <c r="G86" s="41"/>
      <c r="H86" s="47">
        <v>295234.90999999997</v>
      </c>
    </row>
    <row r="87" spans="1:8" ht="12.75" customHeight="1" x14ac:dyDescent="0.25">
      <c r="A87" s="39" t="s">
        <v>266</v>
      </c>
      <c r="B87" s="40"/>
      <c r="C87" s="40" t="s">
        <v>88</v>
      </c>
      <c r="D87" s="41">
        <v>221806</v>
      </c>
      <c r="E87" s="41">
        <v>157805.9</v>
      </c>
      <c r="F87" s="41">
        <v>88655.4</v>
      </c>
      <c r="G87" s="41"/>
      <c r="H87" s="41">
        <v>152655.5</v>
      </c>
    </row>
    <row r="88" spans="1:8" ht="12.75" customHeight="1" x14ac:dyDescent="0.25">
      <c r="A88" s="45" t="s">
        <v>269</v>
      </c>
      <c r="B88" s="46">
        <v>604</v>
      </c>
      <c r="C88" s="46" t="s">
        <v>91</v>
      </c>
      <c r="D88" s="47">
        <v>68806.61</v>
      </c>
      <c r="E88" s="47">
        <v>32760.45</v>
      </c>
      <c r="F88" s="47">
        <v>60603.29</v>
      </c>
      <c r="G88" s="41"/>
      <c r="H88" s="47">
        <v>96649.45</v>
      </c>
    </row>
    <row r="89" spans="1:8" ht="12.75" customHeight="1" x14ac:dyDescent="0.25">
      <c r="A89" s="45" t="s">
        <v>271</v>
      </c>
      <c r="B89" s="46">
        <v>620</v>
      </c>
      <c r="C89" s="46" t="s">
        <v>93</v>
      </c>
      <c r="D89" s="47">
        <v>1859.65</v>
      </c>
      <c r="E89" s="47">
        <v>1859.65</v>
      </c>
      <c r="F89" s="47">
        <v>365.73</v>
      </c>
      <c r="G89" s="41"/>
      <c r="H89" s="47">
        <v>365.73</v>
      </c>
    </row>
    <row r="90" spans="1:8" ht="12.75" customHeight="1" x14ac:dyDescent="0.25">
      <c r="A90" s="45" t="s">
        <v>267</v>
      </c>
      <c r="B90" s="46">
        <v>663</v>
      </c>
      <c r="C90" s="46" t="s">
        <v>89</v>
      </c>
      <c r="D90" s="47">
        <v>3136.84</v>
      </c>
      <c r="E90" s="47">
        <v>3136.84</v>
      </c>
      <c r="F90" s="47">
        <v>0</v>
      </c>
      <c r="G90" s="41"/>
      <c r="H90" s="47">
        <v>0</v>
      </c>
    </row>
    <row r="91" spans="1:8" ht="12.75" customHeight="1" x14ac:dyDescent="0.25">
      <c r="A91" s="45" t="s">
        <v>270</v>
      </c>
      <c r="B91" s="46">
        <v>4650</v>
      </c>
      <c r="C91" s="46" t="s">
        <v>92</v>
      </c>
      <c r="D91" s="47">
        <v>136553.47</v>
      </c>
      <c r="E91" s="47">
        <v>103171.62</v>
      </c>
      <c r="F91" s="47">
        <v>12763.88</v>
      </c>
      <c r="G91" s="41"/>
      <c r="H91" s="47">
        <v>46145.73</v>
      </c>
    </row>
    <row r="92" spans="1:8" ht="12.75" customHeight="1" x14ac:dyDescent="0.25">
      <c r="A92" s="45" t="s">
        <v>268</v>
      </c>
      <c r="B92" s="46">
        <v>5880</v>
      </c>
      <c r="C92" s="46" t="s">
        <v>90</v>
      </c>
      <c r="D92" s="47">
        <v>11449.43</v>
      </c>
      <c r="E92" s="47">
        <v>16877.34</v>
      </c>
      <c r="F92" s="47">
        <v>14922.5</v>
      </c>
      <c r="G92" s="41"/>
      <c r="H92" s="47">
        <v>9494.59</v>
      </c>
    </row>
    <row r="93" spans="1:8" ht="12.75" customHeight="1" x14ac:dyDescent="0.25">
      <c r="A93" s="39" t="s">
        <v>272</v>
      </c>
      <c r="B93" s="40"/>
      <c r="C93" s="40" t="s">
        <v>94</v>
      </c>
      <c r="D93" s="41">
        <v>597237.13</v>
      </c>
      <c r="E93" s="41">
        <v>537084.5</v>
      </c>
      <c r="F93" s="41">
        <v>246148.83</v>
      </c>
      <c r="G93" s="41"/>
      <c r="H93" s="41">
        <v>306301.46000000002</v>
      </c>
    </row>
    <row r="94" spans="1:8" ht="12.75" customHeight="1" x14ac:dyDescent="0.25">
      <c r="A94" s="45" t="s">
        <v>273</v>
      </c>
      <c r="B94" s="46">
        <v>3239</v>
      </c>
      <c r="C94" s="46" t="s">
        <v>95</v>
      </c>
      <c r="D94" s="47">
        <v>0</v>
      </c>
      <c r="E94" s="47">
        <v>8982.02</v>
      </c>
      <c r="F94" s="47">
        <v>8982.02</v>
      </c>
      <c r="G94" s="41"/>
      <c r="H94" s="47">
        <v>0</v>
      </c>
    </row>
    <row r="95" spans="1:8" ht="12.75" customHeight="1" x14ac:dyDescent="0.25">
      <c r="A95" s="45" t="s">
        <v>274</v>
      </c>
      <c r="B95" s="46">
        <v>3468</v>
      </c>
      <c r="C95" s="46" t="s">
        <v>96</v>
      </c>
      <c r="D95" s="47">
        <v>427552.51</v>
      </c>
      <c r="E95" s="47">
        <v>356856.16</v>
      </c>
      <c r="F95" s="47">
        <v>217379.06</v>
      </c>
      <c r="G95" s="41"/>
      <c r="H95" s="47">
        <v>288075.40999999997</v>
      </c>
    </row>
    <row r="96" spans="1:8" ht="12.75" customHeight="1" x14ac:dyDescent="0.25">
      <c r="A96" s="45" t="s">
        <v>276</v>
      </c>
      <c r="B96" s="46">
        <v>5428</v>
      </c>
      <c r="C96" s="46" t="s">
        <v>98</v>
      </c>
      <c r="D96" s="47">
        <v>44294.95</v>
      </c>
      <c r="E96" s="47">
        <v>44294.95</v>
      </c>
      <c r="F96" s="47">
        <v>18226.05</v>
      </c>
      <c r="G96" s="41"/>
      <c r="H96" s="47">
        <v>18226.05</v>
      </c>
    </row>
    <row r="97" spans="1:8" ht="12.75" customHeight="1" x14ac:dyDescent="0.25">
      <c r="A97" s="45" t="s">
        <v>275</v>
      </c>
      <c r="B97" s="46">
        <v>5436</v>
      </c>
      <c r="C97" s="46" t="s">
        <v>97</v>
      </c>
      <c r="D97" s="47">
        <v>125389.67</v>
      </c>
      <c r="E97" s="47">
        <v>126951.37</v>
      </c>
      <c r="F97" s="47">
        <v>1561.7</v>
      </c>
      <c r="G97" s="41"/>
      <c r="H97" s="47">
        <v>0</v>
      </c>
    </row>
    <row r="98" spans="1:8" ht="12.75" customHeight="1" x14ac:dyDescent="0.25">
      <c r="A98" s="39" t="s">
        <v>277</v>
      </c>
      <c r="B98" s="40"/>
      <c r="C98" s="40" t="s">
        <v>99</v>
      </c>
      <c r="D98" s="41">
        <v>3402830.77</v>
      </c>
      <c r="E98" s="41">
        <v>0</v>
      </c>
      <c r="F98" s="41">
        <v>40972.35</v>
      </c>
      <c r="G98" s="41"/>
      <c r="H98" s="41">
        <v>3443803.12</v>
      </c>
    </row>
    <row r="99" spans="1:8" ht="12.75" customHeight="1" x14ac:dyDescent="0.25">
      <c r="A99" s="39" t="s">
        <v>278</v>
      </c>
      <c r="B99" s="40"/>
      <c r="C99" s="40" t="s">
        <v>100</v>
      </c>
      <c r="D99" s="41">
        <v>3402830.77</v>
      </c>
      <c r="E99" s="41">
        <v>0</v>
      </c>
      <c r="F99" s="41">
        <v>40972.35</v>
      </c>
      <c r="G99" s="41"/>
      <c r="H99" s="41">
        <v>3443803.12</v>
      </c>
    </row>
    <row r="100" spans="1:8" ht="12.75" customHeight="1" x14ac:dyDescent="0.25">
      <c r="A100" s="39" t="s">
        <v>279</v>
      </c>
      <c r="B100" s="40"/>
      <c r="C100" s="40" t="s">
        <v>94</v>
      </c>
      <c r="D100" s="41">
        <v>3402830.77</v>
      </c>
      <c r="E100" s="41">
        <v>0</v>
      </c>
      <c r="F100" s="41">
        <v>40972.35</v>
      </c>
      <c r="G100" s="41"/>
      <c r="H100" s="41">
        <v>3443803.12</v>
      </c>
    </row>
    <row r="101" spans="1:8" ht="12.75" customHeight="1" x14ac:dyDescent="0.25">
      <c r="A101" s="45" t="s">
        <v>280</v>
      </c>
      <c r="B101" s="46">
        <v>3549</v>
      </c>
      <c r="C101" s="46" t="s">
        <v>101</v>
      </c>
      <c r="D101" s="47">
        <v>3402830.77</v>
      </c>
      <c r="E101" s="47">
        <v>0</v>
      </c>
      <c r="F101" s="47">
        <v>40972.35</v>
      </c>
      <c r="G101" s="41"/>
      <c r="H101" s="47">
        <v>3443803.12</v>
      </c>
    </row>
    <row r="102" spans="1:8" ht="12.75" customHeight="1" x14ac:dyDescent="0.25">
      <c r="A102" s="39" t="s">
        <v>281</v>
      </c>
      <c r="B102" s="40"/>
      <c r="C102" s="40" t="s">
        <v>102</v>
      </c>
      <c r="D102" s="41">
        <v>-1235198.76</v>
      </c>
      <c r="E102" s="41">
        <v>0</v>
      </c>
      <c r="F102" s="41">
        <v>0</v>
      </c>
      <c r="G102" s="41"/>
      <c r="H102" s="41">
        <v>-1235198.76</v>
      </c>
    </row>
    <row r="103" spans="1:8" ht="12.75" customHeight="1" x14ac:dyDescent="0.25">
      <c r="A103" s="39" t="s">
        <v>282</v>
      </c>
      <c r="B103" s="40"/>
      <c r="C103" s="40" t="s">
        <v>103</v>
      </c>
      <c r="D103" s="41">
        <v>1128000</v>
      </c>
      <c r="E103" s="41">
        <v>0</v>
      </c>
      <c r="F103" s="41">
        <v>0</v>
      </c>
      <c r="G103" s="41"/>
      <c r="H103" s="41">
        <v>1128000</v>
      </c>
    </row>
    <row r="104" spans="1:8" ht="12.75" customHeight="1" x14ac:dyDescent="0.25">
      <c r="A104" s="39" t="s">
        <v>283</v>
      </c>
      <c r="B104" s="40"/>
      <c r="C104" s="40" t="s">
        <v>104</v>
      </c>
      <c r="D104" s="41">
        <v>1128000</v>
      </c>
      <c r="E104" s="41">
        <v>0</v>
      </c>
      <c r="F104" s="41">
        <v>0</v>
      </c>
      <c r="G104" s="41"/>
      <c r="H104" s="41">
        <v>1128000</v>
      </c>
    </row>
    <row r="105" spans="1:8" ht="12.75" customHeight="1" x14ac:dyDescent="0.25">
      <c r="A105" s="45" t="s">
        <v>284</v>
      </c>
      <c r="B105" s="46">
        <v>760</v>
      </c>
      <c r="C105" s="46" t="s">
        <v>105</v>
      </c>
      <c r="D105" s="47">
        <v>1128000</v>
      </c>
      <c r="E105" s="47">
        <v>0</v>
      </c>
      <c r="F105" s="47">
        <v>0</v>
      </c>
      <c r="G105" s="41"/>
      <c r="H105" s="47">
        <v>1128000</v>
      </c>
    </row>
    <row r="106" spans="1:8" ht="12.75" customHeight="1" x14ac:dyDescent="0.25">
      <c r="A106" s="39" t="s">
        <v>285</v>
      </c>
      <c r="B106" s="40"/>
      <c r="C106" s="40" t="s">
        <v>106</v>
      </c>
      <c r="D106" s="41">
        <v>-2363198.7599999998</v>
      </c>
      <c r="E106" s="41">
        <v>0</v>
      </c>
      <c r="F106" s="41">
        <v>0</v>
      </c>
      <c r="G106" s="41"/>
      <c r="H106" s="41">
        <v>-2363198.7599999998</v>
      </c>
    </row>
    <row r="107" spans="1:8" ht="12.75" customHeight="1" x14ac:dyDescent="0.25">
      <c r="A107" s="39" t="s">
        <v>286</v>
      </c>
      <c r="B107" s="40"/>
      <c r="C107" s="40" t="s">
        <v>106</v>
      </c>
      <c r="D107" s="41">
        <v>-2363198.7599999998</v>
      </c>
      <c r="E107" s="41">
        <v>0</v>
      </c>
      <c r="F107" s="41">
        <v>0</v>
      </c>
      <c r="G107" s="41"/>
      <c r="H107" s="41">
        <v>-2363198.7599999998</v>
      </c>
    </row>
    <row r="108" spans="1:8" ht="12.75" customHeight="1" x14ac:dyDescent="0.25">
      <c r="A108" s="45" t="s">
        <v>287</v>
      </c>
      <c r="B108" s="46">
        <v>3581</v>
      </c>
      <c r="C108" s="46" t="s">
        <v>107</v>
      </c>
      <c r="D108" s="47">
        <v>-2363198.7599999998</v>
      </c>
      <c r="E108" s="47">
        <v>0</v>
      </c>
      <c r="F108" s="47">
        <v>0</v>
      </c>
      <c r="G108" s="41"/>
      <c r="H108" s="47">
        <v>-2363198.7599999998</v>
      </c>
    </row>
    <row r="109" spans="1:8" ht="12.75" customHeight="1" x14ac:dyDescent="0.25">
      <c r="A109" s="39" t="s">
        <v>288</v>
      </c>
      <c r="B109" s="40"/>
      <c r="C109" s="40" t="s">
        <v>108</v>
      </c>
      <c r="D109" s="41">
        <v>0</v>
      </c>
      <c r="E109" s="41">
        <v>186630.78</v>
      </c>
      <c r="F109" s="41">
        <v>186630.78</v>
      </c>
      <c r="G109" s="41"/>
      <c r="H109" s="41">
        <v>0</v>
      </c>
    </row>
    <row r="110" spans="1:8" ht="12.75" customHeight="1" x14ac:dyDescent="0.25">
      <c r="A110" s="39" t="s">
        <v>289</v>
      </c>
      <c r="B110" s="40"/>
      <c r="C110" s="40" t="s">
        <v>61</v>
      </c>
      <c r="D110" s="41">
        <v>0</v>
      </c>
      <c r="E110" s="41">
        <v>186630.78</v>
      </c>
      <c r="F110" s="41">
        <v>186630.78</v>
      </c>
      <c r="G110" s="41"/>
      <c r="H110" s="41">
        <v>0</v>
      </c>
    </row>
    <row r="111" spans="1:8" ht="12.75" customHeight="1" x14ac:dyDescent="0.25">
      <c r="A111" s="45" t="s">
        <v>291</v>
      </c>
      <c r="B111" s="46">
        <v>5882</v>
      </c>
      <c r="C111" s="46" t="s">
        <v>63</v>
      </c>
      <c r="D111" s="47">
        <v>0</v>
      </c>
      <c r="E111" s="47">
        <v>63929.27</v>
      </c>
      <c r="F111" s="47">
        <v>63929.27</v>
      </c>
      <c r="G111" s="41"/>
      <c r="H111" s="47">
        <v>0</v>
      </c>
    </row>
    <row r="112" spans="1:8" ht="12.75" customHeight="1" x14ac:dyDescent="0.25">
      <c r="A112" s="45" t="s">
        <v>292</v>
      </c>
      <c r="B112" s="46">
        <v>5884</v>
      </c>
      <c r="C112" s="46" t="s">
        <v>64</v>
      </c>
      <c r="D112" s="47">
        <v>0</v>
      </c>
      <c r="E112" s="47">
        <v>27125.279999999999</v>
      </c>
      <c r="F112" s="47">
        <v>27125.279999999999</v>
      </c>
      <c r="G112" s="41"/>
      <c r="H112" s="47">
        <v>0</v>
      </c>
    </row>
    <row r="113" spans="1:8" ht="12.75" customHeight="1" x14ac:dyDescent="0.25">
      <c r="A113" s="45" t="s">
        <v>290</v>
      </c>
      <c r="B113" s="46">
        <v>5887</v>
      </c>
      <c r="C113" s="46" t="s">
        <v>62</v>
      </c>
      <c r="D113" s="47">
        <v>0</v>
      </c>
      <c r="E113" s="47">
        <v>95576.23</v>
      </c>
      <c r="F113" s="47">
        <v>95576.23</v>
      </c>
      <c r="G113" s="41"/>
      <c r="H113" s="47">
        <v>0</v>
      </c>
    </row>
    <row r="114" spans="1:8" ht="12.75" customHeight="1" x14ac:dyDescent="0.25">
      <c r="A114" s="39">
        <v>3</v>
      </c>
      <c r="B114" s="40"/>
      <c r="C114" s="40" t="s">
        <v>109</v>
      </c>
      <c r="D114" s="41">
        <v>0</v>
      </c>
      <c r="E114" s="41">
        <v>65346.5</v>
      </c>
      <c r="F114" s="41">
        <v>721706.17</v>
      </c>
      <c r="G114" s="55">
        <f>F114-E114</f>
        <v>656359.67000000004</v>
      </c>
      <c r="H114" s="41">
        <v>656359.67000000004</v>
      </c>
    </row>
    <row r="115" spans="1:8" ht="12.75" customHeight="1" x14ac:dyDescent="0.25">
      <c r="A115" s="39" t="s">
        <v>293</v>
      </c>
      <c r="B115" s="40"/>
      <c r="C115" s="40" t="s">
        <v>110</v>
      </c>
      <c r="D115" s="41">
        <v>0</v>
      </c>
      <c r="E115" s="41">
        <v>65346.5</v>
      </c>
      <c r="F115" s="41">
        <v>721704.43</v>
      </c>
      <c r="G115" s="55">
        <f t="shared" ref="G115:G178" si="0">F115-E115</f>
        <v>656357.93000000005</v>
      </c>
      <c r="H115" s="41">
        <v>656357.93000000005</v>
      </c>
    </row>
    <row r="116" spans="1:8" ht="12.75" customHeight="1" x14ac:dyDescent="0.25">
      <c r="A116" s="39" t="s">
        <v>294</v>
      </c>
      <c r="B116" s="40"/>
      <c r="C116" s="40" t="s">
        <v>111</v>
      </c>
      <c r="D116" s="41">
        <v>0</v>
      </c>
      <c r="E116" s="41">
        <v>6668.42</v>
      </c>
      <c r="F116" s="41">
        <v>710717.42</v>
      </c>
      <c r="G116" s="55">
        <f t="shared" si="0"/>
        <v>704049</v>
      </c>
      <c r="H116" s="41">
        <v>704049</v>
      </c>
    </row>
    <row r="117" spans="1:8" ht="12.75" customHeight="1" x14ac:dyDescent="0.25">
      <c r="A117" s="39" t="s">
        <v>295</v>
      </c>
      <c r="B117" s="40"/>
      <c r="C117" s="40" t="s">
        <v>112</v>
      </c>
      <c r="D117" s="41">
        <v>0</v>
      </c>
      <c r="E117" s="41">
        <v>0</v>
      </c>
      <c r="F117" s="41">
        <v>651228.61</v>
      </c>
      <c r="G117" s="55">
        <f t="shared" si="0"/>
        <v>651228.61</v>
      </c>
      <c r="H117" s="41">
        <v>651228.61</v>
      </c>
    </row>
    <row r="118" spans="1:8" ht="12.75" customHeight="1" x14ac:dyDescent="0.25">
      <c r="A118" s="45" t="s">
        <v>296</v>
      </c>
      <c r="B118" s="46">
        <v>922</v>
      </c>
      <c r="C118" s="46" t="s">
        <v>113</v>
      </c>
      <c r="D118" s="47">
        <v>0</v>
      </c>
      <c r="E118" s="47">
        <v>0</v>
      </c>
      <c r="F118" s="47">
        <v>651228.61</v>
      </c>
      <c r="G118" s="55">
        <f t="shared" si="0"/>
        <v>651228.61</v>
      </c>
      <c r="H118" s="47">
        <v>651228.61</v>
      </c>
    </row>
    <row r="119" spans="1:8" ht="12.75" customHeight="1" x14ac:dyDescent="0.25">
      <c r="A119" s="39" t="s">
        <v>297</v>
      </c>
      <c r="B119" s="40"/>
      <c r="C119" s="40" t="s">
        <v>114</v>
      </c>
      <c r="D119" s="41">
        <v>0</v>
      </c>
      <c r="E119" s="41">
        <v>6668.42</v>
      </c>
      <c r="F119" s="41">
        <v>505.29</v>
      </c>
      <c r="G119" s="55">
        <f t="shared" si="0"/>
        <v>-6163.13</v>
      </c>
      <c r="H119" s="41">
        <v>-6163.13</v>
      </c>
    </row>
    <row r="120" spans="1:8" ht="12.75" customHeight="1" x14ac:dyDescent="0.25">
      <c r="A120" s="45" t="s">
        <v>298</v>
      </c>
      <c r="B120" s="46">
        <v>5363</v>
      </c>
      <c r="C120" s="46" t="s">
        <v>115</v>
      </c>
      <c r="D120" s="47">
        <v>0</v>
      </c>
      <c r="E120" s="47">
        <v>6668.42</v>
      </c>
      <c r="F120" s="47">
        <v>505.29</v>
      </c>
      <c r="G120" s="55">
        <f t="shared" si="0"/>
        <v>-6163.13</v>
      </c>
      <c r="H120" s="47">
        <v>-6163.13</v>
      </c>
    </row>
    <row r="121" spans="1:8" ht="12.75" customHeight="1" x14ac:dyDescent="0.25">
      <c r="A121" s="39" t="s">
        <v>299</v>
      </c>
      <c r="B121" s="40"/>
      <c r="C121" s="40" t="s">
        <v>116</v>
      </c>
      <c r="D121" s="41">
        <v>0</v>
      </c>
      <c r="E121" s="41">
        <v>0</v>
      </c>
      <c r="F121" s="41">
        <v>58983.519999999997</v>
      </c>
      <c r="G121" s="55">
        <f t="shared" si="0"/>
        <v>58983.519999999997</v>
      </c>
      <c r="H121" s="41">
        <v>58983.519999999997</v>
      </c>
    </row>
    <row r="122" spans="1:8" ht="12.75" customHeight="1" x14ac:dyDescent="0.25">
      <c r="A122" s="45" t="s">
        <v>300</v>
      </c>
      <c r="B122" s="46">
        <v>5495</v>
      </c>
      <c r="C122" s="46" t="s">
        <v>117</v>
      </c>
      <c r="D122" s="47">
        <v>0</v>
      </c>
      <c r="E122" s="47">
        <v>0</v>
      </c>
      <c r="F122" s="47">
        <v>58983.519999999997</v>
      </c>
      <c r="G122" s="55">
        <f t="shared" si="0"/>
        <v>58983.519999999997</v>
      </c>
      <c r="H122" s="47">
        <v>58983.519999999997</v>
      </c>
    </row>
    <row r="123" spans="1:8" ht="12.75" customHeight="1" x14ac:dyDescent="0.25">
      <c r="A123" s="39" t="s">
        <v>301</v>
      </c>
      <c r="B123" s="40"/>
      <c r="C123" s="40" t="s">
        <v>118</v>
      </c>
      <c r="D123" s="41">
        <v>0</v>
      </c>
      <c r="E123" s="41">
        <v>58678.080000000002</v>
      </c>
      <c r="F123" s="41">
        <v>10987.01</v>
      </c>
      <c r="G123" s="55">
        <f t="shared" si="0"/>
        <v>-47691.07</v>
      </c>
      <c r="H123" s="41">
        <v>-47691.07</v>
      </c>
    </row>
    <row r="124" spans="1:8" ht="12.75" customHeight="1" x14ac:dyDescent="0.25">
      <c r="A124" s="39" t="s">
        <v>302</v>
      </c>
      <c r="B124" s="40"/>
      <c r="C124" s="40" t="s">
        <v>119</v>
      </c>
      <c r="D124" s="41">
        <v>0</v>
      </c>
      <c r="E124" s="41">
        <v>58678.080000000002</v>
      </c>
      <c r="F124" s="41">
        <v>10987.01</v>
      </c>
      <c r="G124" s="55">
        <f t="shared" si="0"/>
        <v>-47691.07</v>
      </c>
      <c r="H124" s="41">
        <v>-47691.07</v>
      </c>
    </row>
    <row r="125" spans="1:8" ht="12.75" customHeight="1" x14ac:dyDescent="0.25">
      <c r="A125" s="45" t="s">
        <v>303</v>
      </c>
      <c r="B125" s="46">
        <v>981</v>
      </c>
      <c r="C125" s="46" t="s">
        <v>120</v>
      </c>
      <c r="D125" s="47">
        <v>0</v>
      </c>
      <c r="E125" s="47">
        <v>806.07</v>
      </c>
      <c r="F125" s="47">
        <v>0</v>
      </c>
      <c r="G125" s="55">
        <f t="shared" si="0"/>
        <v>-806.07</v>
      </c>
      <c r="H125" s="47">
        <v>-806.07</v>
      </c>
    </row>
    <row r="126" spans="1:8" ht="12.75" customHeight="1" x14ac:dyDescent="0.25">
      <c r="A126" s="45" t="s">
        <v>306</v>
      </c>
      <c r="B126" s="46">
        <v>4014</v>
      </c>
      <c r="C126" s="46" t="s">
        <v>123</v>
      </c>
      <c r="D126" s="47">
        <v>0</v>
      </c>
      <c r="E126" s="47">
        <v>175</v>
      </c>
      <c r="F126" s="47">
        <v>0</v>
      </c>
      <c r="G126" s="55">
        <f t="shared" si="0"/>
        <v>-175</v>
      </c>
      <c r="H126" s="47">
        <v>-175</v>
      </c>
    </row>
    <row r="127" spans="1:8" ht="12.75" customHeight="1" x14ac:dyDescent="0.25">
      <c r="A127" s="45" t="s">
        <v>305</v>
      </c>
      <c r="B127" s="46">
        <v>1007</v>
      </c>
      <c r="C127" s="46" t="s">
        <v>122</v>
      </c>
      <c r="D127" s="47">
        <v>0</v>
      </c>
      <c r="E127" s="47">
        <v>57697.01</v>
      </c>
      <c r="F127" s="47">
        <v>0</v>
      </c>
      <c r="G127" s="55">
        <f t="shared" si="0"/>
        <v>-57697.01</v>
      </c>
      <c r="H127" s="47">
        <v>-57697.01</v>
      </c>
    </row>
    <row r="128" spans="1:8" ht="12.75" customHeight="1" x14ac:dyDescent="0.25">
      <c r="A128" s="45" t="s">
        <v>304</v>
      </c>
      <c r="B128" s="46">
        <v>5410</v>
      </c>
      <c r="C128" s="46" t="s">
        <v>121</v>
      </c>
      <c r="D128" s="47">
        <v>0</v>
      </c>
      <c r="E128" s="47">
        <v>0</v>
      </c>
      <c r="F128" s="47">
        <v>10987.01</v>
      </c>
      <c r="G128" s="55">
        <f t="shared" si="0"/>
        <v>10987.01</v>
      </c>
      <c r="H128" s="47">
        <v>10987.01</v>
      </c>
    </row>
    <row r="129" spans="1:8" ht="12.75" customHeight="1" x14ac:dyDescent="0.25">
      <c r="A129" s="39" t="s">
        <v>307</v>
      </c>
      <c r="B129" s="40"/>
      <c r="C129" s="40" t="s">
        <v>124</v>
      </c>
      <c r="D129" s="41">
        <v>0</v>
      </c>
      <c r="E129" s="41">
        <v>0</v>
      </c>
      <c r="F129" s="41">
        <v>1.74</v>
      </c>
      <c r="G129" s="55">
        <f t="shared" si="0"/>
        <v>1.74</v>
      </c>
      <c r="H129" s="41">
        <v>1.74</v>
      </c>
    </row>
    <row r="130" spans="1:8" ht="12.75" customHeight="1" x14ac:dyDescent="0.25">
      <c r="A130" s="39" t="s">
        <v>308</v>
      </c>
      <c r="B130" s="40"/>
      <c r="C130" s="40" t="s">
        <v>125</v>
      </c>
      <c r="D130" s="41">
        <v>0</v>
      </c>
      <c r="E130" s="41">
        <v>0</v>
      </c>
      <c r="F130" s="41">
        <v>1.74</v>
      </c>
      <c r="G130" s="55">
        <f t="shared" si="0"/>
        <v>1.74</v>
      </c>
      <c r="H130" s="41">
        <v>1.74</v>
      </c>
    </row>
    <row r="131" spans="1:8" ht="12.75" customHeight="1" x14ac:dyDescent="0.25">
      <c r="A131" s="39" t="s">
        <v>309</v>
      </c>
      <c r="B131" s="40"/>
      <c r="C131" s="40" t="s">
        <v>126</v>
      </c>
      <c r="D131" s="41">
        <v>0</v>
      </c>
      <c r="E131" s="41">
        <v>0</v>
      </c>
      <c r="F131" s="41">
        <v>1.74</v>
      </c>
      <c r="G131" s="55">
        <f t="shared" si="0"/>
        <v>1.74</v>
      </c>
      <c r="H131" s="41">
        <v>1.74</v>
      </c>
    </row>
    <row r="132" spans="1:8" ht="12.75" customHeight="1" x14ac:dyDescent="0.25">
      <c r="A132" s="45" t="s">
        <v>310</v>
      </c>
      <c r="B132" s="46">
        <v>3603</v>
      </c>
      <c r="C132" s="46" t="s">
        <v>127</v>
      </c>
      <c r="D132" s="47">
        <v>0</v>
      </c>
      <c r="E132" s="47">
        <v>0</v>
      </c>
      <c r="F132" s="47">
        <v>1.74</v>
      </c>
      <c r="G132" s="55">
        <f t="shared" si="0"/>
        <v>1.74</v>
      </c>
      <c r="H132" s="47">
        <v>1.74</v>
      </c>
    </row>
    <row r="133" spans="1:8" ht="12.75" customHeight="1" x14ac:dyDescent="0.25">
      <c r="A133" s="39">
        <v>4</v>
      </c>
      <c r="B133" s="40"/>
      <c r="C133" s="40" t="s">
        <v>128</v>
      </c>
      <c r="D133" s="41">
        <v>0</v>
      </c>
      <c r="E133" s="41">
        <v>3524280.56</v>
      </c>
      <c r="F133" s="41">
        <v>2515277.88</v>
      </c>
      <c r="G133" s="55">
        <f t="shared" si="0"/>
        <v>-1009002.6800000002</v>
      </c>
      <c r="H133" s="41">
        <v>1009002.68</v>
      </c>
    </row>
    <row r="134" spans="1:8" ht="12.75" customHeight="1" x14ac:dyDescent="0.25">
      <c r="A134" s="39" t="s">
        <v>311</v>
      </c>
      <c r="B134" s="40"/>
      <c r="C134" s="40" t="s">
        <v>129</v>
      </c>
      <c r="D134" s="41">
        <v>0</v>
      </c>
      <c r="E134" s="41">
        <v>2174441.7999999998</v>
      </c>
      <c r="F134" s="41">
        <v>2042062.89</v>
      </c>
      <c r="G134" s="55">
        <f t="shared" si="0"/>
        <v>-132378.90999999992</v>
      </c>
      <c r="H134" s="41">
        <v>132378.91</v>
      </c>
    </row>
    <row r="135" spans="1:8" ht="12.75" customHeight="1" x14ac:dyDescent="0.25">
      <c r="A135" s="39" t="s">
        <v>312</v>
      </c>
      <c r="B135" s="40"/>
      <c r="C135" s="40" t="s">
        <v>129</v>
      </c>
      <c r="D135" s="41">
        <v>0</v>
      </c>
      <c r="E135" s="41">
        <v>2174441.7999999998</v>
      </c>
      <c r="F135" s="41">
        <v>2042062.89</v>
      </c>
      <c r="G135" s="55">
        <f t="shared" si="0"/>
        <v>-132378.90999999992</v>
      </c>
      <c r="H135" s="41">
        <v>132378.91</v>
      </c>
    </row>
    <row r="136" spans="1:8" ht="12.75" customHeight="1" x14ac:dyDescent="0.25">
      <c r="A136" s="39" t="s">
        <v>313</v>
      </c>
      <c r="B136" s="40"/>
      <c r="C136" s="40" t="s">
        <v>130</v>
      </c>
      <c r="D136" s="41">
        <v>0</v>
      </c>
      <c r="E136" s="41">
        <v>2159563.44</v>
      </c>
      <c r="F136" s="41">
        <v>2042062.89</v>
      </c>
      <c r="G136" s="55">
        <f t="shared" si="0"/>
        <v>-117500.55000000005</v>
      </c>
      <c r="H136" s="41">
        <v>117500.55</v>
      </c>
    </row>
    <row r="137" spans="1:8" ht="12.75" customHeight="1" x14ac:dyDescent="0.25">
      <c r="A137" s="45" t="s">
        <v>315</v>
      </c>
      <c r="B137" s="46">
        <v>1120</v>
      </c>
      <c r="C137" s="46" t="s">
        <v>132</v>
      </c>
      <c r="D137" s="47">
        <v>0</v>
      </c>
      <c r="E137" s="47">
        <v>0</v>
      </c>
      <c r="F137" s="47">
        <v>953107.73</v>
      </c>
      <c r="G137" s="55">
        <f t="shared" si="0"/>
        <v>953107.73</v>
      </c>
      <c r="H137" s="47">
        <v>-953107.73</v>
      </c>
    </row>
    <row r="138" spans="1:8" ht="12.75" customHeight="1" x14ac:dyDescent="0.25">
      <c r="A138" s="45" t="s">
        <v>314</v>
      </c>
      <c r="B138" s="46">
        <v>1066</v>
      </c>
      <c r="C138" s="46" t="s">
        <v>131</v>
      </c>
      <c r="D138" s="47">
        <v>0</v>
      </c>
      <c r="E138" s="47">
        <v>1081516.48</v>
      </c>
      <c r="F138" s="47">
        <v>0</v>
      </c>
      <c r="G138" s="55">
        <f t="shared" si="0"/>
        <v>-1081516.48</v>
      </c>
      <c r="H138" s="47">
        <v>1081516.48</v>
      </c>
    </row>
    <row r="139" spans="1:8" ht="12.75" customHeight="1" x14ac:dyDescent="0.25">
      <c r="A139" s="45" t="s">
        <v>316</v>
      </c>
      <c r="B139" s="46">
        <v>4847</v>
      </c>
      <c r="C139" s="46" t="s">
        <v>133</v>
      </c>
      <c r="D139" s="47">
        <v>0</v>
      </c>
      <c r="E139" s="47">
        <v>1078046.96</v>
      </c>
      <c r="F139" s="47">
        <v>1088955.1599999999</v>
      </c>
      <c r="G139" s="55">
        <f t="shared" si="0"/>
        <v>10908.199999999953</v>
      </c>
      <c r="H139" s="47">
        <v>-10908.2</v>
      </c>
    </row>
    <row r="140" spans="1:8" ht="12.75" customHeight="1" x14ac:dyDescent="0.25">
      <c r="A140" s="39" t="s">
        <v>317</v>
      </c>
      <c r="B140" s="40"/>
      <c r="C140" s="40" t="s">
        <v>134</v>
      </c>
      <c r="D140" s="41">
        <v>0</v>
      </c>
      <c r="E140" s="41">
        <v>14878.36</v>
      </c>
      <c r="F140" s="41">
        <v>0</v>
      </c>
      <c r="G140" s="55">
        <f t="shared" si="0"/>
        <v>-14878.36</v>
      </c>
      <c r="H140" s="41">
        <v>14878.36</v>
      </c>
    </row>
    <row r="141" spans="1:8" ht="12.75" customHeight="1" x14ac:dyDescent="0.25">
      <c r="A141" s="45" t="s">
        <v>318</v>
      </c>
      <c r="B141" s="46">
        <v>5738</v>
      </c>
      <c r="C141" s="46" t="s">
        <v>135</v>
      </c>
      <c r="D141" s="47">
        <v>0</v>
      </c>
      <c r="E141" s="47">
        <v>14878.36</v>
      </c>
      <c r="F141" s="47">
        <v>0</v>
      </c>
      <c r="G141" s="55">
        <f t="shared" si="0"/>
        <v>-14878.36</v>
      </c>
      <c r="H141" s="47">
        <v>14878.36</v>
      </c>
    </row>
    <row r="142" spans="1:8" ht="12.75" customHeight="1" x14ac:dyDescent="0.25">
      <c r="A142" s="39" t="s">
        <v>319</v>
      </c>
      <c r="B142" s="40"/>
      <c r="C142" s="40" t="s">
        <v>136</v>
      </c>
      <c r="D142" s="41">
        <v>0</v>
      </c>
      <c r="E142" s="41">
        <v>1349838.76</v>
      </c>
      <c r="F142" s="41">
        <v>473214.99</v>
      </c>
      <c r="G142" s="55">
        <f t="shared" si="0"/>
        <v>-876623.77</v>
      </c>
      <c r="H142" s="41">
        <v>876623.77</v>
      </c>
    </row>
    <row r="143" spans="1:8" ht="12.75" customHeight="1" x14ac:dyDescent="0.25">
      <c r="A143" s="39" t="s">
        <v>320</v>
      </c>
      <c r="B143" s="40"/>
      <c r="C143" s="40" t="s">
        <v>137</v>
      </c>
      <c r="D143" s="41">
        <v>0</v>
      </c>
      <c r="E143" s="41">
        <v>795225.15</v>
      </c>
      <c r="F143" s="41">
        <v>361388.39</v>
      </c>
      <c r="G143" s="55">
        <f t="shared" si="0"/>
        <v>-433836.76</v>
      </c>
      <c r="H143" s="41">
        <v>433836.76</v>
      </c>
    </row>
    <row r="144" spans="1:8" ht="12.75" customHeight="1" x14ac:dyDescent="0.25">
      <c r="A144" s="39" t="s">
        <v>321</v>
      </c>
      <c r="B144" s="40"/>
      <c r="C144" s="40" t="s">
        <v>138</v>
      </c>
      <c r="D144" s="41">
        <v>0</v>
      </c>
      <c r="E144" s="41">
        <v>353497.22</v>
      </c>
      <c r="F144" s="41">
        <v>77890.77</v>
      </c>
      <c r="G144" s="55">
        <f t="shared" si="0"/>
        <v>-275606.44999999995</v>
      </c>
      <c r="H144" s="41">
        <v>275606.45</v>
      </c>
    </row>
    <row r="145" spans="1:8" ht="12.75" customHeight="1" x14ac:dyDescent="0.25">
      <c r="A145" s="45" t="s">
        <v>322</v>
      </c>
      <c r="B145" s="46">
        <v>4057</v>
      </c>
      <c r="C145" s="46" t="s">
        <v>139</v>
      </c>
      <c r="D145" s="47">
        <v>0</v>
      </c>
      <c r="E145" s="47">
        <v>353497.22</v>
      </c>
      <c r="F145" s="47">
        <v>77890.77</v>
      </c>
      <c r="G145" s="55">
        <f t="shared" si="0"/>
        <v>-275606.44999999995</v>
      </c>
      <c r="H145" s="47">
        <v>275606.45</v>
      </c>
    </row>
    <row r="146" spans="1:8" ht="12.75" customHeight="1" x14ac:dyDescent="0.25">
      <c r="A146" s="39" t="s">
        <v>323</v>
      </c>
      <c r="B146" s="40"/>
      <c r="C146" s="40" t="s">
        <v>140</v>
      </c>
      <c r="D146" s="41">
        <v>0</v>
      </c>
      <c r="E146" s="41">
        <v>441727.93</v>
      </c>
      <c r="F146" s="41">
        <v>283497.62</v>
      </c>
      <c r="G146" s="55">
        <f t="shared" si="0"/>
        <v>-158230.31</v>
      </c>
      <c r="H146" s="41">
        <v>158230.31</v>
      </c>
    </row>
    <row r="147" spans="1:8" ht="12.75" customHeight="1" x14ac:dyDescent="0.25">
      <c r="A147" s="45" t="s">
        <v>326</v>
      </c>
      <c r="B147" s="46">
        <v>1090</v>
      </c>
      <c r="C147" s="46" t="s">
        <v>143</v>
      </c>
      <c r="D147" s="47">
        <v>0</v>
      </c>
      <c r="E147" s="47">
        <v>53729.39</v>
      </c>
      <c r="F147" s="47">
        <v>2070.5500000000002</v>
      </c>
      <c r="G147" s="55">
        <f t="shared" si="0"/>
        <v>-51658.84</v>
      </c>
      <c r="H147" s="47">
        <v>51658.84</v>
      </c>
    </row>
    <row r="148" spans="1:8" ht="12.75" customHeight="1" x14ac:dyDescent="0.25">
      <c r="A148" s="45" t="s">
        <v>325</v>
      </c>
      <c r="B148" s="46">
        <v>4049</v>
      </c>
      <c r="C148" s="46" t="s">
        <v>142</v>
      </c>
      <c r="D148" s="47">
        <v>0</v>
      </c>
      <c r="E148" s="47">
        <v>219948.87</v>
      </c>
      <c r="F148" s="47">
        <v>154458.49</v>
      </c>
      <c r="G148" s="55">
        <f t="shared" si="0"/>
        <v>-65490.380000000005</v>
      </c>
      <c r="H148" s="47">
        <v>65490.38</v>
      </c>
    </row>
    <row r="149" spans="1:8" ht="12.75" customHeight="1" x14ac:dyDescent="0.25">
      <c r="A149" s="45" t="s">
        <v>324</v>
      </c>
      <c r="B149" s="46">
        <v>4855</v>
      </c>
      <c r="C149" s="46" t="s">
        <v>141</v>
      </c>
      <c r="D149" s="47">
        <v>0</v>
      </c>
      <c r="E149" s="47">
        <v>168049.67</v>
      </c>
      <c r="F149" s="47">
        <v>126968.58</v>
      </c>
      <c r="G149" s="55">
        <f t="shared" si="0"/>
        <v>-41081.090000000011</v>
      </c>
      <c r="H149" s="47">
        <v>41081.089999999997</v>
      </c>
    </row>
    <row r="150" spans="1:8" ht="12.75" customHeight="1" x14ac:dyDescent="0.25">
      <c r="A150" s="39" t="s">
        <v>327</v>
      </c>
      <c r="B150" s="40"/>
      <c r="C150" s="40" t="s">
        <v>144</v>
      </c>
      <c r="D150" s="41">
        <v>0</v>
      </c>
      <c r="E150" s="41">
        <v>146061.26999999999</v>
      </c>
      <c r="F150" s="41">
        <v>16312.32</v>
      </c>
      <c r="G150" s="55">
        <f t="shared" si="0"/>
        <v>-129748.94999999998</v>
      </c>
      <c r="H150" s="41">
        <v>129748.95</v>
      </c>
    </row>
    <row r="151" spans="1:8" ht="12.75" customHeight="1" x14ac:dyDescent="0.25">
      <c r="A151" s="39" t="s">
        <v>328</v>
      </c>
      <c r="B151" s="40"/>
      <c r="C151" s="40" t="s">
        <v>144</v>
      </c>
      <c r="D151" s="41">
        <v>0</v>
      </c>
      <c r="E151" s="41">
        <v>146061.26999999999</v>
      </c>
      <c r="F151" s="41">
        <v>16312.32</v>
      </c>
      <c r="G151" s="55">
        <f t="shared" si="0"/>
        <v>-129748.94999999998</v>
      </c>
      <c r="H151" s="41">
        <v>129748.95</v>
      </c>
    </row>
    <row r="152" spans="1:8" ht="12.75" customHeight="1" x14ac:dyDescent="0.25">
      <c r="A152" s="45" t="s">
        <v>330</v>
      </c>
      <c r="B152" s="46">
        <v>1473</v>
      </c>
      <c r="C152" s="46" t="s">
        <v>146</v>
      </c>
      <c r="D152" s="47">
        <v>0</v>
      </c>
      <c r="E152" s="47">
        <v>4406.88</v>
      </c>
      <c r="F152" s="47">
        <v>0</v>
      </c>
      <c r="G152" s="55">
        <f t="shared" si="0"/>
        <v>-4406.88</v>
      </c>
      <c r="H152" s="47">
        <v>4406.88</v>
      </c>
    </row>
    <row r="153" spans="1:8" ht="12.75" customHeight="1" x14ac:dyDescent="0.25">
      <c r="A153" s="45" t="s">
        <v>331</v>
      </c>
      <c r="B153" s="46">
        <v>1481</v>
      </c>
      <c r="C153" s="46" t="s">
        <v>147</v>
      </c>
      <c r="D153" s="47">
        <v>0</v>
      </c>
      <c r="E153" s="47">
        <v>6982.89</v>
      </c>
      <c r="F153" s="47">
        <v>0</v>
      </c>
      <c r="G153" s="55">
        <f t="shared" si="0"/>
        <v>-6982.89</v>
      </c>
      <c r="H153" s="47">
        <v>6982.89</v>
      </c>
    </row>
    <row r="154" spans="1:8" ht="12.75" customHeight="1" x14ac:dyDescent="0.25">
      <c r="A154" s="45" t="s">
        <v>332</v>
      </c>
      <c r="B154" s="46">
        <v>1490</v>
      </c>
      <c r="C154" s="46" t="s">
        <v>148</v>
      </c>
      <c r="D154" s="47">
        <v>0</v>
      </c>
      <c r="E154" s="47">
        <v>23392.71</v>
      </c>
      <c r="F154" s="47">
        <v>0</v>
      </c>
      <c r="G154" s="55">
        <f t="shared" si="0"/>
        <v>-23392.71</v>
      </c>
      <c r="H154" s="47">
        <v>23392.71</v>
      </c>
    </row>
    <row r="155" spans="1:8" ht="12.75" customHeight="1" x14ac:dyDescent="0.25">
      <c r="A155" s="45" t="s">
        <v>336</v>
      </c>
      <c r="B155" s="46">
        <v>1503</v>
      </c>
      <c r="C155" s="46" t="s">
        <v>150</v>
      </c>
      <c r="D155" s="47">
        <v>0</v>
      </c>
      <c r="E155" s="47">
        <v>56853.85</v>
      </c>
      <c r="F155" s="47">
        <v>16312.32</v>
      </c>
      <c r="G155" s="55">
        <f t="shared" si="0"/>
        <v>-40541.53</v>
      </c>
      <c r="H155" s="47">
        <v>40541.53</v>
      </c>
    </row>
    <row r="156" spans="1:8" ht="12.75" customHeight="1" x14ac:dyDescent="0.25">
      <c r="A156" s="45" t="s">
        <v>334</v>
      </c>
      <c r="B156" s="46">
        <v>1546</v>
      </c>
      <c r="C156" s="46" t="s">
        <v>86</v>
      </c>
      <c r="D156" s="47">
        <v>0</v>
      </c>
      <c r="E156" s="47">
        <v>39976.480000000003</v>
      </c>
      <c r="F156" s="47">
        <v>0</v>
      </c>
      <c r="G156" s="55">
        <f t="shared" si="0"/>
        <v>-39976.480000000003</v>
      </c>
      <c r="H156" s="47">
        <v>39976.480000000003</v>
      </c>
    </row>
    <row r="157" spans="1:8" ht="12.75" customHeight="1" x14ac:dyDescent="0.25">
      <c r="A157" s="45" t="s">
        <v>333</v>
      </c>
      <c r="B157" s="46">
        <v>1554</v>
      </c>
      <c r="C157" s="46" t="s">
        <v>82</v>
      </c>
      <c r="D157" s="47">
        <v>0</v>
      </c>
      <c r="E157" s="47">
        <v>3855.89</v>
      </c>
      <c r="F157" s="47">
        <v>0</v>
      </c>
      <c r="G157" s="55">
        <f t="shared" si="0"/>
        <v>-3855.89</v>
      </c>
      <c r="H157" s="47">
        <v>3855.89</v>
      </c>
    </row>
    <row r="158" spans="1:8" ht="12.75" customHeight="1" x14ac:dyDescent="0.25">
      <c r="A158" s="45" t="s">
        <v>335</v>
      </c>
      <c r="B158" s="46">
        <v>1570</v>
      </c>
      <c r="C158" s="46" t="s">
        <v>149</v>
      </c>
      <c r="D158" s="47">
        <v>0</v>
      </c>
      <c r="E158" s="47">
        <v>1339.15</v>
      </c>
      <c r="F158" s="47">
        <v>0</v>
      </c>
      <c r="G158" s="55">
        <f t="shared" si="0"/>
        <v>-1339.15</v>
      </c>
      <c r="H158" s="47">
        <v>1339.15</v>
      </c>
    </row>
    <row r="159" spans="1:8" ht="12.75" customHeight="1" x14ac:dyDescent="0.25">
      <c r="A159" s="45" t="s">
        <v>337</v>
      </c>
      <c r="B159" s="46">
        <v>1597</v>
      </c>
      <c r="C159" s="46" t="s">
        <v>151</v>
      </c>
      <c r="D159" s="47">
        <v>0</v>
      </c>
      <c r="E159" s="47">
        <v>1575</v>
      </c>
      <c r="F159" s="47">
        <v>0</v>
      </c>
      <c r="G159" s="55">
        <f t="shared" si="0"/>
        <v>-1575</v>
      </c>
      <c r="H159" s="47">
        <v>1575</v>
      </c>
    </row>
    <row r="160" spans="1:8" ht="12.75" customHeight="1" x14ac:dyDescent="0.25">
      <c r="A160" s="45" t="s">
        <v>329</v>
      </c>
      <c r="B160" s="46">
        <v>1619</v>
      </c>
      <c r="C160" s="46" t="s">
        <v>145</v>
      </c>
      <c r="D160" s="47">
        <v>0</v>
      </c>
      <c r="E160" s="47">
        <v>7678.42</v>
      </c>
      <c r="F160" s="47">
        <v>0</v>
      </c>
      <c r="G160" s="55">
        <f t="shared" si="0"/>
        <v>-7678.42</v>
      </c>
      <c r="H160" s="47">
        <v>7678.42</v>
      </c>
    </row>
    <row r="161" spans="1:8" ht="12.75" customHeight="1" x14ac:dyDescent="0.25">
      <c r="A161" s="39" t="s">
        <v>338</v>
      </c>
      <c r="B161" s="40"/>
      <c r="C161" s="40" t="s">
        <v>152</v>
      </c>
      <c r="D161" s="41">
        <v>0</v>
      </c>
      <c r="E161" s="41">
        <v>150472.09</v>
      </c>
      <c r="F161" s="41">
        <v>2801.32</v>
      </c>
      <c r="G161" s="55">
        <f t="shared" si="0"/>
        <v>-147670.76999999999</v>
      </c>
      <c r="H161" s="41">
        <v>147670.76999999999</v>
      </c>
    </row>
    <row r="162" spans="1:8" ht="12.75" customHeight="1" x14ac:dyDescent="0.25">
      <c r="A162" s="39" t="s">
        <v>339</v>
      </c>
      <c r="B162" s="40"/>
      <c r="C162" s="40" t="s">
        <v>153</v>
      </c>
      <c r="D162" s="41">
        <v>0</v>
      </c>
      <c r="E162" s="41">
        <v>1844.61</v>
      </c>
      <c r="F162" s="41">
        <v>0</v>
      </c>
      <c r="G162" s="55">
        <f t="shared" si="0"/>
        <v>-1844.61</v>
      </c>
      <c r="H162" s="41">
        <v>1844.61</v>
      </c>
    </row>
    <row r="163" spans="1:8" ht="12.75" customHeight="1" x14ac:dyDescent="0.25">
      <c r="A163" s="45" t="s">
        <v>340</v>
      </c>
      <c r="B163" s="46">
        <v>1864</v>
      </c>
      <c r="C163" s="46" t="s">
        <v>154</v>
      </c>
      <c r="D163" s="47">
        <v>0</v>
      </c>
      <c r="E163" s="47">
        <v>1700</v>
      </c>
      <c r="F163" s="47">
        <v>0</v>
      </c>
      <c r="G163" s="55">
        <f t="shared" si="0"/>
        <v>-1700</v>
      </c>
      <c r="H163" s="47">
        <v>1700</v>
      </c>
    </row>
    <row r="164" spans="1:8" ht="12.75" customHeight="1" x14ac:dyDescent="0.25">
      <c r="A164" s="45" t="s">
        <v>341</v>
      </c>
      <c r="B164" s="46">
        <v>1872</v>
      </c>
      <c r="C164" s="46" t="s">
        <v>155</v>
      </c>
      <c r="D164" s="47">
        <v>0</v>
      </c>
      <c r="E164" s="47">
        <v>144.61000000000001</v>
      </c>
      <c r="F164" s="47">
        <v>0</v>
      </c>
      <c r="G164" s="55">
        <f t="shared" si="0"/>
        <v>-144.61000000000001</v>
      </c>
      <c r="H164" s="47">
        <v>144.61000000000001</v>
      </c>
    </row>
    <row r="165" spans="1:8" ht="12.75" customHeight="1" x14ac:dyDescent="0.25">
      <c r="A165" s="39" t="s">
        <v>342</v>
      </c>
      <c r="B165" s="40"/>
      <c r="C165" s="40" t="s">
        <v>156</v>
      </c>
      <c r="D165" s="41">
        <v>0</v>
      </c>
      <c r="E165" s="41">
        <v>498.22</v>
      </c>
      <c r="F165" s="41">
        <v>0</v>
      </c>
      <c r="G165" s="55">
        <f t="shared" si="0"/>
        <v>-498.22</v>
      </c>
      <c r="H165" s="41">
        <v>498.22</v>
      </c>
    </row>
    <row r="166" spans="1:8" ht="12.75" customHeight="1" x14ac:dyDescent="0.25">
      <c r="A166" s="45" t="s">
        <v>396</v>
      </c>
      <c r="B166" s="46">
        <v>4200</v>
      </c>
      <c r="C166" s="46" t="s">
        <v>395</v>
      </c>
      <c r="D166" s="47">
        <v>0</v>
      </c>
      <c r="E166" s="47">
        <v>376</v>
      </c>
      <c r="F166" s="47">
        <v>0</v>
      </c>
      <c r="G166" s="55">
        <f t="shared" si="0"/>
        <v>-376</v>
      </c>
      <c r="H166" s="47">
        <v>376</v>
      </c>
    </row>
    <row r="167" spans="1:8" ht="12.75" customHeight="1" x14ac:dyDescent="0.25">
      <c r="A167" s="45" t="s">
        <v>343</v>
      </c>
      <c r="B167" s="46">
        <v>4235</v>
      </c>
      <c r="C167" s="46" t="s">
        <v>157</v>
      </c>
      <c r="D167" s="47">
        <v>0</v>
      </c>
      <c r="E167" s="47">
        <v>122.22</v>
      </c>
      <c r="F167" s="47">
        <v>0</v>
      </c>
      <c r="G167" s="55">
        <f t="shared" si="0"/>
        <v>-122.22</v>
      </c>
      <c r="H167" s="47">
        <v>122.22</v>
      </c>
    </row>
    <row r="168" spans="1:8" ht="12.75" customHeight="1" x14ac:dyDescent="0.25">
      <c r="A168" s="39" t="s">
        <v>344</v>
      </c>
      <c r="B168" s="40"/>
      <c r="C168" s="40" t="s">
        <v>158</v>
      </c>
      <c r="D168" s="41">
        <v>0</v>
      </c>
      <c r="E168" s="41">
        <v>120147.16</v>
      </c>
      <c r="F168" s="41">
        <v>0</v>
      </c>
      <c r="G168" s="55">
        <f t="shared" si="0"/>
        <v>-120147.16</v>
      </c>
      <c r="H168" s="41">
        <v>120147.16</v>
      </c>
    </row>
    <row r="169" spans="1:8" ht="12.75" customHeight="1" x14ac:dyDescent="0.25">
      <c r="A169" s="45" t="s">
        <v>347</v>
      </c>
      <c r="B169" s="46">
        <v>4316</v>
      </c>
      <c r="C169" s="46" t="s">
        <v>161</v>
      </c>
      <c r="D169" s="47">
        <v>0</v>
      </c>
      <c r="E169" s="47">
        <v>2000</v>
      </c>
      <c r="F169" s="47">
        <v>0</v>
      </c>
      <c r="G169" s="55">
        <f t="shared" si="0"/>
        <v>-2000</v>
      </c>
      <c r="H169" s="47">
        <v>2000</v>
      </c>
    </row>
    <row r="170" spans="1:8" ht="12.75" customHeight="1" x14ac:dyDescent="0.25">
      <c r="A170" s="45" t="s">
        <v>345</v>
      </c>
      <c r="B170" s="46">
        <v>4324</v>
      </c>
      <c r="C170" s="46" t="s">
        <v>159</v>
      </c>
      <c r="D170" s="47">
        <v>0</v>
      </c>
      <c r="E170" s="47">
        <v>40280</v>
      </c>
      <c r="F170" s="47">
        <v>0</v>
      </c>
      <c r="G170" s="55">
        <f t="shared" si="0"/>
        <v>-40280</v>
      </c>
      <c r="H170" s="47">
        <v>40280</v>
      </c>
    </row>
    <row r="171" spans="1:8" ht="12.75" customHeight="1" x14ac:dyDescent="0.25">
      <c r="A171" s="45" t="s">
        <v>346</v>
      </c>
      <c r="B171" s="46">
        <v>4332</v>
      </c>
      <c r="C171" s="46" t="s">
        <v>160</v>
      </c>
      <c r="D171" s="47">
        <v>0</v>
      </c>
      <c r="E171" s="47">
        <v>69258.36</v>
      </c>
      <c r="F171" s="47">
        <v>0</v>
      </c>
      <c r="G171" s="55">
        <f t="shared" si="0"/>
        <v>-69258.36</v>
      </c>
      <c r="H171" s="47">
        <v>69258.36</v>
      </c>
    </row>
    <row r="172" spans="1:8" ht="12.75" customHeight="1" x14ac:dyDescent="0.25">
      <c r="A172" s="45" t="s">
        <v>348</v>
      </c>
      <c r="B172" s="46">
        <v>4340</v>
      </c>
      <c r="C172" s="46" t="s">
        <v>162</v>
      </c>
      <c r="D172" s="47">
        <v>0</v>
      </c>
      <c r="E172" s="47">
        <v>8608.7999999999993</v>
      </c>
      <c r="F172" s="47">
        <v>0</v>
      </c>
      <c r="G172" s="55">
        <f t="shared" si="0"/>
        <v>-8608.7999999999993</v>
      </c>
      <c r="H172" s="47">
        <v>8608.7999999999993</v>
      </c>
    </row>
    <row r="173" spans="1:8" ht="12.75" customHeight="1" x14ac:dyDescent="0.25">
      <c r="A173" s="39" t="s">
        <v>349</v>
      </c>
      <c r="B173" s="40"/>
      <c r="C173" s="40" t="s">
        <v>163</v>
      </c>
      <c r="D173" s="41">
        <v>0</v>
      </c>
      <c r="E173" s="41">
        <v>27982.1</v>
      </c>
      <c r="F173" s="41">
        <v>2801.32</v>
      </c>
      <c r="G173" s="55">
        <f t="shared" si="0"/>
        <v>-25180.78</v>
      </c>
      <c r="H173" s="41">
        <v>25180.78</v>
      </c>
    </row>
    <row r="174" spans="1:8" ht="12.75" customHeight="1" x14ac:dyDescent="0.25">
      <c r="A174" s="45" t="s">
        <v>350</v>
      </c>
      <c r="B174" s="46">
        <v>4251</v>
      </c>
      <c r="C174" s="46" t="s">
        <v>164</v>
      </c>
      <c r="D174" s="47">
        <v>0</v>
      </c>
      <c r="E174" s="47">
        <v>27982.1</v>
      </c>
      <c r="F174" s="47">
        <v>2801.32</v>
      </c>
      <c r="G174" s="55">
        <f t="shared" si="0"/>
        <v>-25180.78</v>
      </c>
      <c r="H174" s="47">
        <v>25180.78</v>
      </c>
    </row>
    <row r="175" spans="1:8" ht="12.75" customHeight="1" x14ac:dyDescent="0.25">
      <c r="A175" s="39" t="s">
        <v>351</v>
      </c>
      <c r="B175" s="40"/>
      <c r="C175" s="40" t="s">
        <v>165</v>
      </c>
      <c r="D175" s="41">
        <v>0</v>
      </c>
      <c r="E175" s="41">
        <v>6083.86</v>
      </c>
      <c r="F175" s="41">
        <v>0</v>
      </c>
      <c r="G175" s="55">
        <f t="shared" si="0"/>
        <v>-6083.86</v>
      </c>
      <c r="H175" s="41">
        <v>6083.86</v>
      </c>
    </row>
    <row r="176" spans="1:8" ht="12.75" customHeight="1" x14ac:dyDescent="0.25">
      <c r="A176" s="39" t="s">
        <v>352</v>
      </c>
      <c r="B176" s="40"/>
      <c r="C176" s="40" t="s">
        <v>166</v>
      </c>
      <c r="D176" s="41">
        <v>0</v>
      </c>
      <c r="E176" s="41">
        <v>6083.86</v>
      </c>
      <c r="F176" s="41">
        <v>0</v>
      </c>
      <c r="G176" s="55">
        <f t="shared" si="0"/>
        <v>-6083.86</v>
      </c>
      <c r="H176" s="41">
        <v>6083.86</v>
      </c>
    </row>
    <row r="177" spans="1:8" ht="12.75" customHeight="1" x14ac:dyDescent="0.25">
      <c r="A177" s="45" t="s">
        <v>354</v>
      </c>
      <c r="B177" s="46">
        <v>1996</v>
      </c>
      <c r="C177" s="46" t="s">
        <v>168</v>
      </c>
      <c r="D177" s="47">
        <v>0</v>
      </c>
      <c r="E177" s="47">
        <v>1666.29</v>
      </c>
      <c r="F177" s="47">
        <v>0</v>
      </c>
      <c r="G177" s="55">
        <f t="shared" si="0"/>
        <v>-1666.29</v>
      </c>
      <c r="H177" s="47">
        <v>1666.29</v>
      </c>
    </row>
    <row r="178" spans="1:8" ht="12.75" customHeight="1" x14ac:dyDescent="0.25">
      <c r="A178" s="45" t="s">
        <v>355</v>
      </c>
      <c r="B178" s="46">
        <v>2003</v>
      </c>
      <c r="C178" s="46" t="s">
        <v>169</v>
      </c>
      <c r="D178" s="47">
        <v>0</v>
      </c>
      <c r="E178" s="47">
        <v>84.66</v>
      </c>
      <c r="F178" s="47">
        <v>0</v>
      </c>
      <c r="G178" s="55">
        <f t="shared" si="0"/>
        <v>-84.66</v>
      </c>
      <c r="H178" s="47">
        <v>84.66</v>
      </c>
    </row>
    <row r="179" spans="1:8" ht="12.75" customHeight="1" x14ac:dyDescent="0.25">
      <c r="A179" s="45" t="s">
        <v>353</v>
      </c>
      <c r="B179" s="46">
        <v>5797</v>
      </c>
      <c r="C179" s="46" t="s">
        <v>167</v>
      </c>
      <c r="D179" s="47">
        <v>0</v>
      </c>
      <c r="E179" s="47">
        <v>4316.67</v>
      </c>
      <c r="F179" s="47">
        <v>0</v>
      </c>
      <c r="G179" s="55">
        <f t="shared" ref="G179:G194" si="1">F179-E179</f>
        <v>-4316.67</v>
      </c>
      <c r="H179" s="47">
        <v>4316.67</v>
      </c>
    </row>
    <row r="180" spans="1:8" ht="12.75" customHeight="1" x14ac:dyDescent="0.25">
      <c r="A180" s="45" t="s">
        <v>356</v>
      </c>
      <c r="B180" s="46">
        <v>5819</v>
      </c>
      <c r="C180" s="46" t="s">
        <v>170</v>
      </c>
      <c r="D180" s="47">
        <v>0</v>
      </c>
      <c r="E180" s="47">
        <v>16.239999999999998</v>
      </c>
      <c r="F180" s="47">
        <v>0</v>
      </c>
      <c r="G180" s="55">
        <f t="shared" si="1"/>
        <v>-16.239999999999998</v>
      </c>
      <c r="H180" s="47">
        <v>16.239999999999998</v>
      </c>
    </row>
    <row r="181" spans="1:8" ht="12.75" customHeight="1" x14ac:dyDescent="0.25">
      <c r="A181" s="39" t="s">
        <v>357</v>
      </c>
      <c r="B181" s="40"/>
      <c r="C181" s="40" t="s">
        <v>171</v>
      </c>
      <c r="D181" s="41">
        <v>0</v>
      </c>
      <c r="E181" s="41">
        <v>9879.34</v>
      </c>
      <c r="F181" s="41">
        <v>0</v>
      </c>
      <c r="G181" s="55">
        <f t="shared" si="1"/>
        <v>-9879.34</v>
      </c>
      <c r="H181" s="41">
        <v>9879.34</v>
      </c>
    </row>
    <row r="182" spans="1:8" ht="12.75" customHeight="1" x14ac:dyDescent="0.25">
      <c r="A182" s="39" t="s">
        <v>358</v>
      </c>
      <c r="B182" s="40"/>
      <c r="C182" s="40" t="s">
        <v>172</v>
      </c>
      <c r="D182" s="41">
        <v>0</v>
      </c>
      <c r="E182" s="41">
        <v>9879.34</v>
      </c>
      <c r="F182" s="41">
        <v>0</v>
      </c>
      <c r="G182" s="55">
        <f t="shared" si="1"/>
        <v>-9879.34</v>
      </c>
      <c r="H182" s="41">
        <v>9879.34</v>
      </c>
    </row>
    <row r="183" spans="1:8" ht="12.75" customHeight="1" x14ac:dyDescent="0.25">
      <c r="A183" s="45" t="s">
        <v>359</v>
      </c>
      <c r="B183" s="46">
        <v>4448</v>
      </c>
      <c r="C183" s="46" t="s">
        <v>173</v>
      </c>
      <c r="D183" s="47">
        <v>0</v>
      </c>
      <c r="E183" s="47">
        <v>1561.7</v>
      </c>
      <c r="F183" s="47">
        <v>0</v>
      </c>
      <c r="G183" s="55">
        <f t="shared" si="1"/>
        <v>-1561.7</v>
      </c>
      <c r="H183" s="47">
        <v>1561.7</v>
      </c>
    </row>
    <row r="184" spans="1:8" ht="12.75" customHeight="1" x14ac:dyDescent="0.25">
      <c r="A184" s="45" t="s">
        <v>360</v>
      </c>
      <c r="B184" s="46">
        <v>3859</v>
      </c>
      <c r="C184" s="46" t="s">
        <v>174</v>
      </c>
      <c r="D184" s="47">
        <v>0</v>
      </c>
      <c r="E184" s="47">
        <v>1161.18</v>
      </c>
      <c r="F184" s="47">
        <v>0</v>
      </c>
      <c r="G184" s="55">
        <f t="shared" si="1"/>
        <v>-1161.18</v>
      </c>
      <c r="H184" s="47">
        <v>1161.18</v>
      </c>
    </row>
    <row r="185" spans="1:8" ht="12.75" customHeight="1" x14ac:dyDescent="0.25">
      <c r="A185" s="45" t="s">
        <v>393</v>
      </c>
      <c r="B185" s="46">
        <v>4863</v>
      </c>
      <c r="C185" s="46" t="s">
        <v>392</v>
      </c>
      <c r="D185" s="47">
        <v>0</v>
      </c>
      <c r="E185" s="47">
        <v>7156.46</v>
      </c>
      <c r="F185" s="47">
        <v>0</v>
      </c>
      <c r="G185" s="55">
        <f t="shared" si="1"/>
        <v>-7156.46</v>
      </c>
      <c r="H185" s="47">
        <v>7156.46</v>
      </c>
    </row>
    <row r="186" spans="1:8" ht="12.75" customHeight="1" x14ac:dyDescent="0.25">
      <c r="A186" s="39" t="s">
        <v>361</v>
      </c>
      <c r="B186" s="40"/>
      <c r="C186" s="40" t="s">
        <v>81</v>
      </c>
      <c r="D186" s="41">
        <v>0</v>
      </c>
      <c r="E186" s="41">
        <v>92712.960000000006</v>
      </c>
      <c r="F186" s="41">
        <v>92712.960000000006</v>
      </c>
      <c r="G186" s="55">
        <f t="shared" si="1"/>
        <v>0</v>
      </c>
      <c r="H186" s="41">
        <v>0</v>
      </c>
    </row>
    <row r="187" spans="1:8" ht="12.75" customHeight="1" x14ac:dyDescent="0.25">
      <c r="A187" s="39" t="s">
        <v>362</v>
      </c>
      <c r="B187" s="40"/>
      <c r="C187" s="40" t="s">
        <v>81</v>
      </c>
      <c r="D187" s="41">
        <v>0</v>
      </c>
      <c r="E187" s="41">
        <v>92712.960000000006</v>
      </c>
      <c r="F187" s="41">
        <v>92712.960000000006</v>
      </c>
      <c r="G187" s="55">
        <f t="shared" si="1"/>
        <v>0</v>
      </c>
      <c r="H187" s="41">
        <v>0</v>
      </c>
    </row>
    <row r="188" spans="1:8" ht="12.75" customHeight="1" x14ac:dyDescent="0.25">
      <c r="A188" s="45" t="s">
        <v>363</v>
      </c>
      <c r="B188" s="46">
        <v>5231</v>
      </c>
      <c r="C188" s="46" t="s">
        <v>175</v>
      </c>
      <c r="D188" s="47">
        <v>0</v>
      </c>
      <c r="E188" s="47">
        <v>92712.960000000006</v>
      </c>
      <c r="F188" s="47">
        <v>92712.960000000006</v>
      </c>
      <c r="G188" s="55">
        <f t="shared" si="1"/>
        <v>0</v>
      </c>
      <c r="H188" s="47">
        <v>0</v>
      </c>
    </row>
    <row r="189" spans="1:8" ht="12.75" customHeight="1" x14ac:dyDescent="0.25">
      <c r="A189" s="39" t="s">
        <v>364</v>
      </c>
      <c r="B189" s="40"/>
      <c r="C189" s="40" t="s">
        <v>176</v>
      </c>
      <c r="D189" s="41">
        <v>0</v>
      </c>
      <c r="E189" s="41">
        <v>149404.09</v>
      </c>
      <c r="F189" s="41">
        <v>0</v>
      </c>
      <c r="G189" s="55">
        <f t="shared" si="1"/>
        <v>-149404.09</v>
      </c>
      <c r="H189" s="41">
        <v>149404.09</v>
      </c>
    </row>
    <row r="190" spans="1:8" ht="12.75" customHeight="1" x14ac:dyDescent="0.25">
      <c r="A190" s="39" t="s">
        <v>365</v>
      </c>
      <c r="B190" s="40"/>
      <c r="C190" s="40" t="s">
        <v>176</v>
      </c>
      <c r="D190" s="41">
        <v>0</v>
      </c>
      <c r="E190" s="41">
        <v>149404.09</v>
      </c>
      <c r="F190" s="41">
        <v>0</v>
      </c>
      <c r="G190" s="55">
        <f t="shared" si="1"/>
        <v>-149404.09</v>
      </c>
      <c r="H190" s="41">
        <v>149404.09</v>
      </c>
    </row>
    <row r="191" spans="1:8" ht="12.75" customHeight="1" x14ac:dyDescent="0.25">
      <c r="A191" s="45" t="s">
        <v>366</v>
      </c>
      <c r="B191" s="46">
        <v>3816</v>
      </c>
      <c r="C191" s="46" t="s">
        <v>177</v>
      </c>
      <c r="D191" s="47">
        <v>0</v>
      </c>
      <c r="E191" s="47">
        <v>975.35</v>
      </c>
      <c r="F191" s="47">
        <v>0</v>
      </c>
      <c r="G191" s="55">
        <f t="shared" si="1"/>
        <v>-975.35</v>
      </c>
      <c r="H191" s="47">
        <v>975.35</v>
      </c>
    </row>
    <row r="192" spans="1:8" ht="12.75" customHeight="1" x14ac:dyDescent="0.25">
      <c r="A192" s="45" t="s">
        <v>368</v>
      </c>
      <c r="B192" s="46">
        <v>3824</v>
      </c>
      <c r="C192" s="46" t="s">
        <v>179</v>
      </c>
      <c r="D192" s="47">
        <v>0</v>
      </c>
      <c r="E192" s="47">
        <v>5705.43</v>
      </c>
      <c r="F192" s="47">
        <v>0</v>
      </c>
      <c r="G192" s="55">
        <f t="shared" si="1"/>
        <v>-5705.43</v>
      </c>
      <c r="H192" s="47">
        <v>5705.43</v>
      </c>
    </row>
    <row r="193" spans="1:8" ht="12.75" customHeight="1" x14ac:dyDescent="0.25">
      <c r="A193" s="45" t="s">
        <v>369</v>
      </c>
      <c r="B193" s="46">
        <v>3832</v>
      </c>
      <c r="C193" s="46" t="s">
        <v>180</v>
      </c>
      <c r="D193" s="47">
        <v>0</v>
      </c>
      <c r="E193" s="47">
        <v>5752.61</v>
      </c>
      <c r="F193" s="47">
        <v>0</v>
      </c>
      <c r="G193" s="55">
        <f t="shared" si="1"/>
        <v>-5752.61</v>
      </c>
      <c r="H193" s="47">
        <v>5752.61</v>
      </c>
    </row>
    <row r="194" spans="1:8" ht="12.75" customHeight="1" x14ac:dyDescent="0.25">
      <c r="A194" s="45" t="s">
        <v>367</v>
      </c>
      <c r="B194" s="46">
        <v>5177</v>
      </c>
      <c r="C194" s="46" t="s">
        <v>178</v>
      </c>
      <c r="D194" s="47">
        <v>0</v>
      </c>
      <c r="E194" s="47">
        <v>136970.70000000001</v>
      </c>
      <c r="F194" s="47">
        <v>0</v>
      </c>
      <c r="G194" s="55">
        <f t="shared" si="1"/>
        <v>-136970.70000000001</v>
      </c>
      <c r="H194" s="47">
        <v>136970.70000000001</v>
      </c>
    </row>
    <row r="197" spans="1:8" ht="12.75" customHeight="1" x14ac:dyDescent="0.25">
      <c r="C197" s="1"/>
      <c r="D197" s="1" t="s">
        <v>2</v>
      </c>
      <c r="E197" s="1" t="s">
        <v>3</v>
      </c>
      <c r="F197" s="1" t="s">
        <v>4</v>
      </c>
      <c r="G197" s="1"/>
      <c r="H197" s="1" t="s">
        <v>5</v>
      </c>
    </row>
    <row r="198" spans="1:8" ht="12.75" customHeight="1" x14ac:dyDescent="0.25">
      <c r="C198" s="4" t="s">
        <v>6</v>
      </c>
      <c r="D198" s="2">
        <v>5330654</v>
      </c>
      <c r="E198" s="2">
        <v>2385665.27</v>
      </c>
      <c r="F198" s="2">
        <v>2788249.53</v>
      </c>
      <c r="G198" s="2"/>
      <c r="H198" s="2">
        <v>4928069.74</v>
      </c>
    </row>
    <row r="199" spans="1:8" ht="12.75" customHeight="1" x14ac:dyDescent="0.25">
      <c r="C199" s="4" t="s">
        <v>65</v>
      </c>
      <c r="D199" s="2">
        <v>5330654</v>
      </c>
      <c r="E199" s="2">
        <v>1784422.6</v>
      </c>
      <c r="F199" s="2">
        <v>1734481.35</v>
      </c>
      <c r="G199" s="2"/>
      <c r="H199" s="2">
        <v>5280712.75</v>
      </c>
    </row>
    <row r="200" spans="1:8" ht="12.75" customHeight="1" x14ac:dyDescent="0.25">
      <c r="C200" s="4" t="s">
        <v>109</v>
      </c>
      <c r="D200" s="2">
        <v>0</v>
      </c>
      <c r="E200" s="2">
        <v>65346.5</v>
      </c>
      <c r="F200" s="2">
        <v>721706.17</v>
      </c>
      <c r="G200" s="2"/>
      <c r="H200" s="2">
        <v>656359.67000000004</v>
      </c>
    </row>
    <row r="201" spans="1:8" ht="12.75" customHeight="1" x14ac:dyDescent="0.25">
      <c r="C201" s="4" t="s">
        <v>128</v>
      </c>
      <c r="D201" s="2">
        <v>0</v>
      </c>
      <c r="E201" s="2">
        <v>3524280.56</v>
      </c>
      <c r="F201" s="2">
        <v>2515277.88</v>
      </c>
      <c r="G201" s="2"/>
      <c r="H201" s="2">
        <v>1009002.68</v>
      </c>
    </row>
    <row r="202" spans="1:8" ht="12.75" customHeight="1" x14ac:dyDescent="0.25">
      <c r="C202" s="4" t="s">
        <v>181</v>
      </c>
      <c r="D202" s="4"/>
      <c r="E202" s="4"/>
      <c r="F202" s="4"/>
      <c r="G202" s="4"/>
      <c r="H202" s="5">
        <f>(H200)-(H201)</f>
        <v>-352643.01</v>
      </c>
    </row>
  </sheetData>
  <pageMargins left="0.78740157480314998" right="0.78740157480314998" top="0.78740157480314998" bottom="0.78740157480314998" header="0.31496062992126" footer="0.31496062992126"/>
  <pageSetup paperSize="9" fitToWidth="0" fitToHeight="0" orientation="landscape"/>
  <headerFooter>
    <oddHeader>&amp;L&amp;"Arial"&amp;10&amp;K000000BALANCETE DE VERIFICAÇÃO
ID BRANDS SERVICOS ADMINISTRATIVOS E COMERCIO VAREJISTA DE COSMETICOS LTDA
Período: 01/01/2026 a 31/01/2026 - CONSOLIDADO</oddHeader>
    <oddFooter>&amp;L&amp;"Arial"&amp;10&amp;K000000Página: &amp;P de &amp;N
-  -  -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2238-0AD3-4F56-828D-A90788F849C4}">
  <dimension ref="A1:H206"/>
  <sheetViews>
    <sheetView topLeftCell="A187" workbookViewId="0">
      <selection activeCell="E215" sqref="E215"/>
    </sheetView>
  </sheetViews>
  <sheetFormatPr defaultRowHeight="13.2" x14ac:dyDescent="0.25"/>
  <cols>
    <col min="1" max="1" width="13.88671875" style="13" bestFit="1" customWidth="1"/>
    <col min="2" max="2" width="12.5546875" bestFit="1" customWidth="1"/>
    <col min="3" max="3" width="46.88671875" bestFit="1" customWidth="1"/>
    <col min="4" max="4" width="21.5546875" bestFit="1" customWidth="1"/>
    <col min="5" max="5" width="19.77734375" bestFit="1" customWidth="1"/>
    <col min="6" max="6" width="19.88671875" bestFit="1" customWidth="1"/>
    <col min="7" max="7" width="19.88671875" hidden="1" customWidth="1"/>
    <col min="8" max="8" width="21.21875" style="32" bestFit="1" customWidth="1"/>
  </cols>
  <sheetData>
    <row r="1" spans="1:8" x14ac:dyDescent="0.25">
      <c r="A1" s="7" t="s">
        <v>0</v>
      </c>
      <c r="B1" s="8" t="s">
        <v>182</v>
      </c>
      <c r="C1" s="8" t="s">
        <v>1</v>
      </c>
      <c r="D1" s="9" t="s">
        <v>2</v>
      </c>
      <c r="E1" s="9" t="s">
        <v>3</v>
      </c>
      <c r="F1" s="9" t="s">
        <v>4</v>
      </c>
      <c r="G1" s="9"/>
      <c r="H1" s="31" t="s">
        <v>5</v>
      </c>
    </row>
    <row r="2" spans="1:8" x14ac:dyDescent="0.25">
      <c r="A2" s="12">
        <v>1</v>
      </c>
      <c r="B2" s="10"/>
      <c r="C2" s="10" t="s">
        <v>6</v>
      </c>
      <c r="D2" s="11">
        <v>4928069.74</v>
      </c>
      <c r="E2" s="11">
        <v>2269039.9900000002</v>
      </c>
      <c r="F2" s="11">
        <v>2212147.19</v>
      </c>
      <c r="G2" s="11"/>
      <c r="H2" s="11">
        <v>4984962.54</v>
      </c>
    </row>
    <row r="3" spans="1:8" x14ac:dyDescent="0.25">
      <c r="A3" s="12" t="s">
        <v>183</v>
      </c>
      <c r="B3" s="10"/>
      <c r="C3" s="10" t="s">
        <v>7</v>
      </c>
      <c r="D3" s="11">
        <v>1786743.03</v>
      </c>
      <c r="E3" s="11">
        <v>2119253.66</v>
      </c>
      <c r="F3" s="11">
        <v>2056277</v>
      </c>
      <c r="G3" s="11"/>
      <c r="H3" s="11">
        <v>1849719.69</v>
      </c>
    </row>
    <row r="4" spans="1:8" x14ac:dyDescent="0.25">
      <c r="A4" s="12" t="s">
        <v>184</v>
      </c>
      <c r="B4" s="10"/>
      <c r="C4" s="10" t="s">
        <v>8</v>
      </c>
      <c r="D4" s="11">
        <v>6547.21</v>
      </c>
      <c r="E4" s="11">
        <v>1445920.76</v>
      </c>
      <c r="F4" s="11">
        <v>1446123.88</v>
      </c>
      <c r="G4" s="11"/>
      <c r="H4" s="11">
        <v>6344.09</v>
      </c>
    </row>
    <row r="5" spans="1:8" x14ac:dyDescent="0.25">
      <c r="A5" s="12" t="s">
        <v>185</v>
      </c>
      <c r="B5" s="10"/>
      <c r="C5" s="10" t="s">
        <v>9</v>
      </c>
      <c r="D5" s="11">
        <v>0</v>
      </c>
      <c r="E5" s="11">
        <v>85700</v>
      </c>
      <c r="F5" s="11">
        <v>85700</v>
      </c>
      <c r="G5" s="11"/>
      <c r="H5" s="11">
        <v>0</v>
      </c>
    </row>
    <row r="6" spans="1:8" x14ac:dyDescent="0.25">
      <c r="A6" s="15" t="s">
        <v>186</v>
      </c>
      <c r="B6" s="16">
        <v>5</v>
      </c>
      <c r="C6" s="16" t="s">
        <v>10</v>
      </c>
      <c r="D6" s="17">
        <v>0</v>
      </c>
      <c r="E6" s="17">
        <v>85700</v>
      </c>
      <c r="F6" s="17">
        <v>85700</v>
      </c>
      <c r="G6" s="17"/>
      <c r="H6" s="17">
        <v>0</v>
      </c>
    </row>
    <row r="7" spans="1:8" x14ac:dyDescent="0.25">
      <c r="A7" s="12" t="s">
        <v>187</v>
      </c>
      <c r="B7" s="10"/>
      <c r="C7" s="10" t="s">
        <v>11</v>
      </c>
      <c r="D7" s="11">
        <v>6547.21</v>
      </c>
      <c r="E7" s="11">
        <v>1360220.76</v>
      </c>
      <c r="F7" s="11">
        <v>1360423.88</v>
      </c>
      <c r="G7" s="11"/>
      <c r="H7" s="11">
        <v>6344.09</v>
      </c>
    </row>
    <row r="8" spans="1:8" x14ac:dyDescent="0.25">
      <c r="A8" s="15" t="s">
        <v>189</v>
      </c>
      <c r="B8" s="16">
        <v>27</v>
      </c>
      <c r="C8" s="16" t="s">
        <v>13</v>
      </c>
      <c r="D8" s="17">
        <v>0</v>
      </c>
      <c r="E8" s="17">
        <v>1237885.71</v>
      </c>
      <c r="F8" s="17">
        <v>1237885.71</v>
      </c>
      <c r="G8" s="17"/>
      <c r="H8" s="17">
        <v>0</v>
      </c>
    </row>
    <row r="9" spans="1:8" x14ac:dyDescent="0.25">
      <c r="A9" s="15" t="s">
        <v>190</v>
      </c>
      <c r="B9" s="16">
        <v>576</v>
      </c>
      <c r="C9" s="16" t="s">
        <v>14</v>
      </c>
      <c r="D9" s="17">
        <v>1359.91</v>
      </c>
      <c r="E9" s="17">
        <v>46700</v>
      </c>
      <c r="F9" s="17">
        <v>47211.17</v>
      </c>
      <c r="G9" s="17"/>
      <c r="H9" s="17">
        <v>848.74</v>
      </c>
    </row>
    <row r="10" spans="1:8" x14ac:dyDescent="0.25">
      <c r="A10" s="15" t="s">
        <v>191</v>
      </c>
      <c r="B10" s="16">
        <v>5444</v>
      </c>
      <c r="C10" s="16" t="s">
        <v>15</v>
      </c>
      <c r="D10" s="17">
        <v>5187.3</v>
      </c>
      <c r="E10" s="17">
        <v>308.05</v>
      </c>
      <c r="F10" s="17">
        <v>0</v>
      </c>
      <c r="G10" s="17"/>
      <c r="H10" s="17">
        <v>5495.35</v>
      </c>
    </row>
    <row r="11" spans="1:8" x14ac:dyDescent="0.25">
      <c r="A11" s="15" t="s">
        <v>188</v>
      </c>
      <c r="B11" s="16">
        <v>5860</v>
      </c>
      <c r="C11" s="16" t="s">
        <v>12</v>
      </c>
      <c r="D11" s="17">
        <v>0</v>
      </c>
      <c r="E11" s="17">
        <v>75327</v>
      </c>
      <c r="F11" s="17">
        <v>75327</v>
      </c>
      <c r="G11" s="17"/>
      <c r="H11" s="17">
        <v>0</v>
      </c>
    </row>
    <row r="12" spans="1:8" x14ac:dyDescent="0.25">
      <c r="A12" s="12" t="s">
        <v>194</v>
      </c>
      <c r="B12" s="10"/>
      <c r="C12" s="10" t="s">
        <v>18</v>
      </c>
      <c r="D12" s="11">
        <v>614312.11</v>
      </c>
      <c r="E12" s="11">
        <v>526674.34</v>
      </c>
      <c r="F12" s="11">
        <v>366708.72</v>
      </c>
      <c r="G12" s="11"/>
      <c r="H12" s="11">
        <v>774277.73</v>
      </c>
    </row>
    <row r="13" spans="1:8" x14ac:dyDescent="0.25">
      <c r="A13" s="12" t="s">
        <v>195</v>
      </c>
      <c r="B13" s="10"/>
      <c r="C13" s="10" t="s">
        <v>19</v>
      </c>
      <c r="D13" s="11">
        <v>614312.11</v>
      </c>
      <c r="E13" s="11">
        <v>526674.34</v>
      </c>
      <c r="F13" s="11">
        <v>366708.72</v>
      </c>
      <c r="G13" s="11"/>
      <c r="H13" s="11">
        <v>774277.73</v>
      </c>
    </row>
    <row r="14" spans="1:8" x14ac:dyDescent="0.25">
      <c r="A14" s="15" t="s">
        <v>197</v>
      </c>
      <c r="B14" s="16">
        <v>43</v>
      </c>
      <c r="C14" s="16" t="s">
        <v>21</v>
      </c>
      <c r="D14" s="17">
        <v>399021.56</v>
      </c>
      <c r="E14" s="17">
        <v>526674.34</v>
      </c>
      <c r="F14" s="17">
        <v>366708.72</v>
      </c>
      <c r="G14" s="17"/>
      <c r="H14" s="17">
        <v>558987.18000000005</v>
      </c>
    </row>
    <row r="15" spans="1:8" x14ac:dyDescent="0.25">
      <c r="A15" s="15" t="s">
        <v>196</v>
      </c>
      <c r="B15" s="16">
        <v>5347</v>
      </c>
      <c r="C15" s="16" t="s">
        <v>20</v>
      </c>
      <c r="D15" s="17">
        <v>215290.55</v>
      </c>
      <c r="E15" s="17">
        <v>0</v>
      </c>
      <c r="F15" s="17">
        <v>0</v>
      </c>
      <c r="G15" s="17"/>
      <c r="H15" s="17">
        <v>215290.55</v>
      </c>
    </row>
    <row r="16" spans="1:8" x14ac:dyDescent="0.25">
      <c r="A16" s="12" t="s">
        <v>198</v>
      </c>
      <c r="B16" s="10"/>
      <c r="C16" s="10" t="s">
        <v>22</v>
      </c>
      <c r="D16" s="11">
        <v>347954.71</v>
      </c>
      <c r="E16" s="11">
        <v>48831.97</v>
      </c>
      <c r="F16" s="11">
        <v>156526.51999999999</v>
      </c>
      <c r="G16" s="11"/>
      <c r="H16" s="11">
        <v>240260.16</v>
      </c>
    </row>
    <row r="17" spans="1:8" x14ac:dyDescent="0.25">
      <c r="A17" s="12" t="s">
        <v>199</v>
      </c>
      <c r="B17" s="10"/>
      <c r="C17" s="10" t="s">
        <v>23</v>
      </c>
      <c r="D17" s="11">
        <v>3218.9</v>
      </c>
      <c r="E17" s="11">
        <v>18863.810000000001</v>
      </c>
      <c r="F17" s="11">
        <v>21169.83</v>
      </c>
      <c r="G17" s="11"/>
      <c r="H17" s="11">
        <v>912.88</v>
      </c>
    </row>
    <row r="18" spans="1:8" x14ac:dyDescent="0.25">
      <c r="A18" s="15" t="s">
        <v>200</v>
      </c>
      <c r="B18" s="16">
        <v>60</v>
      </c>
      <c r="C18" s="16" t="s">
        <v>24</v>
      </c>
      <c r="D18" s="17">
        <v>3218.9</v>
      </c>
      <c r="E18" s="17">
        <v>0</v>
      </c>
      <c r="F18" s="17">
        <v>2306.02</v>
      </c>
      <c r="G18" s="17"/>
      <c r="H18" s="17">
        <v>912.88</v>
      </c>
    </row>
    <row r="19" spans="1:8" x14ac:dyDescent="0.25">
      <c r="A19" s="15" t="s">
        <v>201</v>
      </c>
      <c r="B19" s="16">
        <v>3263</v>
      </c>
      <c r="C19" s="16" t="s">
        <v>25</v>
      </c>
      <c r="D19" s="17">
        <v>0</v>
      </c>
      <c r="E19" s="17">
        <v>18863.810000000001</v>
      </c>
      <c r="F19" s="17">
        <v>18863.810000000001</v>
      </c>
      <c r="G19" s="17"/>
      <c r="H19" s="17">
        <v>0</v>
      </c>
    </row>
    <row r="20" spans="1:8" x14ac:dyDescent="0.25">
      <c r="A20" s="12" t="s">
        <v>202</v>
      </c>
      <c r="B20" s="10"/>
      <c r="C20" s="10" t="s">
        <v>26</v>
      </c>
      <c r="D20" s="11">
        <v>147010.20000000001</v>
      </c>
      <c r="E20" s="11">
        <v>0</v>
      </c>
      <c r="F20" s="11">
        <v>0</v>
      </c>
      <c r="G20" s="11"/>
      <c r="H20" s="11">
        <v>147010.20000000001</v>
      </c>
    </row>
    <row r="21" spans="1:8" x14ac:dyDescent="0.25">
      <c r="A21" s="15" t="s">
        <v>203</v>
      </c>
      <c r="B21" s="16">
        <v>3220</v>
      </c>
      <c r="C21" s="16" t="s">
        <v>27</v>
      </c>
      <c r="D21" s="17">
        <v>147010.20000000001</v>
      </c>
      <c r="E21" s="17">
        <v>0</v>
      </c>
      <c r="F21" s="17">
        <v>0</v>
      </c>
      <c r="G21" s="17"/>
      <c r="H21" s="17">
        <v>147010.20000000001</v>
      </c>
    </row>
    <row r="22" spans="1:8" x14ac:dyDescent="0.25">
      <c r="A22" s="12" t="s">
        <v>204</v>
      </c>
      <c r="B22" s="10"/>
      <c r="C22" s="10" t="s">
        <v>28</v>
      </c>
      <c r="D22" s="11">
        <v>126211.51</v>
      </c>
      <c r="E22" s="11">
        <v>0</v>
      </c>
      <c r="F22" s="11">
        <v>105390.96</v>
      </c>
      <c r="G22" s="11"/>
      <c r="H22" s="11">
        <v>20820.55</v>
      </c>
    </row>
    <row r="23" spans="1:8" x14ac:dyDescent="0.25">
      <c r="A23" s="15" t="s">
        <v>205</v>
      </c>
      <c r="B23" s="16">
        <v>5789</v>
      </c>
      <c r="C23" s="16" t="s">
        <v>29</v>
      </c>
      <c r="D23" s="17">
        <v>126211.51</v>
      </c>
      <c r="E23" s="17">
        <v>0</v>
      </c>
      <c r="F23" s="17">
        <v>105390.96</v>
      </c>
      <c r="G23" s="17"/>
      <c r="H23" s="17">
        <v>20820.55</v>
      </c>
    </row>
    <row r="24" spans="1:8" x14ac:dyDescent="0.25">
      <c r="A24" s="12" t="s">
        <v>206</v>
      </c>
      <c r="B24" s="10"/>
      <c r="C24" s="10" t="s">
        <v>30</v>
      </c>
      <c r="D24" s="11">
        <v>7421</v>
      </c>
      <c r="E24" s="11">
        <v>29968.16</v>
      </c>
      <c r="F24" s="11">
        <v>29965.73</v>
      </c>
      <c r="G24" s="11"/>
      <c r="H24" s="11">
        <v>7423.43</v>
      </c>
    </row>
    <row r="25" spans="1:8" x14ac:dyDescent="0.25">
      <c r="A25" s="15" t="s">
        <v>379</v>
      </c>
      <c r="B25" s="16">
        <v>94</v>
      </c>
      <c r="C25" s="16" t="s">
        <v>370</v>
      </c>
      <c r="D25" s="17">
        <v>0</v>
      </c>
      <c r="E25" s="17">
        <v>1087.1099999999999</v>
      </c>
      <c r="F25" s="17">
        <v>1085.3599999999999</v>
      </c>
      <c r="G25" s="17"/>
      <c r="H25" s="17">
        <v>1.75</v>
      </c>
    </row>
    <row r="26" spans="1:8" x14ac:dyDescent="0.25">
      <c r="A26" s="15" t="s">
        <v>207</v>
      </c>
      <c r="B26" s="16">
        <v>116</v>
      </c>
      <c r="C26" s="16" t="s">
        <v>31</v>
      </c>
      <c r="D26" s="17">
        <v>300.12</v>
      </c>
      <c r="E26" s="17">
        <v>28644.73</v>
      </c>
      <c r="F26" s="17">
        <v>28644.73</v>
      </c>
      <c r="G26" s="17"/>
      <c r="H26" s="17">
        <v>300.12</v>
      </c>
    </row>
    <row r="27" spans="1:8" x14ac:dyDescent="0.25">
      <c r="A27" s="15" t="s">
        <v>380</v>
      </c>
      <c r="B27" s="16">
        <v>159</v>
      </c>
      <c r="C27" s="16" t="s">
        <v>371</v>
      </c>
      <c r="D27" s="17">
        <v>0</v>
      </c>
      <c r="E27" s="17">
        <v>236.32</v>
      </c>
      <c r="F27" s="17">
        <v>235.64</v>
      </c>
      <c r="G27" s="17"/>
      <c r="H27" s="17">
        <v>0.68</v>
      </c>
    </row>
    <row r="28" spans="1:8" x14ac:dyDescent="0.25">
      <c r="A28" s="15" t="s">
        <v>208</v>
      </c>
      <c r="B28" s="16">
        <v>5274</v>
      </c>
      <c r="C28" s="16" t="s">
        <v>32</v>
      </c>
      <c r="D28" s="17">
        <v>7120.88</v>
      </c>
      <c r="E28" s="17">
        <v>0</v>
      </c>
      <c r="F28" s="17">
        <v>0</v>
      </c>
      <c r="G28" s="17"/>
      <c r="H28" s="17">
        <v>7120.88</v>
      </c>
    </row>
    <row r="29" spans="1:8" x14ac:dyDescent="0.25">
      <c r="A29" s="12" t="s">
        <v>209</v>
      </c>
      <c r="B29" s="10"/>
      <c r="C29" s="10" t="s">
        <v>33</v>
      </c>
      <c r="D29" s="11">
        <v>64093.1</v>
      </c>
      <c r="E29" s="11">
        <v>0</v>
      </c>
      <c r="F29" s="11">
        <v>0</v>
      </c>
      <c r="G29" s="11"/>
      <c r="H29" s="11">
        <v>64093.1</v>
      </c>
    </row>
    <row r="30" spans="1:8" x14ac:dyDescent="0.25">
      <c r="A30" s="15" t="s">
        <v>213</v>
      </c>
      <c r="B30" s="16">
        <v>4502</v>
      </c>
      <c r="C30" s="16" t="s">
        <v>37</v>
      </c>
      <c r="D30" s="17">
        <v>13.87</v>
      </c>
      <c r="E30" s="17">
        <v>0</v>
      </c>
      <c r="F30" s="17">
        <v>0</v>
      </c>
      <c r="G30" s="17"/>
      <c r="H30" s="17">
        <v>13.87</v>
      </c>
    </row>
    <row r="31" spans="1:8" x14ac:dyDescent="0.25">
      <c r="A31" s="15" t="s">
        <v>210</v>
      </c>
      <c r="B31" s="16">
        <v>4510</v>
      </c>
      <c r="C31" s="16" t="s">
        <v>34</v>
      </c>
      <c r="D31" s="17">
        <v>34627.339999999997</v>
      </c>
      <c r="E31" s="17">
        <v>0</v>
      </c>
      <c r="F31" s="17">
        <v>0</v>
      </c>
      <c r="G31" s="17"/>
      <c r="H31" s="17">
        <v>34627.339999999997</v>
      </c>
    </row>
    <row r="32" spans="1:8" x14ac:dyDescent="0.25">
      <c r="A32" s="15" t="s">
        <v>212</v>
      </c>
      <c r="B32" s="16">
        <v>4545</v>
      </c>
      <c r="C32" s="16" t="s">
        <v>36</v>
      </c>
      <c r="D32" s="17">
        <v>16.21</v>
      </c>
      <c r="E32" s="17">
        <v>0</v>
      </c>
      <c r="F32" s="17">
        <v>0</v>
      </c>
      <c r="G32" s="17"/>
      <c r="H32" s="17">
        <v>16.21</v>
      </c>
    </row>
    <row r="33" spans="1:8" x14ac:dyDescent="0.25">
      <c r="A33" s="15" t="s">
        <v>211</v>
      </c>
      <c r="B33" s="16">
        <v>4561</v>
      </c>
      <c r="C33" s="16" t="s">
        <v>35</v>
      </c>
      <c r="D33" s="17">
        <v>29435.68</v>
      </c>
      <c r="E33" s="17">
        <v>0</v>
      </c>
      <c r="F33" s="17">
        <v>0</v>
      </c>
      <c r="G33" s="17"/>
      <c r="H33" s="17">
        <v>29435.68</v>
      </c>
    </row>
    <row r="34" spans="1:8" x14ac:dyDescent="0.25">
      <c r="A34" s="12" t="s">
        <v>214</v>
      </c>
      <c r="B34" s="10"/>
      <c r="C34" s="10" t="s">
        <v>38</v>
      </c>
      <c r="D34" s="11">
        <v>817929</v>
      </c>
      <c r="E34" s="11">
        <v>97826.59</v>
      </c>
      <c r="F34" s="11">
        <v>86917.88</v>
      </c>
      <c r="G34" s="11"/>
      <c r="H34" s="11">
        <v>828837.71</v>
      </c>
    </row>
    <row r="35" spans="1:8" x14ac:dyDescent="0.25">
      <c r="A35" s="12" t="s">
        <v>215</v>
      </c>
      <c r="B35" s="10"/>
      <c r="C35" s="10" t="s">
        <v>39</v>
      </c>
      <c r="D35" s="11">
        <v>817929</v>
      </c>
      <c r="E35" s="11">
        <v>97826.59</v>
      </c>
      <c r="F35" s="11">
        <v>86917.88</v>
      </c>
      <c r="G35" s="11"/>
      <c r="H35" s="11">
        <v>828837.71</v>
      </c>
    </row>
    <row r="36" spans="1:8" x14ac:dyDescent="0.25">
      <c r="A36" s="15" t="s">
        <v>216</v>
      </c>
      <c r="B36" s="16">
        <v>175</v>
      </c>
      <c r="C36" s="16" t="s">
        <v>40</v>
      </c>
      <c r="D36" s="17">
        <v>817929</v>
      </c>
      <c r="E36" s="17">
        <v>97826.59</v>
      </c>
      <c r="F36" s="17">
        <v>86917.88</v>
      </c>
      <c r="G36" s="17"/>
      <c r="H36" s="17">
        <v>828837.71</v>
      </c>
    </row>
    <row r="37" spans="1:8" x14ac:dyDescent="0.25">
      <c r="A37" s="12" t="s">
        <v>217</v>
      </c>
      <c r="B37" s="10"/>
      <c r="C37" s="10" t="s">
        <v>41</v>
      </c>
      <c r="D37" s="11">
        <v>3141326.71</v>
      </c>
      <c r="E37" s="11">
        <v>0</v>
      </c>
      <c r="F37" s="11">
        <v>6083.86</v>
      </c>
      <c r="G37" s="11"/>
      <c r="H37" s="11">
        <v>3135242.85</v>
      </c>
    </row>
    <row r="38" spans="1:8" x14ac:dyDescent="0.25">
      <c r="A38" s="12" t="s">
        <v>218</v>
      </c>
      <c r="B38" s="10"/>
      <c r="C38" s="10" t="s">
        <v>42</v>
      </c>
      <c r="D38" s="11">
        <v>3022148.98</v>
      </c>
      <c r="E38" s="11">
        <v>0</v>
      </c>
      <c r="F38" s="11">
        <v>0</v>
      </c>
      <c r="G38" s="11"/>
      <c r="H38" s="11">
        <v>3022148.98</v>
      </c>
    </row>
    <row r="39" spans="1:8" x14ac:dyDescent="0.25">
      <c r="A39" s="12" t="s">
        <v>219</v>
      </c>
      <c r="B39" s="10"/>
      <c r="C39" s="10" t="s">
        <v>43</v>
      </c>
      <c r="D39" s="11">
        <v>3022148.98</v>
      </c>
      <c r="E39" s="11">
        <v>0</v>
      </c>
      <c r="F39" s="11">
        <v>0</v>
      </c>
      <c r="G39" s="11"/>
      <c r="H39" s="11">
        <v>3022148.98</v>
      </c>
    </row>
    <row r="40" spans="1:8" x14ac:dyDescent="0.25">
      <c r="A40" s="15" t="s">
        <v>221</v>
      </c>
      <c r="B40" s="16">
        <v>3336</v>
      </c>
      <c r="C40" s="16" t="s">
        <v>45</v>
      </c>
      <c r="D40" s="17">
        <v>1224589.32</v>
      </c>
      <c r="E40" s="17">
        <v>0</v>
      </c>
      <c r="F40" s="17">
        <v>0</v>
      </c>
      <c r="G40" s="17"/>
      <c r="H40" s="17">
        <v>1224589.32</v>
      </c>
    </row>
    <row r="41" spans="1:8" x14ac:dyDescent="0.25">
      <c r="A41" s="15" t="s">
        <v>220</v>
      </c>
      <c r="B41" s="16">
        <v>3344</v>
      </c>
      <c r="C41" s="16" t="s">
        <v>44</v>
      </c>
      <c r="D41" s="17">
        <v>1797559.66</v>
      </c>
      <c r="E41" s="17">
        <v>0</v>
      </c>
      <c r="F41" s="17">
        <v>0</v>
      </c>
      <c r="G41" s="17"/>
      <c r="H41" s="17">
        <v>1797559.66</v>
      </c>
    </row>
    <row r="42" spans="1:8" x14ac:dyDescent="0.25">
      <c r="A42" s="12" t="s">
        <v>222</v>
      </c>
      <c r="B42" s="10"/>
      <c r="C42" s="10" t="s">
        <v>46</v>
      </c>
      <c r="D42" s="11">
        <v>67895.98</v>
      </c>
      <c r="E42" s="11">
        <v>0</v>
      </c>
      <c r="F42" s="11">
        <v>1767.19</v>
      </c>
      <c r="G42" s="11"/>
      <c r="H42" s="11">
        <v>66128.789999999994</v>
      </c>
    </row>
    <row r="43" spans="1:8" x14ac:dyDescent="0.25">
      <c r="A43" s="12" t="s">
        <v>223</v>
      </c>
      <c r="B43" s="10"/>
      <c r="C43" s="10" t="s">
        <v>47</v>
      </c>
      <c r="D43" s="11">
        <v>139435.51</v>
      </c>
      <c r="E43" s="11">
        <v>0</v>
      </c>
      <c r="F43" s="11">
        <v>0</v>
      </c>
      <c r="G43" s="11"/>
      <c r="H43" s="11">
        <v>139435.51</v>
      </c>
    </row>
    <row r="44" spans="1:8" x14ac:dyDescent="0.25">
      <c r="A44" s="15" t="s">
        <v>224</v>
      </c>
      <c r="B44" s="16">
        <v>205</v>
      </c>
      <c r="C44" s="16" t="s">
        <v>48</v>
      </c>
      <c r="D44" s="17">
        <v>132597.82</v>
      </c>
      <c r="E44" s="17">
        <v>0</v>
      </c>
      <c r="F44" s="17">
        <v>0</v>
      </c>
      <c r="G44" s="17"/>
      <c r="H44" s="17">
        <v>132597.82</v>
      </c>
    </row>
    <row r="45" spans="1:8" x14ac:dyDescent="0.25">
      <c r="A45" s="15" t="s">
        <v>225</v>
      </c>
      <c r="B45" s="16">
        <v>4588</v>
      </c>
      <c r="C45" s="16" t="s">
        <v>49</v>
      </c>
      <c r="D45" s="17">
        <v>4888.6899999999996</v>
      </c>
      <c r="E45" s="17">
        <v>0</v>
      </c>
      <c r="F45" s="17">
        <v>0</v>
      </c>
      <c r="G45" s="17"/>
      <c r="H45" s="17">
        <v>4888.6899999999996</v>
      </c>
    </row>
    <row r="46" spans="1:8" x14ac:dyDescent="0.25">
      <c r="A46" s="15" t="s">
        <v>226</v>
      </c>
      <c r="B46" s="16">
        <v>248</v>
      </c>
      <c r="C46" s="16" t="s">
        <v>50</v>
      </c>
      <c r="D46" s="17">
        <v>1949</v>
      </c>
      <c r="E46" s="17">
        <v>0</v>
      </c>
      <c r="F46" s="17">
        <v>0</v>
      </c>
      <c r="G46" s="17"/>
      <c r="H46" s="17">
        <v>1949</v>
      </c>
    </row>
    <row r="47" spans="1:8" x14ac:dyDescent="0.25">
      <c r="A47" s="12" t="s">
        <v>227</v>
      </c>
      <c r="B47" s="10"/>
      <c r="C47" s="10" t="s">
        <v>51</v>
      </c>
      <c r="D47" s="11">
        <v>-71539.53</v>
      </c>
      <c r="E47" s="11">
        <v>0</v>
      </c>
      <c r="F47" s="11">
        <v>1767.19</v>
      </c>
      <c r="G47" s="11"/>
      <c r="H47" s="11">
        <v>-73306.720000000001</v>
      </c>
    </row>
    <row r="48" spans="1:8" x14ac:dyDescent="0.25">
      <c r="A48" s="15" t="s">
        <v>228</v>
      </c>
      <c r="B48" s="16">
        <v>280</v>
      </c>
      <c r="C48" s="16" t="s">
        <v>52</v>
      </c>
      <c r="D48" s="17">
        <v>-67805.02</v>
      </c>
      <c r="E48" s="17">
        <v>0</v>
      </c>
      <c r="F48" s="17">
        <v>1666.29</v>
      </c>
      <c r="G48" s="17"/>
      <c r="H48" s="17">
        <v>-69471.31</v>
      </c>
    </row>
    <row r="49" spans="1:8" x14ac:dyDescent="0.25">
      <c r="A49" s="15" t="s">
        <v>229</v>
      </c>
      <c r="B49" s="16">
        <v>299</v>
      </c>
      <c r="C49" s="16" t="s">
        <v>53</v>
      </c>
      <c r="D49" s="17">
        <v>-3555.87</v>
      </c>
      <c r="E49" s="17">
        <v>0</v>
      </c>
      <c r="F49" s="17">
        <v>84.66</v>
      </c>
      <c r="G49" s="17"/>
      <c r="H49" s="17">
        <v>-3640.53</v>
      </c>
    </row>
    <row r="50" spans="1:8" x14ac:dyDescent="0.25">
      <c r="A50" s="15" t="s">
        <v>230</v>
      </c>
      <c r="B50" s="16">
        <v>329</v>
      </c>
      <c r="C50" s="16" t="s">
        <v>54</v>
      </c>
      <c r="D50" s="17">
        <v>-178.64</v>
      </c>
      <c r="E50" s="17">
        <v>0</v>
      </c>
      <c r="F50" s="17">
        <v>16.239999999999998</v>
      </c>
      <c r="G50" s="17"/>
      <c r="H50" s="17">
        <v>-194.88</v>
      </c>
    </row>
    <row r="51" spans="1:8" x14ac:dyDescent="0.25">
      <c r="A51" s="12" t="s">
        <v>231</v>
      </c>
      <c r="B51" s="10"/>
      <c r="C51" s="10" t="s">
        <v>55</v>
      </c>
      <c r="D51" s="11">
        <v>51281.75</v>
      </c>
      <c r="E51" s="11">
        <v>0</v>
      </c>
      <c r="F51" s="11">
        <v>4316.67</v>
      </c>
      <c r="G51" s="11"/>
      <c r="H51" s="11">
        <v>46965.08</v>
      </c>
    </row>
    <row r="52" spans="1:8" x14ac:dyDescent="0.25">
      <c r="A52" s="12" t="s">
        <v>232</v>
      </c>
      <c r="B52" s="10"/>
      <c r="C52" s="10" t="s">
        <v>55</v>
      </c>
      <c r="D52" s="11">
        <v>109099</v>
      </c>
      <c r="E52" s="11">
        <v>0</v>
      </c>
      <c r="F52" s="11">
        <v>0</v>
      </c>
      <c r="G52" s="11"/>
      <c r="H52" s="11">
        <v>109099</v>
      </c>
    </row>
    <row r="53" spans="1:8" x14ac:dyDescent="0.25">
      <c r="A53" s="15" t="s">
        <v>233</v>
      </c>
      <c r="B53" s="16">
        <v>2615</v>
      </c>
      <c r="C53" s="16" t="s">
        <v>56</v>
      </c>
      <c r="D53" s="17">
        <v>5499</v>
      </c>
      <c r="E53" s="17">
        <v>0</v>
      </c>
      <c r="F53" s="17">
        <v>0</v>
      </c>
      <c r="G53" s="17"/>
      <c r="H53" s="17">
        <v>5499</v>
      </c>
    </row>
    <row r="54" spans="1:8" x14ac:dyDescent="0.25">
      <c r="A54" s="15" t="s">
        <v>234</v>
      </c>
      <c r="B54" s="16">
        <v>3948</v>
      </c>
      <c r="C54" s="16" t="s">
        <v>57</v>
      </c>
      <c r="D54" s="17">
        <v>103600</v>
      </c>
      <c r="E54" s="17">
        <v>0</v>
      </c>
      <c r="F54" s="17">
        <v>0</v>
      </c>
      <c r="G54" s="17"/>
      <c r="H54" s="17">
        <v>103600</v>
      </c>
    </row>
    <row r="55" spans="1:8" x14ac:dyDescent="0.25">
      <c r="A55" s="12" t="s">
        <v>235</v>
      </c>
      <c r="B55" s="10"/>
      <c r="C55" s="10" t="s">
        <v>58</v>
      </c>
      <c r="D55" s="11">
        <v>-57817.25</v>
      </c>
      <c r="E55" s="11">
        <v>0</v>
      </c>
      <c r="F55" s="11">
        <v>4316.67</v>
      </c>
      <c r="G55" s="11"/>
      <c r="H55" s="11">
        <v>-62133.919999999998</v>
      </c>
    </row>
    <row r="56" spans="1:8" x14ac:dyDescent="0.25">
      <c r="A56" s="15" t="s">
        <v>236</v>
      </c>
      <c r="B56" s="16">
        <v>3964</v>
      </c>
      <c r="C56" s="16" t="s">
        <v>59</v>
      </c>
      <c r="D56" s="17">
        <v>-57817.25</v>
      </c>
      <c r="E56" s="17">
        <v>0</v>
      </c>
      <c r="F56" s="17">
        <v>4316.67</v>
      </c>
      <c r="G56" s="17"/>
      <c r="H56" s="17">
        <v>-62133.919999999998</v>
      </c>
    </row>
    <row r="57" spans="1:8" x14ac:dyDescent="0.25">
      <c r="A57" s="12" t="s">
        <v>237</v>
      </c>
      <c r="B57" s="10"/>
      <c r="C57" s="10" t="s">
        <v>60</v>
      </c>
      <c r="D57" s="11">
        <v>0</v>
      </c>
      <c r="E57" s="11">
        <v>149786.32999999999</v>
      </c>
      <c r="F57" s="11">
        <v>149786.32999999999</v>
      </c>
      <c r="G57" s="11"/>
      <c r="H57" s="11">
        <v>0</v>
      </c>
    </row>
    <row r="58" spans="1:8" x14ac:dyDescent="0.25">
      <c r="A58" s="12" t="s">
        <v>238</v>
      </c>
      <c r="B58" s="10"/>
      <c r="C58" s="10" t="s">
        <v>61</v>
      </c>
      <c r="D58" s="11">
        <v>0</v>
      </c>
      <c r="E58" s="11">
        <v>149786.32999999999</v>
      </c>
      <c r="F58" s="11">
        <v>149786.32999999999</v>
      </c>
      <c r="G58" s="11"/>
      <c r="H58" s="11">
        <v>0</v>
      </c>
    </row>
    <row r="59" spans="1:8" x14ac:dyDescent="0.25">
      <c r="A59" s="15" t="s">
        <v>240</v>
      </c>
      <c r="B59" s="16">
        <v>5881</v>
      </c>
      <c r="C59" s="16" t="s">
        <v>63</v>
      </c>
      <c r="D59" s="17">
        <v>0</v>
      </c>
      <c r="E59" s="17">
        <v>86841</v>
      </c>
      <c r="F59" s="17">
        <v>86841</v>
      </c>
      <c r="G59" s="17"/>
      <c r="H59" s="17">
        <v>0</v>
      </c>
    </row>
    <row r="60" spans="1:8" x14ac:dyDescent="0.25">
      <c r="A60" s="15" t="s">
        <v>241</v>
      </c>
      <c r="B60" s="16">
        <v>5883</v>
      </c>
      <c r="C60" s="16" t="s">
        <v>64</v>
      </c>
      <c r="D60" s="17">
        <v>0</v>
      </c>
      <c r="E60" s="17">
        <v>7658</v>
      </c>
      <c r="F60" s="17">
        <v>7658</v>
      </c>
      <c r="G60" s="17"/>
      <c r="H60" s="17">
        <v>0</v>
      </c>
    </row>
    <row r="61" spans="1:8" x14ac:dyDescent="0.25">
      <c r="A61" s="15" t="s">
        <v>239</v>
      </c>
      <c r="B61" s="16">
        <v>5886</v>
      </c>
      <c r="C61" s="16" t="s">
        <v>62</v>
      </c>
      <c r="D61" s="17">
        <v>0</v>
      </c>
      <c r="E61" s="17">
        <v>55287.33</v>
      </c>
      <c r="F61" s="17">
        <v>55287.33</v>
      </c>
      <c r="G61" s="17"/>
      <c r="H61" s="17">
        <v>0</v>
      </c>
    </row>
    <row r="62" spans="1:8" x14ac:dyDescent="0.25">
      <c r="A62" s="12">
        <v>2</v>
      </c>
      <c r="B62" s="10"/>
      <c r="C62" s="10" t="s">
        <v>65</v>
      </c>
      <c r="D62" s="11">
        <v>5280712.75</v>
      </c>
      <c r="E62" s="11">
        <v>1755058.06</v>
      </c>
      <c r="F62" s="11">
        <v>2101016.89</v>
      </c>
      <c r="G62" s="11"/>
      <c r="H62" s="11">
        <v>5626671.5800000001</v>
      </c>
    </row>
    <row r="63" spans="1:8" x14ac:dyDescent="0.25">
      <c r="A63" s="12" t="s">
        <v>242</v>
      </c>
      <c r="B63" s="10"/>
      <c r="C63" s="10" t="s">
        <v>66</v>
      </c>
      <c r="D63" s="11">
        <v>3072108.39</v>
      </c>
      <c r="E63" s="11">
        <v>1604352.77</v>
      </c>
      <c r="F63" s="11">
        <v>1267779.9099999999</v>
      </c>
      <c r="G63" s="11"/>
      <c r="H63" s="11">
        <v>2735535.53</v>
      </c>
    </row>
    <row r="64" spans="1:8" x14ac:dyDescent="0.25">
      <c r="A64" s="12" t="s">
        <v>243</v>
      </c>
      <c r="B64" s="10"/>
      <c r="C64" s="10" t="s">
        <v>67</v>
      </c>
      <c r="D64" s="11">
        <v>3072108.39</v>
      </c>
      <c r="E64" s="11">
        <v>1604352.77</v>
      </c>
      <c r="F64" s="11">
        <v>1267779.9099999999</v>
      </c>
      <c r="G64" s="11"/>
      <c r="H64" s="11">
        <v>2735535.53</v>
      </c>
    </row>
    <row r="65" spans="1:8" x14ac:dyDescent="0.25">
      <c r="A65" s="12" t="s">
        <v>244</v>
      </c>
      <c r="B65" s="10"/>
      <c r="C65" s="10" t="s">
        <v>68</v>
      </c>
      <c r="D65" s="11">
        <v>1912973.39</v>
      </c>
      <c r="E65" s="11">
        <v>853113.86</v>
      </c>
      <c r="F65" s="11">
        <v>675380.26</v>
      </c>
      <c r="G65" s="11"/>
      <c r="H65" s="11">
        <v>1735239.79</v>
      </c>
    </row>
    <row r="66" spans="1:8" x14ac:dyDescent="0.25">
      <c r="A66" s="15" t="s">
        <v>245</v>
      </c>
      <c r="B66" s="16">
        <v>353</v>
      </c>
      <c r="C66" s="16" t="s">
        <v>69</v>
      </c>
      <c r="D66" s="17">
        <v>1912973.39</v>
      </c>
      <c r="E66" s="17">
        <v>853113.86</v>
      </c>
      <c r="F66" s="17">
        <v>675380.26</v>
      </c>
      <c r="G66" s="17"/>
      <c r="H66" s="17">
        <v>1735239.79</v>
      </c>
    </row>
    <row r="67" spans="1:8" x14ac:dyDescent="0.25">
      <c r="A67" s="12" t="s">
        <v>246</v>
      </c>
      <c r="B67" s="10"/>
      <c r="C67" s="10" t="s">
        <v>70</v>
      </c>
      <c r="D67" s="11">
        <v>218367.14</v>
      </c>
      <c r="E67" s="11">
        <v>65935.14</v>
      </c>
      <c r="F67" s="11">
        <v>87737.07</v>
      </c>
      <c r="G67" s="11"/>
      <c r="H67" s="11">
        <v>240169.07</v>
      </c>
    </row>
    <row r="68" spans="1:8" x14ac:dyDescent="0.25">
      <c r="A68" s="15" t="s">
        <v>248</v>
      </c>
      <c r="B68" s="16">
        <v>361</v>
      </c>
      <c r="C68" s="16" t="s">
        <v>13</v>
      </c>
      <c r="D68" s="17">
        <v>28351.71</v>
      </c>
      <c r="E68" s="17">
        <v>28351.71</v>
      </c>
      <c r="F68" s="17">
        <v>71109.009999999995</v>
      </c>
      <c r="G68" s="17"/>
      <c r="H68" s="17">
        <v>71109.009999999995</v>
      </c>
    </row>
    <row r="69" spans="1:8" x14ac:dyDescent="0.25">
      <c r="A69" s="15" t="s">
        <v>247</v>
      </c>
      <c r="B69" s="16">
        <v>362</v>
      </c>
      <c r="C69" s="16" t="s">
        <v>12</v>
      </c>
      <c r="D69" s="17">
        <v>26575.43</v>
      </c>
      <c r="E69" s="17">
        <v>26575.43</v>
      </c>
      <c r="F69" s="17">
        <v>9060.06</v>
      </c>
      <c r="G69" s="17"/>
      <c r="H69" s="17">
        <v>9060.06</v>
      </c>
    </row>
    <row r="70" spans="1:8" x14ac:dyDescent="0.25">
      <c r="A70" s="15" t="s">
        <v>249</v>
      </c>
      <c r="B70" s="16">
        <v>5885</v>
      </c>
      <c r="C70" s="16" t="s">
        <v>71</v>
      </c>
      <c r="D70" s="17">
        <v>163440</v>
      </c>
      <c r="E70" s="17">
        <v>11008</v>
      </c>
      <c r="F70" s="17">
        <v>7568</v>
      </c>
      <c r="G70" s="17"/>
      <c r="H70" s="17">
        <v>160000</v>
      </c>
    </row>
    <row r="71" spans="1:8" x14ac:dyDescent="0.25">
      <c r="A71" s="12" t="s">
        <v>250</v>
      </c>
      <c r="B71" s="10"/>
      <c r="C71" s="10" t="s">
        <v>72</v>
      </c>
      <c r="D71" s="11">
        <v>41399.550000000003</v>
      </c>
      <c r="E71" s="11">
        <v>136998.29</v>
      </c>
      <c r="F71" s="11">
        <v>164900.45000000001</v>
      </c>
      <c r="G71" s="11"/>
      <c r="H71" s="11">
        <v>69301.710000000006</v>
      </c>
    </row>
    <row r="72" spans="1:8" x14ac:dyDescent="0.25">
      <c r="A72" s="15" t="s">
        <v>251</v>
      </c>
      <c r="B72" s="16">
        <v>418</v>
      </c>
      <c r="C72" s="16" t="s">
        <v>73</v>
      </c>
      <c r="D72" s="17">
        <v>0</v>
      </c>
      <c r="E72" s="17">
        <v>2324.61</v>
      </c>
      <c r="F72" s="17">
        <v>2324.61</v>
      </c>
      <c r="G72" s="17"/>
      <c r="H72" s="17">
        <v>0</v>
      </c>
    </row>
    <row r="73" spans="1:8" x14ac:dyDescent="0.25">
      <c r="A73" s="15" t="s">
        <v>254</v>
      </c>
      <c r="B73" s="16">
        <v>434</v>
      </c>
      <c r="C73" s="16" t="s">
        <v>76</v>
      </c>
      <c r="D73" s="17">
        <v>0</v>
      </c>
      <c r="E73" s="17">
        <v>77465.899999999994</v>
      </c>
      <c r="F73" s="17">
        <v>77465.899999999994</v>
      </c>
      <c r="G73" s="17"/>
      <c r="H73" s="17">
        <v>0</v>
      </c>
    </row>
    <row r="74" spans="1:8" x14ac:dyDescent="0.25">
      <c r="A74" s="15" t="s">
        <v>252</v>
      </c>
      <c r="B74" s="16">
        <v>4596</v>
      </c>
      <c r="C74" s="16" t="s">
        <v>74</v>
      </c>
      <c r="D74" s="17">
        <v>4495.99</v>
      </c>
      <c r="E74" s="17">
        <v>4918.6000000000004</v>
      </c>
      <c r="F74" s="17">
        <v>9156.6299999999992</v>
      </c>
      <c r="G74" s="17"/>
      <c r="H74" s="17">
        <v>8734.02</v>
      </c>
    </row>
    <row r="75" spans="1:8" x14ac:dyDescent="0.25">
      <c r="A75" s="15" t="s">
        <v>253</v>
      </c>
      <c r="B75" s="16">
        <v>4600</v>
      </c>
      <c r="C75" s="16" t="s">
        <v>75</v>
      </c>
      <c r="D75" s="17">
        <v>36903.56</v>
      </c>
      <c r="E75" s="17">
        <v>51106.76</v>
      </c>
      <c r="F75" s="17">
        <v>45095.66</v>
      </c>
      <c r="G75" s="17"/>
      <c r="H75" s="17">
        <v>30892.46</v>
      </c>
    </row>
    <row r="76" spans="1:8" x14ac:dyDescent="0.25">
      <c r="A76" s="15" t="s">
        <v>381</v>
      </c>
      <c r="B76" s="16">
        <v>4812</v>
      </c>
      <c r="C76" s="16" t="s">
        <v>372</v>
      </c>
      <c r="D76" s="17">
        <v>0</v>
      </c>
      <c r="E76" s="17">
        <v>1182.42</v>
      </c>
      <c r="F76" s="17">
        <v>30857.65</v>
      </c>
      <c r="G76" s="17"/>
      <c r="H76" s="17">
        <v>29675.23</v>
      </c>
    </row>
    <row r="77" spans="1:8" x14ac:dyDescent="0.25">
      <c r="A77" s="12" t="s">
        <v>255</v>
      </c>
      <c r="B77" s="10"/>
      <c r="C77" s="10" t="s">
        <v>77</v>
      </c>
      <c r="D77" s="11">
        <v>3694.56</v>
      </c>
      <c r="E77" s="11">
        <v>5233.1099999999997</v>
      </c>
      <c r="F77" s="11">
        <v>2315.69</v>
      </c>
      <c r="G77" s="11"/>
      <c r="H77" s="11">
        <v>777.14</v>
      </c>
    </row>
    <row r="78" spans="1:8" x14ac:dyDescent="0.25">
      <c r="A78" s="15" t="s">
        <v>257</v>
      </c>
      <c r="B78" s="16">
        <v>4618</v>
      </c>
      <c r="C78" s="16" t="s">
        <v>79</v>
      </c>
      <c r="D78" s="17">
        <v>2713.49</v>
      </c>
      <c r="E78" s="17">
        <v>3124.76</v>
      </c>
      <c r="F78" s="17">
        <v>994.69</v>
      </c>
      <c r="G78" s="17"/>
      <c r="H78" s="17">
        <v>583.41999999999996</v>
      </c>
    </row>
    <row r="79" spans="1:8" x14ac:dyDescent="0.25">
      <c r="A79" s="15" t="s">
        <v>256</v>
      </c>
      <c r="B79" s="16">
        <v>4626</v>
      </c>
      <c r="C79" s="16" t="s">
        <v>78</v>
      </c>
      <c r="D79" s="17">
        <v>806.07</v>
      </c>
      <c r="E79" s="17">
        <v>1732.26</v>
      </c>
      <c r="F79" s="17">
        <v>1085.3599999999999</v>
      </c>
      <c r="G79" s="17"/>
      <c r="H79" s="17">
        <v>159.16999999999999</v>
      </c>
    </row>
    <row r="80" spans="1:8" x14ac:dyDescent="0.25">
      <c r="A80" s="15" t="s">
        <v>258</v>
      </c>
      <c r="B80" s="16">
        <v>4677</v>
      </c>
      <c r="C80" s="16" t="s">
        <v>80</v>
      </c>
      <c r="D80" s="17">
        <v>175</v>
      </c>
      <c r="E80" s="17">
        <v>376.09</v>
      </c>
      <c r="F80" s="17">
        <v>235.64</v>
      </c>
      <c r="G80" s="17"/>
      <c r="H80" s="17">
        <v>34.549999999999997</v>
      </c>
    </row>
    <row r="81" spans="1:8" x14ac:dyDescent="0.25">
      <c r="A81" s="12" t="s">
        <v>259</v>
      </c>
      <c r="B81" s="10"/>
      <c r="C81" s="10" t="s">
        <v>81</v>
      </c>
      <c r="D81" s="11">
        <v>436716.79</v>
      </c>
      <c r="E81" s="11">
        <v>156010.85999999999</v>
      </c>
      <c r="F81" s="11">
        <v>122256.36</v>
      </c>
      <c r="G81" s="11"/>
      <c r="H81" s="11">
        <v>402962.29</v>
      </c>
    </row>
    <row r="82" spans="1:8" x14ac:dyDescent="0.25">
      <c r="A82" s="15" t="s">
        <v>260</v>
      </c>
      <c r="B82" s="16">
        <v>582</v>
      </c>
      <c r="C82" s="16" t="s">
        <v>82</v>
      </c>
      <c r="D82" s="17">
        <v>3848.18</v>
      </c>
      <c r="E82" s="17">
        <v>0</v>
      </c>
      <c r="F82" s="17">
        <v>4434.01</v>
      </c>
      <c r="G82" s="17"/>
      <c r="H82" s="17">
        <v>8282.19</v>
      </c>
    </row>
    <row r="83" spans="1:8" x14ac:dyDescent="0.25">
      <c r="A83" s="15" t="s">
        <v>264</v>
      </c>
      <c r="B83" s="16">
        <v>590</v>
      </c>
      <c r="C83" s="16" t="s">
        <v>86</v>
      </c>
      <c r="D83" s="17">
        <v>73541.929999999993</v>
      </c>
      <c r="E83" s="17">
        <v>2283.1799999999998</v>
      </c>
      <c r="F83" s="17">
        <v>6391.9</v>
      </c>
      <c r="G83" s="17"/>
      <c r="H83" s="17">
        <v>77650.649999999994</v>
      </c>
    </row>
    <row r="84" spans="1:8" x14ac:dyDescent="0.25">
      <c r="A84" s="15" t="s">
        <v>262</v>
      </c>
      <c r="B84" s="16">
        <v>3417</v>
      </c>
      <c r="C84" s="16" t="s">
        <v>84</v>
      </c>
      <c r="D84" s="17">
        <v>1346.86</v>
      </c>
      <c r="E84" s="17">
        <v>0</v>
      </c>
      <c r="F84" s="17">
        <v>1543.04</v>
      </c>
      <c r="G84" s="17"/>
      <c r="H84" s="17">
        <v>2889.9</v>
      </c>
    </row>
    <row r="85" spans="1:8" x14ac:dyDescent="0.25">
      <c r="A85" s="15" t="s">
        <v>263</v>
      </c>
      <c r="B85" s="16">
        <v>3425</v>
      </c>
      <c r="C85" s="16" t="s">
        <v>85</v>
      </c>
      <c r="D85" s="17">
        <v>27262.21</v>
      </c>
      <c r="E85" s="17">
        <v>0</v>
      </c>
      <c r="F85" s="17">
        <v>1671.55</v>
      </c>
      <c r="G85" s="17"/>
      <c r="H85" s="17">
        <v>28933.759999999998</v>
      </c>
    </row>
    <row r="86" spans="1:8" x14ac:dyDescent="0.25">
      <c r="A86" s="15" t="s">
        <v>265</v>
      </c>
      <c r="B86" s="16">
        <v>5150</v>
      </c>
      <c r="C86" s="16" t="s">
        <v>87</v>
      </c>
      <c r="D86" s="17">
        <v>35482.699999999997</v>
      </c>
      <c r="E86" s="17">
        <v>0</v>
      </c>
      <c r="F86" s="17">
        <v>354.83</v>
      </c>
      <c r="G86" s="17"/>
      <c r="H86" s="17">
        <v>35837.53</v>
      </c>
    </row>
    <row r="87" spans="1:8" x14ac:dyDescent="0.25">
      <c r="A87" s="15" t="s">
        <v>261</v>
      </c>
      <c r="B87" s="16">
        <v>5240</v>
      </c>
      <c r="C87" s="16" t="s">
        <v>83</v>
      </c>
      <c r="D87" s="17">
        <v>295234.90999999997</v>
      </c>
      <c r="E87" s="17">
        <v>153727.67999999999</v>
      </c>
      <c r="F87" s="17">
        <v>107861.03</v>
      </c>
      <c r="G87" s="17"/>
      <c r="H87" s="17">
        <v>249368.26</v>
      </c>
    </row>
    <row r="88" spans="1:8" x14ac:dyDescent="0.25">
      <c r="A88" s="12" t="s">
        <v>266</v>
      </c>
      <c r="B88" s="10"/>
      <c r="C88" s="10" t="s">
        <v>88</v>
      </c>
      <c r="D88" s="11">
        <v>152655.5</v>
      </c>
      <c r="E88" s="11">
        <v>162485.17000000001</v>
      </c>
      <c r="F88" s="11">
        <v>72085.72</v>
      </c>
      <c r="G88" s="11"/>
      <c r="H88" s="11">
        <v>62256.05</v>
      </c>
    </row>
    <row r="89" spans="1:8" x14ac:dyDescent="0.25">
      <c r="A89" s="15" t="s">
        <v>269</v>
      </c>
      <c r="B89" s="16">
        <v>604</v>
      </c>
      <c r="C89" s="16" t="s">
        <v>91</v>
      </c>
      <c r="D89" s="17">
        <v>96649.45</v>
      </c>
      <c r="E89" s="17">
        <v>125294.18</v>
      </c>
      <c r="F89" s="17">
        <v>66383.88</v>
      </c>
      <c r="G89" s="17"/>
      <c r="H89" s="17">
        <v>37739.15</v>
      </c>
    </row>
    <row r="90" spans="1:8" x14ac:dyDescent="0.25">
      <c r="A90" s="15" t="s">
        <v>271</v>
      </c>
      <c r="B90" s="16">
        <v>620</v>
      </c>
      <c r="C90" s="16" t="s">
        <v>93</v>
      </c>
      <c r="D90" s="17">
        <v>365.73</v>
      </c>
      <c r="E90" s="17">
        <v>365.73</v>
      </c>
      <c r="F90" s="17">
        <v>1390.69</v>
      </c>
      <c r="G90" s="17"/>
      <c r="H90" s="17">
        <v>1390.69</v>
      </c>
    </row>
    <row r="91" spans="1:8" x14ac:dyDescent="0.25">
      <c r="A91" s="15" t="s">
        <v>270</v>
      </c>
      <c r="B91" s="16">
        <v>4650</v>
      </c>
      <c r="C91" s="16" t="s">
        <v>92</v>
      </c>
      <c r="D91" s="17">
        <v>46145.73</v>
      </c>
      <c r="E91" s="17">
        <v>27330.67</v>
      </c>
      <c r="F91" s="17">
        <v>0</v>
      </c>
      <c r="G91" s="17"/>
      <c r="H91" s="17">
        <v>18815.060000000001</v>
      </c>
    </row>
    <row r="92" spans="1:8" x14ac:dyDescent="0.25">
      <c r="A92" s="15" t="s">
        <v>268</v>
      </c>
      <c r="B92" s="16">
        <v>5880</v>
      </c>
      <c r="C92" s="16" t="s">
        <v>90</v>
      </c>
      <c r="D92" s="17">
        <v>9494.59</v>
      </c>
      <c r="E92" s="17">
        <v>9494.59</v>
      </c>
      <c r="F92" s="17">
        <v>4311.1499999999996</v>
      </c>
      <c r="G92" s="17"/>
      <c r="H92" s="17">
        <v>4311.1499999999996</v>
      </c>
    </row>
    <row r="93" spans="1:8" x14ac:dyDescent="0.25">
      <c r="A93" s="12" t="s">
        <v>272</v>
      </c>
      <c r="B93" s="10"/>
      <c r="C93" s="10" t="s">
        <v>94</v>
      </c>
      <c r="D93" s="11">
        <v>306301.46000000002</v>
      </c>
      <c r="E93" s="11">
        <v>224576.34</v>
      </c>
      <c r="F93" s="11">
        <v>143104.35999999999</v>
      </c>
      <c r="G93" s="11"/>
      <c r="H93" s="11">
        <v>224829.48</v>
      </c>
    </row>
    <row r="94" spans="1:8" x14ac:dyDescent="0.25">
      <c r="A94" s="15" t="s">
        <v>274</v>
      </c>
      <c r="B94" s="16">
        <v>3468</v>
      </c>
      <c r="C94" s="16" t="s">
        <v>96</v>
      </c>
      <c r="D94" s="17">
        <v>288075.40999999997</v>
      </c>
      <c r="E94" s="17">
        <v>206172.78</v>
      </c>
      <c r="F94" s="17">
        <v>138545.43</v>
      </c>
      <c r="G94" s="17"/>
      <c r="H94" s="17">
        <v>220448.06</v>
      </c>
    </row>
    <row r="95" spans="1:8" x14ac:dyDescent="0.25">
      <c r="A95" s="15" t="s">
        <v>276</v>
      </c>
      <c r="B95" s="16">
        <v>5428</v>
      </c>
      <c r="C95" s="16" t="s">
        <v>98</v>
      </c>
      <c r="D95" s="17">
        <v>18226.05</v>
      </c>
      <c r="E95" s="17">
        <v>18403.560000000001</v>
      </c>
      <c r="F95" s="17">
        <v>4558.93</v>
      </c>
      <c r="G95" s="17"/>
      <c r="H95" s="17">
        <v>4381.42</v>
      </c>
    </row>
    <row r="96" spans="1:8" x14ac:dyDescent="0.25">
      <c r="A96" s="12" t="s">
        <v>277</v>
      </c>
      <c r="B96" s="10"/>
      <c r="C96" s="10" t="s">
        <v>99</v>
      </c>
      <c r="D96" s="11">
        <v>3443803.12</v>
      </c>
      <c r="E96" s="11">
        <v>0</v>
      </c>
      <c r="F96" s="11">
        <v>682531.69</v>
      </c>
      <c r="G96" s="11"/>
      <c r="H96" s="11">
        <v>4126334.81</v>
      </c>
    </row>
    <row r="97" spans="1:8" x14ac:dyDescent="0.25">
      <c r="A97" s="12" t="s">
        <v>278</v>
      </c>
      <c r="B97" s="10"/>
      <c r="C97" s="10" t="s">
        <v>100</v>
      </c>
      <c r="D97" s="11">
        <v>3443803.12</v>
      </c>
      <c r="E97" s="11">
        <v>0</v>
      </c>
      <c r="F97" s="11">
        <v>682531.69</v>
      </c>
      <c r="G97" s="11"/>
      <c r="H97" s="11">
        <v>4126334.81</v>
      </c>
    </row>
    <row r="98" spans="1:8" x14ac:dyDescent="0.25">
      <c r="A98" s="12" t="s">
        <v>279</v>
      </c>
      <c r="B98" s="10"/>
      <c r="C98" s="10" t="s">
        <v>94</v>
      </c>
      <c r="D98" s="11">
        <v>3443803.12</v>
      </c>
      <c r="E98" s="11">
        <v>0</v>
      </c>
      <c r="F98" s="11">
        <v>682531.69</v>
      </c>
      <c r="G98" s="11"/>
      <c r="H98" s="11">
        <v>4126334.81</v>
      </c>
    </row>
    <row r="99" spans="1:8" x14ac:dyDescent="0.25">
      <c r="A99" s="15" t="s">
        <v>280</v>
      </c>
      <c r="B99" s="16">
        <v>3549</v>
      </c>
      <c r="C99" s="16" t="s">
        <v>101</v>
      </c>
      <c r="D99" s="17">
        <v>3443803.12</v>
      </c>
      <c r="E99" s="17">
        <v>0</v>
      </c>
      <c r="F99" s="17">
        <v>682531.69</v>
      </c>
      <c r="G99" s="17"/>
      <c r="H99" s="17">
        <v>4126334.81</v>
      </c>
    </row>
    <row r="100" spans="1:8" x14ac:dyDescent="0.25">
      <c r="A100" s="12" t="s">
        <v>281</v>
      </c>
      <c r="B100" s="10"/>
      <c r="C100" s="10" t="s">
        <v>102</v>
      </c>
      <c r="D100" s="11">
        <v>-1235198.76</v>
      </c>
      <c r="E100" s="11">
        <v>0</v>
      </c>
      <c r="F100" s="11">
        <v>0</v>
      </c>
      <c r="G100" s="11"/>
      <c r="H100" s="11">
        <v>-1235198.76</v>
      </c>
    </row>
    <row r="101" spans="1:8" x14ac:dyDescent="0.25">
      <c r="A101" s="12" t="s">
        <v>282</v>
      </c>
      <c r="B101" s="10"/>
      <c r="C101" s="10" t="s">
        <v>103</v>
      </c>
      <c r="D101" s="11">
        <v>1128000</v>
      </c>
      <c r="E101" s="11">
        <v>0</v>
      </c>
      <c r="F101" s="11">
        <v>0</v>
      </c>
      <c r="G101" s="11"/>
      <c r="H101" s="11">
        <v>1128000</v>
      </c>
    </row>
    <row r="102" spans="1:8" x14ac:dyDescent="0.25">
      <c r="A102" s="12" t="s">
        <v>283</v>
      </c>
      <c r="B102" s="10"/>
      <c r="C102" s="10" t="s">
        <v>104</v>
      </c>
      <c r="D102" s="11">
        <v>1128000</v>
      </c>
      <c r="E102" s="11">
        <v>0</v>
      </c>
      <c r="F102" s="11">
        <v>0</v>
      </c>
      <c r="G102" s="11"/>
      <c r="H102" s="11">
        <v>1128000</v>
      </c>
    </row>
    <row r="103" spans="1:8" x14ac:dyDescent="0.25">
      <c r="A103" s="15" t="s">
        <v>284</v>
      </c>
      <c r="B103" s="16">
        <v>760</v>
      </c>
      <c r="C103" s="16" t="s">
        <v>105</v>
      </c>
      <c r="D103" s="17">
        <v>1128000</v>
      </c>
      <c r="E103" s="17">
        <v>0</v>
      </c>
      <c r="F103" s="17">
        <v>0</v>
      </c>
      <c r="G103" s="17"/>
      <c r="H103" s="17">
        <v>1128000</v>
      </c>
    </row>
    <row r="104" spans="1:8" x14ac:dyDescent="0.25">
      <c r="A104" s="12" t="s">
        <v>285</v>
      </c>
      <c r="B104" s="10"/>
      <c r="C104" s="10" t="s">
        <v>106</v>
      </c>
      <c r="D104" s="11">
        <v>-2363198.7599999998</v>
      </c>
      <c r="E104" s="11">
        <v>0</v>
      </c>
      <c r="F104" s="11">
        <v>0</v>
      </c>
      <c r="G104" s="11"/>
      <c r="H104" s="11">
        <v>-2363198.7599999998</v>
      </c>
    </row>
    <row r="105" spans="1:8" x14ac:dyDescent="0.25">
      <c r="A105" s="12" t="s">
        <v>286</v>
      </c>
      <c r="B105" s="10"/>
      <c r="C105" s="10" t="s">
        <v>106</v>
      </c>
      <c r="D105" s="11">
        <v>-2363198.7599999998</v>
      </c>
      <c r="E105" s="11">
        <v>0</v>
      </c>
      <c r="F105" s="11">
        <v>0</v>
      </c>
      <c r="G105" s="11"/>
      <c r="H105" s="11">
        <v>-2363198.7599999998</v>
      </c>
    </row>
    <row r="106" spans="1:8" x14ac:dyDescent="0.25">
      <c r="A106" s="15" t="s">
        <v>287</v>
      </c>
      <c r="B106" s="16">
        <v>3581</v>
      </c>
      <c r="C106" s="16" t="s">
        <v>107</v>
      </c>
      <c r="D106" s="17">
        <v>-2363198.7599999998</v>
      </c>
      <c r="E106" s="17">
        <v>0</v>
      </c>
      <c r="F106" s="17">
        <v>0</v>
      </c>
      <c r="G106" s="17"/>
      <c r="H106" s="17">
        <v>-2363198.7599999998</v>
      </c>
    </row>
    <row r="107" spans="1:8" x14ac:dyDescent="0.25">
      <c r="A107" s="12" t="s">
        <v>288</v>
      </c>
      <c r="B107" s="10"/>
      <c r="C107" s="10" t="s">
        <v>108</v>
      </c>
      <c r="D107" s="11">
        <v>0</v>
      </c>
      <c r="E107" s="11">
        <v>150705.29</v>
      </c>
      <c r="F107" s="11">
        <v>150705.29</v>
      </c>
      <c r="G107" s="11"/>
      <c r="H107" s="11">
        <v>0</v>
      </c>
    </row>
    <row r="108" spans="1:8" x14ac:dyDescent="0.25">
      <c r="A108" s="12" t="s">
        <v>289</v>
      </c>
      <c r="B108" s="10"/>
      <c r="C108" s="10" t="s">
        <v>61</v>
      </c>
      <c r="D108" s="11">
        <v>0</v>
      </c>
      <c r="E108" s="11">
        <v>150705.29</v>
      </c>
      <c r="F108" s="11">
        <v>150705.29</v>
      </c>
      <c r="G108" s="11"/>
      <c r="H108" s="11">
        <v>0</v>
      </c>
    </row>
    <row r="109" spans="1:8" x14ac:dyDescent="0.25">
      <c r="A109" s="15" t="s">
        <v>291</v>
      </c>
      <c r="B109" s="16">
        <v>5882</v>
      </c>
      <c r="C109" s="16" t="s">
        <v>63</v>
      </c>
      <c r="D109" s="17">
        <v>0</v>
      </c>
      <c r="E109" s="17">
        <v>86841</v>
      </c>
      <c r="F109" s="17">
        <v>86841</v>
      </c>
      <c r="G109" s="17"/>
      <c r="H109" s="17">
        <v>0</v>
      </c>
    </row>
    <row r="110" spans="1:8" x14ac:dyDescent="0.25">
      <c r="A110" s="15" t="s">
        <v>292</v>
      </c>
      <c r="B110" s="16">
        <v>5884</v>
      </c>
      <c r="C110" s="16" t="s">
        <v>64</v>
      </c>
      <c r="D110" s="17">
        <v>0</v>
      </c>
      <c r="E110" s="17">
        <v>8576.9599999999991</v>
      </c>
      <c r="F110" s="17">
        <v>8576.9599999999991</v>
      </c>
      <c r="G110" s="17"/>
      <c r="H110" s="17">
        <v>0</v>
      </c>
    </row>
    <row r="111" spans="1:8" x14ac:dyDescent="0.25">
      <c r="A111" s="15" t="s">
        <v>290</v>
      </c>
      <c r="B111" s="16">
        <v>5887</v>
      </c>
      <c r="C111" s="16" t="s">
        <v>62</v>
      </c>
      <c r="D111" s="17">
        <v>0</v>
      </c>
      <c r="E111" s="17">
        <v>55287.33</v>
      </c>
      <c r="F111" s="17">
        <v>55287.33</v>
      </c>
      <c r="G111" s="17"/>
      <c r="H111" s="17">
        <v>0</v>
      </c>
    </row>
    <row r="112" spans="1:8" x14ac:dyDescent="0.25">
      <c r="A112" s="12">
        <v>3</v>
      </c>
      <c r="B112" s="10"/>
      <c r="C112" s="10" t="s">
        <v>109</v>
      </c>
      <c r="D112" s="11">
        <v>656359.67000000004</v>
      </c>
      <c r="E112" s="11">
        <v>87785.04</v>
      </c>
      <c r="F112" s="11">
        <v>543346.06999999995</v>
      </c>
      <c r="G112" s="55">
        <f>F112-E112</f>
        <v>455561.02999999997</v>
      </c>
      <c r="H112" s="35">
        <v>1111920.7</v>
      </c>
    </row>
    <row r="113" spans="1:8" x14ac:dyDescent="0.25">
      <c r="A113" s="12" t="s">
        <v>293</v>
      </c>
      <c r="B113" s="10"/>
      <c r="C113" s="10" t="s">
        <v>110</v>
      </c>
      <c r="D113" s="11">
        <v>656357.93000000005</v>
      </c>
      <c r="E113" s="11">
        <v>87785.04</v>
      </c>
      <c r="F113" s="11">
        <v>543345.53</v>
      </c>
      <c r="G113" s="55">
        <f t="shared" ref="G113:G176" si="0">F113-E113</f>
        <v>455560.49000000005</v>
      </c>
      <c r="H113" s="34">
        <v>1111918.42</v>
      </c>
    </row>
    <row r="114" spans="1:8" x14ac:dyDescent="0.25">
      <c r="A114" s="12" t="s">
        <v>294</v>
      </c>
      <c r="B114" s="10"/>
      <c r="C114" s="10" t="s">
        <v>111</v>
      </c>
      <c r="D114" s="11">
        <v>704049</v>
      </c>
      <c r="E114" s="11">
        <v>35910.230000000003</v>
      </c>
      <c r="F114" s="11">
        <v>530816.05000000005</v>
      </c>
      <c r="G114" s="55">
        <f t="shared" si="0"/>
        <v>494905.82000000007</v>
      </c>
      <c r="H114" s="34">
        <v>1198954.82</v>
      </c>
    </row>
    <row r="115" spans="1:8" x14ac:dyDescent="0.25">
      <c r="A115" s="12" t="s">
        <v>295</v>
      </c>
      <c r="B115" s="10"/>
      <c r="C115" s="10" t="s">
        <v>112</v>
      </c>
      <c r="D115" s="11">
        <v>651228.61</v>
      </c>
      <c r="E115" s="11">
        <v>0</v>
      </c>
      <c r="F115" s="11">
        <v>526674.34</v>
      </c>
      <c r="G115" s="55">
        <f t="shared" si="0"/>
        <v>526674.34</v>
      </c>
      <c r="H115" s="34">
        <v>1177902.95</v>
      </c>
    </row>
    <row r="116" spans="1:8" x14ac:dyDescent="0.25">
      <c r="A116" s="15" t="s">
        <v>296</v>
      </c>
      <c r="B116" s="16">
        <v>922</v>
      </c>
      <c r="C116" s="16" t="s">
        <v>113</v>
      </c>
      <c r="D116" s="17">
        <v>651228.61</v>
      </c>
      <c r="E116" s="17">
        <v>0</v>
      </c>
      <c r="F116" s="17">
        <v>526674.34</v>
      </c>
      <c r="G116" s="55">
        <f t="shared" si="0"/>
        <v>526674.34</v>
      </c>
      <c r="H116" s="35">
        <v>1177902.95</v>
      </c>
    </row>
    <row r="117" spans="1:8" x14ac:dyDescent="0.25">
      <c r="A117" s="12" t="s">
        <v>297</v>
      </c>
      <c r="B117" s="10"/>
      <c r="C117" s="10" t="s">
        <v>114</v>
      </c>
      <c r="D117" s="11">
        <v>-6163.13</v>
      </c>
      <c r="E117" s="11">
        <v>35910.230000000003</v>
      </c>
      <c r="F117" s="11">
        <v>4141.71</v>
      </c>
      <c r="G117" s="55">
        <f t="shared" si="0"/>
        <v>-31768.520000000004</v>
      </c>
      <c r="H117" s="34">
        <v>-37931.65</v>
      </c>
    </row>
    <row r="118" spans="1:8" x14ac:dyDescent="0.25">
      <c r="A118" s="15" t="s">
        <v>298</v>
      </c>
      <c r="B118" s="16">
        <v>5363</v>
      </c>
      <c r="C118" s="16" t="s">
        <v>115</v>
      </c>
      <c r="D118" s="17">
        <v>-6163.13</v>
      </c>
      <c r="E118" s="17">
        <v>35910.230000000003</v>
      </c>
      <c r="F118" s="17">
        <v>4141.71</v>
      </c>
      <c r="G118" s="55">
        <f t="shared" si="0"/>
        <v>-31768.520000000004</v>
      </c>
      <c r="H118" s="35">
        <v>-37931.65</v>
      </c>
    </row>
    <row r="119" spans="1:8" x14ac:dyDescent="0.25">
      <c r="A119" s="12" t="s">
        <v>299</v>
      </c>
      <c r="B119" s="10"/>
      <c r="C119" s="10" t="s">
        <v>116</v>
      </c>
      <c r="D119" s="11">
        <v>58983.519999999997</v>
      </c>
      <c r="E119" s="11">
        <v>0</v>
      </c>
      <c r="F119" s="11">
        <v>0</v>
      </c>
      <c r="G119" s="55">
        <f t="shared" si="0"/>
        <v>0</v>
      </c>
      <c r="H119" s="34">
        <v>58983.519999999997</v>
      </c>
    </row>
    <row r="120" spans="1:8" x14ac:dyDescent="0.25">
      <c r="A120" s="15" t="s">
        <v>300</v>
      </c>
      <c r="B120" s="16">
        <v>5495</v>
      </c>
      <c r="C120" s="16" t="s">
        <v>117</v>
      </c>
      <c r="D120" s="17">
        <v>58983.519999999997</v>
      </c>
      <c r="E120" s="17">
        <v>0</v>
      </c>
      <c r="F120" s="17">
        <v>0</v>
      </c>
      <c r="G120" s="55">
        <f t="shared" si="0"/>
        <v>0</v>
      </c>
      <c r="H120" s="35">
        <v>58983.519999999997</v>
      </c>
    </row>
    <row r="121" spans="1:8" x14ac:dyDescent="0.25">
      <c r="A121" s="12" t="s">
        <v>301</v>
      </c>
      <c r="B121" s="10"/>
      <c r="C121" s="10" t="s">
        <v>118</v>
      </c>
      <c r="D121" s="11">
        <v>-47691.07</v>
      </c>
      <c r="E121" s="11">
        <v>51874.81</v>
      </c>
      <c r="F121" s="11">
        <v>12529.48</v>
      </c>
      <c r="G121" s="55">
        <f t="shared" si="0"/>
        <v>-39345.33</v>
      </c>
      <c r="H121" s="34">
        <v>-87036.4</v>
      </c>
    </row>
    <row r="122" spans="1:8" x14ac:dyDescent="0.25">
      <c r="A122" s="12" t="s">
        <v>302</v>
      </c>
      <c r="B122" s="10"/>
      <c r="C122" s="10" t="s">
        <v>119</v>
      </c>
      <c r="D122" s="11">
        <v>-47691.07</v>
      </c>
      <c r="E122" s="11">
        <v>51874.81</v>
      </c>
      <c r="F122" s="11">
        <v>12529.48</v>
      </c>
      <c r="G122" s="55">
        <f t="shared" si="0"/>
        <v>-39345.33</v>
      </c>
      <c r="H122" s="34">
        <v>-87036.4</v>
      </c>
    </row>
    <row r="123" spans="1:8" x14ac:dyDescent="0.25">
      <c r="A123" s="15" t="s">
        <v>303</v>
      </c>
      <c r="B123" s="16">
        <v>981</v>
      </c>
      <c r="C123" s="16" t="s">
        <v>120</v>
      </c>
      <c r="D123" s="17">
        <v>-806.07</v>
      </c>
      <c r="E123" s="17">
        <v>1085.3599999999999</v>
      </c>
      <c r="F123" s="17">
        <v>0</v>
      </c>
      <c r="G123" s="55">
        <f t="shared" si="0"/>
        <v>-1085.3599999999999</v>
      </c>
      <c r="H123" s="35">
        <v>-1891.43</v>
      </c>
    </row>
    <row r="124" spans="1:8" x14ac:dyDescent="0.25">
      <c r="A124" s="15" t="s">
        <v>306</v>
      </c>
      <c r="B124" s="16">
        <v>4014</v>
      </c>
      <c r="C124" s="16" t="s">
        <v>123</v>
      </c>
      <c r="D124" s="17">
        <v>-175</v>
      </c>
      <c r="E124" s="17">
        <v>235.64</v>
      </c>
      <c r="F124" s="17">
        <v>0</v>
      </c>
      <c r="G124" s="55">
        <f t="shared" si="0"/>
        <v>-235.64</v>
      </c>
      <c r="H124" s="35">
        <v>-410.64</v>
      </c>
    </row>
    <row r="125" spans="1:8" x14ac:dyDescent="0.25">
      <c r="A125" s="15" t="s">
        <v>305</v>
      </c>
      <c r="B125" s="16">
        <v>1007</v>
      </c>
      <c r="C125" s="16" t="s">
        <v>122</v>
      </c>
      <c r="D125" s="17">
        <v>-57697.01</v>
      </c>
      <c r="E125" s="17">
        <v>50553.81</v>
      </c>
      <c r="F125" s="17">
        <v>1142.6500000000001</v>
      </c>
      <c r="G125" s="55">
        <f t="shared" si="0"/>
        <v>-49411.159999999996</v>
      </c>
      <c r="H125" s="35">
        <v>-107108.17</v>
      </c>
    </row>
    <row r="126" spans="1:8" x14ac:dyDescent="0.25">
      <c r="A126" s="15" t="s">
        <v>304</v>
      </c>
      <c r="B126" s="16">
        <v>5410</v>
      </c>
      <c r="C126" s="16" t="s">
        <v>121</v>
      </c>
      <c r="D126" s="17">
        <v>10987.01</v>
      </c>
      <c r="E126" s="17">
        <v>0</v>
      </c>
      <c r="F126" s="17">
        <v>11386.83</v>
      </c>
      <c r="G126" s="55">
        <f t="shared" si="0"/>
        <v>11386.83</v>
      </c>
      <c r="H126" s="35">
        <v>22373.84</v>
      </c>
    </row>
    <row r="127" spans="1:8" x14ac:dyDescent="0.25">
      <c r="A127" s="12" t="s">
        <v>307</v>
      </c>
      <c r="B127" s="10"/>
      <c r="C127" s="10" t="s">
        <v>124</v>
      </c>
      <c r="D127" s="11">
        <v>1.74</v>
      </c>
      <c r="E127" s="11">
        <v>0</v>
      </c>
      <c r="F127" s="11">
        <v>0.54</v>
      </c>
      <c r="G127" s="55">
        <f t="shared" si="0"/>
        <v>0.54</v>
      </c>
      <c r="H127" s="34">
        <v>2.2799999999999998</v>
      </c>
    </row>
    <row r="128" spans="1:8" x14ac:dyDescent="0.25">
      <c r="A128" s="12" t="s">
        <v>308</v>
      </c>
      <c r="B128" s="10"/>
      <c r="C128" s="10" t="s">
        <v>125</v>
      </c>
      <c r="D128" s="11">
        <v>1.74</v>
      </c>
      <c r="E128" s="11">
        <v>0</v>
      </c>
      <c r="F128" s="11">
        <v>0.54</v>
      </c>
      <c r="G128" s="55">
        <f t="shared" si="0"/>
        <v>0.54</v>
      </c>
      <c r="H128" s="34">
        <v>2.2799999999999998</v>
      </c>
    </row>
    <row r="129" spans="1:8" x14ac:dyDescent="0.25">
      <c r="A129" s="12" t="s">
        <v>309</v>
      </c>
      <c r="B129" s="10"/>
      <c r="C129" s="10" t="s">
        <v>126</v>
      </c>
      <c r="D129" s="11">
        <v>1.74</v>
      </c>
      <c r="E129" s="11">
        <v>0</v>
      </c>
      <c r="F129" s="11">
        <v>0.54</v>
      </c>
      <c r="G129" s="55">
        <f t="shared" si="0"/>
        <v>0.54</v>
      </c>
      <c r="H129" s="34">
        <v>2.2799999999999998</v>
      </c>
    </row>
    <row r="130" spans="1:8" x14ac:dyDescent="0.25">
      <c r="A130" s="15" t="s">
        <v>310</v>
      </c>
      <c r="B130" s="16">
        <v>3603</v>
      </c>
      <c r="C130" s="16" t="s">
        <v>127</v>
      </c>
      <c r="D130" s="17">
        <v>1.74</v>
      </c>
      <c r="E130" s="17">
        <v>0</v>
      </c>
      <c r="F130" s="17">
        <v>0.54</v>
      </c>
      <c r="G130" s="55">
        <f t="shared" si="0"/>
        <v>0.54</v>
      </c>
      <c r="H130" s="35">
        <v>2.2799999999999998</v>
      </c>
    </row>
    <row r="131" spans="1:8" x14ac:dyDescent="0.25">
      <c r="A131" s="12">
        <v>4</v>
      </c>
      <c r="B131" s="10"/>
      <c r="C131" s="10" t="s">
        <v>128</v>
      </c>
      <c r="D131" s="11">
        <v>1009002.68</v>
      </c>
      <c r="E131" s="11">
        <v>1035457.73</v>
      </c>
      <c r="F131" s="11">
        <v>290830.67</v>
      </c>
      <c r="G131" s="55">
        <f t="shared" si="0"/>
        <v>-744627.06</v>
      </c>
      <c r="H131" s="35">
        <v>1753629.74</v>
      </c>
    </row>
    <row r="132" spans="1:8" x14ac:dyDescent="0.25">
      <c r="A132" s="12" t="s">
        <v>311</v>
      </c>
      <c r="B132" s="10"/>
      <c r="C132" s="10" t="s">
        <v>129</v>
      </c>
      <c r="D132" s="11">
        <v>132378.91</v>
      </c>
      <c r="E132" s="11">
        <v>93860.26</v>
      </c>
      <c r="F132" s="11">
        <v>19240.599999999999</v>
      </c>
      <c r="G132" s="55">
        <f t="shared" si="0"/>
        <v>-74619.66</v>
      </c>
      <c r="H132" s="34">
        <v>206998.57</v>
      </c>
    </row>
    <row r="133" spans="1:8" x14ac:dyDescent="0.25">
      <c r="A133" s="12" t="s">
        <v>312</v>
      </c>
      <c r="B133" s="10"/>
      <c r="C133" s="10" t="s">
        <v>129</v>
      </c>
      <c r="D133" s="11">
        <v>132378.91</v>
      </c>
      <c r="E133" s="11">
        <v>93860.26</v>
      </c>
      <c r="F133" s="11">
        <v>19240.599999999999</v>
      </c>
      <c r="G133" s="55">
        <f t="shared" si="0"/>
        <v>-74619.66</v>
      </c>
      <c r="H133" s="34">
        <v>206998.57</v>
      </c>
    </row>
    <row r="134" spans="1:8" x14ac:dyDescent="0.25">
      <c r="A134" s="12" t="s">
        <v>313</v>
      </c>
      <c r="B134" s="10"/>
      <c r="C134" s="10" t="s">
        <v>130</v>
      </c>
      <c r="D134" s="11">
        <v>117500.55</v>
      </c>
      <c r="E134" s="11">
        <v>93663.41</v>
      </c>
      <c r="F134" s="11">
        <v>19240.599999999999</v>
      </c>
      <c r="G134" s="55">
        <f t="shared" si="0"/>
        <v>-74422.81</v>
      </c>
      <c r="H134" s="34">
        <v>191923.36</v>
      </c>
    </row>
    <row r="135" spans="1:8" x14ac:dyDescent="0.25">
      <c r="A135" s="15" t="s">
        <v>315</v>
      </c>
      <c r="B135" s="16">
        <v>1120</v>
      </c>
      <c r="C135" s="16" t="s">
        <v>132</v>
      </c>
      <c r="D135" s="17">
        <v>-953107.73</v>
      </c>
      <c r="E135" s="17">
        <v>0</v>
      </c>
      <c r="F135" s="17">
        <v>0</v>
      </c>
      <c r="G135" s="55">
        <f t="shared" si="0"/>
        <v>0</v>
      </c>
      <c r="H135" s="35">
        <v>-953107.73</v>
      </c>
    </row>
    <row r="136" spans="1:8" x14ac:dyDescent="0.25">
      <c r="A136" s="15" t="s">
        <v>390</v>
      </c>
      <c r="B136" s="16">
        <v>1112</v>
      </c>
      <c r="C136" s="16" t="s">
        <v>388</v>
      </c>
      <c r="D136" s="17">
        <v>0</v>
      </c>
      <c r="E136" s="17">
        <v>25573.5</v>
      </c>
      <c r="F136" s="17">
        <v>0</v>
      </c>
      <c r="G136" s="55">
        <f t="shared" si="0"/>
        <v>-25573.5</v>
      </c>
      <c r="H136" s="35">
        <v>25573.5</v>
      </c>
    </row>
    <row r="137" spans="1:8" x14ac:dyDescent="0.25">
      <c r="A137" s="15" t="s">
        <v>382</v>
      </c>
      <c r="B137" s="16">
        <v>3034</v>
      </c>
      <c r="C137" s="16" t="s">
        <v>373</v>
      </c>
      <c r="D137" s="17">
        <v>0</v>
      </c>
      <c r="E137" s="17">
        <v>0</v>
      </c>
      <c r="F137" s="17">
        <v>19240.599999999999</v>
      </c>
      <c r="G137" s="55">
        <f t="shared" si="0"/>
        <v>19240.599999999999</v>
      </c>
      <c r="H137" s="35">
        <v>-19240.599999999999</v>
      </c>
    </row>
    <row r="138" spans="1:8" x14ac:dyDescent="0.25">
      <c r="A138" s="15" t="s">
        <v>314</v>
      </c>
      <c r="B138" s="16">
        <v>1066</v>
      </c>
      <c r="C138" s="16" t="s">
        <v>131</v>
      </c>
      <c r="D138" s="17">
        <v>1081516.48</v>
      </c>
      <c r="E138" s="17">
        <v>0</v>
      </c>
      <c r="F138" s="17">
        <v>0</v>
      </c>
      <c r="G138" s="55">
        <f t="shared" si="0"/>
        <v>0</v>
      </c>
      <c r="H138" s="35">
        <v>1081516.48</v>
      </c>
    </row>
    <row r="139" spans="1:8" x14ac:dyDescent="0.25">
      <c r="A139" s="15" t="s">
        <v>316</v>
      </c>
      <c r="B139" s="16">
        <v>4847</v>
      </c>
      <c r="C139" s="16" t="s">
        <v>133</v>
      </c>
      <c r="D139" s="17">
        <v>-10908.2</v>
      </c>
      <c r="E139" s="17">
        <v>68089.91</v>
      </c>
      <c r="F139" s="17">
        <v>0</v>
      </c>
      <c r="G139" s="55">
        <f t="shared" si="0"/>
        <v>-68089.91</v>
      </c>
      <c r="H139" s="35">
        <v>57181.71</v>
      </c>
    </row>
    <row r="140" spans="1:8" x14ac:dyDescent="0.25">
      <c r="A140" s="12" t="s">
        <v>317</v>
      </c>
      <c r="B140" s="10"/>
      <c r="C140" s="10" t="s">
        <v>134</v>
      </c>
      <c r="D140" s="11">
        <v>14878.36</v>
      </c>
      <c r="E140" s="11">
        <v>196.85</v>
      </c>
      <c r="F140" s="11">
        <v>0</v>
      </c>
      <c r="G140" s="55">
        <f t="shared" si="0"/>
        <v>-196.85</v>
      </c>
      <c r="H140" s="34">
        <v>15075.21</v>
      </c>
    </row>
    <row r="141" spans="1:8" x14ac:dyDescent="0.25">
      <c r="A141" s="15" t="s">
        <v>318</v>
      </c>
      <c r="B141" s="16">
        <v>5738</v>
      </c>
      <c r="C141" s="16" t="s">
        <v>135</v>
      </c>
      <c r="D141" s="17">
        <v>14878.36</v>
      </c>
      <c r="E141" s="17">
        <v>196.85</v>
      </c>
      <c r="F141" s="17">
        <v>0</v>
      </c>
      <c r="G141" s="55">
        <f t="shared" si="0"/>
        <v>-196.85</v>
      </c>
      <c r="H141" s="35">
        <v>15075.21</v>
      </c>
    </row>
    <row r="142" spans="1:8" x14ac:dyDescent="0.25">
      <c r="A142" s="12" t="s">
        <v>319</v>
      </c>
      <c r="B142" s="10"/>
      <c r="C142" s="10" t="s">
        <v>136</v>
      </c>
      <c r="D142" s="11">
        <v>876623.77</v>
      </c>
      <c r="E142" s="11">
        <v>941597.47</v>
      </c>
      <c r="F142" s="11">
        <v>271590.07</v>
      </c>
      <c r="G142" s="55">
        <f t="shared" si="0"/>
        <v>-670007.39999999991</v>
      </c>
      <c r="H142" s="34">
        <v>1546631.17</v>
      </c>
    </row>
    <row r="143" spans="1:8" x14ac:dyDescent="0.25">
      <c r="A143" s="12" t="s">
        <v>320</v>
      </c>
      <c r="B143" s="10"/>
      <c r="C143" s="10" t="s">
        <v>137</v>
      </c>
      <c r="D143" s="11">
        <v>433836.76</v>
      </c>
      <c r="E143" s="11">
        <v>464706.29</v>
      </c>
      <c r="F143" s="11">
        <v>178438.1</v>
      </c>
      <c r="G143" s="55">
        <f t="shared" si="0"/>
        <v>-286268.18999999994</v>
      </c>
      <c r="H143" s="34">
        <v>720104.95</v>
      </c>
    </row>
    <row r="144" spans="1:8" x14ac:dyDescent="0.25">
      <c r="A144" s="12" t="s">
        <v>321</v>
      </c>
      <c r="B144" s="10"/>
      <c r="C144" s="10" t="s">
        <v>138</v>
      </c>
      <c r="D144" s="11">
        <v>275606.45</v>
      </c>
      <c r="E144" s="11">
        <v>200115.65</v>
      </c>
      <c r="F144" s="11">
        <v>576.77</v>
      </c>
      <c r="G144" s="55">
        <f t="shared" si="0"/>
        <v>-199538.88</v>
      </c>
      <c r="H144" s="34">
        <v>475145.33</v>
      </c>
    </row>
    <row r="145" spans="1:8" x14ac:dyDescent="0.25">
      <c r="A145" s="15" t="s">
        <v>322</v>
      </c>
      <c r="B145" s="16">
        <v>4057</v>
      </c>
      <c r="C145" s="16" t="s">
        <v>139</v>
      </c>
      <c r="D145" s="17">
        <v>275606.45</v>
      </c>
      <c r="E145" s="17">
        <v>200115.65</v>
      </c>
      <c r="F145" s="17">
        <v>576.77</v>
      </c>
      <c r="G145" s="55">
        <f t="shared" si="0"/>
        <v>-199538.88</v>
      </c>
      <c r="H145" s="35">
        <v>475145.33</v>
      </c>
    </row>
    <row r="146" spans="1:8" x14ac:dyDescent="0.25">
      <c r="A146" s="12" t="s">
        <v>383</v>
      </c>
      <c r="B146" s="10"/>
      <c r="C146" s="10" t="s">
        <v>374</v>
      </c>
      <c r="D146" s="11">
        <v>0</v>
      </c>
      <c r="E146" s="11">
        <v>63768.67</v>
      </c>
      <c r="F146" s="11">
        <v>0</v>
      </c>
      <c r="G146" s="55">
        <f t="shared" si="0"/>
        <v>-63768.67</v>
      </c>
      <c r="H146" s="34">
        <v>63768.67</v>
      </c>
    </row>
    <row r="147" spans="1:8" x14ac:dyDescent="0.25">
      <c r="A147" s="15" t="s">
        <v>384</v>
      </c>
      <c r="B147" s="16">
        <v>5665</v>
      </c>
      <c r="C147" s="16" t="s">
        <v>375</v>
      </c>
      <c r="D147" s="17">
        <v>0</v>
      </c>
      <c r="E147" s="17">
        <v>63768.67</v>
      </c>
      <c r="F147" s="17">
        <v>0</v>
      </c>
      <c r="G147" s="55">
        <f t="shared" si="0"/>
        <v>-63768.67</v>
      </c>
      <c r="H147" s="35">
        <v>63768.67</v>
      </c>
    </row>
    <row r="148" spans="1:8" x14ac:dyDescent="0.25">
      <c r="A148" s="12" t="s">
        <v>323</v>
      </c>
      <c r="B148" s="10"/>
      <c r="C148" s="10" t="s">
        <v>140</v>
      </c>
      <c r="D148" s="11">
        <v>158230.31</v>
      </c>
      <c r="E148" s="11">
        <v>200821.97</v>
      </c>
      <c r="F148" s="11">
        <v>177861.33</v>
      </c>
      <c r="G148" s="55">
        <f t="shared" si="0"/>
        <v>-22960.640000000014</v>
      </c>
      <c r="H148" s="34">
        <v>181190.95</v>
      </c>
    </row>
    <row r="149" spans="1:8" x14ac:dyDescent="0.25">
      <c r="A149" s="15" t="s">
        <v>326</v>
      </c>
      <c r="B149" s="16">
        <v>1090</v>
      </c>
      <c r="C149" s="16" t="s">
        <v>143</v>
      </c>
      <c r="D149" s="17">
        <v>51658.84</v>
      </c>
      <c r="E149" s="17">
        <v>71441.149999999994</v>
      </c>
      <c r="F149" s="17">
        <v>48889.82</v>
      </c>
      <c r="G149" s="55">
        <f t="shared" si="0"/>
        <v>-22551.329999999994</v>
      </c>
      <c r="H149" s="35">
        <v>74210.17</v>
      </c>
    </row>
    <row r="150" spans="1:8" x14ac:dyDescent="0.25">
      <c r="A150" s="15" t="s">
        <v>325</v>
      </c>
      <c r="B150" s="16">
        <v>4049</v>
      </c>
      <c r="C150" s="16" t="s">
        <v>142</v>
      </c>
      <c r="D150" s="17">
        <v>65490.38</v>
      </c>
      <c r="E150" s="17">
        <v>73954.100000000006</v>
      </c>
      <c r="F150" s="17">
        <v>87602.36</v>
      </c>
      <c r="G150" s="55">
        <f t="shared" si="0"/>
        <v>13648.259999999995</v>
      </c>
      <c r="H150" s="35">
        <v>51842.12</v>
      </c>
    </row>
    <row r="151" spans="1:8" x14ac:dyDescent="0.25">
      <c r="A151" s="15" t="s">
        <v>324</v>
      </c>
      <c r="B151" s="16">
        <v>4855</v>
      </c>
      <c r="C151" s="16" t="s">
        <v>141</v>
      </c>
      <c r="D151" s="17">
        <v>41081.089999999997</v>
      </c>
      <c r="E151" s="17">
        <v>55426.720000000001</v>
      </c>
      <c r="F151" s="17">
        <v>41369.15</v>
      </c>
      <c r="G151" s="55">
        <f t="shared" si="0"/>
        <v>-14057.57</v>
      </c>
      <c r="H151" s="35">
        <v>55138.66</v>
      </c>
    </row>
    <row r="152" spans="1:8" x14ac:dyDescent="0.25">
      <c r="A152" s="12" t="s">
        <v>327</v>
      </c>
      <c r="B152" s="10"/>
      <c r="C152" s="10" t="s">
        <v>144</v>
      </c>
      <c r="D152" s="11">
        <v>129748.95</v>
      </c>
      <c r="E152" s="11">
        <v>116238.52</v>
      </c>
      <c r="F152" s="11">
        <v>438.66</v>
      </c>
      <c r="G152" s="55">
        <f t="shared" si="0"/>
        <v>-115799.86</v>
      </c>
      <c r="H152" s="34">
        <v>245548.81</v>
      </c>
    </row>
    <row r="153" spans="1:8" x14ac:dyDescent="0.25">
      <c r="A153" s="12" t="s">
        <v>328</v>
      </c>
      <c r="B153" s="10"/>
      <c r="C153" s="10" t="s">
        <v>144</v>
      </c>
      <c r="D153" s="11">
        <v>129748.95</v>
      </c>
      <c r="E153" s="11">
        <v>116238.52</v>
      </c>
      <c r="F153" s="11">
        <v>438.66</v>
      </c>
      <c r="G153" s="55">
        <f t="shared" si="0"/>
        <v>-115799.86</v>
      </c>
      <c r="H153" s="34">
        <v>245548.81</v>
      </c>
    </row>
    <row r="154" spans="1:8" x14ac:dyDescent="0.25">
      <c r="A154" s="15" t="s">
        <v>385</v>
      </c>
      <c r="B154" s="16">
        <v>1465</v>
      </c>
      <c r="C154" s="16" t="s">
        <v>376</v>
      </c>
      <c r="D154" s="17">
        <v>0</v>
      </c>
      <c r="E154" s="17">
        <v>34669.89</v>
      </c>
      <c r="F154" s="17">
        <v>0</v>
      </c>
      <c r="G154" s="55">
        <f t="shared" si="0"/>
        <v>-34669.89</v>
      </c>
      <c r="H154" s="35">
        <v>34669.89</v>
      </c>
    </row>
    <row r="155" spans="1:8" x14ac:dyDescent="0.25">
      <c r="A155" s="15" t="s">
        <v>330</v>
      </c>
      <c r="B155" s="16">
        <v>1473</v>
      </c>
      <c r="C155" s="16" t="s">
        <v>146</v>
      </c>
      <c r="D155" s="17">
        <v>4406.88</v>
      </c>
      <c r="E155" s="17">
        <v>2299.4899999999998</v>
      </c>
      <c r="F155" s="17">
        <v>0</v>
      </c>
      <c r="G155" s="55">
        <f t="shared" si="0"/>
        <v>-2299.4899999999998</v>
      </c>
      <c r="H155" s="35">
        <v>6706.37</v>
      </c>
    </row>
    <row r="156" spans="1:8" x14ac:dyDescent="0.25">
      <c r="A156" s="15" t="s">
        <v>331</v>
      </c>
      <c r="B156" s="16">
        <v>1481</v>
      </c>
      <c r="C156" s="16" t="s">
        <v>147</v>
      </c>
      <c r="D156" s="17">
        <v>6982.89</v>
      </c>
      <c r="E156" s="17">
        <v>5803.62</v>
      </c>
      <c r="F156" s="17">
        <v>0</v>
      </c>
      <c r="G156" s="55">
        <f t="shared" si="0"/>
        <v>-5803.62</v>
      </c>
      <c r="H156" s="35">
        <v>12786.51</v>
      </c>
    </row>
    <row r="157" spans="1:8" x14ac:dyDescent="0.25">
      <c r="A157" s="15" t="s">
        <v>332</v>
      </c>
      <c r="B157" s="16">
        <v>1490</v>
      </c>
      <c r="C157" s="16" t="s">
        <v>148</v>
      </c>
      <c r="D157" s="17">
        <v>23392.71</v>
      </c>
      <c r="E157" s="17">
        <v>15861.44</v>
      </c>
      <c r="F157" s="17">
        <v>0</v>
      </c>
      <c r="G157" s="55">
        <f t="shared" si="0"/>
        <v>-15861.44</v>
      </c>
      <c r="H157" s="35">
        <v>39254.15</v>
      </c>
    </row>
    <row r="158" spans="1:8" x14ac:dyDescent="0.25">
      <c r="A158" s="15" t="s">
        <v>336</v>
      </c>
      <c r="B158" s="16">
        <v>1503</v>
      </c>
      <c r="C158" s="16" t="s">
        <v>150</v>
      </c>
      <c r="D158" s="17">
        <v>40541.53</v>
      </c>
      <c r="E158" s="17">
        <v>39069.050000000003</v>
      </c>
      <c r="F158" s="17">
        <v>438.66</v>
      </c>
      <c r="G158" s="55">
        <f t="shared" si="0"/>
        <v>-38630.39</v>
      </c>
      <c r="H158" s="35">
        <v>79171.92</v>
      </c>
    </row>
    <row r="159" spans="1:8" x14ac:dyDescent="0.25">
      <c r="A159" s="15" t="s">
        <v>334</v>
      </c>
      <c r="B159" s="16">
        <v>1546</v>
      </c>
      <c r="C159" s="16" t="s">
        <v>86</v>
      </c>
      <c r="D159" s="17">
        <v>39976.480000000003</v>
      </c>
      <c r="E159" s="17">
        <v>4803.3599999999997</v>
      </c>
      <c r="F159" s="17">
        <v>0</v>
      </c>
      <c r="G159" s="55">
        <f t="shared" si="0"/>
        <v>-4803.3599999999997</v>
      </c>
      <c r="H159" s="35">
        <v>44779.839999999997</v>
      </c>
    </row>
    <row r="160" spans="1:8" x14ac:dyDescent="0.25">
      <c r="A160" s="15" t="s">
        <v>333</v>
      </c>
      <c r="B160" s="16">
        <v>1554</v>
      </c>
      <c r="C160" s="16" t="s">
        <v>82</v>
      </c>
      <c r="D160" s="17">
        <v>3855.89</v>
      </c>
      <c r="E160" s="17">
        <v>4434.01</v>
      </c>
      <c r="F160" s="17">
        <v>0</v>
      </c>
      <c r="G160" s="55">
        <f t="shared" si="0"/>
        <v>-4434.01</v>
      </c>
      <c r="H160" s="35">
        <v>8289.9</v>
      </c>
    </row>
    <row r="161" spans="1:8" x14ac:dyDescent="0.25">
      <c r="A161" s="15" t="s">
        <v>335</v>
      </c>
      <c r="B161" s="16">
        <v>1570</v>
      </c>
      <c r="C161" s="16" t="s">
        <v>149</v>
      </c>
      <c r="D161" s="17">
        <v>1339.15</v>
      </c>
      <c r="E161" s="17">
        <v>1543.04</v>
      </c>
      <c r="F161" s="17">
        <v>0</v>
      </c>
      <c r="G161" s="55">
        <f t="shared" si="0"/>
        <v>-1543.04</v>
      </c>
      <c r="H161" s="35">
        <v>2882.19</v>
      </c>
    </row>
    <row r="162" spans="1:8" x14ac:dyDescent="0.25">
      <c r="A162" s="15" t="s">
        <v>337</v>
      </c>
      <c r="B162" s="16">
        <v>1597</v>
      </c>
      <c r="C162" s="16" t="s">
        <v>151</v>
      </c>
      <c r="D162" s="17">
        <v>1575</v>
      </c>
      <c r="E162" s="17">
        <v>80</v>
      </c>
      <c r="F162" s="17">
        <v>0</v>
      </c>
      <c r="G162" s="55">
        <f t="shared" si="0"/>
        <v>-80</v>
      </c>
      <c r="H162" s="35">
        <v>1655</v>
      </c>
    </row>
    <row r="163" spans="1:8" x14ac:dyDescent="0.25">
      <c r="A163" s="15" t="s">
        <v>329</v>
      </c>
      <c r="B163" s="16">
        <v>1619</v>
      </c>
      <c r="C163" s="16" t="s">
        <v>145</v>
      </c>
      <c r="D163" s="17">
        <v>7678.42</v>
      </c>
      <c r="E163" s="17">
        <v>7674.62</v>
      </c>
      <c r="F163" s="17">
        <v>0</v>
      </c>
      <c r="G163" s="55">
        <f t="shared" si="0"/>
        <v>-7674.62</v>
      </c>
      <c r="H163" s="35">
        <v>15353.04</v>
      </c>
    </row>
    <row r="164" spans="1:8" x14ac:dyDescent="0.25">
      <c r="A164" s="12" t="s">
        <v>338</v>
      </c>
      <c r="B164" s="10"/>
      <c r="C164" s="10" t="s">
        <v>152</v>
      </c>
      <c r="D164" s="11">
        <v>147670.76999999999</v>
      </c>
      <c r="E164" s="11">
        <v>114659.44</v>
      </c>
      <c r="F164" s="11">
        <v>0</v>
      </c>
      <c r="G164" s="55">
        <f t="shared" si="0"/>
        <v>-114659.44</v>
      </c>
      <c r="H164" s="34">
        <v>262330.21000000002</v>
      </c>
    </row>
    <row r="165" spans="1:8" x14ac:dyDescent="0.25">
      <c r="A165" s="12" t="s">
        <v>339</v>
      </c>
      <c r="B165" s="10"/>
      <c r="C165" s="10" t="s">
        <v>153</v>
      </c>
      <c r="D165" s="11">
        <v>1844.61</v>
      </c>
      <c r="E165" s="11">
        <v>723.61</v>
      </c>
      <c r="F165" s="11">
        <v>0</v>
      </c>
      <c r="G165" s="55">
        <f t="shared" si="0"/>
        <v>-723.61</v>
      </c>
      <c r="H165" s="34">
        <v>2568.2199999999998</v>
      </c>
    </row>
    <row r="166" spans="1:8" x14ac:dyDescent="0.25">
      <c r="A166" s="15" t="s">
        <v>340</v>
      </c>
      <c r="B166" s="16">
        <v>1864</v>
      </c>
      <c r="C166" s="16" t="s">
        <v>154</v>
      </c>
      <c r="D166" s="17">
        <v>1700</v>
      </c>
      <c r="E166" s="17">
        <v>579</v>
      </c>
      <c r="F166" s="17">
        <v>0</v>
      </c>
      <c r="G166" s="55">
        <f t="shared" si="0"/>
        <v>-579</v>
      </c>
      <c r="H166" s="35">
        <v>2279</v>
      </c>
    </row>
    <row r="167" spans="1:8" x14ac:dyDescent="0.25">
      <c r="A167" s="15" t="s">
        <v>341</v>
      </c>
      <c r="B167" s="16">
        <v>1872</v>
      </c>
      <c r="C167" s="16" t="s">
        <v>155</v>
      </c>
      <c r="D167" s="17">
        <v>144.61000000000001</v>
      </c>
      <c r="E167" s="17">
        <v>144.61000000000001</v>
      </c>
      <c r="F167" s="17">
        <v>0</v>
      </c>
      <c r="G167" s="55">
        <f t="shared" si="0"/>
        <v>-144.61000000000001</v>
      </c>
      <c r="H167" s="35">
        <v>289.22000000000003</v>
      </c>
    </row>
    <row r="168" spans="1:8" x14ac:dyDescent="0.25">
      <c r="A168" s="12" t="s">
        <v>342</v>
      </c>
      <c r="B168" s="10"/>
      <c r="C168" s="10" t="s">
        <v>156</v>
      </c>
      <c r="D168" s="11">
        <v>498.22</v>
      </c>
      <c r="E168" s="11">
        <v>539.37</v>
      </c>
      <c r="F168" s="11">
        <v>0</v>
      </c>
      <c r="G168" s="55">
        <f t="shared" si="0"/>
        <v>-539.37</v>
      </c>
      <c r="H168" s="34">
        <v>1037.5899999999999</v>
      </c>
    </row>
    <row r="169" spans="1:8" x14ac:dyDescent="0.25">
      <c r="A169" s="15" t="s">
        <v>386</v>
      </c>
      <c r="B169" s="16">
        <v>4103</v>
      </c>
      <c r="C169" s="16" t="s">
        <v>377</v>
      </c>
      <c r="D169" s="17">
        <v>0</v>
      </c>
      <c r="E169" s="17">
        <v>200</v>
      </c>
      <c r="F169" s="17">
        <v>0</v>
      </c>
      <c r="G169" s="55">
        <f t="shared" si="0"/>
        <v>-200</v>
      </c>
      <c r="H169" s="35">
        <v>200</v>
      </c>
    </row>
    <row r="170" spans="1:8" x14ac:dyDescent="0.25">
      <c r="A170" s="15" t="s">
        <v>396</v>
      </c>
      <c r="B170" s="16">
        <v>4200</v>
      </c>
      <c r="C170" s="16" t="s">
        <v>395</v>
      </c>
      <c r="D170" s="17">
        <v>376</v>
      </c>
      <c r="E170" s="17">
        <v>0</v>
      </c>
      <c r="F170" s="17">
        <v>0</v>
      </c>
      <c r="G170" s="55">
        <f t="shared" si="0"/>
        <v>0</v>
      </c>
      <c r="H170" s="35">
        <v>376</v>
      </c>
    </row>
    <row r="171" spans="1:8" x14ac:dyDescent="0.25">
      <c r="A171" s="15" t="s">
        <v>343</v>
      </c>
      <c r="B171" s="16">
        <v>4235</v>
      </c>
      <c r="C171" s="16" t="s">
        <v>157</v>
      </c>
      <c r="D171" s="17">
        <v>122.22</v>
      </c>
      <c r="E171" s="17">
        <v>0</v>
      </c>
      <c r="F171" s="17">
        <v>0</v>
      </c>
      <c r="G171" s="55">
        <f t="shared" si="0"/>
        <v>0</v>
      </c>
      <c r="H171" s="35">
        <v>122.22</v>
      </c>
    </row>
    <row r="172" spans="1:8" x14ac:dyDescent="0.25">
      <c r="A172" s="15" t="s">
        <v>387</v>
      </c>
      <c r="B172" s="16">
        <v>4286</v>
      </c>
      <c r="C172" s="16" t="s">
        <v>378</v>
      </c>
      <c r="D172" s="17">
        <v>0</v>
      </c>
      <c r="E172" s="17">
        <v>339.37</v>
      </c>
      <c r="F172" s="17">
        <v>0</v>
      </c>
      <c r="G172" s="55">
        <f t="shared" si="0"/>
        <v>-339.37</v>
      </c>
      <c r="H172" s="35">
        <v>339.37</v>
      </c>
    </row>
    <row r="173" spans="1:8" x14ac:dyDescent="0.25">
      <c r="A173" s="12" t="s">
        <v>344</v>
      </c>
      <c r="B173" s="10"/>
      <c r="C173" s="10" t="s">
        <v>158</v>
      </c>
      <c r="D173" s="11">
        <v>120147.16</v>
      </c>
      <c r="E173" s="11">
        <v>104715.19</v>
      </c>
      <c r="F173" s="11">
        <v>0</v>
      </c>
      <c r="G173" s="55">
        <f t="shared" si="0"/>
        <v>-104715.19</v>
      </c>
      <c r="H173" s="34">
        <v>224862.35</v>
      </c>
    </row>
    <row r="174" spans="1:8" x14ac:dyDescent="0.25">
      <c r="A174" s="15" t="s">
        <v>347</v>
      </c>
      <c r="B174" s="16">
        <v>4316</v>
      </c>
      <c r="C174" s="16" t="s">
        <v>161</v>
      </c>
      <c r="D174" s="17">
        <v>2000</v>
      </c>
      <c r="E174" s="17">
        <v>6867</v>
      </c>
      <c r="F174" s="17">
        <v>0</v>
      </c>
      <c r="G174" s="55">
        <f t="shared" si="0"/>
        <v>-6867</v>
      </c>
      <c r="H174" s="35">
        <v>8867</v>
      </c>
    </row>
    <row r="175" spans="1:8" x14ac:dyDescent="0.25">
      <c r="A175" s="15" t="s">
        <v>345</v>
      </c>
      <c r="B175" s="16">
        <v>4324</v>
      </c>
      <c r="C175" s="16" t="s">
        <v>159</v>
      </c>
      <c r="D175" s="17">
        <v>40280</v>
      </c>
      <c r="E175" s="17">
        <v>40280</v>
      </c>
      <c r="F175" s="17">
        <v>0</v>
      </c>
      <c r="G175" s="55">
        <f t="shared" si="0"/>
        <v>-40280</v>
      </c>
      <c r="H175" s="35">
        <v>80560</v>
      </c>
    </row>
    <row r="176" spans="1:8" x14ac:dyDescent="0.25">
      <c r="A176" s="15" t="s">
        <v>346</v>
      </c>
      <c r="B176" s="16">
        <v>4332</v>
      </c>
      <c r="C176" s="16" t="s">
        <v>160</v>
      </c>
      <c r="D176" s="17">
        <v>69258.36</v>
      </c>
      <c r="E176" s="17">
        <v>47311.39</v>
      </c>
      <c r="F176" s="17">
        <v>0</v>
      </c>
      <c r="G176" s="55">
        <f t="shared" si="0"/>
        <v>-47311.39</v>
      </c>
      <c r="H176" s="35">
        <v>116569.75</v>
      </c>
    </row>
    <row r="177" spans="1:8" x14ac:dyDescent="0.25">
      <c r="A177" s="15" t="s">
        <v>348</v>
      </c>
      <c r="B177" s="16">
        <v>4340</v>
      </c>
      <c r="C177" s="16" t="s">
        <v>162</v>
      </c>
      <c r="D177" s="17">
        <v>8608.7999999999993</v>
      </c>
      <c r="E177" s="17">
        <v>10256.799999999999</v>
      </c>
      <c r="F177" s="17">
        <v>0</v>
      </c>
      <c r="G177" s="55">
        <f t="shared" ref="G177:G199" si="1">F177-E177</f>
        <v>-10256.799999999999</v>
      </c>
      <c r="H177" s="35">
        <v>18865.599999999999</v>
      </c>
    </row>
    <row r="178" spans="1:8" x14ac:dyDescent="0.25">
      <c r="A178" s="12" t="s">
        <v>349</v>
      </c>
      <c r="B178" s="10"/>
      <c r="C178" s="10" t="s">
        <v>163</v>
      </c>
      <c r="D178" s="11">
        <v>25180.78</v>
      </c>
      <c r="E178" s="11">
        <v>8681.27</v>
      </c>
      <c r="F178" s="11">
        <v>0</v>
      </c>
      <c r="G178" s="55">
        <f t="shared" si="1"/>
        <v>-8681.27</v>
      </c>
      <c r="H178" s="34">
        <v>33862.050000000003</v>
      </c>
    </row>
    <row r="179" spans="1:8" x14ac:dyDescent="0.25">
      <c r="A179" s="15" t="s">
        <v>350</v>
      </c>
      <c r="B179" s="16">
        <v>4251</v>
      </c>
      <c r="C179" s="16" t="s">
        <v>164</v>
      </c>
      <c r="D179" s="17">
        <v>25180.78</v>
      </c>
      <c r="E179" s="17">
        <v>8681.27</v>
      </c>
      <c r="F179" s="17">
        <v>0</v>
      </c>
      <c r="G179" s="55">
        <f t="shared" si="1"/>
        <v>-8681.27</v>
      </c>
      <c r="H179" s="35">
        <v>33862.050000000003</v>
      </c>
    </row>
    <row r="180" spans="1:8" x14ac:dyDescent="0.25">
      <c r="A180" s="12" t="s">
        <v>351</v>
      </c>
      <c r="B180" s="10"/>
      <c r="C180" s="10" t="s">
        <v>165</v>
      </c>
      <c r="D180" s="11">
        <v>6083.86</v>
      </c>
      <c r="E180" s="11">
        <v>6083.86</v>
      </c>
      <c r="F180" s="11">
        <v>0</v>
      </c>
      <c r="G180" s="55">
        <f t="shared" si="1"/>
        <v>-6083.86</v>
      </c>
      <c r="H180" s="34">
        <v>12167.72</v>
      </c>
    </row>
    <row r="181" spans="1:8" x14ac:dyDescent="0.25">
      <c r="A181" s="12" t="s">
        <v>352</v>
      </c>
      <c r="B181" s="10"/>
      <c r="C181" s="10" t="s">
        <v>166</v>
      </c>
      <c r="D181" s="11">
        <v>6083.86</v>
      </c>
      <c r="E181" s="11">
        <v>6083.86</v>
      </c>
      <c r="F181" s="11">
        <v>0</v>
      </c>
      <c r="G181" s="55">
        <f t="shared" si="1"/>
        <v>-6083.86</v>
      </c>
      <c r="H181" s="34">
        <v>12167.72</v>
      </c>
    </row>
    <row r="182" spans="1:8" x14ac:dyDescent="0.25">
      <c r="A182" s="15" t="s">
        <v>354</v>
      </c>
      <c r="B182" s="16">
        <v>1996</v>
      </c>
      <c r="C182" s="16" t="s">
        <v>168</v>
      </c>
      <c r="D182" s="17">
        <v>1666.29</v>
      </c>
      <c r="E182" s="17">
        <v>1666.29</v>
      </c>
      <c r="F182" s="17">
        <v>0</v>
      </c>
      <c r="G182" s="55">
        <f t="shared" si="1"/>
        <v>-1666.29</v>
      </c>
      <c r="H182" s="35">
        <v>3332.58</v>
      </c>
    </row>
    <row r="183" spans="1:8" x14ac:dyDescent="0.25">
      <c r="A183" s="15" t="s">
        <v>355</v>
      </c>
      <c r="B183" s="16">
        <v>2003</v>
      </c>
      <c r="C183" s="16" t="s">
        <v>169</v>
      </c>
      <c r="D183" s="17">
        <v>84.66</v>
      </c>
      <c r="E183" s="17">
        <v>84.66</v>
      </c>
      <c r="F183" s="17">
        <v>0</v>
      </c>
      <c r="G183" s="55">
        <f t="shared" si="1"/>
        <v>-84.66</v>
      </c>
      <c r="H183" s="35">
        <v>169.32</v>
      </c>
    </row>
    <row r="184" spans="1:8" x14ac:dyDescent="0.25">
      <c r="A184" s="15" t="s">
        <v>353</v>
      </c>
      <c r="B184" s="16">
        <v>5797</v>
      </c>
      <c r="C184" s="16" t="s">
        <v>167</v>
      </c>
      <c r="D184" s="17">
        <v>4316.67</v>
      </c>
      <c r="E184" s="17">
        <v>4316.67</v>
      </c>
      <c r="F184" s="17">
        <v>0</v>
      </c>
      <c r="G184" s="55">
        <f t="shared" si="1"/>
        <v>-4316.67</v>
      </c>
      <c r="H184" s="35">
        <v>8633.34</v>
      </c>
    </row>
    <row r="185" spans="1:8" x14ac:dyDescent="0.25">
      <c r="A185" s="15" t="s">
        <v>356</v>
      </c>
      <c r="B185" s="16">
        <v>5819</v>
      </c>
      <c r="C185" s="16" t="s">
        <v>170</v>
      </c>
      <c r="D185" s="17">
        <v>16.239999999999998</v>
      </c>
      <c r="E185" s="17">
        <v>16.239999999999998</v>
      </c>
      <c r="F185" s="17">
        <v>0</v>
      </c>
      <c r="G185" s="55">
        <f t="shared" si="1"/>
        <v>-16.239999999999998</v>
      </c>
      <c r="H185" s="35">
        <v>32.479999999999997</v>
      </c>
    </row>
    <row r="186" spans="1:8" x14ac:dyDescent="0.25">
      <c r="A186" s="12" t="s">
        <v>357</v>
      </c>
      <c r="B186" s="10"/>
      <c r="C186" s="10" t="s">
        <v>171</v>
      </c>
      <c r="D186" s="11">
        <v>9879.34</v>
      </c>
      <c r="E186" s="11">
        <v>22423.25</v>
      </c>
      <c r="F186" s="11">
        <v>0</v>
      </c>
      <c r="G186" s="55">
        <f t="shared" si="1"/>
        <v>-22423.25</v>
      </c>
      <c r="H186" s="34">
        <v>32302.59</v>
      </c>
    </row>
    <row r="187" spans="1:8" x14ac:dyDescent="0.25">
      <c r="A187" s="12" t="s">
        <v>358</v>
      </c>
      <c r="B187" s="10"/>
      <c r="C187" s="10" t="s">
        <v>172</v>
      </c>
      <c r="D187" s="11">
        <v>9879.34</v>
      </c>
      <c r="E187" s="11">
        <v>22423.25</v>
      </c>
      <c r="F187" s="11">
        <v>0</v>
      </c>
      <c r="G187" s="55">
        <f t="shared" si="1"/>
        <v>-22423.25</v>
      </c>
      <c r="H187" s="34">
        <v>32302.59</v>
      </c>
    </row>
    <row r="188" spans="1:8" x14ac:dyDescent="0.25">
      <c r="A188" s="15" t="s">
        <v>359</v>
      </c>
      <c r="B188" s="16">
        <v>4448</v>
      </c>
      <c r="C188" s="16" t="s">
        <v>173</v>
      </c>
      <c r="D188" s="17">
        <v>1561.7</v>
      </c>
      <c r="E188" s="17">
        <v>437.98</v>
      </c>
      <c r="F188" s="17">
        <v>0</v>
      </c>
      <c r="G188" s="55">
        <f t="shared" si="1"/>
        <v>-437.98</v>
      </c>
      <c r="H188" s="35">
        <v>1999.68</v>
      </c>
    </row>
    <row r="189" spans="1:8" x14ac:dyDescent="0.25">
      <c r="A189" s="15" t="s">
        <v>360</v>
      </c>
      <c r="B189" s="16">
        <v>3859</v>
      </c>
      <c r="C189" s="16" t="s">
        <v>174</v>
      </c>
      <c r="D189" s="17">
        <v>1161.18</v>
      </c>
      <c r="E189" s="17">
        <v>2104.77</v>
      </c>
      <c r="F189" s="17">
        <v>0</v>
      </c>
      <c r="G189" s="55">
        <f t="shared" si="1"/>
        <v>-2104.77</v>
      </c>
      <c r="H189" s="35">
        <v>3265.95</v>
      </c>
    </row>
    <row r="190" spans="1:8" x14ac:dyDescent="0.25">
      <c r="A190" s="15" t="s">
        <v>393</v>
      </c>
      <c r="B190" s="16">
        <v>4863</v>
      </c>
      <c r="C190" s="16" t="s">
        <v>392</v>
      </c>
      <c r="D190" s="17">
        <v>7156.46</v>
      </c>
      <c r="E190" s="17">
        <v>19880.5</v>
      </c>
      <c r="F190" s="17">
        <v>0</v>
      </c>
      <c r="G190" s="55">
        <f t="shared" si="1"/>
        <v>-19880.5</v>
      </c>
      <c r="H190" s="35">
        <v>27036.959999999999</v>
      </c>
    </row>
    <row r="191" spans="1:8" x14ac:dyDescent="0.25">
      <c r="A191" s="12" t="s">
        <v>361</v>
      </c>
      <c r="B191" s="10"/>
      <c r="C191" s="10" t="s">
        <v>81</v>
      </c>
      <c r="D191" s="11">
        <v>0</v>
      </c>
      <c r="E191" s="11">
        <v>92712.960000000006</v>
      </c>
      <c r="F191" s="11">
        <v>92712.960000000006</v>
      </c>
      <c r="G191" s="55">
        <f t="shared" si="1"/>
        <v>0</v>
      </c>
      <c r="H191" s="34">
        <v>0</v>
      </c>
    </row>
    <row r="192" spans="1:8" x14ac:dyDescent="0.25">
      <c r="A192" s="12" t="s">
        <v>362</v>
      </c>
      <c r="B192" s="10"/>
      <c r="C192" s="10" t="s">
        <v>81</v>
      </c>
      <c r="D192" s="11">
        <v>0</v>
      </c>
      <c r="E192" s="11">
        <v>92712.960000000006</v>
      </c>
      <c r="F192" s="11">
        <v>92712.960000000006</v>
      </c>
      <c r="G192" s="55">
        <f t="shared" si="1"/>
        <v>0</v>
      </c>
      <c r="H192" s="34">
        <v>0</v>
      </c>
    </row>
    <row r="193" spans="1:8" x14ac:dyDescent="0.25">
      <c r="A193" s="15" t="s">
        <v>363</v>
      </c>
      <c r="B193" s="16">
        <v>5231</v>
      </c>
      <c r="C193" s="16" t="s">
        <v>175</v>
      </c>
      <c r="D193" s="17">
        <v>0</v>
      </c>
      <c r="E193" s="17">
        <v>92712.960000000006</v>
      </c>
      <c r="F193" s="17">
        <v>92712.960000000006</v>
      </c>
      <c r="G193" s="55">
        <f t="shared" si="1"/>
        <v>0</v>
      </c>
      <c r="H193" s="35">
        <v>0</v>
      </c>
    </row>
    <row r="194" spans="1:8" x14ac:dyDescent="0.25">
      <c r="A194" s="12" t="s">
        <v>364</v>
      </c>
      <c r="B194" s="10"/>
      <c r="C194" s="10" t="s">
        <v>176</v>
      </c>
      <c r="D194" s="11">
        <v>149404.09</v>
      </c>
      <c r="E194" s="11">
        <v>124773.15</v>
      </c>
      <c r="F194" s="11">
        <v>0.35</v>
      </c>
      <c r="G194" s="55">
        <f t="shared" si="1"/>
        <v>-124772.79999999999</v>
      </c>
      <c r="H194" s="34">
        <v>274176.89</v>
      </c>
    </row>
    <row r="195" spans="1:8" x14ac:dyDescent="0.25">
      <c r="A195" s="12" t="s">
        <v>365</v>
      </c>
      <c r="B195" s="10"/>
      <c r="C195" s="10" t="s">
        <v>176</v>
      </c>
      <c r="D195" s="11">
        <v>149404.09</v>
      </c>
      <c r="E195" s="11">
        <v>124773.15</v>
      </c>
      <c r="F195" s="11">
        <v>0.35</v>
      </c>
      <c r="G195" s="55">
        <f t="shared" si="1"/>
        <v>-124772.79999999999</v>
      </c>
      <c r="H195" s="34">
        <v>274176.89</v>
      </c>
    </row>
    <row r="196" spans="1:8" x14ac:dyDescent="0.25">
      <c r="A196" s="15" t="s">
        <v>366</v>
      </c>
      <c r="B196" s="16">
        <v>3816</v>
      </c>
      <c r="C196" s="16" t="s">
        <v>177</v>
      </c>
      <c r="D196" s="17">
        <v>975.35</v>
      </c>
      <c r="E196" s="17">
        <v>741.79</v>
      </c>
      <c r="F196" s="17">
        <v>0</v>
      </c>
      <c r="G196" s="55">
        <f t="shared" si="1"/>
        <v>-741.79</v>
      </c>
      <c r="H196" s="35">
        <v>1717.14</v>
      </c>
    </row>
    <row r="197" spans="1:8" x14ac:dyDescent="0.25">
      <c r="A197" s="15" t="s">
        <v>368</v>
      </c>
      <c r="B197" s="16">
        <v>3824</v>
      </c>
      <c r="C197" s="16" t="s">
        <v>179</v>
      </c>
      <c r="D197" s="17">
        <v>5705.43</v>
      </c>
      <c r="E197" s="17">
        <v>3607.35</v>
      </c>
      <c r="F197" s="17">
        <v>0</v>
      </c>
      <c r="G197" s="55">
        <f t="shared" si="1"/>
        <v>-3607.35</v>
      </c>
      <c r="H197" s="35">
        <v>9312.7800000000007</v>
      </c>
    </row>
    <row r="198" spans="1:8" x14ac:dyDescent="0.25">
      <c r="A198" s="15" t="s">
        <v>369</v>
      </c>
      <c r="B198" s="16">
        <v>3832</v>
      </c>
      <c r="C198" s="16" t="s">
        <v>180</v>
      </c>
      <c r="D198" s="17">
        <v>5752.61</v>
      </c>
      <c r="E198" s="17">
        <v>40142.699999999997</v>
      </c>
      <c r="F198" s="17">
        <v>0.35</v>
      </c>
      <c r="G198" s="55">
        <f t="shared" si="1"/>
        <v>-40142.35</v>
      </c>
      <c r="H198" s="35">
        <v>45894.96</v>
      </c>
    </row>
    <row r="199" spans="1:8" x14ac:dyDescent="0.25">
      <c r="A199" s="15" t="s">
        <v>367</v>
      </c>
      <c r="B199" s="16">
        <v>5177</v>
      </c>
      <c r="C199" s="16" t="s">
        <v>178</v>
      </c>
      <c r="D199" s="17">
        <v>136970.70000000001</v>
      </c>
      <c r="E199" s="17">
        <v>80281.31</v>
      </c>
      <c r="F199" s="17">
        <v>0</v>
      </c>
      <c r="G199" s="55">
        <f t="shared" si="1"/>
        <v>-80281.31</v>
      </c>
      <c r="H199" s="35">
        <v>217252.01</v>
      </c>
    </row>
    <row r="201" spans="1:8" x14ac:dyDescent="0.25">
      <c r="D201" s="14" t="s">
        <v>2</v>
      </c>
      <c r="E201" s="14" t="s">
        <v>3</v>
      </c>
      <c r="F201" s="14" t="s">
        <v>4</v>
      </c>
      <c r="G201" s="14"/>
      <c r="H201" s="33" t="s">
        <v>5</v>
      </c>
    </row>
    <row r="202" spans="1:8" x14ac:dyDescent="0.25">
      <c r="C202" s="20" t="s">
        <v>6</v>
      </c>
      <c r="D202" s="21">
        <v>4928069.74</v>
      </c>
      <c r="E202" s="21">
        <v>2269039.9900000002</v>
      </c>
      <c r="F202" s="21">
        <v>2212147.19</v>
      </c>
      <c r="G202" s="21"/>
      <c r="H202" s="26">
        <v>4984962.54</v>
      </c>
    </row>
    <row r="203" spans="1:8" x14ac:dyDescent="0.25">
      <c r="C203" s="20" t="s">
        <v>65</v>
      </c>
      <c r="D203" s="21">
        <v>5280712.75</v>
      </c>
      <c r="E203" s="21">
        <v>1755058.06</v>
      </c>
      <c r="F203" s="21">
        <v>2101016.89</v>
      </c>
      <c r="G203" s="21"/>
      <c r="H203" s="26">
        <v>5626671.5800000001</v>
      </c>
    </row>
    <row r="204" spans="1:8" x14ac:dyDescent="0.25">
      <c r="C204" s="20" t="s">
        <v>109</v>
      </c>
      <c r="D204" s="21">
        <v>656359.67000000004</v>
      </c>
      <c r="E204" s="21">
        <v>87785.04</v>
      </c>
      <c r="F204" s="21">
        <v>543346.06999999995</v>
      </c>
      <c r="G204" s="21"/>
      <c r="H204" s="26">
        <v>1111920.7</v>
      </c>
    </row>
    <row r="205" spans="1:8" x14ac:dyDescent="0.25">
      <c r="C205" s="20" t="s">
        <v>128</v>
      </c>
      <c r="D205" s="21">
        <v>1009002.68</v>
      </c>
      <c r="E205" s="21">
        <v>1035457.73</v>
      </c>
      <c r="F205" s="21">
        <v>290830.67</v>
      </c>
      <c r="G205" s="21"/>
      <c r="H205" s="26">
        <v>1753629.74</v>
      </c>
    </row>
    <row r="206" spans="1:8" x14ac:dyDescent="0.25">
      <c r="C206" s="20" t="s">
        <v>181</v>
      </c>
      <c r="D206" s="20"/>
      <c r="E206" s="20"/>
      <c r="F206" s="20"/>
      <c r="H206" s="5">
        <f>F204+F205-E204-E205</f>
        <v>-289066.03000000003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7852-0163-4E40-9E9F-43DDF81E8690}">
  <dimension ref="A1:J207"/>
  <sheetViews>
    <sheetView tabSelected="1" topLeftCell="A175" workbookViewId="0">
      <selection activeCell="J200" sqref="J200"/>
    </sheetView>
  </sheetViews>
  <sheetFormatPr defaultRowHeight="13.2" x14ac:dyDescent="0.25"/>
  <cols>
    <col min="1" max="1" width="13.88671875" style="13" bestFit="1" customWidth="1"/>
    <col min="2" max="2" width="13.88671875" bestFit="1" customWidth="1"/>
    <col min="3" max="3" width="46.88671875" bestFit="1" customWidth="1"/>
    <col min="4" max="4" width="22.88671875" bestFit="1" customWidth="1"/>
    <col min="5" max="5" width="20.21875" bestFit="1" customWidth="1"/>
    <col min="6" max="6" width="20.44140625" bestFit="1" customWidth="1"/>
    <col min="7" max="7" width="20.44140625" hidden="1" customWidth="1"/>
    <col min="8" max="8" width="22.21875" bestFit="1" customWidth="1"/>
  </cols>
  <sheetData>
    <row r="1" spans="1:10" x14ac:dyDescent="0.25">
      <c r="A1" s="23" t="s">
        <v>0</v>
      </c>
      <c r="B1" s="22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/>
      <c r="H1" s="22" t="s">
        <v>5</v>
      </c>
      <c r="I1" s="18"/>
      <c r="J1" s="18"/>
    </row>
    <row r="2" spans="1:10" x14ac:dyDescent="0.25">
      <c r="A2" s="24">
        <v>1</v>
      </c>
      <c r="B2" s="19"/>
      <c r="C2" s="19" t="s">
        <v>6</v>
      </c>
      <c r="D2" s="25">
        <v>4984962.54</v>
      </c>
      <c r="E2" s="25">
        <v>3771495.72</v>
      </c>
      <c r="F2" s="25">
        <v>3554120.89</v>
      </c>
      <c r="G2" s="25"/>
      <c r="H2" s="25">
        <v>5202337.37</v>
      </c>
    </row>
    <row r="3" spans="1:10" x14ac:dyDescent="0.25">
      <c r="A3" s="24" t="s">
        <v>183</v>
      </c>
      <c r="B3" s="19"/>
      <c r="C3" s="19" t="s">
        <v>7</v>
      </c>
      <c r="D3" s="25">
        <v>1849719.69</v>
      </c>
      <c r="E3" s="25">
        <v>2852940.86</v>
      </c>
      <c r="F3" s="25">
        <v>2629482.17</v>
      </c>
      <c r="G3" s="25"/>
      <c r="H3" s="25">
        <v>2073178.38</v>
      </c>
    </row>
    <row r="4" spans="1:10" x14ac:dyDescent="0.25">
      <c r="A4" s="24" t="s">
        <v>184</v>
      </c>
      <c r="B4" s="19"/>
      <c r="C4" s="19" t="s">
        <v>8</v>
      </c>
      <c r="D4" s="25">
        <v>6344.09</v>
      </c>
      <c r="E4" s="25">
        <v>1400595.64</v>
      </c>
      <c r="F4" s="25">
        <v>1404893.04</v>
      </c>
      <c r="G4" s="25"/>
      <c r="H4" s="25">
        <v>2046.69</v>
      </c>
    </row>
    <row r="5" spans="1:10" x14ac:dyDescent="0.25">
      <c r="A5" s="24" t="s">
        <v>185</v>
      </c>
      <c r="B5" s="19"/>
      <c r="C5" s="19" t="s">
        <v>9</v>
      </c>
      <c r="D5" s="25">
        <v>0</v>
      </c>
      <c r="E5" s="25">
        <v>108600</v>
      </c>
      <c r="F5" s="25">
        <v>108600</v>
      </c>
      <c r="G5" s="25"/>
      <c r="H5" s="25">
        <v>0</v>
      </c>
    </row>
    <row r="6" spans="1:10" x14ac:dyDescent="0.25">
      <c r="A6" s="29" t="s">
        <v>186</v>
      </c>
      <c r="B6" s="29">
        <v>5</v>
      </c>
      <c r="C6" s="29" t="s">
        <v>10</v>
      </c>
      <c r="D6" s="30">
        <v>0</v>
      </c>
      <c r="E6" s="30">
        <v>108600</v>
      </c>
      <c r="F6" s="30">
        <v>108600</v>
      </c>
      <c r="G6" s="30"/>
      <c r="H6" s="30">
        <v>0</v>
      </c>
    </row>
    <row r="7" spans="1:10" x14ac:dyDescent="0.25">
      <c r="A7" s="24" t="s">
        <v>187</v>
      </c>
      <c r="B7" s="19"/>
      <c r="C7" s="19" t="s">
        <v>11</v>
      </c>
      <c r="D7" s="25">
        <v>6344.09</v>
      </c>
      <c r="E7" s="25">
        <v>1291995.6399999999</v>
      </c>
      <c r="F7" s="25">
        <v>1296293.04</v>
      </c>
      <c r="G7" s="25"/>
      <c r="H7" s="25">
        <v>2046.69</v>
      </c>
    </row>
    <row r="8" spans="1:10" x14ac:dyDescent="0.25">
      <c r="A8" s="29" t="s">
        <v>189</v>
      </c>
      <c r="B8" s="29">
        <v>27</v>
      </c>
      <c r="C8" s="29" t="s">
        <v>13</v>
      </c>
      <c r="D8" s="30">
        <v>0</v>
      </c>
      <c r="E8" s="30">
        <v>1167251.8999999999</v>
      </c>
      <c r="F8" s="30">
        <v>1167251.8999999999</v>
      </c>
      <c r="G8" s="30"/>
      <c r="H8" s="30">
        <v>0</v>
      </c>
    </row>
    <row r="9" spans="1:10" x14ac:dyDescent="0.25">
      <c r="A9" s="29" t="s">
        <v>190</v>
      </c>
      <c r="B9" s="29">
        <v>576</v>
      </c>
      <c r="C9" s="29" t="s">
        <v>14</v>
      </c>
      <c r="D9" s="30">
        <v>848.74</v>
      </c>
      <c r="E9" s="30">
        <v>16200</v>
      </c>
      <c r="F9" s="30">
        <v>16962.5</v>
      </c>
      <c r="G9" s="30"/>
      <c r="H9" s="30">
        <v>86.24</v>
      </c>
    </row>
    <row r="10" spans="1:10" x14ac:dyDescent="0.25">
      <c r="A10" s="29" t="s">
        <v>191</v>
      </c>
      <c r="B10" s="29">
        <v>5444</v>
      </c>
      <c r="C10" s="29" t="s">
        <v>15</v>
      </c>
      <c r="D10" s="30">
        <v>5495.35</v>
      </c>
      <c r="E10" s="30">
        <v>853.39</v>
      </c>
      <c r="F10" s="30">
        <v>5400</v>
      </c>
      <c r="G10" s="30"/>
      <c r="H10" s="30">
        <v>948.74</v>
      </c>
    </row>
    <row r="11" spans="1:10" x14ac:dyDescent="0.25">
      <c r="A11" s="29" t="s">
        <v>188</v>
      </c>
      <c r="B11" s="29">
        <v>5860</v>
      </c>
      <c r="C11" s="29" t="s">
        <v>12</v>
      </c>
      <c r="D11" s="30">
        <v>0</v>
      </c>
      <c r="E11" s="30">
        <v>107690.35</v>
      </c>
      <c r="F11" s="30">
        <v>106678.64</v>
      </c>
      <c r="G11" s="30"/>
      <c r="H11" s="30">
        <v>1011.71</v>
      </c>
    </row>
    <row r="12" spans="1:10" x14ac:dyDescent="0.25">
      <c r="A12" s="24" t="s">
        <v>194</v>
      </c>
      <c r="B12" s="19"/>
      <c r="C12" s="19" t="s">
        <v>18</v>
      </c>
      <c r="D12" s="25">
        <v>774277.73</v>
      </c>
      <c r="E12" s="25">
        <v>884558.89</v>
      </c>
      <c r="F12" s="25">
        <v>951206</v>
      </c>
      <c r="G12" s="25"/>
      <c r="H12" s="25">
        <v>707630.62</v>
      </c>
    </row>
    <row r="13" spans="1:10" x14ac:dyDescent="0.25">
      <c r="A13" s="24" t="s">
        <v>195</v>
      </c>
      <c r="B13" s="19"/>
      <c r="C13" s="19" t="s">
        <v>19</v>
      </c>
      <c r="D13" s="25">
        <v>774277.73</v>
      </c>
      <c r="E13" s="25">
        <v>884558.89</v>
      </c>
      <c r="F13" s="25">
        <v>951206</v>
      </c>
      <c r="G13" s="25"/>
      <c r="H13" s="25">
        <v>707630.62</v>
      </c>
    </row>
    <row r="14" spans="1:10" x14ac:dyDescent="0.25">
      <c r="A14" s="29" t="s">
        <v>197</v>
      </c>
      <c r="B14" s="29">
        <v>43</v>
      </c>
      <c r="C14" s="29" t="s">
        <v>21</v>
      </c>
      <c r="D14" s="30">
        <v>558987.18000000005</v>
      </c>
      <c r="E14" s="30">
        <v>884558.89</v>
      </c>
      <c r="F14" s="30">
        <v>951206</v>
      </c>
      <c r="G14" s="30"/>
      <c r="H14" s="30">
        <v>492340.07</v>
      </c>
    </row>
    <row r="15" spans="1:10" x14ac:dyDescent="0.25">
      <c r="A15" s="29" t="s">
        <v>196</v>
      </c>
      <c r="B15" s="29">
        <v>5347</v>
      </c>
      <c r="C15" s="29" t="s">
        <v>20</v>
      </c>
      <c r="D15" s="30">
        <v>215290.55</v>
      </c>
      <c r="E15" s="30">
        <v>0</v>
      </c>
      <c r="F15" s="30">
        <v>0</v>
      </c>
      <c r="G15" s="30"/>
      <c r="H15" s="30">
        <v>215290.55</v>
      </c>
    </row>
    <row r="16" spans="1:10" x14ac:dyDescent="0.25">
      <c r="A16" s="24" t="s">
        <v>198</v>
      </c>
      <c r="B16" s="19"/>
      <c r="C16" s="19" t="s">
        <v>22</v>
      </c>
      <c r="D16" s="25">
        <v>240260.16</v>
      </c>
      <c r="E16" s="25">
        <v>81198.759999999995</v>
      </c>
      <c r="F16" s="25">
        <v>82070.679999999993</v>
      </c>
      <c r="G16" s="25"/>
      <c r="H16" s="25">
        <v>239388.24</v>
      </c>
    </row>
    <row r="17" spans="1:8" x14ac:dyDescent="0.25">
      <c r="A17" s="24" t="s">
        <v>199</v>
      </c>
      <c r="B17" s="19"/>
      <c r="C17" s="19" t="s">
        <v>23</v>
      </c>
      <c r="D17" s="25">
        <v>912.88</v>
      </c>
      <c r="E17" s="25">
        <v>16675.310000000001</v>
      </c>
      <c r="F17" s="25">
        <v>17588.189999999999</v>
      </c>
      <c r="G17" s="25"/>
      <c r="H17" s="25">
        <v>0</v>
      </c>
    </row>
    <row r="18" spans="1:8" x14ac:dyDescent="0.25">
      <c r="A18" s="29" t="s">
        <v>200</v>
      </c>
      <c r="B18" s="29">
        <v>60</v>
      </c>
      <c r="C18" s="29" t="s">
        <v>24</v>
      </c>
      <c r="D18" s="30">
        <v>912.88</v>
      </c>
      <c r="E18" s="30">
        <v>0</v>
      </c>
      <c r="F18" s="30">
        <v>912.88</v>
      </c>
      <c r="G18" s="30"/>
      <c r="H18" s="30">
        <v>0</v>
      </c>
    </row>
    <row r="19" spans="1:8" x14ac:dyDescent="0.25">
      <c r="A19" s="29" t="s">
        <v>201</v>
      </c>
      <c r="B19" s="29">
        <v>3263</v>
      </c>
      <c r="C19" s="29" t="s">
        <v>25</v>
      </c>
      <c r="D19" s="30">
        <v>0</v>
      </c>
      <c r="E19" s="30">
        <v>16675.310000000001</v>
      </c>
      <c r="F19" s="30">
        <v>16675.310000000001</v>
      </c>
      <c r="G19" s="30"/>
      <c r="H19" s="30">
        <v>0</v>
      </c>
    </row>
    <row r="20" spans="1:8" x14ac:dyDescent="0.25">
      <c r="A20" s="24" t="s">
        <v>202</v>
      </c>
      <c r="B20" s="19"/>
      <c r="C20" s="19" t="s">
        <v>26</v>
      </c>
      <c r="D20" s="25">
        <v>147010.20000000001</v>
      </c>
      <c r="E20" s="25">
        <v>0</v>
      </c>
      <c r="F20" s="25">
        <v>0</v>
      </c>
      <c r="G20" s="25"/>
      <c r="H20" s="25">
        <v>147010.20000000001</v>
      </c>
    </row>
    <row r="21" spans="1:8" x14ac:dyDescent="0.25">
      <c r="A21" s="29" t="s">
        <v>203</v>
      </c>
      <c r="B21" s="29">
        <v>3220</v>
      </c>
      <c r="C21" s="29" t="s">
        <v>27</v>
      </c>
      <c r="D21" s="30">
        <v>147010.20000000001</v>
      </c>
      <c r="E21" s="30">
        <v>0</v>
      </c>
      <c r="F21" s="30">
        <v>0</v>
      </c>
      <c r="G21" s="30"/>
      <c r="H21" s="30">
        <v>147010.20000000001</v>
      </c>
    </row>
    <row r="22" spans="1:8" x14ac:dyDescent="0.25">
      <c r="A22" s="24" t="s">
        <v>204</v>
      </c>
      <c r="B22" s="19"/>
      <c r="C22" s="19" t="s">
        <v>28</v>
      </c>
      <c r="D22" s="25">
        <v>20820.55</v>
      </c>
      <c r="E22" s="25">
        <v>0</v>
      </c>
      <c r="F22" s="25">
        <v>0</v>
      </c>
      <c r="G22" s="25"/>
      <c r="H22" s="25">
        <v>20820.55</v>
      </c>
    </row>
    <row r="23" spans="1:8" x14ac:dyDescent="0.25">
      <c r="A23" s="29" t="s">
        <v>205</v>
      </c>
      <c r="B23" s="29">
        <v>5789</v>
      </c>
      <c r="C23" s="29" t="s">
        <v>29</v>
      </c>
      <c r="D23" s="30">
        <v>20820.55</v>
      </c>
      <c r="E23" s="30">
        <v>0</v>
      </c>
      <c r="F23" s="30">
        <v>0</v>
      </c>
      <c r="G23" s="30"/>
      <c r="H23" s="30">
        <v>20820.55</v>
      </c>
    </row>
    <row r="24" spans="1:8" x14ac:dyDescent="0.25">
      <c r="A24" s="24" t="s">
        <v>206</v>
      </c>
      <c r="B24" s="19"/>
      <c r="C24" s="19" t="s">
        <v>30</v>
      </c>
      <c r="D24" s="25">
        <v>7423.43</v>
      </c>
      <c r="E24" s="25">
        <v>64523.45</v>
      </c>
      <c r="F24" s="25">
        <v>64482.49</v>
      </c>
      <c r="G24" s="25"/>
      <c r="H24" s="25">
        <v>7464.39</v>
      </c>
    </row>
    <row r="25" spans="1:8" x14ac:dyDescent="0.25">
      <c r="A25" s="29" t="s">
        <v>379</v>
      </c>
      <c r="B25" s="29">
        <v>94</v>
      </c>
      <c r="C25" s="29" t="s">
        <v>370</v>
      </c>
      <c r="D25" s="30">
        <v>1.75</v>
      </c>
      <c r="E25" s="30">
        <v>1521.73</v>
      </c>
      <c r="F25" s="30">
        <v>1523.48</v>
      </c>
      <c r="G25" s="30"/>
      <c r="H25" s="30">
        <v>0</v>
      </c>
    </row>
    <row r="26" spans="1:8" x14ac:dyDescent="0.25">
      <c r="A26" s="29" t="s">
        <v>207</v>
      </c>
      <c r="B26" s="29">
        <v>116</v>
      </c>
      <c r="C26" s="29" t="s">
        <v>31</v>
      </c>
      <c r="D26" s="30">
        <v>300.12</v>
      </c>
      <c r="E26" s="30">
        <v>62671.65</v>
      </c>
      <c r="F26" s="30">
        <v>62628.26</v>
      </c>
      <c r="G26" s="30"/>
      <c r="H26" s="30">
        <v>343.51</v>
      </c>
    </row>
    <row r="27" spans="1:8" x14ac:dyDescent="0.25">
      <c r="A27" s="29" t="s">
        <v>380</v>
      </c>
      <c r="B27" s="29">
        <v>159</v>
      </c>
      <c r="C27" s="29" t="s">
        <v>371</v>
      </c>
      <c r="D27" s="30">
        <v>0.68</v>
      </c>
      <c r="E27" s="30">
        <v>330.07</v>
      </c>
      <c r="F27" s="30">
        <v>330.75</v>
      </c>
      <c r="G27" s="30"/>
      <c r="H27" s="30">
        <v>0</v>
      </c>
    </row>
    <row r="28" spans="1:8" x14ac:dyDescent="0.25">
      <c r="A28" s="29" t="s">
        <v>208</v>
      </c>
      <c r="B28" s="29">
        <v>5274</v>
      </c>
      <c r="C28" s="29" t="s">
        <v>32</v>
      </c>
      <c r="D28" s="30">
        <v>7120.88</v>
      </c>
      <c r="E28" s="30">
        <v>0</v>
      </c>
      <c r="F28" s="30">
        <v>0</v>
      </c>
      <c r="G28" s="30"/>
      <c r="H28" s="30">
        <v>7120.88</v>
      </c>
    </row>
    <row r="29" spans="1:8" x14ac:dyDescent="0.25">
      <c r="A29" s="24" t="s">
        <v>209</v>
      </c>
      <c r="B29" s="19"/>
      <c r="C29" s="19" t="s">
        <v>33</v>
      </c>
      <c r="D29" s="25">
        <v>64093.1</v>
      </c>
      <c r="E29" s="25">
        <v>0</v>
      </c>
      <c r="F29" s="25">
        <v>0</v>
      </c>
      <c r="G29" s="25"/>
      <c r="H29" s="25">
        <v>64093.1</v>
      </c>
    </row>
    <row r="30" spans="1:8" x14ac:dyDescent="0.25">
      <c r="A30" s="29" t="s">
        <v>213</v>
      </c>
      <c r="B30" s="29">
        <v>4502</v>
      </c>
      <c r="C30" s="29" t="s">
        <v>37</v>
      </c>
      <c r="D30" s="30">
        <v>13.87</v>
      </c>
      <c r="E30" s="30">
        <v>0</v>
      </c>
      <c r="F30" s="30">
        <v>0</v>
      </c>
      <c r="G30" s="30"/>
      <c r="H30" s="30">
        <v>13.87</v>
      </c>
    </row>
    <row r="31" spans="1:8" x14ac:dyDescent="0.25">
      <c r="A31" s="29" t="s">
        <v>210</v>
      </c>
      <c r="B31" s="29">
        <v>4510</v>
      </c>
      <c r="C31" s="29" t="s">
        <v>34</v>
      </c>
      <c r="D31" s="30">
        <v>34627.339999999997</v>
      </c>
      <c r="E31" s="30">
        <v>0</v>
      </c>
      <c r="F31" s="30">
        <v>0</v>
      </c>
      <c r="G31" s="30"/>
      <c r="H31" s="30">
        <v>34627.339999999997</v>
      </c>
    </row>
    <row r="32" spans="1:8" x14ac:dyDescent="0.25">
      <c r="A32" s="29" t="s">
        <v>212</v>
      </c>
      <c r="B32" s="29">
        <v>4545</v>
      </c>
      <c r="C32" s="29" t="s">
        <v>36</v>
      </c>
      <c r="D32" s="30">
        <v>16.21</v>
      </c>
      <c r="E32" s="30">
        <v>0</v>
      </c>
      <c r="F32" s="30">
        <v>0</v>
      </c>
      <c r="G32" s="30"/>
      <c r="H32" s="30">
        <v>16.21</v>
      </c>
    </row>
    <row r="33" spans="1:9" x14ac:dyDescent="0.25">
      <c r="A33" s="29" t="s">
        <v>211</v>
      </c>
      <c r="B33" s="29">
        <v>4561</v>
      </c>
      <c r="C33" s="29" t="s">
        <v>35</v>
      </c>
      <c r="D33" s="30">
        <v>29435.68</v>
      </c>
      <c r="E33" s="30">
        <v>0</v>
      </c>
      <c r="F33" s="30">
        <v>0</v>
      </c>
      <c r="G33" s="30"/>
      <c r="H33" s="30">
        <v>29435.68</v>
      </c>
    </row>
    <row r="34" spans="1:9" x14ac:dyDescent="0.25">
      <c r="A34" s="24" t="s">
        <v>214</v>
      </c>
      <c r="B34" s="19"/>
      <c r="C34" s="19" t="s">
        <v>38</v>
      </c>
      <c r="D34" s="25">
        <v>828837.71</v>
      </c>
      <c r="E34" s="25">
        <v>486587.57</v>
      </c>
      <c r="F34" s="25">
        <v>191312.45</v>
      </c>
      <c r="G34" s="25"/>
      <c r="H34" s="25">
        <v>1124112.83</v>
      </c>
    </row>
    <row r="35" spans="1:9" x14ac:dyDescent="0.25">
      <c r="A35" s="24" t="s">
        <v>215</v>
      </c>
      <c r="B35" s="19"/>
      <c r="C35" s="19" t="s">
        <v>39</v>
      </c>
      <c r="D35" s="25">
        <v>828837.71</v>
      </c>
      <c r="E35" s="25">
        <v>486587.57</v>
      </c>
      <c r="F35" s="25">
        <v>191312.45</v>
      </c>
      <c r="G35" s="25"/>
      <c r="H35" s="25">
        <v>1124112.83</v>
      </c>
    </row>
    <row r="36" spans="1:9" x14ac:dyDescent="0.25">
      <c r="A36" s="29" t="s">
        <v>216</v>
      </c>
      <c r="B36" s="29">
        <v>175</v>
      </c>
      <c r="C36" s="29" t="s">
        <v>40</v>
      </c>
      <c r="D36" s="30">
        <v>828837.71</v>
      </c>
      <c r="E36" s="30">
        <v>486587.57</v>
      </c>
      <c r="F36" s="30">
        <v>191312.45</v>
      </c>
      <c r="G36" s="30"/>
      <c r="H36" s="30">
        <v>1124112.83</v>
      </c>
      <c r="I36" s="18" t="s">
        <v>394</v>
      </c>
    </row>
    <row r="37" spans="1:9" x14ac:dyDescent="0.25">
      <c r="A37" s="24" t="s">
        <v>217</v>
      </c>
      <c r="B37" s="19"/>
      <c r="C37" s="19" t="s">
        <v>41</v>
      </c>
      <c r="D37" s="25">
        <v>3135242.85</v>
      </c>
      <c r="E37" s="25">
        <v>0</v>
      </c>
      <c r="F37" s="25">
        <v>6083.86</v>
      </c>
      <c r="G37" s="25"/>
      <c r="H37" s="25">
        <v>3129158.99</v>
      </c>
    </row>
    <row r="38" spans="1:9" x14ac:dyDescent="0.25">
      <c r="A38" s="24" t="s">
        <v>218</v>
      </c>
      <c r="B38" s="19"/>
      <c r="C38" s="19" t="s">
        <v>42</v>
      </c>
      <c r="D38" s="25">
        <v>3022148.98</v>
      </c>
      <c r="E38" s="25">
        <v>0</v>
      </c>
      <c r="F38" s="25">
        <v>0</v>
      </c>
      <c r="G38" s="25"/>
      <c r="H38" s="25">
        <v>3022148.98</v>
      </c>
    </row>
    <row r="39" spans="1:9" x14ac:dyDescent="0.25">
      <c r="A39" s="24" t="s">
        <v>219</v>
      </c>
      <c r="B39" s="19"/>
      <c r="C39" s="19" t="s">
        <v>43</v>
      </c>
      <c r="D39" s="25">
        <v>3022148.98</v>
      </c>
      <c r="E39" s="25">
        <v>0</v>
      </c>
      <c r="F39" s="25">
        <v>0</v>
      </c>
      <c r="G39" s="25"/>
      <c r="H39" s="25">
        <v>3022148.98</v>
      </c>
    </row>
    <row r="40" spans="1:9" x14ac:dyDescent="0.25">
      <c r="A40" s="29" t="s">
        <v>221</v>
      </c>
      <c r="B40" s="29">
        <v>3336</v>
      </c>
      <c r="C40" s="29" t="s">
        <v>45</v>
      </c>
      <c r="D40" s="30">
        <v>1224589.32</v>
      </c>
      <c r="E40" s="30">
        <v>0</v>
      </c>
      <c r="F40" s="30">
        <v>0</v>
      </c>
      <c r="G40" s="30"/>
      <c r="H40" s="30">
        <v>1224589.32</v>
      </c>
    </row>
    <row r="41" spans="1:9" x14ac:dyDescent="0.25">
      <c r="A41" s="29" t="s">
        <v>220</v>
      </c>
      <c r="B41" s="29">
        <v>3344</v>
      </c>
      <c r="C41" s="29" t="s">
        <v>44</v>
      </c>
      <c r="D41" s="30">
        <v>1797559.66</v>
      </c>
      <c r="E41" s="30">
        <v>0</v>
      </c>
      <c r="F41" s="30">
        <v>0</v>
      </c>
      <c r="G41" s="30"/>
      <c r="H41" s="30">
        <v>1797559.66</v>
      </c>
    </row>
    <row r="42" spans="1:9" x14ac:dyDescent="0.25">
      <c r="A42" s="24" t="s">
        <v>222</v>
      </c>
      <c r="B42" s="19"/>
      <c r="C42" s="19" t="s">
        <v>46</v>
      </c>
      <c r="D42" s="25">
        <v>66128.789999999994</v>
      </c>
      <c r="E42" s="25">
        <v>0</v>
      </c>
      <c r="F42" s="25">
        <v>1767.19</v>
      </c>
      <c r="G42" s="25"/>
      <c r="H42" s="25">
        <v>64361.599999999999</v>
      </c>
    </row>
    <row r="43" spans="1:9" x14ac:dyDescent="0.25">
      <c r="A43" s="24" t="s">
        <v>223</v>
      </c>
      <c r="B43" s="19"/>
      <c r="C43" s="19" t="s">
        <v>47</v>
      </c>
      <c r="D43" s="25">
        <v>139435.51</v>
      </c>
      <c r="E43" s="25">
        <v>0</v>
      </c>
      <c r="F43" s="25">
        <v>0</v>
      </c>
      <c r="G43" s="25"/>
      <c r="H43" s="25">
        <v>139435.51</v>
      </c>
    </row>
    <row r="44" spans="1:9" x14ac:dyDescent="0.25">
      <c r="A44" s="29" t="s">
        <v>224</v>
      </c>
      <c r="B44" s="29">
        <v>205</v>
      </c>
      <c r="C44" s="29" t="s">
        <v>48</v>
      </c>
      <c r="D44" s="30">
        <v>132597.82</v>
      </c>
      <c r="E44" s="30">
        <v>0</v>
      </c>
      <c r="F44" s="30">
        <v>0</v>
      </c>
      <c r="G44" s="30"/>
      <c r="H44" s="30">
        <v>132597.82</v>
      </c>
    </row>
    <row r="45" spans="1:9" x14ac:dyDescent="0.25">
      <c r="A45" s="29" t="s">
        <v>225</v>
      </c>
      <c r="B45" s="29">
        <v>4588</v>
      </c>
      <c r="C45" s="29" t="s">
        <v>49</v>
      </c>
      <c r="D45" s="30">
        <v>4888.6899999999996</v>
      </c>
      <c r="E45" s="30">
        <v>0</v>
      </c>
      <c r="F45" s="30">
        <v>0</v>
      </c>
      <c r="G45" s="30"/>
      <c r="H45" s="30">
        <v>4888.6899999999996</v>
      </c>
    </row>
    <row r="46" spans="1:9" x14ac:dyDescent="0.25">
      <c r="A46" s="29" t="s">
        <v>226</v>
      </c>
      <c r="B46" s="29">
        <v>248</v>
      </c>
      <c r="C46" s="29" t="s">
        <v>50</v>
      </c>
      <c r="D46" s="30">
        <v>1949</v>
      </c>
      <c r="E46" s="30">
        <v>0</v>
      </c>
      <c r="F46" s="30">
        <v>0</v>
      </c>
      <c r="G46" s="30"/>
      <c r="H46" s="30">
        <v>1949</v>
      </c>
    </row>
    <row r="47" spans="1:9" x14ac:dyDescent="0.25">
      <c r="A47" s="24" t="s">
        <v>227</v>
      </c>
      <c r="B47" s="19"/>
      <c r="C47" s="19" t="s">
        <v>51</v>
      </c>
      <c r="D47" s="25">
        <v>-73306.720000000001</v>
      </c>
      <c r="E47" s="25">
        <v>0</v>
      </c>
      <c r="F47" s="25">
        <v>1767.19</v>
      </c>
      <c r="G47" s="25"/>
      <c r="H47" s="25">
        <v>-75073.91</v>
      </c>
    </row>
    <row r="48" spans="1:9" x14ac:dyDescent="0.25">
      <c r="A48" s="29" t="s">
        <v>228</v>
      </c>
      <c r="B48" s="29">
        <v>280</v>
      </c>
      <c r="C48" s="29" t="s">
        <v>52</v>
      </c>
      <c r="D48" s="30">
        <v>-69471.31</v>
      </c>
      <c r="E48" s="30">
        <v>0</v>
      </c>
      <c r="F48" s="30">
        <v>1666.29</v>
      </c>
      <c r="G48" s="30"/>
      <c r="H48" s="30">
        <v>-71137.600000000006</v>
      </c>
    </row>
    <row r="49" spans="1:8" x14ac:dyDescent="0.25">
      <c r="A49" s="29" t="s">
        <v>229</v>
      </c>
      <c r="B49" s="29">
        <v>299</v>
      </c>
      <c r="C49" s="29" t="s">
        <v>53</v>
      </c>
      <c r="D49" s="30">
        <v>-3640.53</v>
      </c>
      <c r="E49" s="30">
        <v>0</v>
      </c>
      <c r="F49" s="30">
        <v>84.66</v>
      </c>
      <c r="G49" s="30"/>
      <c r="H49" s="30">
        <v>-3725.19</v>
      </c>
    </row>
    <row r="50" spans="1:8" x14ac:dyDescent="0.25">
      <c r="A50" s="29" t="s">
        <v>230</v>
      </c>
      <c r="B50" s="29">
        <v>329</v>
      </c>
      <c r="C50" s="29" t="s">
        <v>54</v>
      </c>
      <c r="D50" s="30">
        <v>-194.88</v>
      </c>
      <c r="E50" s="30">
        <v>0</v>
      </c>
      <c r="F50" s="30">
        <v>16.239999999999998</v>
      </c>
      <c r="G50" s="30"/>
      <c r="H50" s="30">
        <v>-211.12</v>
      </c>
    </row>
    <row r="51" spans="1:8" x14ac:dyDescent="0.25">
      <c r="A51" s="24" t="s">
        <v>231</v>
      </c>
      <c r="B51" s="19"/>
      <c r="C51" s="19" t="s">
        <v>55</v>
      </c>
      <c r="D51" s="25">
        <v>46965.08</v>
      </c>
      <c r="E51" s="25">
        <v>0</v>
      </c>
      <c r="F51" s="25">
        <v>4316.67</v>
      </c>
      <c r="G51" s="25"/>
      <c r="H51" s="25">
        <v>42648.41</v>
      </c>
    </row>
    <row r="52" spans="1:8" x14ac:dyDescent="0.25">
      <c r="A52" s="24" t="s">
        <v>232</v>
      </c>
      <c r="B52" s="19"/>
      <c r="C52" s="19" t="s">
        <v>55</v>
      </c>
      <c r="D52" s="25">
        <v>109099</v>
      </c>
      <c r="E52" s="25">
        <v>0</v>
      </c>
      <c r="F52" s="25">
        <v>0</v>
      </c>
      <c r="G52" s="25"/>
      <c r="H52" s="25">
        <v>109099</v>
      </c>
    </row>
    <row r="53" spans="1:8" x14ac:dyDescent="0.25">
      <c r="A53" s="29" t="s">
        <v>233</v>
      </c>
      <c r="B53" s="29">
        <v>2615</v>
      </c>
      <c r="C53" s="29" t="s">
        <v>56</v>
      </c>
      <c r="D53" s="30">
        <v>5499</v>
      </c>
      <c r="E53" s="30">
        <v>0</v>
      </c>
      <c r="F53" s="30">
        <v>0</v>
      </c>
      <c r="G53" s="30"/>
      <c r="H53" s="30">
        <v>5499</v>
      </c>
    </row>
    <row r="54" spans="1:8" x14ac:dyDescent="0.25">
      <c r="A54" s="29" t="s">
        <v>234</v>
      </c>
      <c r="B54" s="29">
        <v>3948</v>
      </c>
      <c r="C54" s="29" t="s">
        <v>57</v>
      </c>
      <c r="D54" s="30">
        <v>103600</v>
      </c>
      <c r="E54" s="30">
        <v>0</v>
      </c>
      <c r="F54" s="30">
        <v>0</v>
      </c>
      <c r="G54" s="30"/>
      <c r="H54" s="30">
        <v>103600</v>
      </c>
    </row>
    <row r="55" spans="1:8" x14ac:dyDescent="0.25">
      <c r="A55" s="24" t="s">
        <v>235</v>
      </c>
      <c r="B55" s="19"/>
      <c r="C55" s="19" t="s">
        <v>58</v>
      </c>
      <c r="D55" s="25">
        <v>-62133.919999999998</v>
      </c>
      <c r="E55" s="25">
        <v>0</v>
      </c>
      <c r="F55" s="25">
        <v>4316.67</v>
      </c>
      <c r="G55" s="25"/>
      <c r="H55" s="25">
        <v>-66450.59</v>
      </c>
    </row>
    <row r="56" spans="1:8" x14ac:dyDescent="0.25">
      <c r="A56" s="29" t="s">
        <v>236</v>
      </c>
      <c r="B56" s="29">
        <v>3964</v>
      </c>
      <c r="C56" s="29" t="s">
        <v>59</v>
      </c>
      <c r="D56" s="30">
        <v>-62133.919999999998</v>
      </c>
      <c r="E56" s="30">
        <v>0</v>
      </c>
      <c r="F56" s="30">
        <v>4316.67</v>
      </c>
      <c r="G56" s="30"/>
      <c r="H56" s="30">
        <v>-66450.59</v>
      </c>
    </row>
    <row r="57" spans="1:8" x14ac:dyDescent="0.25">
      <c r="A57" s="24" t="s">
        <v>237</v>
      </c>
      <c r="B57" s="19"/>
      <c r="C57" s="19" t="s">
        <v>60</v>
      </c>
      <c r="D57" s="25">
        <v>0</v>
      </c>
      <c r="E57" s="25">
        <v>918554.86</v>
      </c>
      <c r="F57" s="25">
        <v>918554.86</v>
      </c>
      <c r="G57" s="25"/>
      <c r="H57" s="25">
        <v>0</v>
      </c>
    </row>
    <row r="58" spans="1:8" x14ac:dyDescent="0.25">
      <c r="A58" s="24" t="s">
        <v>238</v>
      </c>
      <c r="B58" s="19"/>
      <c r="C58" s="19" t="s">
        <v>61</v>
      </c>
      <c r="D58" s="25">
        <v>0</v>
      </c>
      <c r="E58" s="25">
        <v>918554.86</v>
      </c>
      <c r="F58" s="25">
        <v>918554.86</v>
      </c>
      <c r="G58" s="25"/>
      <c r="H58" s="25">
        <v>0</v>
      </c>
    </row>
    <row r="59" spans="1:8" x14ac:dyDescent="0.25">
      <c r="A59" s="29" t="s">
        <v>240</v>
      </c>
      <c r="B59" s="29">
        <v>5881</v>
      </c>
      <c r="C59" s="29" t="s">
        <v>63</v>
      </c>
      <c r="D59" s="30">
        <v>0</v>
      </c>
      <c r="E59" s="30">
        <v>343687.99</v>
      </c>
      <c r="F59" s="30">
        <v>343687.99</v>
      </c>
      <c r="G59" s="30"/>
      <c r="H59" s="30">
        <v>0</v>
      </c>
    </row>
    <row r="60" spans="1:8" x14ac:dyDescent="0.25">
      <c r="A60" s="29" t="s">
        <v>241</v>
      </c>
      <c r="B60" s="29">
        <v>5883</v>
      </c>
      <c r="C60" s="29" t="s">
        <v>64</v>
      </c>
      <c r="D60" s="30">
        <v>0</v>
      </c>
      <c r="E60" s="30">
        <v>451663.89</v>
      </c>
      <c r="F60" s="30">
        <v>451663.89</v>
      </c>
      <c r="G60" s="30"/>
      <c r="H60" s="30">
        <v>0</v>
      </c>
    </row>
    <row r="61" spans="1:8" x14ac:dyDescent="0.25">
      <c r="A61" s="29" t="s">
        <v>239</v>
      </c>
      <c r="B61" s="29">
        <v>5886</v>
      </c>
      <c r="C61" s="29" t="s">
        <v>62</v>
      </c>
      <c r="D61" s="30">
        <v>0</v>
      </c>
      <c r="E61" s="30">
        <v>123202.98</v>
      </c>
      <c r="F61" s="30">
        <v>123202.98</v>
      </c>
      <c r="G61" s="30"/>
      <c r="H61" s="30">
        <v>0</v>
      </c>
    </row>
    <row r="62" spans="1:8" x14ac:dyDescent="0.25">
      <c r="A62" s="24">
        <v>2</v>
      </c>
      <c r="B62" s="19"/>
      <c r="C62" s="19" t="s">
        <v>65</v>
      </c>
      <c r="D62" s="25">
        <v>5626671.5800000001</v>
      </c>
      <c r="E62" s="25">
        <v>2537267.52</v>
      </c>
      <c r="F62" s="25">
        <v>2809477.62</v>
      </c>
      <c r="G62" s="25"/>
      <c r="H62" s="25">
        <v>5898881.6799999997</v>
      </c>
    </row>
    <row r="63" spans="1:8" x14ac:dyDescent="0.25">
      <c r="A63" s="24" t="s">
        <v>242</v>
      </c>
      <c r="B63" s="19"/>
      <c r="C63" s="19" t="s">
        <v>66</v>
      </c>
      <c r="D63" s="25">
        <v>2735535.53</v>
      </c>
      <c r="E63" s="25">
        <v>1458712.66</v>
      </c>
      <c r="F63" s="25">
        <v>1622451.49</v>
      </c>
      <c r="G63" s="25"/>
      <c r="H63" s="25">
        <v>2899274.36</v>
      </c>
    </row>
    <row r="64" spans="1:8" x14ac:dyDescent="0.25">
      <c r="A64" s="24" t="s">
        <v>243</v>
      </c>
      <c r="B64" s="19"/>
      <c r="C64" s="19" t="s">
        <v>67</v>
      </c>
      <c r="D64" s="25">
        <v>2735535.53</v>
      </c>
      <c r="E64" s="25">
        <v>1458712.66</v>
      </c>
      <c r="F64" s="25">
        <v>1622451.49</v>
      </c>
      <c r="G64" s="25"/>
      <c r="H64" s="25">
        <v>2899274.36</v>
      </c>
    </row>
    <row r="65" spans="1:9" x14ac:dyDescent="0.25">
      <c r="A65" s="24" t="s">
        <v>244</v>
      </c>
      <c r="B65" s="19"/>
      <c r="C65" s="19" t="s">
        <v>68</v>
      </c>
      <c r="D65" s="25">
        <v>1735239.79</v>
      </c>
      <c r="E65" s="25">
        <v>632601.43000000005</v>
      </c>
      <c r="F65" s="25">
        <v>990640.1</v>
      </c>
      <c r="G65" s="25"/>
      <c r="H65" s="25">
        <v>2093278.46</v>
      </c>
    </row>
    <row r="66" spans="1:9" x14ac:dyDescent="0.25">
      <c r="A66" s="29" t="s">
        <v>245</v>
      </c>
      <c r="B66" s="29">
        <v>353</v>
      </c>
      <c r="C66" s="29" t="s">
        <v>69</v>
      </c>
      <c r="D66" s="30">
        <v>1735239.79</v>
      </c>
      <c r="E66" s="30">
        <v>632601.43000000005</v>
      </c>
      <c r="F66" s="30">
        <v>990640.1</v>
      </c>
      <c r="G66" s="30"/>
      <c r="H66" s="30">
        <v>2093278.46</v>
      </c>
      <c r="I66" s="18" t="s">
        <v>394</v>
      </c>
    </row>
    <row r="67" spans="1:9" x14ac:dyDescent="0.25">
      <c r="A67" s="24" t="s">
        <v>246</v>
      </c>
      <c r="B67" s="19"/>
      <c r="C67" s="19" t="s">
        <v>70</v>
      </c>
      <c r="D67" s="25">
        <v>240169.07</v>
      </c>
      <c r="E67" s="25">
        <v>90176.34</v>
      </c>
      <c r="F67" s="25">
        <v>90668.57</v>
      </c>
      <c r="G67" s="25"/>
      <c r="H67" s="25">
        <v>240661.3</v>
      </c>
    </row>
    <row r="68" spans="1:9" x14ac:dyDescent="0.25">
      <c r="A68" s="29" t="s">
        <v>248</v>
      </c>
      <c r="B68" s="29">
        <v>361</v>
      </c>
      <c r="C68" s="29" t="s">
        <v>13</v>
      </c>
      <c r="D68" s="30">
        <v>71109.009999999995</v>
      </c>
      <c r="E68" s="30">
        <v>71109.009999999995</v>
      </c>
      <c r="F68" s="30">
        <v>80661.3</v>
      </c>
      <c r="G68" s="30"/>
      <c r="H68" s="30">
        <v>80661.3</v>
      </c>
    </row>
    <row r="69" spans="1:9" x14ac:dyDescent="0.25">
      <c r="A69" s="29" t="s">
        <v>247</v>
      </c>
      <c r="B69" s="29">
        <v>362</v>
      </c>
      <c r="C69" s="29" t="s">
        <v>12</v>
      </c>
      <c r="D69" s="30">
        <v>9060.06</v>
      </c>
      <c r="E69" s="30">
        <v>9060.06</v>
      </c>
      <c r="F69" s="30">
        <v>0</v>
      </c>
      <c r="G69" s="30"/>
      <c r="H69" s="30">
        <v>0</v>
      </c>
    </row>
    <row r="70" spans="1:9" x14ac:dyDescent="0.25">
      <c r="A70" s="29" t="s">
        <v>249</v>
      </c>
      <c r="B70" s="29">
        <v>5885</v>
      </c>
      <c r="C70" s="29" t="s">
        <v>71</v>
      </c>
      <c r="D70" s="30">
        <v>160000</v>
      </c>
      <c r="E70" s="30">
        <v>10007.27</v>
      </c>
      <c r="F70" s="30">
        <v>10007.27</v>
      </c>
      <c r="G70" s="30"/>
      <c r="H70" s="30">
        <v>160000</v>
      </c>
    </row>
    <row r="71" spans="1:9" x14ac:dyDescent="0.25">
      <c r="A71" s="24" t="s">
        <v>250</v>
      </c>
      <c r="B71" s="19"/>
      <c r="C71" s="19" t="s">
        <v>72</v>
      </c>
      <c r="D71" s="25">
        <v>69301.710000000006</v>
      </c>
      <c r="E71" s="25">
        <v>111925.16</v>
      </c>
      <c r="F71" s="25">
        <v>70030.28</v>
      </c>
      <c r="G71" s="25"/>
      <c r="H71" s="25">
        <v>27406.83</v>
      </c>
    </row>
    <row r="72" spans="1:9" x14ac:dyDescent="0.25">
      <c r="A72" s="29" t="s">
        <v>251</v>
      </c>
      <c r="B72" s="29">
        <v>418</v>
      </c>
      <c r="C72" s="29" t="s">
        <v>73</v>
      </c>
      <c r="D72" s="30">
        <v>0</v>
      </c>
      <c r="E72" s="30">
        <v>2655.54</v>
      </c>
      <c r="F72" s="30">
        <v>2655.54</v>
      </c>
      <c r="G72" s="30"/>
      <c r="H72" s="30">
        <v>0</v>
      </c>
    </row>
    <row r="73" spans="1:9" x14ac:dyDescent="0.25">
      <c r="A73" s="29" t="s">
        <v>254</v>
      </c>
      <c r="B73" s="29">
        <v>434</v>
      </c>
      <c r="C73" s="29" t="s">
        <v>76</v>
      </c>
      <c r="D73" s="30">
        <v>0</v>
      </c>
      <c r="E73" s="30">
        <v>40810.379999999997</v>
      </c>
      <c r="F73" s="30">
        <v>40810.379999999997</v>
      </c>
      <c r="G73" s="30"/>
      <c r="H73" s="30">
        <v>0</v>
      </c>
    </row>
    <row r="74" spans="1:9" x14ac:dyDescent="0.25">
      <c r="A74" s="29" t="s">
        <v>252</v>
      </c>
      <c r="B74" s="29">
        <v>4596</v>
      </c>
      <c r="C74" s="29" t="s">
        <v>74</v>
      </c>
      <c r="D74" s="30">
        <v>8734.02</v>
      </c>
      <c r="E74" s="30">
        <v>14229.61</v>
      </c>
      <c r="F74" s="30">
        <v>8699.2000000000007</v>
      </c>
      <c r="G74" s="30"/>
      <c r="H74" s="30">
        <v>3203.61</v>
      </c>
    </row>
    <row r="75" spans="1:9" x14ac:dyDescent="0.25">
      <c r="A75" s="29" t="s">
        <v>253</v>
      </c>
      <c r="B75" s="29">
        <v>4600</v>
      </c>
      <c r="C75" s="29" t="s">
        <v>75</v>
      </c>
      <c r="D75" s="30">
        <v>30892.46</v>
      </c>
      <c r="E75" s="30">
        <v>23371.98</v>
      </c>
      <c r="F75" s="30">
        <v>16682.740000000002</v>
      </c>
      <c r="G75" s="30"/>
      <c r="H75" s="30">
        <v>24203.22</v>
      </c>
    </row>
    <row r="76" spans="1:9" x14ac:dyDescent="0.25">
      <c r="A76" s="29" t="s">
        <v>381</v>
      </c>
      <c r="B76" s="29">
        <v>4812</v>
      </c>
      <c r="C76" s="29" t="s">
        <v>372</v>
      </c>
      <c r="D76" s="30">
        <v>29675.23</v>
      </c>
      <c r="E76" s="30">
        <v>30857.65</v>
      </c>
      <c r="F76" s="30">
        <v>1182.42</v>
      </c>
      <c r="G76" s="30"/>
      <c r="H76" s="30">
        <v>0</v>
      </c>
    </row>
    <row r="77" spans="1:9" x14ac:dyDescent="0.25">
      <c r="A77" s="24" t="s">
        <v>255</v>
      </c>
      <c r="B77" s="19"/>
      <c r="C77" s="19" t="s">
        <v>77</v>
      </c>
      <c r="D77" s="25">
        <v>777.14</v>
      </c>
      <c r="E77" s="25">
        <v>2437.65</v>
      </c>
      <c r="F77" s="25">
        <v>4401.54</v>
      </c>
      <c r="G77" s="25"/>
      <c r="H77" s="25">
        <v>2741.03</v>
      </c>
    </row>
    <row r="78" spans="1:9" x14ac:dyDescent="0.25">
      <c r="A78" s="29" t="s">
        <v>257</v>
      </c>
      <c r="B78" s="29">
        <v>4618</v>
      </c>
      <c r="C78" s="29" t="s">
        <v>79</v>
      </c>
      <c r="D78" s="30">
        <v>583.41999999999996</v>
      </c>
      <c r="E78" s="30">
        <v>583.41999999999996</v>
      </c>
      <c r="F78" s="30">
        <v>1069.52</v>
      </c>
      <c r="G78" s="30"/>
      <c r="H78" s="30">
        <v>1069.52</v>
      </c>
    </row>
    <row r="79" spans="1:9" x14ac:dyDescent="0.25">
      <c r="A79" s="29" t="s">
        <v>256</v>
      </c>
      <c r="B79" s="29">
        <v>4626</v>
      </c>
      <c r="C79" s="29" t="s">
        <v>78</v>
      </c>
      <c r="D79" s="30">
        <v>159.16999999999999</v>
      </c>
      <c r="E79" s="30">
        <v>1523.48</v>
      </c>
      <c r="F79" s="30">
        <v>2737.65</v>
      </c>
      <c r="G79" s="30"/>
      <c r="H79" s="30">
        <v>1373.34</v>
      </c>
    </row>
    <row r="80" spans="1:9" x14ac:dyDescent="0.25">
      <c r="A80" s="29" t="s">
        <v>258</v>
      </c>
      <c r="B80" s="29">
        <v>4677</v>
      </c>
      <c r="C80" s="29" t="s">
        <v>80</v>
      </c>
      <c r="D80" s="30">
        <v>34.549999999999997</v>
      </c>
      <c r="E80" s="30">
        <v>330.75</v>
      </c>
      <c r="F80" s="30">
        <v>594.37</v>
      </c>
      <c r="G80" s="30"/>
      <c r="H80" s="30">
        <v>298.17</v>
      </c>
    </row>
    <row r="81" spans="1:8" x14ac:dyDescent="0.25">
      <c r="A81" s="24" t="s">
        <v>259</v>
      </c>
      <c r="B81" s="19"/>
      <c r="C81" s="19" t="s">
        <v>81</v>
      </c>
      <c r="D81" s="25">
        <v>402962.29</v>
      </c>
      <c r="E81" s="25">
        <v>282968.75</v>
      </c>
      <c r="F81" s="25">
        <v>202671.87</v>
      </c>
      <c r="G81" s="25"/>
      <c r="H81" s="25">
        <v>322665.40999999997</v>
      </c>
    </row>
    <row r="82" spans="1:8" x14ac:dyDescent="0.25">
      <c r="A82" s="29" t="s">
        <v>260</v>
      </c>
      <c r="B82" s="29">
        <v>582</v>
      </c>
      <c r="C82" s="29" t="s">
        <v>82</v>
      </c>
      <c r="D82" s="30">
        <v>8282.19</v>
      </c>
      <c r="E82" s="30">
        <v>0</v>
      </c>
      <c r="F82" s="30">
        <v>3398.86</v>
      </c>
      <c r="G82" s="30"/>
      <c r="H82" s="30">
        <v>11681.05</v>
      </c>
    </row>
    <row r="83" spans="1:8" x14ac:dyDescent="0.25">
      <c r="A83" s="29" t="s">
        <v>264</v>
      </c>
      <c r="B83" s="29">
        <v>590</v>
      </c>
      <c r="C83" s="29" t="s">
        <v>86</v>
      </c>
      <c r="D83" s="30">
        <v>77650.649999999994</v>
      </c>
      <c r="E83" s="30">
        <v>912.88</v>
      </c>
      <c r="F83" s="30">
        <v>6097.84</v>
      </c>
      <c r="G83" s="30"/>
      <c r="H83" s="30">
        <v>82835.61</v>
      </c>
    </row>
    <row r="84" spans="1:8" x14ac:dyDescent="0.25">
      <c r="A84" s="29" t="s">
        <v>262</v>
      </c>
      <c r="B84" s="29">
        <v>3417</v>
      </c>
      <c r="C84" s="29" t="s">
        <v>84</v>
      </c>
      <c r="D84" s="30">
        <v>2889.9</v>
      </c>
      <c r="E84" s="30">
        <v>0</v>
      </c>
      <c r="F84" s="30">
        <v>1182.78</v>
      </c>
      <c r="G84" s="30"/>
      <c r="H84" s="30">
        <v>4072.68</v>
      </c>
    </row>
    <row r="85" spans="1:8" x14ac:dyDescent="0.25">
      <c r="A85" s="29" t="s">
        <v>263</v>
      </c>
      <c r="B85" s="29">
        <v>3425</v>
      </c>
      <c r="C85" s="29" t="s">
        <v>85</v>
      </c>
      <c r="D85" s="30">
        <v>28933.759999999998</v>
      </c>
      <c r="E85" s="30">
        <v>0</v>
      </c>
      <c r="F85" s="30">
        <v>2122.04</v>
      </c>
      <c r="G85" s="30"/>
      <c r="H85" s="30">
        <v>31055.8</v>
      </c>
    </row>
    <row r="86" spans="1:8" x14ac:dyDescent="0.25">
      <c r="A86" s="29" t="s">
        <v>265</v>
      </c>
      <c r="B86" s="29">
        <v>5150</v>
      </c>
      <c r="C86" s="29" t="s">
        <v>87</v>
      </c>
      <c r="D86" s="30">
        <v>35837.53</v>
      </c>
      <c r="E86" s="30">
        <v>0</v>
      </c>
      <c r="F86" s="30">
        <v>424.19</v>
      </c>
      <c r="G86" s="30"/>
      <c r="H86" s="30">
        <v>36261.72</v>
      </c>
    </row>
    <row r="87" spans="1:8" x14ac:dyDescent="0.25">
      <c r="A87" s="29" t="s">
        <v>261</v>
      </c>
      <c r="B87" s="29">
        <v>5240</v>
      </c>
      <c r="C87" s="29" t="s">
        <v>83</v>
      </c>
      <c r="D87" s="30">
        <v>249368.26</v>
      </c>
      <c r="E87" s="30">
        <v>282055.87</v>
      </c>
      <c r="F87" s="30">
        <v>189446.16</v>
      </c>
      <c r="G87" s="30"/>
      <c r="H87" s="30">
        <v>156758.54999999999</v>
      </c>
    </row>
    <row r="88" spans="1:8" x14ac:dyDescent="0.25">
      <c r="A88" s="24" t="s">
        <v>266</v>
      </c>
      <c r="B88" s="19"/>
      <c r="C88" s="19" t="s">
        <v>88</v>
      </c>
      <c r="D88" s="25">
        <v>62256.05</v>
      </c>
      <c r="E88" s="25">
        <v>67645.929999999993</v>
      </c>
      <c r="F88" s="25">
        <v>128644.33</v>
      </c>
      <c r="G88" s="25"/>
      <c r="H88" s="25">
        <v>123254.45</v>
      </c>
    </row>
    <row r="89" spans="1:8" x14ac:dyDescent="0.25">
      <c r="A89" s="29" t="s">
        <v>269</v>
      </c>
      <c r="B89" s="29">
        <v>604</v>
      </c>
      <c r="C89" s="29" t="s">
        <v>91</v>
      </c>
      <c r="D89" s="30">
        <v>37739.15</v>
      </c>
      <c r="E89" s="30">
        <v>60530.91</v>
      </c>
      <c r="F89" s="30">
        <v>128394.58</v>
      </c>
      <c r="G89" s="30"/>
      <c r="H89" s="30">
        <v>105602.82</v>
      </c>
    </row>
    <row r="90" spans="1:8" x14ac:dyDescent="0.25">
      <c r="A90" s="29" t="s">
        <v>271</v>
      </c>
      <c r="B90" s="29">
        <v>620</v>
      </c>
      <c r="C90" s="29" t="s">
        <v>93</v>
      </c>
      <c r="D90" s="30">
        <v>1390.69</v>
      </c>
      <c r="E90" s="30">
        <v>1456.97</v>
      </c>
      <c r="F90" s="30">
        <v>132.56</v>
      </c>
      <c r="G90" s="30"/>
      <c r="H90" s="30">
        <v>66.28</v>
      </c>
    </row>
    <row r="91" spans="1:8" x14ac:dyDescent="0.25">
      <c r="A91" s="29" t="s">
        <v>270</v>
      </c>
      <c r="B91" s="29">
        <v>4650</v>
      </c>
      <c r="C91" s="29" t="s">
        <v>92</v>
      </c>
      <c r="D91" s="30">
        <v>18815.060000000001</v>
      </c>
      <c r="E91" s="30">
        <v>5658.05</v>
      </c>
      <c r="F91" s="30">
        <v>0</v>
      </c>
      <c r="G91" s="30"/>
      <c r="H91" s="30">
        <v>13157.01</v>
      </c>
    </row>
    <row r="92" spans="1:8" x14ac:dyDescent="0.25">
      <c r="A92" s="29" t="s">
        <v>268</v>
      </c>
      <c r="B92" s="29">
        <v>5880</v>
      </c>
      <c r="C92" s="29" t="s">
        <v>90</v>
      </c>
      <c r="D92" s="30">
        <v>4311.1499999999996</v>
      </c>
      <c r="E92" s="30">
        <v>0</v>
      </c>
      <c r="F92" s="30">
        <v>117.19</v>
      </c>
      <c r="G92" s="30"/>
      <c r="H92" s="30">
        <v>4428.34</v>
      </c>
    </row>
    <row r="93" spans="1:8" x14ac:dyDescent="0.25">
      <c r="A93" s="24" t="s">
        <v>272</v>
      </c>
      <c r="B93" s="19"/>
      <c r="C93" s="19" t="s">
        <v>94</v>
      </c>
      <c r="D93" s="25">
        <v>224829.48</v>
      </c>
      <c r="E93" s="25">
        <v>270957.40000000002</v>
      </c>
      <c r="F93" s="25">
        <v>135394.79999999999</v>
      </c>
      <c r="G93" s="25"/>
      <c r="H93" s="25">
        <v>89266.880000000005</v>
      </c>
    </row>
    <row r="94" spans="1:8" x14ac:dyDescent="0.25">
      <c r="A94" s="29" t="s">
        <v>274</v>
      </c>
      <c r="B94" s="29">
        <v>3468</v>
      </c>
      <c r="C94" s="29" t="s">
        <v>96</v>
      </c>
      <c r="D94" s="30">
        <v>220448.06</v>
      </c>
      <c r="E94" s="30">
        <v>266575.98</v>
      </c>
      <c r="F94" s="30">
        <v>135394.79999999999</v>
      </c>
      <c r="G94" s="30"/>
      <c r="H94" s="30">
        <v>89266.880000000005</v>
      </c>
    </row>
    <row r="95" spans="1:8" x14ac:dyDescent="0.25">
      <c r="A95" s="29" t="s">
        <v>276</v>
      </c>
      <c r="B95" s="29">
        <v>5428</v>
      </c>
      <c r="C95" s="29" t="s">
        <v>98</v>
      </c>
      <c r="D95" s="30">
        <v>4381.42</v>
      </c>
      <c r="E95" s="30">
        <v>4381.42</v>
      </c>
      <c r="F95" s="30">
        <v>0</v>
      </c>
      <c r="G95" s="30"/>
      <c r="H95" s="30">
        <v>0</v>
      </c>
    </row>
    <row r="96" spans="1:8" x14ac:dyDescent="0.25">
      <c r="A96" s="24" t="s">
        <v>277</v>
      </c>
      <c r="B96" s="19"/>
      <c r="C96" s="19" t="s">
        <v>99</v>
      </c>
      <c r="D96" s="25">
        <v>4126334.81</v>
      </c>
      <c r="E96" s="25">
        <v>160000</v>
      </c>
      <c r="F96" s="25">
        <v>268471.27</v>
      </c>
      <c r="G96" s="25"/>
      <c r="H96" s="25">
        <v>4234806.08</v>
      </c>
    </row>
    <row r="97" spans="1:8" x14ac:dyDescent="0.25">
      <c r="A97" s="24" t="s">
        <v>278</v>
      </c>
      <c r="B97" s="19"/>
      <c r="C97" s="19" t="s">
        <v>100</v>
      </c>
      <c r="D97" s="25">
        <v>4126334.81</v>
      </c>
      <c r="E97" s="25">
        <v>160000</v>
      </c>
      <c r="F97" s="25">
        <v>268471.27</v>
      </c>
      <c r="G97" s="25"/>
      <c r="H97" s="25">
        <v>4234806.08</v>
      </c>
    </row>
    <row r="98" spans="1:8" x14ac:dyDescent="0.25">
      <c r="A98" s="24" t="s">
        <v>279</v>
      </c>
      <c r="B98" s="19"/>
      <c r="C98" s="19" t="s">
        <v>94</v>
      </c>
      <c r="D98" s="25">
        <v>4126334.81</v>
      </c>
      <c r="E98" s="25">
        <v>160000</v>
      </c>
      <c r="F98" s="25">
        <v>268471.27</v>
      </c>
      <c r="G98" s="25"/>
      <c r="H98" s="25">
        <v>4234806.08</v>
      </c>
    </row>
    <row r="99" spans="1:8" x14ac:dyDescent="0.25">
      <c r="A99" s="29" t="s">
        <v>280</v>
      </c>
      <c r="B99" s="29">
        <v>3549</v>
      </c>
      <c r="C99" s="29" t="s">
        <v>101</v>
      </c>
      <c r="D99" s="30">
        <v>4126334.81</v>
      </c>
      <c r="E99" s="30">
        <v>160000</v>
      </c>
      <c r="F99" s="30">
        <v>268471.27</v>
      </c>
      <c r="G99" s="30"/>
      <c r="H99" s="30">
        <v>4234806.08</v>
      </c>
    </row>
    <row r="100" spans="1:8" x14ac:dyDescent="0.25">
      <c r="A100" s="24" t="s">
        <v>281</v>
      </c>
      <c r="B100" s="19"/>
      <c r="C100" s="19" t="s">
        <v>102</v>
      </c>
      <c r="D100" s="25">
        <v>-1235198.76</v>
      </c>
      <c r="E100" s="25">
        <v>0</v>
      </c>
      <c r="F100" s="25">
        <v>0</v>
      </c>
      <c r="G100" s="25"/>
      <c r="H100" s="25">
        <v>-1235198.76</v>
      </c>
    </row>
    <row r="101" spans="1:8" x14ac:dyDescent="0.25">
      <c r="A101" s="24" t="s">
        <v>282</v>
      </c>
      <c r="B101" s="19"/>
      <c r="C101" s="19" t="s">
        <v>103</v>
      </c>
      <c r="D101" s="25">
        <v>1128000</v>
      </c>
      <c r="E101" s="25">
        <v>0</v>
      </c>
      <c r="F101" s="25">
        <v>0</v>
      </c>
      <c r="G101" s="25"/>
      <c r="H101" s="25">
        <v>1128000</v>
      </c>
    </row>
    <row r="102" spans="1:8" x14ac:dyDescent="0.25">
      <c r="A102" s="24" t="s">
        <v>283</v>
      </c>
      <c r="B102" s="19"/>
      <c r="C102" s="19" t="s">
        <v>104</v>
      </c>
      <c r="D102" s="25">
        <v>1128000</v>
      </c>
      <c r="E102" s="25">
        <v>0</v>
      </c>
      <c r="F102" s="25">
        <v>0</v>
      </c>
      <c r="G102" s="25"/>
      <c r="H102" s="25">
        <v>1128000</v>
      </c>
    </row>
    <row r="103" spans="1:8" x14ac:dyDescent="0.25">
      <c r="A103" s="29" t="s">
        <v>284</v>
      </c>
      <c r="B103" s="29">
        <v>760</v>
      </c>
      <c r="C103" s="29" t="s">
        <v>105</v>
      </c>
      <c r="D103" s="30">
        <v>1128000</v>
      </c>
      <c r="E103" s="30">
        <v>0</v>
      </c>
      <c r="F103" s="30">
        <v>0</v>
      </c>
      <c r="G103" s="30"/>
      <c r="H103" s="30">
        <v>1128000</v>
      </c>
    </row>
    <row r="104" spans="1:8" x14ac:dyDescent="0.25">
      <c r="A104" s="24" t="s">
        <v>285</v>
      </c>
      <c r="B104" s="19"/>
      <c r="C104" s="19" t="s">
        <v>106</v>
      </c>
      <c r="D104" s="25">
        <v>-2363198.7599999998</v>
      </c>
      <c r="E104" s="25">
        <v>0</v>
      </c>
      <c r="F104" s="25">
        <v>0</v>
      </c>
      <c r="G104" s="25"/>
      <c r="H104" s="25">
        <v>-2363198.7599999998</v>
      </c>
    </row>
    <row r="105" spans="1:8" x14ac:dyDescent="0.25">
      <c r="A105" s="24" t="s">
        <v>286</v>
      </c>
      <c r="B105" s="19"/>
      <c r="C105" s="19" t="s">
        <v>106</v>
      </c>
      <c r="D105" s="25">
        <v>-2363198.7599999998</v>
      </c>
      <c r="E105" s="25">
        <v>0</v>
      </c>
      <c r="F105" s="25">
        <v>0</v>
      </c>
      <c r="G105" s="25"/>
      <c r="H105" s="25">
        <v>-2363198.7599999998</v>
      </c>
    </row>
    <row r="106" spans="1:8" x14ac:dyDescent="0.25">
      <c r="A106" s="29" t="s">
        <v>287</v>
      </c>
      <c r="B106" s="29">
        <v>3581</v>
      </c>
      <c r="C106" s="29" t="s">
        <v>107</v>
      </c>
      <c r="D106" s="30">
        <v>-2363198.7599999998</v>
      </c>
      <c r="E106" s="30">
        <v>0</v>
      </c>
      <c r="F106" s="30">
        <v>0</v>
      </c>
      <c r="G106" s="30"/>
      <c r="H106" s="30">
        <v>-2363198.7599999998</v>
      </c>
    </row>
    <row r="107" spans="1:8" x14ac:dyDescent="0.25">
      <c r="A107" s="24" t="s">
        <v>288</v>
      </c>
      <c r="B107" s="19"/>
      <c r="C107" s="19" t="s">
        <v>108</v>
      </c>
      <c r="D107" s="25">
        <v>0</v>
      </c>
      <c r="E107" s="25">
        <v>918554.86</v>
      </c>
      <c r="F107" s="25">
        <v>918554.86</v>
      </c>
      <c r="G107" s="25"/>
      <c r="H107" s="25">
        <v>0</v>
      </c>
    </row>
    <row r="108" spans="1:8" x14ac:dyDescent="0.25">
      <c r="A108" s="24" t="s">
        <v>289</v>
      </c>
      <c r="B108" s="19"/>
      <c r="C108" s="19" t="s">
        <v>61</v>
      </c>
      <c r="D108" s="25">
        <v>0</v>
      </c>
      <c r="E108" s="25">
        <v>918554.86</v>
      </c>
      <c r="F108" s="25">
        <v>918554.86</v>
      </c>
      <c r="G108" s="25"/>
      <c r="H108" s="25">
        <v>0</v>
      </c>
    </row>
    <row r="109" spans="1:8" x14ac:dyDescent="0.25">
      <c r="A109" s="29" t="s">
        <v>291</v>
      </c>
      <c r="B109" s="29">
        <v>5882</v>
      </c>
      <c r="C109" s="29" t="s">
        <v>63</v>
      </c>
      <c r="D109" s="30">
        <v>0</v>
      </c>
      <c r="E109" s="30">
        <v>343687.99</v>
      </c>
      <c r="F109" s="30">
        <v>343687.99</v>
      </c>
      <c r="G109" s="30"/>
      <c r="H109" s="30">
        <v>0</v>
      </c>
    </row>
    <row r="110" spans="1:8" x14ac:dyDescent="0.25">
      <c r="A110" s="29" t="s">
        <v>292</v>
      </c>
      <c r="B110" s="29">
        <v>5884</v>
      </c>
      <c r="C110" s="29" t="s">
        <v>64</v>
      </c>
      <c r="D110" s="30">
        <v>0</v>
      </c>
      <c r="E110" s="30">
        <v>451663.89</v>
      </c>
      <c r="F110" s="30">
        <v>451663.89</v>
      </c>
      <c r="G110" s="30"/>
      <c r="H110" s="30">
        <v>0</v>
      </c>
    </row>
    <row r="111" spans="1:8" x14ac:dyDescent="0.25">
      <c r="A111" s="29" t="s">
        <v>290</v>
      </c>
      <c r="B111" s="29">
        <v>5887</v>
      </c>
      <c r="C111" s="29" t="s">
        <v>62</v>
      </c>
      <c r="D111" s="30">
        <v>0</v>
      </c>
      <c r="E111" s="30">
        <v>123202.98</v>
      </c>
      <c r="F111" s="30">
        <v>123202.98</v>
      </c>
      <c r="G111" s="30"/>
      <c r="H111" s="30">
        <v>0</v>
      </c>
    </row>
    <row r="112" spans="1:8" x14ac:dyDescent="0.25">
      <c r="A112" s="24">
        <v>3</v>
      </c>
      <c r="B112" s="19"/>
      <c r="C112" s="19" t="s">
        <v>109</v>
      </c>
      <c r="D112" s="25">
        <v>1111920.7</v>
      </c>
      <c r="E112" s="25">
        <v>140851.13</v>
      </c>
      <c r="F112" s="25">
        <v>901111.89</v>
      </c>
      <c r="G112" s="55">
        <f>F112-E112</f>
        <v>760260.76</v>
      </c>
      <c r="H112" s="25">
        <v>1872181.46</v>
      </c>
    </row>
    <row r="113" spans="1:8" x14ac:dyDescent="0.25">
      <c r="A113" s="24" t="s">
        <v>293</v>
      </c>
      <c r="B113" s="19"/>
      <c r="C113" s="19" t="s">
        <v>110</v>
      </c>
      <c r="D113" s="25">
        <v>1111918.42</v>
      </c>
      <c r="E113" s="25">
        <v>140851.13</v>
      </c>
      <c r="F113" s="25">
        <v>901110.22</v>
      </c>
      <c r="G113" s="55">
        <f t="shared" ref="G113:G176" si="0">F113-E113</f>
        <v>760259.09</v>
      </c>
      <c r="H113" s="25">
        <v>1872177.51</v>
      </c>
    </row>
    <row r="114" spans="1:8" x14ac:dyDescent="0.25">
      <c r="A114" s="24" t="s">
        <v>294</v>
      </c>
      <c r="B114" s="19"/>
      <c r="C114" s="19" t="s">
        <v>111</v>
      </c>
      <c r="D114" s="25">
        <v>1198954.82</v>
      </c>
      <c r="E114" s="25">
        <v>11491.91</v>
      </c>
      <c r="F114" s="25">
        <v>885206.43</v>
      </c>
      <c r="G114" s="55">
        <f t="shared" si="0"/>
        <v>873714.52</v>
      </c>
      <c r="H114" s="25">
        <v>2072669.34</v>
      </c>
    </row>
    <row r="115" spans="1:8" x14ac:dyDescent="0.25">
      <c r="A115" s="24" t="s">
        <v>295</v>
      </c>
      <c r="B115" s="19"/>
      <c r="C115" s="19" t="s">
        <v>112</v>
      </c>
      <c r="D115" s="25">
        <v>1177902.95</v>
      </c>
      <c r="E115" s="25">
        <v>0</v>
      </c>
      <c r="F115" s="25">
        <v>884210.67</v>
      </c>
      <c r="G115" s="55">
        <f t="shared" si="0"/>
        <v>884210.67</v>
      </c>
      <c r="H115" s="25">
        <v>2062113.62</v>
      </c>
    </row>
    <row r="116" spans="1:8" x14ac:dyDescent="0.25">
      <c r="A116" s="29" t="s">
        <v>296</v>
      </c>
      <c r="B116" s="29">
        <v>922</v>
      </c>
      <c r="C116" s="29" t="s">
        <v>113</v>
      </c>
      <c r="D116" s="30">
        <v>1177902.95</v>
      </c>
      <c r="E116" s="30">
        <v>0</v>
      </c>
      <c r="F116" s="30">
        <v>884210.67</v>
      </c>
      <c r="G116" s="55">
        <f t="shared" si="0"/>
        <v>884210.67</v>
      </c>
      <c r="H116" s="30">
        <v>2062113.62</v>
      </c>
    </row>
    <row r="117" spans="1:8" x14ac:dyDescent="0.25">
      <c r="A117" s="24" t="s">
        <v>297</v>
      </c>
      <c r="B117" s="19"/>
      <c r="C117" s="19" t="s">
        <v>114</v>
      </c>
      <c r="D117" s="25">
        <v>-37931.65</v>
      </c>
      <c r="E117" s="25">
        <v>11491.91</v>
      </c>
      <c r="F117" s="25">
        <v>995.76</v>
      </c>
      <c r="G117" s="55">
        <f t="shared" si="0"/>
        <v>-10496.15</v>
      </c>
      <c r="H117" s="25">
        <v>-48427.8</v>
      </c>
    </row>
    <row r="118" spans="1:8" x14ac:dyDescent="0.25">
      <c r="A118" s="29" t="s">
        <v>298</v>
      </c>
      <c r="B118" s="29">
        <v>5363</v>
      </c>
      <c r="C118" s="29" t="s">
        <v>115</v>
      </c>
      <c r="D118" s="30">
        <v>-37931.65</v>
      </c>
      <c r="E118" s="30">
        <v>11491.91</v>
      </c>
      <c r="F118" s="30">
        <v>995.76</v>
      </c>
      <c r="G118" s="55">
        <f t="shared" si="0"/>
        <v>-10496.15</v>
      </c>
      <c r="H118" s="30">
        <v>-48427.8</v>
      </c>
    </row>
    <row r="119" spans="1:8" x14ac:dyDescent="0.25">
      <c r="A119" s="24" t="s">
        <v>299</v>
      </c>
      <c r="B119" s="19"/>
      <c r="C119" s="19" t="s">
        <v>116</v>
      </c>
      <c r="D119" s="25">
        <v>58983.519999999997</v>
      </c>
      <c r="E119" s="25">
        <v>0</v>
      </c>
      <c r="F119" s="25">
        <v>0</v>
      </c>
      <c r="G119" s="55">
        <f t="shared" si="0"/>
        <v>0</v>
      </c>
      <c r="H119" s="25">
        <v>58983.519999999997</v>
      </c>
    </row>
    <row r="120" spans="1:8" x14ac:dyDescent="0.25">
      <c r="A120" s="29" t="s">
        <v>300</v>
      </c>
      <c r="B120" s="29">
        <v>5495</v>
      </c>
      <c r="C120" s="29" t="s">
        <v>117</v>
      </c>
      <c r="D120" s="30">
        <v>58983.519999999997</v>
      </c>
      <c r="E120" s="30">
        <v>0</v>
      </c>
      <c r="F120" s="30">
        <v>0</v>
      </c>
      <c r="G120" s="55">
        <f t="shared" si="0"/>
        <v>0</v>
      </c>
      <c r="H120" s="30">
        <v>58983.519999999997</v>
      </c>
    </row>
    <row r="121" spans="1:8" x14ac:dyDescent="0.25">
      <c r="A121" s="24" t="s">
        <v>301</v>
      </c>
      <c r="B121" s="19"/>
      <c r="C121" s="19" t="s">
        <v>118</v>
      </c>
      <c r="D121" s="25">
        <v>-87036.4</v>
      </c>
      <c r="E121" s="25">
        <v>129359.22</v>
      </c>
      <c r="F121" s="25">
        <v>15903.79</v>
      </c>
      <c r="G121" s="55">
        <f t="shared" si="0"/>
        <v>-113455.43</v>
      </c>
      <c r="H121" s="25">
        <v>-200491.83</v>
      </c>
    </row>
    <row r="122" spans="1:8" x14ac:dyDescent="0.25">
      <c r="A122" s="24" t="s">
        <v>302</v>
      </c>
      <c r="B122" s="19"/>
      <c r="C122" s="19" t="s">
        <v>119</v>
      </c>
      <c r="D122" s="25">
        <v>-87036.4</v>
      </c>
      <c r="E122" s="25">
        <v>129359.22</v>
      </c>
      <c r="F122" s="25">
        <v>15903.79</v>
      </c>
      <c r="G122" s="55">
        <f t="shared" si="0"/>
        <v>-113455.43</v>
      </c>
      <c r="H122" s="25">
        <v>-200491.83</v>
      </c>
    </row>
    <row r="123" spans="1:8" x14ac:dyDescent="0.25">
      <c r="A123" s="29" t="s">
        <v>303</v>
      </c>
      <c r="B123" s="29">
        <v>981</v>
      </c>
      <c r="C123" s="29" t="s">
        <v>120</v>
      </c>
      <c r="D123" s="30">
        <v>-1891.43</v>
      </c>
      <c r="E123" s="30">
        <v>2737.65</v>
      </c>
      <c r="F123" s="30">
        <v>0</v>
      </c>
      <c r="G123" s="55">
        <f t="shared" si="0"/>
        <v>-2737.65</v>
      </c>
      <c r="H123" s="30">
        <v>-4629.08</v>
      </c>
    </row>
    <row r="124" spans="1:8" x14ac:dyDescent="0.25">
      <c r="A124" s="29" t="s">
        <v>306</v>
      </c>
      <c r="B124" s="29">
        <v>4014</v>
      </c>
      <c r="C124" s="29" t="s">
        <v>123</v>
      </c>
      <c r="D124" s="30">
        <v>-410.64</v>
      </c>
      <c r="E124" s="30">
        <v>594.37</v>
      </c>
      <c r="F124" s="30">
        <v>0</v>
      </c>
      <c r="G124" s="55">
        <f t="shared" si="0"/>
        <v>-594.37</v>
      </c>
      <c r="H124" s="30">
        <v>-1005.01</v>
      </c>
    </row>
    <row r="125" spans="1:8" x14ac:dyDescent="0.25">
      <c r="A125" s="29" t="s">
        <v>305</v>
      </c>
      <c r="B125" s="29">
        <v>1007</v>
      </c>
      <c r="C125" s="29" t="s">
        <v>122</v>
      </c>
      <c r="D125" s="30">
        <v>-107108.17</v>
      </c>
      <c r="E125" s="30">
        <v>126027.2</v>
      </c>
      <c r="F125" s="30">
        <v>0</v>
      </c>
      <c r="G125" s="55">
        <f t="shared" si="0"/>
        <v>-126027.2</v>
      </c>
      <c r="H125" s="30">
        <v>-233135.37</v>
      </c>
    </row>
    <row r="126" spans="1:8" x14ac:dyDescent="0.25">
      <c r="A126" s="29" t="s">
        <v>304</v>
      </c>
      <c r="B126" s="29">
        <v>5410</v>
      </c>
      <c r="C126" s="29" t="s">
        <v>121</v>
      </c>
      <c r="D126" s="30">
        <v>22373.84</v>
      </c>
      <c r="E126" s="30">
        <v>0</v>
      </c>
      <c r="F126" s="30">
        <v>15903.79</v>
      </c>
      <c r="G126" s="55">
        <f t="shared" si="0"/>
        <v>15903.79</v>
      </c>
      <c r="H126" s="30">
        <v>38277.629999999997</v>
      </c>
    </row>
    <row r="127" spans="1:8" x14ac:dyDescent="0.25">
      <c r="A127" s="24" t="s">
        <v>307</v>
      </c>
      <c r="B127" s="19"/>
      <c r="C127" s="19" t="s">
        <v>124</v>
      </c>
      <c r="D127" s="25">
        <v>2.2799999999999998</v>
      </c>
      <c r="E127" s="25">
        <v>0</v>
      </c>
      <c r="F127" s="25">
        <v>1.67</v>
      </c>
      <c r="G127" s="55">
        <f t="shared" si="0"/>
        <v>1.67</v>
      </c>
      <c r="H127" s="25">
        <v>3.95</v>
      </c>
    </row>
    <row r="128" spans="1:8" x14ac:dyDescent="0.25">
      <c r="A128" s="24" t="s">
        <v>308</v>
      </c>
      <c r="B128" s="19"/>
      <c r="C128" s="19" t="s">
        <v>125</v>
      </c>
      <c r="D128" s="25">
        <v>2.2799999999999998</v>
      </c>
      <c r="E128" s="25">
        <v>0</v>
      </c>
      <c r="F128" s="25">
        <v>1.67</v>
      </c>
      <c r="G128" s="55">
        <f t="shared" si="0"/>
        <v>1.67</v>
      </c>
      <c r="H128" s="25">
        <v>3.95</v>
      </c>
    </row>
    <row r="129" spans="1:8" x14ac:dyDescent="0.25">
      <c r="A129" s="24" t="s">
        <v>309</v>
      </c>
      <c r="B129" s="19"/>
      <c r="C129" s="19" t="s">
        <v>126</v>
      </c>
      <c r="D129" s="25">
        <v>2.2799999999999998</v>
      </c>
      <c r="E129" s="25">
        <v>0</v>
      </c>
      <c r="F129" s="25">
        <v>1.67</v>
      </c>
      <c r="G129" s="55">
        <f t="shared" si="0"/>
        <v>1.67</v>
      </c>
      <c r="H129" s="25">
        <v>3.95</v>
      </c>
    </row>
    <row r="130" spans="1:8" x14ac:dyDescent="0.25">
      <c r="A130" s="29" t="s">
        <v>310</v>
      </c>
      <c r="B130" s="29">
        <v>3603</v>
      </c>
      <c r="C130" s="29" t="s">
        <v>127</v>
      </c>
      <c r="D130" s="30">
        <v>2.2799999999999998</v>
      </c>
      <c r="E130" s="30">
        <v>0</v>
      </c>
      <c r="F130" s="30">
        <v>1.67</v>
      </c>
      <c r="G130" s="55">
        <f t="shared" si="0"/>
        <v>1.67</v>
      </c>
      <c r="H130" s="30">
        <v>3.95</v>
      </c>
    </row>
    <row r="131" spans="1:8" x14ac:dyDescent="0.25">
      <c r="A131" s="24">
        <v>4</v>
      </c>
      <c r="B131" s="19"/>
      <c r="C131" s="19" t="s">
        <v>128</v>
      </c>
      <c r="D131" s="25">
        <v>1753629.74</v>
      </c>
      <c r="E131" s="25">
        <v>1101206.58</v>
      </c>
      <c r="F131" s="25">
        <v>286110.55</v>
      </c>
      <c r="G131" s="55">
        <f t="shared" si="0"/>
        <v>-815096.03</v>
      </c>
      <c r="H131" s="25">
        <v>2568725.77</v>
      </c>
    </row>
    <row r="132" spans="1:8" x14ac:dyDescent="0.25">
      <c r="A132" s="24" t="s">
        <v>311</v>
      </c>
      <c r="B132" s="19"/>
      <c r="C132" s="19" t="s">
        <v>129</v>
      </c>
      <c r="D132" s="25">
        <v>206998.57</v>
      </c>
      <c r="E132" s="25">
        <v>119524.39</v>
      </c>
      <c r="F132" s="25">
        <v>0</v>
      </c>
      <c r="G132" s="55">
        <f t="shared" si="0"/>
        <v>-119524.39</v>
      </c>
      <c r="H132" s="25">
        <v>326522.96000000002</v>
      </c>
    </row>
    <row r="133" spans="1:8" x14ac:dyDescent="0.25">
      <c r="A133" s="24" t="s">
        <v>312</v>
      </c>
      <c r="B133" s="19"/>
      <c r="C133" s="19" t="s">
        <v>129</v>
      </c>
      <c r="D133" s="25">
        <v>206998.57</v>
      </c>
      <c r="E133" s="25">
        <v>119524.39</v>
      </c>
      <c r="F133" s="25">
        <v>0</v>
      </c>
      <c r="G133" s="55">
        <f t="shared" si="0"/>
        <v>-119524.39</v>
      </c>
      <c r="H133" s="25">
        <v>326522.96000000002</v>
      </c>
    </row>
    <row r="134" spans="1:8" x14ac:dyDescent="0.25">
      <c r="A134" s="24" t="s">
        <v>313</v>
      </c>
      <c r="B134" s="19"/>
      <c r="C134" s="19" t="s">
        <v>130</v>
      </c>
      <c r="D134" s="25">
        <v>191923.36</v>
      </c>
      <c r="E134" s="25">
        <v>119524.39</v>
      </c>
      <c r="F134" s="25">
        <v>0</v>
      </c>
      <c r="G134" s="55">
        <f t="shared" si="0"/>
        <v>-119524.39</v>
      </c>
      <c r="H134" s="25">
        <v>311447.75</v>
      </c>
    </row>
    <row r="135" spans="1:8" x14ac:dyDescent="0.25">
      <c r="A135" s="29" t="s">
        <v>315</v>
      </c>
      <c r="B135" s="29">
        <v>1120</v>
      </c>
      <c r="C135" s="29" t="s">
        <v>132</v>
      </c>
      <c r="D135" s="30">
        <v>-953107.73</v>
      </c>
      <c r="E135" s="30">
        <v>0</v>
      </c>
      <c r="F135" s="30">
        <v>0</v>
      </c>
      <c r="G135" s="55">
        <f t="shared" si="0"/>
        <v>0</v>
      </c>
      <c r="H135" s="30">
        <v>-953107.73</v>
      </c>
    </row>
    <row r="136" spans="1:8" x14ac:dyDescent="0.25">
      <c r="A136" s="29" t="s">
        <v>390</v>
      </c>
      <c r="B136" s="29">
        <v>1112</v>
      </c>
      <c r="C136" s="29" t="s">
        <v>388</v>
      </c>
      <c r="D136" s="30">
        <v>25573.5</v>
      </c>
      <c r="E136" s="30">
        <v>9720</v>
      </c>
      <c r="F136" s="30">
        <v>0</v>
      </c>
      <c r="G136" s="55">
        <f t="shared" si="0"/>
        <v>-9720</v>
      </c>
      <c r="H136" s="30">
        <v>35293.5</v>
      </c>
    </row>
    <row r="137" spans="1:8" x14ac:dyDescent="0.25">
      <c r="A137" s="29" t="s">
        <v>382</v>
      </c>
      <c r="B137" s="29">
        <v>3034</v>
      </c>
      <c r="C137" s="29" t="s">
        <v>373</v>
      </c>
      <c r="D137" s="30">
        <v>-19240.599999999999</v>
      </c>
      <c r="E137" s="30">
        <v>0</v>
      </c>
      <c r="F137" s="30">
        <v>0</v>
      </c>
      <c r="G137" s="55">
        <f t="shared" si="0"/>
        <v>0</v>
      </c>
      <c r="H137" s="30">
        <v>-19240.599999999999</v>
      </c>
    </row>
    <row r="138" spans="1:8" x14ac:dyDescent="0.25">
      <c r="A138" s="29" t="s">
        <v>314</v>
      </c>
      <c r="B138" s="29">
        <v>1066</v>
      </c>
      <c r="C138" s="29" t="s">
        <v>131</v>
      </c>
      <c r="D138" s="30">
        <v>1081516.48</v>
      </c>
      <c r="E138" s="30">
        <v>0</v>
      </c>
      <c r="F138" s="30">
        <v>0</v>
      </c>
      <c r="G138" s="55">
        <f t="shared" si="0"/>
        <v>0</v>
      </c>
      <c r="H138" s="30">
        <v>1081516.48</v>
      </c>
    </row>
    <row r="139" spans="1:8" x14ac:dyDescent="0.25">
      <c r="A139" s="29" t="s">
        <v>316</v>
      </c>
      <c r="B139" s="29">
        <v>4847</v>
      </c>
      <c r="C139" s="29" t="s">
        <v>133</v>
      </c>
      <c r="D139" s="30">
        <v>57181.71</v>
      </c>
      <c r="E139" s="30">
        <v>109804.39</v>
      </c>
      <c r="F139" s="30">
        <v>0</v>
      </c>
      <c r="G139" s="55">
        <f t="shared" si="0"/>
        <v>-109804.39</v>
      </c>
      <c r="H139" s="30">
        <v>166986.1</v>
      </c>
    </row>
    <row r="140" spans="1:8" x14ac:dyDescent="0.25">
      <c r="A140" s="24" t="s">
        <v>317</v>
      </c>
      <c r="B140" s="19"/>
      <c r="C140" s="19" t="s">
        <v>134</v>
      </c>
      <c r="D140" s="25">
        <v>15075.21</v>
      </c>
      <c r="E140" s="25">
        <v>0</v>
      </c>
      <c r="F140" s="25">
        <v>0</v>
      </c>
      <c r="G140" s="55">
        <f t="shared" si="0"/>
        <v>0</v>
      </c>
      <c r="H140" s="25">
        <v>15075.21</v>
      </c>
    </row>
    <row r="141" spans="1:8" x14ac:dyDescent="0.25">
      <c r="A141" s="29" t="s">
        <v>318</v>
      </c>
      <c r="B141" s="29">
        <v>5738</v>
      </c>
      <c r="C141" s="29" t="s">
        <v>135</v>
      </c>
      <c r="D141" s="30">
        <v>15075.21</v>
      </c>
      <c r="E141" s="30">
        <v>0</v>
      </c>
      <c r="F141" s="30">
        <v>0</v>
      </c>
      <c r="G141" s="55">
        <f t="shared" si="0"/>
        <v>0</v>
      </c>
      <c r="H141" s="30">
        <v>15075.21</v>
      </c>
    </row>
    <row r="142" spans="1:8" x14ac:dyDescent="0.25">
      <c r="A142" s="24" t="s">
        <v>319</v>
      </c>
      <c r="B142" s="19"/>
      <c r="C142" s="19" t="s">
        <v>136</v>
      </c>
      <c r="D142" s="25">
        <v>1546631.17</v>
      </c>
      <c r="E142" s="25">
        <v>981682.19</v>
      </c>
      <c r="F142" s="25">
        <v>286110.55</v>
      </c>
      <c r="G142" s="55">
        <f t="shared" si="0"/>
        <v>-695571.6399999999</v>
      </c>
      <c r="H142" s="25">
        <v>2242202.81</v>
      </c>
    </row>
    <row r="143" spans="1:8" x14ac:dyDescent="0.25">
      <c r="A143" s="24" t="s">
        <v>320</v>
      </c>
      <c r="B143" s="19"/>
      <c r="C143" s="19" t="s">
        <v>137</v>
      </c>
      <c r="D143" s="25">
        <v>720104.95</v>
      </c>
      <c r="E143" s="25">
        <v>585571.24</v>
      </c>
      <c r="F143" s="25">
        <v>252875.23</v>
      </c>
      <c r="G143" s="55">
        <f t="shared" si="0"/>
        <v>-332696.01</v>
      </c>
      <c r="H143" s="25">
        <v>1052800.96</v>
      </c>
    </row>
    <row r="144" spans="1:8" x14ac:dyDescent="0.25">
      <c r="A144" s="24" t="s">
        <v>321</v>
      </c>
      <c r="B144" s="19"/>
      <c r="C144" s="19" t="s">
        <v>138</v>
      </c>
      <c r="D144" s="25">
        <v>475145.33</v>
      </c>
      <c r="E144" s="25">
        <v>347768.28</v>
      </c>
      <c r="F144" s="25">
        <v>96431.23</v>
      </c>
      <c r="G144" s="55">
        <f t="shared" si="0"/>
        <v>-251337.05000000005</v>
      </c>
      <c r="H144" s="25">
        <v>726482.38</v>
      </c>
    </row>
    <row r="145" spans="1:8" x14ac:dyDescent="0.25">
      <c r="A145" s="29" t="s">
        <v>322</v>
      </c>
      <c r="B145" s="29">
        <v>4057</v>
      </c>
      <c r="C145" s="29" t="s">
        <v>139</v>
      </c>
      <c r="D145" s="30">
        <v>475145.33</v>
      </c>
      <c r="E145" s="30">
        <v>347768.28</v>
      </c>
      <c r="F145" s="30">
        <v>96431.23</v>
      </c>
      <c r="G145" s="55">
        <f t="shared" si="0"/>
        <v>-251337.05000000005</v>
      </c>
      <c r="H145" s="30">
        <v>726482.38</v>
      </c>
    </row>
    <row r="146" spans="1:8" x14ac:dyDescent="0.25">
      <c r="A146" s="24" t="s">
        <v>383</v>
      </c>
      <c r="B146" s="19"/>
      <c r="C146" s="19" t="s">
        <v>374</v>
      </c>
      <c r="D146" s="25">
        <v>63768.67</v>
      </c>
      <c r="E146" s="25">
        <v>0</v>
      </c>
      <c r="F146" s="25">
        <v>0</v>
      </c>
      <c r="G146" s="55">
        <f t="shared" si="0"/>
        <v>0</v>
      </c>
      <c r="H146" s="25">
        <v>63768.67</v>
      </c>
    </row>
    <row r="147" spans="1:8" x14ac:dyDescent="0.25">
      <c r="A147" s="29" t="s">
        <v>384</v>
      </c>
      <c r="B147" s="29">
        <v>5665</v>
      </c>
      <c r="C147" s="29" t="s">
        <v>375</v>
      </c>
      <c r="D147" s="30">
        <v>63768.67</v>
      </c>
      <c r="E147" s="30">
        <v>0</v>
      </c>
      <c r="F147" s="30">
        <v>0</v>
      </c>
      <c r="G147" s="55">
        <f t="shared" si="0"/>
        <v>0</v>
      </c>
      <c r="H147" s="30">
        <v>63768.67</v>
      </c>
    </row>
    <row r="148" spans="1:8" x14ac:dyDescent="0.25">
      <c r="A148" s="24" t="s">
        <v>323</v>
      </c>
      <c r="B148" s="19"/>
      <c r="C148" s="19" t="s">
        <v>140</v>
      </c>
      <c r="D148" s="25">
        <v>181190.95</v>
      </c>
      <c r="E148" s="25">
        <v>237802.96</v>
      </c>
      <c r="F148" s="25">
        <v>156444</v>
      </c>
      <c r="G148" s="55">
        <f t="shared" si="0"/>
        <v>-81358.959999999992</v>
      </c>
      <c r="H148" s="25">
        <v>262549.90999999997</v>
      </c>
    </row>
    <row r="149" spans="1:8" x14ac:dyDescent="0.25">
      <c r="A149" s="29" t="s">
        <v>326</v>
      </c>
      <c r="B149" s="29">
        <v>1090</v>
      </c>
      <c r="C149" s="29" t="s">
        <v>143</v>
      </c>
      <c r="D149" s="30">
        <v>74210.17</v>
      </c>
      <c r="E149" s="30">
        <v>105195.22</v>
      </c>
      <c r="F149" s="30">
        <v>62346.58</v>
      </c>
      <c r="G149" s="55">
        <f t="shared" si="0"/>
        <v>-42848.639999999999</v>
      </c>
      <c r="H149" s="30">
        <v>117058.81</v>
      </c>
    </row>
    <row r="150" spans="1:8" x14ac:dyDescent="0.25">
      <c r="A150" s="29" t="s">
        <v>325</v>
      </c>
      <c r="B150" s="29">
        <v>4049</v>
      </c>
      <c r="C150" s="29" t="s">
        <v>142</v>
      </c>
      <c r="D150" s="30">
        <v>51842.12</v>
      </c>
      <c r="E150" s="30">
        <v>66510.3</v>
      </c>
      <c r="F150" s="30">
        <v>45626.99</v>
      </c>
      <c r="G150" s="55">
        <f t="shared" si="0"/>
        <v>-20883.310000000005</v>
      </c>
      <c r="H150" s="30">
        <v>72725.429999999993</v>
      </c>
    </row>
    <row r="151" spans="1:8" x14ac:dyDescent="0.25">
      <c r="A151" s="29" t="s">
        <v>324</v>
      </c>
      <c r="B151" s="29">
        <v>4855</v>
      </c>
      <c r="C151" s="29" t="s">
        <v>141</v>
      </c>
      <c r="D151" s="30">
        <v>55138.66</v>
      </c>
      <c r="E151" s="30">
        <v>66097.440000000002</v>
      </c>
      <c r="F151" s="30">
        <v>48470.43</v>
      </c>
      <c r="G151" s="55">
        <f t="shared" si="0"/>
        <v>-17627.010000000002</v>
      </c>
      <c r="H151" s="30">
        <v>72765.67</v>
      </c>
    </row>
    <row r="152" spans="1:8" x14ac:dyDescent="0.25">
      <c r="A152" s="24" t="s">
        <v>327</v>
      </c>
      <c r="B152" s="19"/>
      <c r="C152" s="19" t="s">
        <v>144</v>
      </c>
      <c r="D152" s="25">
        <v>245548.81</v>
      </c>
      <c r="E152" s="25">
        <v>76094.7</v>
      </c>
      <c r="F152" s="25">
        <v>1910.93</v>
      </c>
      <c r="G152" s="55">
        <f t="shared" si="0"/>
        <v>-74183.77</v>
      </c>
      <c r="H152" s="25">
        <v>319732.58</v>
      </c>
    </row>
    <row r="153" spans="1:8" x14ac:dyDescent="0.25">
      <c r="A153" s="24" t="s">
        <v>328</v>
      </c>
      <c r="B153" s="19"/>
      <c r="C153" s="19" t="s">
        <v>144</v>
      </c>
      <c r="D153" s="25">
        <v>245548.81</v>
      </c>
      <c r="E153" s="25">
        <v>76094.7</v>
      </c>
      <c r="F153" s="25">
        <v>1910.93</v>
      </c>
      <c r="G153" s="55">
        <f t="shared" si="0"/>
        <v>-74183.77</v>
      </c>
      <c r="H153" s="25">
        <v>319732.58</v>
      </c>
    </row>
    <row r="154" spans="1:8" x14ac:dyDescent="0.25">
      <c r="A154" s="29" t="s">
        <v>385</v>
      </c>
      <c r="B154" s="29">
        <v>1465</v>
      </c>
      <c r="C154" s="29" t="s">
        <v>376</v>
      </c>
      <c r="D154" s="30">
        <v>34669.89</v>
      </c>
      <c r="E154" s="30">
        <v>1182.42</v>
      </c>
      <c r="F154" s="30">
        <v>0</v>
      </c>
      <c r="G154" s="55">
        <f t="shared" si="0"/>
        <v>-1182.42</v>
      </c>
      <c r="H154" s="30">
        <v>35852.31</v>
      </c>
    </row>
    <row r="155" spans="1:8" x14ac:dyDescent="0.25">
      <c r="A155" s="29" t="s">
        <v>330</v>
      </c>
      <c r="B155" s="29">
        <v>1473</v>
      </c>
      <c r="C155" s="29" t="s">
        <v>146</v>
      </c>
      <c r="D155" s="30">
        <v>6706.37</v>
      </c>
      <c r="E155" s="30">
        <v>0</v>
      </c>
      <c r="F155" s="30">
        <v>0</v>
      </c>
      <c r="G155" s="55">
        <f t="shared" si="0"/>
        <v>0</v>
      </c>
      <c r="H155" s="30">
        <v>6706.37</v>
      </c>
    </row>
    <row r="156" spans="1:8" x14ac:dyDescent="0.25">
      <c r="A156" s="29" t="s">
        <v>331</v>
      </c>
      <c r="B156" s="29">
        <v>1481</v>
      </c>
      <c r="C156" s="29" t="s">
        <v>147</v>
      </c>
      <c r="D156" s="30">
        <v>12786.51</v>
      </c>
      <c r="E156" s="30">
        <v>9187.02</v>
      </c>
      <c r="F156" s="30">
        <v>1899.38</v>
      </c>
      <c r="G156" s="55">
        <f t="shared" si="0"/>
        <v>-7287.64</v>
      </c>
      <c r="H156" s="30">
        <v>20074.150000000001</v>
      </c>
    </row>
    <row r="157" spans="1:8" x14ac:dyDescent="0.25">
      <c r="A157" s="29" t="s">
        <v>332</v>
      </c>
      <c r="B157" s="29">
        <v>1490</v>
      </c>
      <c r="C157" s="29" t="s">
        <v>148</v>
      </c>
      <c r="D157" s="30">
        <v>39254.15</v>
      </c>
      <c r="E157" s="30">
        <v>12366.34</v>
      </c>
      <c r="F157" s="30">
        <v>0</v>
      </c>
      <c r="G157" s="55">
        <f t="shared" si="0"/>
        <v>-12366.34</v>
      </c>
      <c r="H157" s="30">
        <v>51620.49</v>
      </c>
    </row>
    <row r="158" spans="1:8" x14ac:dyDescent="0.25">
      <c r="A158" s="29" t="s">
        <v>336</v>
      </c>
      <c r="B158" s="29">
        <v>1503</v>
      </c>
      <c r="C158" s="29" t="s">
        <v>150</v>
      </c>
      <c r="D158" s="30">
        <v>79171.92</v>
      </c>
      <c r="E158" s="30">
        <v>40062.68</v>
      </c>
      <c r="F158" s="30">
        <v>11.55</v>
      </c>
      <c r="G158" s="55">
        <f t="shared" si="0"/>
        <v>-40051.129999999997</v>
      </c>
      <c r="H158" s="30">
        <v>119223.05</v>
      </c>
    </row>
    <row r="159" spans="1:8" x14ac:dyDescent="0.25">
      <c r="A159" s="29" t="s">
        <v>334</v>
      </c>
      <c r="B159" s="29">
        <v>1546</v>
      </c>
      <c r="C159" s="29" t="s">
        <v>86</v>
      </c>
      <c r="D159" s="30">
        <v>44779.839999999997</v>
      </c>
      <c r="E159" s="30">
        <v>6097.84</v>
      </c>
      <c r="F159" s="30">
        <v>0</v>
      </c>
      <c r="G159" s="55">
        <f t="shared" si="0"/>
        <v>-6097.84</v>
      </c>
      <c r="H159" s="30">
        <v>50877.68</v>
      </c>
    </row>
    <row r="160" spans="1:8" x14ac:dyDescent="0.25">
      <c r="A160" s="29" t="s">
        <v>333</v>
      </c>
      <c r="B160" s="29">
        <v>1554</v>
      </c>
      <c r="C160" s="29" t="s">
        <v>82</v>
      </c>
      <c r="D160" s="30">
        <v>8289.9</v>
      </c>
      <c r="E160" s="30">
        <v>3398.86</v>
      </c>
      <c r="F160" s="30">
        <v>0</v>
      </c>
      <c r="G160" s="55">
        <f t="shared" si="0"/>
        <v>-3398.86</v>
      </c>
      <c r="H160" s="30">
        <v>11688.76</v>
      </c>
    </row>
    <row r="161" spans="1:8" x14ac:dyDescent="0.25">
      <c r="A161" s="29" t="s">
        <v>335</v>
      </c>
      <c r="B161" s="29">
        <v>1570</v>
      </c>
      <c r="C161" s="29" t="s">
        <v>149</v>
      </c>
      <c r="D161" s="30">
        <v>2882.19</v>
      </c>
      <c r="E161" s="30">
        <v>1182.78</v>
      </c>
      <c r="F161" s="30">
        <v>0</v>
      </c>
      <c r="G161" s="55">
        <f t="shared" si="0"/>
        <v>-1182.78</v>
      </c>
      <c r="H161" s="30">
        <v>4064.97</v>
      </c>
    </row>
    <row r="162" spans="1:8" x14ac:dyDescent="0.25">
      <c r="A162" s="29" t="s">
        <v>337</v>
      </c>
      <c r="B162" s="29">
        <v>1597</v>
      </c>
      <c r="C162" s="29" t="s">
        <v>151</v>
      </c>
      <c r="D162" s="30">
        <v>1655</v>
      </c>
      <c r="E162" s="30">
        <v>0</v>
      </c>
      <c r="F162" s="30">
        <v>0</v>
      </c>
      <c r="G162" s="55">
        <f t="shared" si="0"/>
        <v>0</v>
      </c>
      <c r="H162" s="30">
        <v>1655</v>
      </c>
    </row>
    <row r="163" spans="1:8" x14ac:dyDescent="0.25">
      <c r="A163" s="29" t="s">
        <v>329</v>
      </c>
      <c r="B163" s="29">
        <v>1619</v>
      </c>
      <c r="C163" s="29" t="s">
        <v>145</v>
      </c>
      <c r="D163" s="30">
        <v>15353.04</v>
      </c>
      <c r="E163" s="30">
        <v>2616.7600000000002</v>
      </c>
      <c r="F163" s="30">
        <v>0</v>
      </c>
      <c r="G163" s="55">
        <f t="shared" si="0"/>
        <v>-2616.7600000000002</v>
      </c>
      <c r="H163" s="30">
        <v>17969.8</v>
      </c>
    </row>
    <row r="164" spans="1:8" x14ac:dyDescent="0.25">
      <c r="A164" s="24" t="s">
        <v>338</v>
      </c>
      <c r="B164" s="19"/>
      <c r="C164" s="19" t="s">
        <v>152</v>
      </c>
      <c r="D164" s="25">
        <v>262330.21000000002</v>
      </c>
      <c r="E164" s="25">
        <v>166600.12</v>
      </c>
      <c r="F164" s="25">
        <v>31323.39</v>
      </c>
      <c r="G164" s="55">
        <f t="shared" si="0"/>
        <v>-135276.72999999998</v>
      </c>
      <c r="H164" s="25">
        <v>397606.94</v>
      </c>
    </row>
    <row r="165" spans="1:8" x14ac:dyDescent="0.25">
      <c r="A165" s="24" t="s">
        <v>339</v>
      </c>
      <c r="B165" s="19"/>
      <c r="C165" s="19" t="s">
        <v>153</v>
      </c>
      <c r="D165" s="25">
        <v>2568.2199999999998</v>
      </c>
      <c r="E165" s="25">
        <v>343.61</v>
      </c>
      <c r="F165" s="25">
        <v>0</v>
      </c>
      <c r="G165" s="55">
        <f t="shared" si="0"/>
        <v>-343.61</v>
      </c>
      <c r="H165" s="25">
        <v>2911.83</v>
      </c>
    </row>
    <row r="166" spans="1:8" x14ac:dyDescent="0.25">
      <c r="A166" s="29" t="s">
        <v>340</v>
      </c>
      <c r="B166" s="29">
        <v>1864</v>
      </c>
      <c r="C166" s="29" t="s">
        <v>154</v>
      </c>
      <c r="D166" s="30">
        <v>2279</v>
      </c>
      <c r="E166" s="30">
        <v>199</v>
      </c>
      <c r="F166" s="30">
        <v>0</v>
      </c>
      <c r="G166" s="55">
        <f t="shared" si="0"/>
        <v>-199</v>
      </c>
      <c r="H166" s="30">
        <v>2478</v>
      </c>
    </row>
    <row r="167" spans="1:8" x14ac:dyDescent="0.25">
      <c r="A167" s="29" t="s">
        <v>341</v>
      </c>
      <c r="B167" s="29">
        <v>1872</v>
      </c>
      <c r="C167" s="29" t="s">
        <v>155</v>
      </c>
      <c r="D167" s="30">
        <v>289.22000000000003</v>
      </c>
      <c r="E167" s="30">
        <v>144.61000000000001</v>
      </c>
      <c r="F167" s="30">
        <v>0</v>
      </c>
      <c r="G167" s="55">
        <f t="shared" si="0"/>
        <v>-144.61000000000001</v>
      </c>
      <c r="H167" s="30">
        <v>433.83</v>
      </c>
    </row>
    <row r="168" spans="1:8" x14ac:dyDescent="0.25">
      <c r="A168" s="24" t="s">
        <v>342</v>
      </c>
      <c r="B168" s="19"/>
      <c r="C168" s="19" t="s">
        <v>156</v>
      </c>
      <c r="D168" s="25">
        <v>1037.5899999999999</v>
      </c>
      <c r="E168" s="25">
        <v>489.4</v>
      </c>
      <c r="F168" s="25">
        <v>0</v>
      </c>
      <c r="G168" s="55">
        <f t="shared" si="0"/>
        <v>-489.4</v>
      </c>
      <c r="H168" s="25">
        <v>1526.99</v>
      </c>
    </row>
    <row r="169" spans="1:8" x14ac:dyDescent="0.25">
      <c r="A169" s="29" t="s">
        <v>386</v>
      </c>
      <c r="B169" s="29">
        <v>4103</v>
      </c>
      <c r="C169" s="29" t="s">
        <v>377</v>
      </c>
      <c r="D169" s="30">
        <v>200</v>
      </c>
      <c r="E169" s="30">
        <v>0</v>
      </c>
      <c r="F169" s="30">
        <v>0</v>
      </c>
      <c r="G169" s="55">
        <f t="shared" si="0"/>
        <v>0</v>
      </c>
      <c r="H169" s="30">
        <v>200</v>
      </c>
    </row>
    <row r="170" spans="1:8" x14ac:dyDescent="0.25">
      <c r="A170" s="29" t="s">
        <v>391</v>
      </c>
      <c r="B170" s="29">
        <v>4170</v>
      </c>
      <c r="C170" s="29" t="s">
        <v>389</v>
      </c>
      <c r="D170" s="30">
        <v>0</v>
      </c>
      <c r="E170" s="30">
        <v>417</v>
      </c>
      <c r="F170" s="30">
        <v>0</v>
      </c>
      <c r="G170" s="55">
        <f t="shared" si="0"/>
        <v>-417</v>
      </c>
      <c r="H170" s="30">
        <v>417</v>
      </c>
    </row>
    <row r="171" spans="1:8" x14ac:dyDescent="0.25">
      <c r="A171" s="29" t="s">
        <v>396</v>
      </c>
      <c r="B171" s="29">
        <v>4200</v>
      </c>
      <c r="C171" s="29" t="s">
        <v>395</v>
      </c>
      <c r="D171" s="30">
        <v>376</v>
      </c>
      <c r="E171" s="30">
        <v>0</v>
      </c>
      <c r="F171" s="30">
        <v>0</v>
      </c>
      <c r="G171" s="55">
        <f t="shared" si="0"/>
        <v>0</v>
      </c>
      <c r="H171" s="30">
        <v>376</v>
      </c>
    </row>
    <row r="172" spans="1:8" x14ac:dyDescent="0.25">
      <c r="A172" s="29" t="s">
        <v>343</v>
      </c>
      <c r="B172" s="29">
        <v>4235</v>
      </c>
      <c r="C172" s="29" t="s">
        <v>157</v>
      </c>
      <c r="D172" s="30">
        <v>122.22</v>
      </c>
      <c r="E172" s="30">
        <v>0</v>
      </c>
      <c r="F172" s="30">
        <v>0</v>
      </c>
      <c r="G172" s="55">
        <f t="shared" si="0"/>
        <v>0</v>
      </c>
      <c r="H172" s="30">
        <v>122.22</v>
      </c>
    </row>
    <row r="173" spans="1:8" x14ac:dyDescent="0.25">
      <c r="A173" s="29" t="s">
        <v>387</v>
      </c>
      <c r="B173" s="29">
        <v>4286</v>
      </c>
      <c r="C173" s="29" t="s">
        <v>378</v>
      </c>
      <c r="D173" s="30">
        <v>339.37</v>
      </c>
      <c r="E173" s="30">
        <v>72.400000000000006</v>
      </c>
      <c r="F173" s="30">
        <v>0</v>
      </c>
      <c r="G173" s="55">
        <f t="shared" si="0"/>
        <v>-72.400000000000006</v>
      </c>
      <c r="H173" s="30">
        <v>411.77</v>
      </c>
    </row>
    <row r="174" spans="1:8" x14ac:dyDescent="0.25">
      <c r="A174" s="19" t="s">
        <v>344</v>
      </c>
      <c r="B174" s="19"/>
      <c r="C174" s="19" t="s">
        <v>158</v>
      </c>
      <c r="D174" s="25">
        <v>224862.35</v>
      </c>
      <c r="E174" s="25">
        <v>123654.69</v>
      </c>
      <c r="F174" s="25">
        <v>31280</v>
      </c>
      <c r="G174" s="55">
        <f t="shared" si="0"/>
        <v>-92374.69</v>
      </c>
      <c r="H174" s="25">
        <v>317237.03999999998</v>
      </c>
    </row>
    <row r="175" spans="1:8" x14ac:dyDescent="0.25">
      <c r="A175" s="42" t="s">
        <v>347</v>
      </c>
      <c r="B175" s="29">
        <v>4316</v>
      </c>
      <c r="C175" s="29" t="s">
        <v>161</v>
      </c>
      <c r="D175" s="30">
        <v>8867</v>
      </c>
      <c r="E175" s="30">
        <v>6866</v>
      </c>
      <c r="F175" s="30">
        <v>0</v>
      </c>
      <c r="G175" s="55">
        <f t="shared" si="0"/>
        <v>-6866</v>
      </c>
      <c r="H175" s="30">
        <v>15733</v>
      </c>
    </row>
    <row r="176" spans="1:8" x14ac:dyDescent="0.25">
      <c r="A176" s="29" t="s">
        <v>345</v>
      </c>
      <c r="B176" s="29">
        <v>4324</v>
      </c>
      <c r="C176" s="29" t="s">
        <v>159</v>
      </c>
      <c r="D176" s="30">
        <v>80560</v>
      </c>
      <c r="E176" s="30">
        <v>71560</v>
      </c>
      <c r="F176" s="30">
        <v>31280</v>
      </c>
      <c r="G176" s="55">
        <f t="shared" si="0"/>
        <v>-40280</v>
      </c>
      <c r="H176" s="30">
        <v>120840</v>
      </c>
    </row>
    <row r="177" spans="1:8" x14ac:dyDescent="0.25">
      <c r="A177" s="29" t="s">
        <v>346</v>
      </c>
      <c r="B177" s="29">
        <v>4332</v>
      </c>
      <c r="C177" s="29" t="s">
        <v>160</v>
      </c>
      <c r="D177" s="30">
        <v>116569.75</v>
      </c>
      <c r="E177" s="30">
        <v>40887.160000000003</v>
      </c>
      <c r="F177" s="30">
        <v>0</v>
      </c>
      <c r="G177" s="55">
        <f t="shared" ref="G177:G197" si="1">F177-E177</f>
        <v>-40887.160000000003</v>
      </c>
      <c r="H177" s="30">
        <v>157456.91</v>
      </c>
    </row>
    <row r="178" spans="1:8" x14ac:dyDescent="0.25">
      <c r="A178" s="29" t="s">
        <v>348</v>
      </c>
      <c r="B178" s="29">
        <v>4340</v>
      </c>
      <c r="C178" s="29" t="s">
        <v>162</v>
      </c>
      <c r="D178" s="30">
        <v>18865.599999999999</v>
      </c>
      <c r="E178" s="30">
        <v>4341.53</v>
      </c>
      <c r="F178" s="30">
        <v>0</v>
      </c>
      <c r="G178" s="55">
        <f t="shared" si="1"/>
        <v>-4341.53</v>
      </c>
      <c r="H178" s="30">
        <v>23207.13</v>
      </c>
    </row>
    <row r="179" spans="1:8" x14ac:dyDescent="0.25">
      <c r="A179" s="19" t="s">
        <v>349</v>
      </c>
      <c r="B179" s="19"/>
      <c r="C179" s="19" t="s">
        <v>163</v>
      </c>
      <c r="D179" s="25">
        <v>33862.050000000003</v>
      </c>
      <c r="E179" s="25">
        <v>42112.42</v>
      </c>
      <c r="F179" s="25">
        <v>43.39</v>
      </c>
      <c r="G179" s="55">
        <f t="shared" si="1"/>
        <v>-42069.03</v>
      </c>
      <c r="H179" s="25">
        <v>75931.08</v>
      </c>
    </row>
    <row r="180" spans="1:8" x14ac:dyDescent="0.25">
      <c r="A180" s="29" t="s">
        <v>350</v>
      </c>
      <c r="B180" s="29">
        <v>4251</v>
      </c>
      <c r="C180" s="29" t="s">
        <v>164</v>
      </c>
      <c r="D180" s="30">
        <v>33862.050000000003</v>
      </c>
      <c r="E180" s="30">
        <v>42112.42</v>
      </c>
      <c r="F180" s="30">
        <v>43.39</v>
      </c>
      <c r="G180" s="55">
        <f t="shared" si="1"/>
        <v>-42069.03</v>
      </c>
      <c r="H180" s="30">
        <v>75931.08</v>
      </c>
    </row>
    <row r="181" spans="1:8" x14ac:dyDescent="0.25">
      <c r="A181" s="19" t="s">
        <v>351</v>
      </c>
      <c r="B181" s="19"/>
      <c r="C181" s="19" t="s">
        <v>165</v>
      </c>
      <c r="D181" s="25">
        <v>12167.72</v>
      </c>
      <c r="E181" s="25">
        <v>6083.86</v>
      </c>
      <c r="F181" s="25">
        <v>0</v>
      </c>
      <c r="G181" s="55">
        <f t="shared" si="1"/>
        <v>-6083.86</v>
      </c>
      <c r="H181" s="25">
        <v>18251.580000000002</v>
      </c>
    </row>
    <row r="182" spans="1:8" x14ac:dyDescent="0.25">
      <c r="A182" s="19" t="s">
        <v>352</v>
      </c>
      <c r="B182" s="19"/>
      <c r="C182" s="19" t="s">
        <v>166</v>
      </c>
      <c r="D182" s="25">
        <v>12167.72</v>
      </c>
      <c r="E182" s="25">
        <v>6083.86</v>
      </c>
      <c r="F182" s="25">
        <v>0</v>
      </c>
      <c r="G182" s="55">
        <f t="shared" si="1"/>
        <v>-6083.86</v>
      </c>
      <c r="H182" s="25">
        <v>18251.580000000002</v>
      </c>
    </row>
    <row r="183" spans="1:8" x14ac:dyDescent="0.25">
      <c r="A183" s="42" t="s">
        <v>354</v>
      </c>
      <c r="B183" s="29">
        <v>1996</v>
      </c>
      <c r="C183" s="29" t="s">
        <v>168</v>
      </c>
      <c r="D183" s="30">
        <v>3332.58</v>
      </c>
      <c r="E183" s="30">
        <v>1666.29</v>
      </c>
      <c r="F183" s="30">
        <v>0</v>
      </c>
      <c r="G183" s="55">
        <f t="shared" si="1"/>
        <v>-1666.29</v>
      </c>
      <c r="H183" s="30">
        <v>4998.87</v>
      </c>
    </row>
    <row r="184" spans="1:8" x14ac:dyDescent="0.25">
      <c r="A184" s="29" t="s">
        <v>355</v>
      </c>
      <c r="B184" s="29">
        <v>2003</v>
      </c>
      <c r="C184" s="29" t="s">
        <v>169</v>
      </c>
      <c r="D184" s="30">
        <v>169.32</v>
      </c>
      <c r="E184" s="30">
        <v>84.66</v>
      </c>
      <c r="F184" s="30">
        <v>0</v>
      </c>
      <c r="G184" s="55">
        <f t="shared" si="1"/>
        <v>-84.66</v>
      </c>
      <c r="H184" s="30">
        <v>253.98</v>
      </c>
    </row>
    <row r="185" spans="1:8" x14ac:dyDescent="0.25">
      <c r="A185" s="42" t="s">
        <v>353</v>
      </c>
      <c r="B185" s="29">
        <v>5797</v>
      </c>
      <c r="C185" s="29" t="s">
        <v>167</v>
      </c>
      <c r="D185" s="30">
        <v>8633.34</v>
      </c>
      <c r="E185" s="30">
        <v>4316.67</v>
      </c>
      <c r="F185" s="30">
        <v>0</v>
      </c>
      <c r="G185" s="55">
        <f t="shared" si="1"/>
        <v>-4316.67</v>
      </c>
      <c r="H185" s="30">
        <v>12950.01</v>
      </c>
    </row>
    <row r="186" spans="1:8" x14ac:dyDescent="0.25">
      <c r="A186" s="42" t="s">
        <v>356</v>
      </c>
      <c r="B186" s="29">
        <v>5819</v>
      </c>
      <c r="C186" s="29" t="s">
        <v>170</v>
      </c>
      <c r="D186" s="30">
        <v>32.479999999999997</v>
      </c>
      <c r="E186" s="30">
        <v>16.239999999999998</v>
      </c>
      <c r="F186" s="30">
        <v>0</v>
      </c>
      <c r="G186" s="55">
        <f t="shared" si="1"/>
        <v>-16.239999999999998</v>
      </c>
      <c r="H186" s="30">
        <v>48.72</v>
      </c>
    </row>
    <row r="187" spans="1:8" x14ac:dyDescent="0.25">
      <c r="A187" s="19" t="s">
        <v>357</v>
      </c>
      <c r="B187" s="19"/>
      <c r="C187" s="19" t="s">
        <v>171</v>
      </c>
      <c r="D187" s="25">
        <v>32302.59</v>
      </c>
      <c r="E187" s="25">
        <v>13038.58</v>
      </c>
      <c r="F187" s="25">
        <v>0</v>
      </c>
      <c r="G187" s="55">
        <f t="shared" si="1"/>
        <v>-13038.58</v>
      </c>
      <c r="H187" s="25">
        <v>45341.17</v>
      </c>
    </row>
    <row r="188" spans="1:8" x14ac:dyDescent="0.25">
      <c r="A188" s="19" t="s">
        <v>358</v>
      </c>
      <c r="B188" s="19"/>
      <c r="C188" s="19" t="s">
        <v>172</v>
      </c>
      <c r="D188" s="25">
        <v>32302.59</v>
      </c>
      <c r="E188" s="25">
        <v>13038.58</v>
      </c>
      <c r="F188" s="25">
        <v>0</v>
      </c>
      <c r="G188" s="55">
        <f t="shared" si="1"/>
        <v>-13038.58</v>
      </c>
      <c r="H188" s="25">
        <v>45341.17</v>
      </c>
    </row>
    <row r="189" spans="1:8" x14ac:dyDescent="0.25">
      <c r="A189" s="29" t="s">
        <v>359</v>
      </c>
      <c r="B189" s="29">
        <v>4448</v>
      </c>
      <c r="C189" s="29" t="s">
        <v>173</v>
      </c>
      <c r="D189" s="30">
        <v>1999.68</v>
      </c>
      <c r="E189" s="30">
        <v>0</v>
      </c>
      <c r="F189" s="30">
        <v>0</v>
      </c>
      <c r="G189" s="55">
        <f t="shared" si="1"/>
        <v>0</v>
      </c>
      <c r="H189" s="30">
        <v>1999.68</v>
      </c>
    </row>
    <row r="190" spans="1:8" x14ac:dyDescent="0.25">
      <c r="A190" s="29" t="s">
        <v>360</v>
      </c>
      <c r="B190" s="29">
        <v>3859</v>
      </c>
      <c r="C190" s="29" t="s">
        <v>174</v>
      </c>
      <c r="D190" s="30">
        <v>3265.95</v>
      </c>
      <c r="E190" s="30">
        <v>1734.13</v>
      </c>
      <c r="F190" s="30">
        <v>0</v>
      </c>
      <c r="G190" s="55">
        <f t="shared" si="1"/>
        <v>-1734.13</v>
      </c>
      <c r="H190" s="30">
        <v>5000.08</v>
      </c>
    </row>
    <row r="191" spans="1:8" x14ac:dyDescent="0.25">
      <c r="A191" s="42" t="s">
        <v>393</v>
      </c>
      <c r="B191" s="29">
        <v>4863</v>
      </c>
      <c r="C191" s="29" t="s">
        <v>392</v>
      </c>
      <c r="D191" s="30">
        <v>27036.959999999999</v>
      </c>
      <c r="E191" s="30">
        <v>11304.45</v>
      </c>
      <c r="F191" s="30">
        <v>0</v>
      </c>
      <c r="G191" s="55">
        <f t="shared" si="1"/>
        <v>-11304.45</v>
      </c>
      <c r="H191" s="30">
        <v>38341.410000000003</v>
      </c>
    </row>
    <row r="192" spans="1:8" x14ac:dyDescent="0.25">
      <c r="A192" s="24" t="s">
        <v>364</v>
      </c>
      <c r="B192" s="19"/>
      <c r="C192" s="19" t="s">
        <v>176</v>
      </c>
      <c r="D192" s="25">
        <v>274176.89</v>
      </c>
      <c r="E192" s="25">
        <v>134293.69</v>
      </c>
      <c r="F192" s="25">
        <v>1</v>
      </c>
      <c r="G192" s="55">
        <f t="shared" si="1"/>
        <v>-134292.69</v>
      </c>
      <c r="H192" s="25">
        <v>408469.58</v>
      </c>
    </row>
    <row r="193" spans="1:8" x14ac:dyDescent="0.25">
      <c r="A193" s="19" t="s">
        <v>365</v>
      </c>
      <c r="B193" s="19"/>
      <c r="C193" s="19" t="s">
        <v>176</v>
      </c>
      <c r="D193" s="25">
        <v>274176.89</v>
      </c>
      <c r="E193" s="25">
        <v>134293.69</v>
      </c>
      <c r="F193" s="25">
        <v>1</v>
      </c>
      <c r="G193" s="55">
        <f t="shared" si="1"/>
        <v>-134292.69</v>
      </c>
      <c r="H193" s="25">
        <v>408469.58</v>
      </c>
    </row>
    <row r="194" spans="1:8" x14ac:dyDescent="0.25">
      <c r="A194" s="29" t="s">
        <v>366</v>
      </c>
      <c r="B194" s="29">
        <v>3816</v>
      </c>
      <c r="C194" s="29" t="s">
        <v>177</v>
      </c>
      <c r="D194" s="30">
        <v>1717.14</v>
      </c>
      <c r="E194" s="30">
        <v>819.26</v>
      </c>
      <c r="F194" s="30">
        <v>1</v>
      </c>
      <c r="G194" s="55">
        <f t="shared" si="1"/>
        <v>-818.26</v>
      </c>
      <c r="H194" s="30">
        <v>2535.4</v>
      </c>
    </row>
    <row r="195" spans="1:8" x14ac:dyDescent="0.25">
      <c r="A195" s="42" t="s">
        <v>368</v>
      </c>
      <c r="B195" s="29">
        <v>3824</v>
      </c>
      <c r="C195" s="29" t="s">
        <v>179</v>
      </c>
      <c r="D195" s="30">
        <v>9312.7800000000007</v>
      </c>
      <c r="E195" s="30">
        <v>0</v>
      </c>
      <c r="F195" s="30">
        <v>0</v>
      </c>
      <c r="G195" s="55">
        <f t="shared" si="1"/>
        <v>0</v>
      </c>
      <c r="H195" s="30">
        <v>9312.7800000000007</v>
      </c>
    </row>
    <row r="196" spans="1:8" x14ac:dyDescent="0.25">
      <c r="A196" s="42" t="s">
        <v>369</v>
      </c>
      <c r="B196" s="29">
        <v>3832</v>
      </c>
      <c r="C196" s="29" t="s">
        <v>180</v>
      </c>
      <c r="D196" s="30">
        <v>45894.96</v>
      </c>
      <c r="E196" s="30">
        <v>12684.84</v>
      </c>
      <c r="F196" s="30">
        <v>0</v>
      </c>
      <c r="G196" s="55">
        <f t="shared" si="1"/>
        <v>-12684.84</v>
      </c>
      <c r="H196" s="30">
        <v>58579.8</v>
      </c>
    </row>
    <row r="197" spans="1:8" x14ac:dyDescent="0.25">
      <c r="A197" s="29" t="s">
        <v>367</v>
      </c>
      <c r="B197" s="29">
        <v>5177</v>
      </c>
      <c r="C197" s="29" t="s">
        <v>178</v>
      </c>
      <c r="D197" s="30">
        <v>217252.01</v>
      </c>
      <c r="E197" s="30">
        <v>120789.59</v>
      </c>
      <c r="F197" s="30">
        <v>0</v>
      </c>
      <c r="G197" s="55">
        <f t="shared" si="1"/>
        <v>-120789.59</v>
      </c>
      <c r="H197" s="30">
        <v>338041.59999999998</v>
      </c>
    </row>
    <row r="198" spans="1:8" x14ac:dyDescent="0.25">
      <c r="D198" s="28"/>
      <c r="E198" s="28"/>
    </row>
    <row r="199" spans="1:8" x14ac:dyDescent="0.25">
      <c r="D199" s="28"/>
      <c r="E199" s="28"/>
    </row>
    <row r="200" spans="1:8" x14ac:dyDescent="0.25">
      <c r="D200" s="28"/>
      <c r="E200" s="28"/>
    </row>
    <row r="201" spans="1:8" x14ac:dyDescent="0.25">
      <c r="C201" s="14"/>
      <c r="D201" s="27" t="s">
        <v>2</v>
      </c>
      <c r="E201" s="27" t="s">
        <v>3</v>
      </c>
      <c r="F201" s="27" t="s">
        <v>4</v>
      </c>
      <c r="G201" s="27"/>
      <c r="H201" s="14" t="s">
        <v>5</v>
      </c>
    </row>
    <row r="202" spans="1:8" x14ac:dyDescent="0.25">
      <c r="C202" s="20" t="s">
        <v>6</v>
      </c>
      <c r="D202" s="21">
        <v>4984962.54</v>
      </c>
      <c r="E202" s="21">
        <v>3771495.72</v>
      </c>
      <c r="F202" s="21">
        <v>3554120.89</v>
      </c>
      <c r="G202" s="21"/>
      <c r="H202" s="21">
        <v>5202337.37</v>
      </c>
    </row>
    <row r="203" spans="1:8" x14ac:dyDescent="0.25">
      <c r="C203" s="20" t="s">
        <v>65</v>
      </c>
      <c r="D203" s="21">
        <v>5626671.5800000001</v>
      </c>
      <c r="E203" s="21">
        <v>2537267.52</v>
      </c>
      <c r="F203" s="21">
        <v>2809477.62</v>
      </c>
      <c r="G203" s="21"/>
      <c r="H203" s="21">
        <v>5898881.6799999997</v>
      </c>
    </row>
    <row r="204" spans="1:8" x14ac:dyDescent="0.25">
      <c r="C204" s="20" t="s">
        <v>109</v>
      </c>
      <c r="D204" s="21">
        <v>1111920.7</v>
      </c>
      <c r="E204" s="21">
        <v>140851.13</v>
      </c>
      <c r="F204" s="21">
        <v>901111.89</v>
      </c>
      <c r="G204" s="21"/>
      <c r="H204" s="21">
        <v>1872181.46</v>
      </c>
    </row>
    <row r="205" spans="1:8" x14ac:dyDescent="0.25">
      <c r="C205" s="20" t="s">
        <v>128</v>
      </c>
      <c r="D205" s="21">
        <v>1753629.74</v>
      </c>
      <c r="E205" s="21">
        <v>1101206.58</v>
      </c>
      <c r="F205" s="21">
        <v>286110.55</v>
      </c>
      <c r="G205" s="21"/>
      <c r="H205" s="21">
        <v>2568725.77</v>
      </c>
    </row>
    <row r="206" spans="1:8" x14ac:dyDescent="0.25">
      <c r="C206" s="20" t="s">
        <v>181</v>
      </c>
      <c r="D206" s="20"/>
      <c r="E206" s="20"/>
      <c r="F206" s="20"/>
      <c r="H206" s="5">
        <f>F204+F205-E204-E205</f>
        <v>-54835.270000000135</v>
      </c>
    </row>
    <row r="207" spans="1:8" x14ac:dyDescent="0.25">
      <c r="A207" s="43"/>
      <c r="B207" s="44"/>
      <c r="C207" s="44"/>
      <c r="D207" s="44"/>
      <c r="E207" s="44"/>
      <c r="F207" s="44"/>
      <c r="G207" s="44"/>
      <c r="H207" s="4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5D35-F138-4054-8068-099E0E8E6C15}">
  <dimension ref="A1:J201"/>
  <sheetViews>
    <sheetView topLeftCell="A174" workbookViewId="0">
      <selection activeCell="G174" sqref="G1:G1048576"/>
    </sheetView>
  </sheetViews>
  <sheetFormatPr defaultRowHeight="13.2" x14ac:dyDescent="0.25"/>
  <cols>
    <col min="1" max="1" width="13.88671875" style="13" bestFit="1" customWidth="1"/>
    <col min="2" max="2" width="13.5546875" bestFit="1" customWidth="1"/>
    <col min="3" max="3" width="42.109375" bestFit="1" customWidth="1"/>
    <col min="4" max="4" width="20" bestFit="1" customWidth="1"/>
    <col min="5" max="5" width="16.77734375" bestFit="1" customWidth="1"/>
    <col min="6" max="6" width="16.88671875" bestFit="1" customWidth="1"/>
    <col min="7" max="7" width="16.88671875" hidden="1" customWidth="1"/>
    <col min="8" max="8" width="18.88671875" bestFit="1" customWidth="1"/>
  </cols>
  <sheetData>
    <row r="1" spans="1:10" ht="14.4" x14ac:dyDescent="0.3">
      <c r="A1" s="48" t="s">
        <v>0</v>
      </c>
      <c r="B1" s="49" t="s">
        <v>397</v>
      </c>
      <c r="C1" s="49" t="s">
        <v>1</v>
      </c>
      <c r="D1" s="49" t="s">
        <v>2</v>
      </c>
      <c r="E1" s="49" t="s">
        <v>3</v>
      </c>
      <c r="F1" s="49" t="s">
        <v>4</v>
      </c>
      <c r="G1" s="49"/>
      <c r="H1" s="49" t="s">
        <v>5</v>
      </c>
    </row>
    <row r="2" spans="1:10" ht="14.4" x14ac:dyDescent="0.3">
      <c r="A2" s="50">
        <v>1</v>
      </c>
      <c r="B2" s="51"/>
      <c r="C2" s="51" t="s">
        <v>6</v>
      </c>
      <c r="D2" s="52">
        <v>5202337.37</v>
      </c>
      <c r="E2" s="52">
        <v>1730488.75</v>
      </c>
      <c r="F2" s="52">
        <v>1718123.65</v>
      </c>
      <c r="G2" s="52"/>
      <c r="H2" s="52">
        <v>5214702.47</v>
      </c>
    </row>
    <row r="3" spans="1:10" ht="14.4" x14ac:dyDescent="0.3">
      <c r="A3" s="50" t="s">
        <v>183</v>
      </c>
      <c r="B3" s="51"/>
      <c r="C3" s="51" t="s">
        <v>7</v>
      </c>
      <c r="D3" s="52">
        <v>2073178.38</v>
      </c>
      <c r="E3" s="52">
        <v>1730488.75</v>
      </c>
      <c r="F3" s="52">
        <v>1712039.79</v>
      </c>
      <c r="G3" s="52"/>
      <c r="H3" s="52">
        <v>2091627.34</v>
      </c>
    </row>
    <row r="4" spans="1:10" ht="14.4" x14ac:dyDescent="0.3">
      <c r="A4" s="50" t="s">
        <v>184</v>
      </c>
      <c r="B4" s="51"/>
      <c r="C4" s="51" t="s">
        <v>8</v>
      </c>
      <c r="D4" s="52">
        <v>2046.69</v>
      </c>
      <c r="E4" s="52">
        <v>939671.15</v>
      </c>
      <c r="F4" s="52">
        <v>923363.77</v>
      </c>
      <c r="G4" s="52"/>
      <c r="H4" s="52">
        <v>18354.07</v>
      </c>
    </row>
    <row r="5" spans="1:10" ht="14.4" x14ac:dyDescent="0.3">
      <c r="A5" s="50" t="s">
        <v>185</v>
      </c>
      <c r="B5" s="51"/>
      <c r="C5" s="51" t="s">
        <v>9</v>
      </c>
      <c r="D5" s="52">
        <v>0</v>
      </c>
      <c r="E5" s="52">
        <v>55000</v>
      </c>
      <c r="F5" s="52">
        <v>55000</v>
      </c>
      <c r="G5" s="52"/>
      <c r="H5" s="52">
        <v>0</v>
      </c>
    </row>
    <row r="6" spans="1:10" x14ac:dyDescent="0.25">
      <c r="A6" s="53" t="s">
        <v>186</v>
      </c>
      <c r="B6" s="20">
        <v>5</v>
      </c>
      <c r="C6" s="20" t="s">
        <v>10</v>
      </c>
      <c r="D6" s="26">
        <v>0</v>
      </c>
      <c r="E6" s="26">
        <v>55000</v>
      </c>
      <c r="F6" s="26">
        <v>55000</v>
      </c>
      <c r="G6" s="26"/>
      <c r="H6" s="26">
        <v>0</v>
      </c>
    </row>
    <row r="7" spans="1:10" ht="14.4" x14ac:dyDescent="0.3">
      <c r="A7" s="50" t="s">
        <v>187</v>
      </c>
      <c r="B7" s="51"/>
      <c r="C7" s="51" t="s">
        <v>11</v>
      </c>
      <c r="D7" s="52">
        <v>2046.69</v>
      </c>
      <c r="E7" s="52">
        <v>817509.01</v>
      </c>
      <c r="F7" s="52">
        <v>816270.4</v>
      </c>
      <c r="G7" s="52"/>
      <c r="H7" s="52">
        <v>3285.3</v>
      </c>
    </row>
    <row r="8" spans="1:10" x14ac:dyDescent="0.25">
      <c r="A8" s="53" t="s">
        <v>189</v>
      </c>
      <c r="B8" s="20">
        <v>27</v>
      </c>
      <c r="C8" s="20" t="s">
        <v>13</v>
      </c>
      <c r="D8" s="26">
        <v>0</v>
      </c>
      <c r="E8" s="26">
        <v>720738.15</v>
      </c>
      <c r="F8" s="26">
        <v>720738.15</v>
      </c>
      <c r="G8" s="26"/>
      <c r="H8" s="26">
        <v>0</v>
      </c>
    </row>
    <row r="9" spans="1:10" x14ac:dyDescent="0.25">
      <c r="A9" s="53" t="s">
        <v>190</v>
      </c>
      <c r="B9" s="20">
        <v>576</v>
      </c>
      <c r="C9" s="20" t="s">
        <v>14</v>
      </c>
      <c r="D9" s="26">
        <v>86.24</v>
      </c>
      <c r="E9" s="26">
        <v>55000</v>
      </c>
      <c r="F9" s="26">
        <v>53878.04</v>
      </c>
      <c r="G9" s="26"/>
      <c r="H9" s="26">
        <v>1208.2</v>
      </c>
    </row>
    <row r="10" spans="1:10" x14ac:dyDescent="0.25">
      <c r="A10" s="53" t="s">
        <v>191</v>
      </c>
      <c r="B10" s="20">
        <v>5444</v>
      </c>
      <c r="C10" s="20" t="s">
        <v>15</v>
      </c>
      <c r="D10" s="26">
        <v>948.74</v>
      </c>
      <c r="E10" s="26">
        <v>1127.3599999999999</v>
      </c>
      <c r="F10" s="26">
        <v>0</v>
      </c>
      <c r="G10" s="26"/>
      <c r="H10" s="26">
        <v>2076.1</v>
      </c>
    </row>
    <row r="11" spans="1:10" x14ac:dyDescent="0.25">
      <c r="A11" s="53" t="s">
        <v>188</v>
      </c>
      <c r="B11" s="20">
        <v>5860</v>
      </c>
      <c r="C11" s="20" t="s">
        <v>12</v>
      </c>
      <c r="D11" s="26">
        <v>1011.71</v>
      </c>
      <c r="E11" s="26">
        <v>40643.5</v>
      </c>
      <c r="F11" s="26">
        <v>41654.21</v>
      </c>
      <c r="G11" s="26"/>
      <c r="H11" s="26">
        <v>1</v>
      </c>
    </row>
    <row r="12" spans="1:10" ht="14.4" x14ac:dyDescent="0.3">
      <c r="A12" s="50" t="s">
        <v>192</v>
      </c>
      <c r="B12" s="51"/>
      <c r="C12" s="51" t="s">
        <v>16</v>
      </c>
      <c r="D12" s="52">
        <v>0</v>
      </c>
      <c r="E12" s="52">
        <v>67162.14</v>
      </c>
      <c r="F12" s="52">
        <v>52093.37</v>
      </c>
      <c r="G12" s="52"/>
      <c r="H12" s="52">
        <v>15068.77</v>
      </c>
    </row>
    <row r="13" spans="1:10" x14ac:dyDescent="0.25">
      <c r="A13" s="53" t="s">
        <v>193</v>
      </c>
      <c r="B13" s="20">
        <v>35</v>
      </c>
      <c r="C13" s="20" t="s">
        <v>17</v>
      </c>
      <c r="D13" s="26">
        <v>0</v>
      </c>
      <c r="E13" s="26">
        <v>52093.37</v>
      </c>
      <c r="F13" s="26">
        <v>52093.37</v>
      </c>
      <c r="G13" s="26"/>
      <c r="H13" s="26">
        <v>0</v>
      </c>
      <c r="J13" s="114">
        <v>0</v>
      </c>
    </row>
    <row r="14" spans="1:10" x14ac:dyDescent="0.25">
      <c r="A14" s="53" t="s">
        <v>398</v>
      </c>
      <c r="B14" s="20">
        <v>5878</v>
      </c>
      <c r="C14" s="20" t="s">
        <v>399</v>
      </c>
      <c r="D14" s="26">
        <v>0</v>
      </c>
      <c r="E14" s="26">
        <v>15068.77</v>
      </c>
      <c r="F14" s="26">
        <v>0</v>
      </c>
      <c r="G14" s="26"/>
      <c r="H14" s="26">
        <v>15068.77</v>
      </c>
    </row>
    <row r="15" spans="1:10" ht="14.4" x14ac:dyDescent="0.3">
      <c r="A15" s="50" t="s">
        <v>194</v>
      </c>
      <c r="B15" s="51"/>
      <c r="C15" s="51" t="s">
        <v>18</v>
      </c>
      <c r="D15" s="52">
        <v>707630.62</v>
      </c>
      <c r="E15" s="52">
        <v>617787.79</v>
      </c>
      <c r="F15" s="52">
        <v>655343.63</v>
      </c>
      <c r="G15" s="52"/>
      <c r="H15" s="52">
        <v>670074.78</v>
      </c>
    </row>
    <row r="16" spans="1:10" ht="14.4" x14ac:dyDescent="0.3">
      <c r="A16" s="50" t="s">
        <v>195</v>
      </c>
      <c r="B16" s="51"/>
      <c r="C16" s="51" t="s">
        <v>19</v>
      </c>
      <c r="D16" s="52">
        <v>707630.62</v>
      </c>
      <c r="E16" s="52">
        <v>617787.79</v>
      </c>
      <c r="F16" s="52">
        <v>655343.63</v>
      </c>
      <c r="G16" s="52"/>
      <c r="H16" s="52">
        <v>670074.78</v>
      </c>
    </row>
    <row r="17" spans="1:8" x14ac:dyDescent="0.25">
      <c r="A17" s="53" t="s">
        <v>197</v>
      </c>
      <c r="B17" s="20">
        <v>43</v>
      </c>
      <c r="C17" s="20" t="s">
        <v>21</v>
      </c>
      <c r="D17" s="26">
        <v>492340.07</v>
      </c>
      <c r="E17" s="26">
        <v>617787.79</v>
      </c>
      <c r="F17" s="26">
        <v>614418.01</v>
      </c>
      <c r="G17" s="26"/>
      <c r="H17" s="26">
        <v>495709.85</v>
      </c>
    </row>
    <row r="18" spans="1:8" x14ac:dyDescent="0.25">
      <c r="A18" s="53" t="s">
        <v>196</v>
      </c>
      <c r="B18" s="20">
        <v>5347</v>
      </c>
      <c r="C18" s="20" t="s">
        <v>20</v>
      </c>
      <c r="D18" s="26">
        <v>215290.55</v>
      </c>
      <c r="E18" s="26">
        <v>0</v>
      </c>
      <c r="F18" s="26">
        <v>40925.620000000003</v>
      </c>
      <c r="G18" s="26"/>
      <c r="H18" s="26">
        <v>174364.93</v>
      </c>
    </row>
    <row r="19" spans="1:8" ht="14.4" x14ac:dyDescent="0.3">
      <c r="A19" s="50" t="s">
        <v>198</v>
      </c>
      <c r="B19" s="51"/>
      <c r="C19" s="51" t="s">
        <v>22</v>
      </c>
      <c r="D19" s="52">
        <v>239388.24</v>
      </c>
      <c r="E19" s="52">
        <v>37771.949999999997</v>
      </c>
      <c r="F19" s="52">
        <v>35830.03</v>
      </c>
      <c r="G19" s="52"/>
      <c r="H19" s="52">
        <v>241330.16</v>
      </c>
    </row>
    <row r="20" spans="1:8" ht="14.4" x14ac:dyDescent="0.3">
      <c r="A20" s="50" t="s">
        <v>199</v>
      </c>
      <c r="B20" s="51"/>
      <c r="C20" s="51" t="s">
        <v>23</v>
      </c>
      <c r="D20" s="52">
        <v>0</v>
      </c>
      <c r="E20" s="52">
        <v>17071.93</v>
      </c>
      <c r="F20" s="52">
        <v>15130.01</v>
      </c>
      <c r="G20" s="52"/>
      <c r="H20" s="52">
        <v>1941.92</v>
      </c>
    </row>
    <row r="21" spans="1:8" x14ac:dyDescent="0.25">
      <c r="A21" s="53" t="s">
        <v>200</v>
      </c>
      <c r="B21" s="20">
        <v>60</v>
      </c>
      <c r="C21" s="20" t="s">
        <v>24</v>
      </c>
      <c r="D21" s="26">
        <v>0</v>
      </c>
      <c r="E21" s="26">
        <v>1941.92</v>
      </c>
      <c r="F21" s="26">
        <v>0</v>
      </c>
      <c r="G21" s="26"/>
      <c r="H21" s="26">
        <v>1941.92</v>
      </c>
    </row>
    <row r="22" spans="1:8" x14ac:dyDescent="0.25">
      <c r="A22" s="53" t="s">
        <v>201</v>
      </c>
      <c r="B22" s="20">
        <v>3263</v>
      </c>
      <c r="C22" s="20" t="s">
        <v>25</v>
      </c>
      <c r="D22" s="26">
        <v>0</v>
      </c>
      <c r="E22" s="26">
        <v>15130.01</v>
      </c>
      <c r="F22" s="26">
        <v>15130.01</v>
      </c>
      <c r="G22" s="26"/>
      <c r="H22" s="26">
        <v>0</v>
      </c>
    </row>
    <row r="23" spans="1:8" ht="14.4" x14ac:dyDescent="0.3">
      <c r="A23" s="50" t="s">
        <v>202</v>
      </c>
      <c r="B23" s="51"/>
      <c r="C23" s="51" t="s">
        <v>26</v>
      </c>
      <c r="D23" s="52">
        <v>147010.20000000001</v>
      </c>
      <c r="E23" s="52">
        <v>0</v>
      </c>
      <c r="F23" s="52">
        <v>0</v>
      </c>
      <c r="G23" s="52"/>
      <c r="H23" s="52">
        <v>147010.20000000001</v>
      </c>
    </row>
    <row r="24" spans="1:8" x14ac:dyDescent="0.25">
      <c r="A24" s="53" t="s">
        <v>203</v>
      </c>
      <c r="B24" s="20">
        <v>3220</v>
      </c>
      <c r="C24" s="20" t="s">
        <v>27</v>
      </c>
      <c r="D24" s="26">
        <v>147010.20000000001</v>
      </c>
      <c r="E24" s="26">
        <v>0</v>
      </c>
      <c r="F24" s="26">
        <v>0</v>
      </c>
      <c r="G24" s="26"/>
      <c r="H24" s="26">
        <v>147010.20000000001</v>
      </c>
    </row>
    <row r="25" spans="1:8" ht="14.4" x14ac:dyDescent="0.3">
      <c r="A25" s="50" t="s">
        <v>204</v>
      </c>
      <c r="B25" s="51"/>
      <c r="C25" s="51" t="s">
        <v>28</v>
      </c>
      <c r="D25" s="52">
        <v>20820.55</v>
      </c>
      <c r="E25" s="52">
        <v>0</v>
      </c>
      <c r="F25" s="52">
        <v>0</v>
      </c>
      <c r="G25" s="52"/>
      <c r="H25" s="52">
        <v>20820.55</v>
      </c>
    </row>
    <row r="26" spans="1:8" x14ac:dyDescent="0.25">
      <c r="A26" s="53" t="s">
        <v>205</v>
      </c>
      <c r="B26" s="20">
        <v>5789</v>
      </c>
      <c r="C26" s="20" t="s">
        <v>29</v>
      </c>
      <c r="D26" s="26">
        <v>20820.55</v>
      </c>
      <c r="E26" s="26">
        <v>0</v>
      </c>
      <c r="F26" s="26">
        <v>0</v>
      </c>
      <c r="G26" s="26"/>
      <c r="H26" s="26">
        <v>20820.55</v>
      </c>
    </row>
    <row r="27" spans="1:8" ht="14.4" x14ac:dyDescent="0.3">
      <c r="A27" s="50" t="s">
        <v>206</v>
      </c>
      <c r="B27" s="51"/>
      <c r="C27" s="51" t="s">
        <v>30</v>
      </c>
      <c r="D27" s="52">
        <v>7464.39</v>
      </c>
      <c r="E27" s="52">
        <v>20700.02</v>
      </c>
      <c r="F27" s="52">
        <v>20700.02</v>
      </c>
      <c r="G27" s="52"/>
      <c r="H27" s="52">
        <v>7464.39</v>
      </c>
    </row>
    <row r="28" spans="1:8" x14ac:dyDescent="0.25">
      <c r="A28" s="53" t="s">
        <v>379</v>
      </c>
      <c r="B28" s="20">
        <v>94</v>
      </c>
      <c r="C28" s="20" t="s">
        <v>370</v>
      </c>
      <c r="D28" s="26">
        <v>0</v>
      </c>
      <c r="E28" s="26">
        <v>108.49</v>
      </c>
      <c r="F28" s="26">
        <v>108.49</v>
      </c>
      <c r="G28" s="26"/>
      <c r="H28" s="26">
        <v>0</v>
      </c>
    </row>
    <row r="29" spans="1:8" x14ac:dyDescent="0.25">
      <c r="A29" s="53" t="s">
        <v>207</v>
      </c>
      <c r="B29" s="20">
        <v>116</v>
      </c>
      <c r="C29" s="20" t="s">
        <v>31</v>
      </c>
      <c r="D29" s="26">
        <v>343.51</v>
      </c>
      <c r="E29" s="26">
        <v>20567.98</v>
      </c>
      <c r="F29" s="26">
        <v>20567.98</v>
      </c>
      <c r="G29" s="26"/>
      <c r="H29" s="26">
        <v>343.51</v>
      </c>
    </row>
    <row r="30" spans="1:8" x14ac:dyDescent="0.25">
      <c r="A30" s="53" t="s">
        <v>380</v>
      </c>
      <c r="B30" s="20">
        <v>159</v>
      </c>
      <c r="C30" s="20" t="s">
        <v>371</v>
      </c>
      <c r="D30" s="26">
        <v>0</v>
      </c>
      <c r="E30" s="26">
        <v>23.55</v>
      </c>
      <c r="F30" s="26">
        <v>23.55</v>
      </c>
      <c r="G30" s="26"/>
      <c r="H30" s="26">
        <v>0</v>
      </c>
    </row>
    <row r="31" spans="1:8" x14ac:dyDescent="0.25">
      <c r="A31" s="53" t="s">
        <v>208</v>
      </c>
      <c r="B31" s="20">
        <v>5274</v>
      </c>
      <c r="C31" s="20" t="s">
        <v>32</v>
      </c>
      <c r="D31" s="26">
        <v>7120.88</v>
      </c>
      <c r="E31" s="26">
        <v>0</v>
      </c>
      <c r="F31" s="26">
        <v>0</v>
      </c>
      <c r="G31" s="26"/>
      <c r="H31" s="26">
        <v>7120.88</v>
      </c>
    </row>
    <row r="32" spans="1:8" ht="14.4" x14ac:dyDescent="0.3">
      <c r="A32" s="50" t="s">
        <v>209</v>
      </c>
      <c r="B32" s="51"/>
      <c r="C32" s="51" t="s">
        <v>33</v>
      </c>
      <c r="D32" s="52">
        <v>64093.1</v>
      </c>
      <c r="E32" s="52">
        <v>0</v>
      </c>
      <c r="F32" s="52">
        <v>0</v>
      </c>
      <c r="G32" s="52"/>
      <c r="H32" s="52">
        <v>64093.1</v>
      </c>
    </row>
    <row r="33" spans="1:8" x14ac:dyDescent="0.25">
      <c r="A33" s="53" t="s">
        <v>213</v>
      </c>
      <c r="B33" s="20">
        <v>4502</v>
      </c>
      <c r="C33" s="20" t="s">
        <v>37</v>
      </c>
      <c r="D33" s="26">
        <v>13.87</v>
      </c>
      <c r="E33" s="26">
        <v>0</v>
      </c>
      <c r="F33" s="26">
        <v>0</v>
      </c>
      <c r="G33" s="26"/>
      <c r="H33" s="26">
        <v>13.87</v>
      </c>
    </row>
    <row r="34" spans="1:8" x14ac:dyDescent="0.25">
      <c r="A34" s="53" t="s">
        <v>210</v>
      </c>
      <c r="B34" s="20">
        <v>4510</v>
      </c>
      <c r="C34" s="20" t="s">
        <v>34</v>
      </c>
      <c r="D34" s="26">
        <v>34627.339999999997</v>
      </c>
      <c r="E34" s="26">
        <v>0</v>
      </c>
      <c r="F34" s="26">
        <v>0</v>
      </c>
      <c r="G34" s="26"/>
      <c r="H34" s="26">
        <v>34627.339999999997</v>
      </c>
    </row>
    <row r="35" spans="1:8" x14ac:dyDescent="0.25">
      <c r="A35" s="53" t="s">
        <v>212</v>
      </c>
      <c r="B35" s="20">
        <v>4545</v>
      </c>
      <c r="C35" s="20" t="s">
        <v>36</v>
      </c>
      <c r="D35" s="26">
        <v>16.21</v>
      </c>
      <c r="E35" s="26">
        <v>0</v>
      </c>
      <c r="F35" s="26">
        <v>0</v>
      </c>
      <c r="G35" s="26"/>
      <c r="H35" s="26">
        <v>16.21</v>
      </c>
    </row>
    <row r="36" spans="1:8" x14ac:dyDescent="0.25">
      <c r="A36" s="53" t="s">
        <v>211</v>
      </c>
      <c r="B36" s="20">
        <v>4561</v>
      </c>
      <c r="C36" s="20" t="s">
        <v>35</v>
      </c>
      <c r="D36" s="26">
        <v>29435.68</v>
      </c>
      <c r="E36" s="26">
        <v>0</v>
      </c>
      <c r="F36" s="26">
        <v>0</v>
      </c>
      <c r="G36" s="26"/>
      <c r="H36" s="26">
        <v>29435.68</v>
      </c>
    </row>
    <row r="37" spans="1:8" ht="14.4" x14ac:dyDescent="0.3">
      <c r="A37" s="50" t="s">
        <v>214</v>
      </c>
      <c r="B37" s="51"/>
      <c r="C37" s="51" t="s">
        <v>38</v>
      </c>
      <c r="D37" s="52">
        <v>1124112.83</v>
      </c>
      <c r="E37" s="52">
        <v>135257.85999999999</v>
      </c>
      <c r="F37" s="52">
        <v>97502.36</v>
      </c>
      <c r="G37" s="52"/>
      <c r="H37" s="52">
        <v>1161868.33</v>
      </c>
    </row>
    <row r="38" spans="1:8" ht="14.4" x14ac:dyDescent="0.3">
      <c r="A38" s="50" t="s">
        <v>215</v>
      </c>
      <c r="B38" s="51"/>
      <c r="C38" s="51" t="s">
        <v>39</v>
      </c>
      <c r="D38" s="52">
        <v>1124112.83</v>
      </c>
      <c r="E38" s="52">
        <v>135257.85999999999</v>
      </c>
      <c r="F38" s="52">
        <v>97502.36</v>
      </c>
      <c r="G38" s="52"/>
      <c r="H38" s="52">
        <v>1161868.33</v>
      </c>
    </row>
    <row r="39" spans="1:8" x14ac:dyDescent="0.25">
      <c r="A39" s="53" t="s">
        <v>216</v>
      </c>
      <c r="B39" s="20">
        <v>175</v>
      </c>
      <c r="C39" s="20" t="s">
        <v>40</v>
      </c>
      <c r="D39" s="26">
        <v>1124112.83</v>
      </c>
      <c r="E39" s="26">
        <v>135257.85999999999</v>
      </c>
      <c r="F39" s="26">
        <v>97502.36</v>
      </c>
      <c r="G39" s="26"/>
      <c r="H39" s="26">
        <v>1161868.33</v>
      </c>
    </row>
    <row r="40" spans="1:8" ht="14.4" x14ac:dyDescent="0.3">
      <c r="A40" s="50" t="s">
        <v>217</v>
      </c>
      <c r="B40" s="51"/>
      <c r="C40" s="51" t="s">
        <v>41</v>
      </c>
      <c r="D40" s="52">
        <v>3129158.99</v>
      </c>
      <c r="E40" s="52">
        <v>0</v>
      </c>
      <c r="F40" s="52">
        <v>6083.86</v>
      </c>
      <c r="G40" s="52"/>
      <c r="H40" s="52">
        <v>3123075.13</v>
      </c>
    </row>
    <row r="41" spans="1:8" ht="14.4" x14ac:dyDescent="0.3">
      <c r="A41" s="50" t="s">
        <v>218</v>
      </c>
      <c r="B41" s="51"/>
      <c r="C41" s="51" t="s">
        <v>42</v>
      </c>
      <c r="D41" s="52">
        <v>3022148.98</v>
      </c>
      <c r="E41" s="52">
        <v>0</v>
      </c>
      <c r="F41" s="52">
        <v>0</v>
      </c>
      <c r="G41" s="52"/>
      <c r="H41" s="52">
        <v>3022148.98</v>
      </c>
    </row>
    <row r="42" spans="1:8" ht="14.4" x14ac:dyDescent="0.3">
      <c r="A42" s="50" t="s">
        <v>219</v>
      </c>
      <c r="B42" s="51"/>
      <c r="C42" s="51" t="s">
        <v>43</v>
      </c>
      <c r="D42" s="52">
        <v>3022148.98</v>
      </c>
      <c r="E42" s="52">
        <v>0</v>
      </c>
      <c r="F42" s="52">
        <v>0</v>
      </c>
      <c r="G42" s="52"/>
      <c r="H42" s="52">
        <v>3022148.98</v>
      </c>
    </row>
    <row r="43" spans="1:8" x14ac:dyDescent="0.25">
      <c r="A43" s="53" t="s">
        <v>221</v>
      </c>
      <c r="B43" s="20">
        <v>3336</v>
      </c>
      <c r="C43" s="20" t="s">
        <v>45</v>
      </c>
      <c r="D43" s="26">
        <v>1224589.32</v>
      </c>
      <c r="E43" s="26">
        <v>0</v>
      </c>
      <c r="F43" s="26">
        <v>0</v>
      </c>
      <c r="G43" s="26"/>
      <c r="H43" s="26">
        <v>1224589.32</v>
      </c>
    </row>
    <row r="44" spans="1:8" x14ac:dyDescent="0.25">
      <c r="A44" s="53" t="s">
        <v>220</v>
      </c>
      <c r="B44" s="20">
        <v>3344</v>
      </c>
      <c r="C44" s="20" t="s">
        <v>44</v>
      </c>
      <c r="D44" s="26">
        <v>1797559.66</v>
      </c>
      <c r="E44" s="26">
        <v>0</v>
      </c>
      <c r="F44" s="26">
        <v>0</v>
      </c>
      <c r="G44" s="26"/>
      <c r="H44" s="26">
        <v>1797559.66</v>
      </c>
    </row>
    <row r="45" spans="1:8" ht="14.4" x14ac:dyDescent="0.3">
      <c r="A45" s="50" t="s">
        <v>222</v>
      </c>
      <c r="B45" s="51"/>
      <c r="C45" s="51" t="s">
        <v>46</v>
      </c>
      <c r="D45" s="52">
        <v>64361.599999999999</v>
      </c>
      <c r="E45" s="52">
        <v>0</v>
      </c>
      <c r="F45" s="52">
        <v>1767.19</v>
      </c>
      <c r="G45" s="52"/>
      <c r="H45" s="52">
        <v>62594.41</v>
      </c>
    </row>
    <row r="46" spans="1:8" ht="14.4" x14ac:dyDescent="0.3">
      <c r="A46" s="50" t="s">
        <v>223</v>
      </c>
      <c r="B46" s="51"/>
      <c r="C46" s="51" t="s">
        <v>47</v>
      </c>
      <c r="D46" s="52">
        <v>139435.51</v>
      </c>
      <c r="E46" s="52">
        <v>0</v>
      </c>
      <c r="F46" s="52">
        <v>0</v>
      </c>
      <c r="G46" s="52"/>
      <c r="H46" s="52">
        <v>139435.51</v>
      </c>
    </row>
    <row r="47" spans="1:8" x14ac:dyDescent="0.25">
      <c r="A47" s="53" t="s">
        <v>224</v>
      </c>
      <c r="B47" s="20">
        <v>205</v>
      </c>
      <c r="C47" s="20" t="s">
        <v>48</v>
      </c>
      <c r="D47" s="26">
        <v>132597.82</v>
      </c>
      <c r="E47" s="26">
        <v>0</v>
      </c>
      <c r="F47" s="26">
        <v>0</v>
      </c>
      <c r="G47" s="26"/>
      <c r="H47" s="26">
        <v>132597.82</v>
      </c>
    </row>
    <row r="48" spans="1:8" x14ac:dyDescent="0.25">
      <c r="A48" s="53" t="s">
        <v>225</v>
      </c>
      <c r="B48" s="20">
        <v>4588</v>
      </c>
      <c r="C48" s="20" t="s">
        <v>49</v>
      </c>
      <c r="D48" s="26">
        <v>4888.6899999999996</v>
      </c>
      <c r="E48" s="26">
        <v>0</v>
      </c>
      <c r="F48" s="26">
        <v>0</v>
      </c>
      <c r="G48" s="26"/>
      <c r="H48" s="26">
        <v>4888.6899999999996</v>
      </c>
    </row>
    <row r="49" spans="1:8" x14ac:dyDescent="0.25">
      <c r="A49" s="53" t="s">
        <v>226</v>
      </c>
      <c r="B49" s="20">
        <v>248</v>
      </c>
      <c r="C49" s="20" t="s">
        <v>50</v>
      </c>
      <c r="D49" s="26">
        <v>1949</v>
      </c>
      <c r="E49" s="26">
        <v>0</v>
      </c>
      <c r="F49" s="26">
        <v>0</v>
      </c>
      <c r="G49" s="26"/>
      <c r="H49" s="26">
        <v>1949</v>
      </c>
    </row>
    <row r="50" spans="1:8" ht="14.4" x14ac:dyDescent="0.3">
      <c r="A50" s="50" t="s">
        <v>227</v>
      </c>
      <c r="B50" s="51"/>
      <c r="C50" s="51" t="s">
        <v>51</v>
      </c>
      <c r="D50" s="52">
        <v>-75073.91</v>
      </c>
      <c r="E50" s="52">
        <v>0</v>
      </c>
      <c r="F50" s="52">
        <v>1767.19</v>
      </c>
      <c r="G50" s="52"/>
      <c r="H50" s="52">
        <v>-76841.100000000006</v>
      </c>
    </row>
    <row r="51" spans="1:8" x14ac:dyDescent="0.25">
      <c r="A51" s="53" t="s">
        <v>228</v>
      </c>
      <c r="B51" s="20">
        <v>280</v>
      </c>
      <c r="C51" s="20" t="s">
        <v>52</v>
      </c>
      <c r="D51" s="26">
        <v>-71137.600000000006</v>
      </c>
      <c r="E51" s="26">
        <v>0</v>
      </c>
      <c r="F51" s="26">
        <v>1666.29</v>
      </c>
      <c r="G51" s="26"/>
      <c r="H51" s="26">
        <v>-72803.89</v>
      </c>
    </row>
    <row r="52" spans="1:8" x14ac:dyDescent="0.25">
      <c r="A52" s="53" t="s">
        <v>229</v>
      </c>
      <c r="B52" s="20">
        <v>299</v>
      </c>
      <c r="C52" s="20" t="s">
        <v>53</v>
      </c>
      <c r="D52" s="26">
        <v>-3725.19</v>
      </c>
      <c r="E52" s="26">
        <v>0</v>
      </c>
      <c r="F52" s="26">
        <v>84.66</v>
      </c>
      <c r="G52" s="26"/>
      <c r="H52" s="26">
        <v>-3809.85</v>
      </c>
    </row>
    <row r="53" spans="1:8" x14ac:dyDescent="0.25">
      <c r="A53" s="53" t="s">
        <v>230</v>
      </c>
      <c r="B53" s="20">
        <v>329</v>
      </c>
      <c r="C53" s="20" t="s">
        <v>54</v>
      </c>
      <c r="D53" s="26">
        <v>-211.12</v>
      </c>
      <c r="E53" s="26">
        <v>0</v>
      </c>
      <c r="F53" s="26">
        <v>16.239999999999998</v>
      </c>
      <c r="G53" s="26"/>
      <c r="H53" s="26">
        <v>-227.36</v>
      </c>
    </row>
    <row r="54" spans="1:8" ht="14.4" x14ac:dyDescent="0.3">
      <c r="A54" s="50" t="s">
        <v>231</v>
      </c>
      <c r="B54" s="51"/>
      <c r="C54" s="51" t="s">
        <v>55</v>
      </c>
      <c r="D54" s="52">
        <v>42648.41</v>
      </c>
      <c r="E54" s="52">
        <v>0</v>
      </c>
      <c r="F54" s="52">
        <v>4316.67</v>
      </c>
      <c r="G54" s="52"/>
      <c r="H54" s="52">
        <v>38331.74</v>
      </c>
    </row>
    <row r="55" spans="1:8" ht="14.4" x14ac:dyDescent="0.3">
      <c r="A55" s="50" t="s">
        <v>232</v>
      </c>
      <c r="B55" s="51"/>
      <c r="C55" s="51" t="s">
        <v>55</v>
      </c>
      <c r="D55" s="52">
        <v>109099</v>
      </c>
      <c r="E55" s="52">
        <v>0</v>
      </c>
      <c r="F55" s="52">
        <v>0</v>
      </c>
      <c r="G55" s="52"/>
      <c r="H55" s="52">
        <v>109099</v>
      </c>
    </row>
    <row r="56" spans="1:8" x14ac:dyDescent="0.25">
      <c r="A56" s="53" t="s">
        <v>233</v>
      </c>
      <c r="B56" s="20">
        <v>2615</v>
      </c>
      <c r="C56" s="20" t="s">
        <v>56</v>
      </c>
      <c r="D56" s="26">
        <v>5499</v>
      </c>
      <c r="E56" s="26">
        <v>0</v>
      </c>
      <c r="F56" s="26">
        <v>0</v>
      </c>
      <c r="G56" s="26"/>
      <c r="H56" s="26">
        <v>5499</v>
      </c>
    </row>
    <row r="57" spans="1:8" x14ac:dyDescent="0.25">
      <c r="A57" s="53" t="s">
        <v>234</v>
      </c>
      <c r="B57" s="20">
        <v>3948</v>
      </c>
      <c r="C57" s="20" t="s">
        <v>57</v>
      </c>
      <c r="D57" s="26">
        <v>103600</v>
      </c>
      <c r="E57" s="26">
        <v>0</v>
      </c>
      <c r="F57" s="26">
        <v>0</v>
      </c>
      <c r="G57" s="26"/>
      <c r="H57" s="26">
        <v>103600</v>
      </c>
    </row>
    <row r="58" spans="1:8" ht="14.4" x14ac:dyDescent="0.3">
      <c r="A58" s="50" t="s">
        <v>235</v>
      </c>
      <c r="B58" s="51"/>
      <c r="C58" s="51" t="s">
        <v>58</v>
      </c>
      <c r="D58" s="52">
        <v>-66450.59</v>
      </c>
      <c r="E58" s="52">
        <v>0</v>
      </c>
      <c r="F58" s="52">
        <v>4316.67</v>
      </c>
      <c r="G58" s="52"/>
      <c r="H58" s="52">
        <v>-70767.259999999995</v>
      </c>
    </row>
    <row r="59" spans="1:8" x14ac:dyDescent="0.25">
      <c r="A59" s="53" t="s">
        <v>236</v>
      </c>
      <c r="B59" s="20">
        <v>3964</v>
      </c>
      <c r="C59" s="20" t="s">
        <v>59</v>
      </c>
      <c r="D59" s="26">
        <v>-66450.59</v>
      </c>
      <c r="E59" s="26">
        <v>0</v>
      </c>
      <c r="F59" s="26">
        <v>4316.67</v>
      </c>
      <c r="G59" s="26"/>
      <c r="H59" s="26">
        <v>-70767.259999999995</v>
      </c>
    </row>
    <row r="60" spans="1:8" ht="14.4" x14ac:dyDescent="0.3">
      <c r="A60" s="50">
        <v>2</v>
      </c>
      <c r="B60" s="51"/>
      <c r="C60" s="51" t="s">
        <v>65</v>
      </c>
      <c r="D60" s="52">
        <v>5898881.6799999997</v>
      </c>
      <c r="E60" s="52">
        <v>1001112.02</v>
      </c>
      <c r="F60" s="52">
        <v>1363743.94</v>
      </c>
      <c r="G60" s="52"/>
      <c r="H60" s="52">
        <v>6261513.5999999996</v>
      </c>
    </row>
    <row r="61" spans="1:8" ht="14.4" x14ac:dyDescent="0.3">
      <c r="A61" s="50" t="s">
        <v>242</v>
      </c>
      <c r="B61" s="51"/>
      <c r="C61" s="51" t="s">
        <v>66</v>
      </c>
      <c r="D61" s="52">
        <v>2899274.36</v>
      </c>
      <c r="E61" s="52">
        <v>1001112.02</v>
      </c>
      <c r="F61" s="52">
        <v>1281773.05</v>
      </c>
      <c r="G61" s="52"/>
      <c r="H61" s="52">
        <v>3179935.39</v>
      </c>
    </row>
    <row r="62" spans="1:8" ht="14.4" x14ac:dyDescent="0.3">
      <c r="A62" s="50" t="s">
        <v>243</v>
      </c>
      <c r="B62" s="51"/>
      <c r="C62" s="51" t="s">
        <v>67</v>
      </c>
      <c r="D62" s="52">
        <v>2899274.36</v>
      </c>
      <c r="E62" s="52">
        <v>1001112.02</v>
      </c>
      <c r="F62" s="52">
        <v>1281773.05</v>
      </c>
      <c r="G62" s="52"/>
      <c r="H62" s="52">
        <v>3179935.39</v>
      </c>
    </row>
    <row r="63" spans="1:8" ht="14.4" x14ac:dyDescent="0.3">
      <c r="A63" s="50" t="s">
        <v>244</v>
      </c>
      <c r="B63" s="51"/>
      <c r="C63" s="51" t="s">
        <v>68</v>
      </c>
      <c r="D63" s="52">
        <v>2093278.46</v>
      </c>
      <c r="E63" s="52">
        <v>370638.38</v>
      </c>
      <c r="F63" s="52">
        <v>703314.98</v>
      </c>
      <c r="G63" s="52"/>
      <c r="H63" s="52">
        <v>2425955.06</v>
      </c>
    </row>
    <row r="64" spans="1:8" x14ac:dyDescent="0.25">
      <c r="A64" s="53" t="s">
        <v>245</v>
      </c>
      <c r="B64" s="20">
        <v>353</v>
      </c>
      <c r="C64" s="20" t="s">
        <v>69</v>
      </c>
      <c r="D64" s="26">
        <v>2093278.46</v>
      </c>
      <c r="E64" s="26">
        <v>370638.38</v>
      </c>
      <c r="F64" s="26">
        <v>703314.98</v>
      </c>
      <c r="G64" s="26"/>
      <c r="H64" s="26">
        <v>2425955.06</v>
      </c>
    </row>
    <row r="65" spans="1:8" ht="14.4" x14ac:dyDescent="0.3">
      <c r="A65" s="50" t="s">
        <v>246</v>
      </c>
      <c r="B65" s="51"/>
      <c r="C65" s="51" t="s">
        <v>70</v>
      </c>
      <c r="D65" s="52">
        <v>240661.3</v>
      </c>
      <c r="E65" s="52">
        <v>80661.3</v>
      </c>
      <c r="F65" s="52">
        <v>68754.679999999993</v>
      </c>
      <c r="G65" s="52"/>
      <c r="H65" s="52">
        <v>228754.68</v>
      </c>
    </row>
    <row r="66" spans="1:8" x14ac:dyDescent="0.25">
      <c r="A66" s="53" t="s">
        <v>248</v>
      </c>
      <c r="B66" s="20">
        <v>361</v>
      </c>
      <c r="C66" s="20" t="s">
        <v>13</v>
      </c>
      <c r="D66" s="26">
        <v>80661.3</v>
      </c>
      <c r="E66" s="26">
        <v>80661.3</v>
      </c>
      <c r="F66" s="26">
        <v>68754.679999999993</v>
      </c>
      <c r="G66" s="26"/>
      <c r="H66" s="26">
        <v>68754.679999999993</v>
      </c>
    </row>
    <row r="67" spans="1:8" x14ac:dyDescent="0.25">
      <c r="A67" s="53" t="s">
        <v>249</v>
      </c>
      <c r="B67" s="20">
        <v>5885</v>
      </c>
      <c r="C67" s="20" t="s">
        <v>71</v>
      </c>
      <c r="D67" s="26">
        <v>160000</v>
      </c>
      <c r="E67" s="26">
        <v>0</v>
      </c>
      <c r="F67" s="26">
        <v>0</v>
      </c>
      <c r="G67" s="26"/>
      <c r="H67" s="26">
        <v>160000</v>
      </c>
    </row>
    <row r="68" spans="1:8" ht="14.4" x14ac:dyDescent="0.3">
      <c r="A68" s="50" t="s">
        <v>250</v>
      </c>
      <c r="B68" s="51"/>
      <c r="C68" s="51" t="s">
        <v>72</v>
      </c>
      <c r="D68" s="52">
        <v>27406.83</v>
      </c>
      <c r="E68" s="52">
        <v>74623.05</v>
      </c>
      <c r="F68" s="52">
        <v>64442.28</v>
      </c>
      <c r="G68" s="52"/>
      <c r="H68" s="52">
        <v>17226.060000000001</v>
      </c>
    </row>
    <row r="69" spans="1:8" x14ac:dyDescent="0.25">
      <c r="A69" s="53" t="s">
        <v>251</v>
      </c>
      <c r="B69" s="20">
        <v>418</v>
      </c>
      <c r="C69" s="20" t="s">
        <v>73</v>
      </c>
      <c r="D69" s="26">
        <v>0</v>
      </c>
      <c r="E69" s="26">
        <v>2601.9499999999998</v>
      </c>
      <c r="F69" s="26">
        <v>2601.9499999999998</v>
      </c>
      <c r="G69" s="26"/>
      <c r="H69" s="26">
        <v>0</v>
      </c>
    </row>
    <row r="70" spans="1:8" x14ac:dyDescent="0.25">
      <c r="A70" s="53" t="s">
        <v>254</v>
      </c>
      <c r="B70" s="20">
        <v>434</v>
      </c>
      <c r="C70" s="20" t="s">
        <v>76</v>
      </c>
      <c r="D70" s="26">
        <v>0</v>
      </c>
      <c r="E70" s="26">
        <v>42654.71</v>
      </c>
      <c r="F70" s="26">
        <v>42654.71</v>
      </c>
      <c r="G70" s="26"/>
      <c r="H70" s="26">
        <v>0</v>
      </c>
    </row>
    <row r="71" spans="1:8" x14ac:dyDescent="0.25">
      <c r="A71" s="53" t="s">
        <v>252</v>
      </c>
      <c r="B71" s="20">
        <v>4596</v>
      </c>
      <c r="C71" s="20" t="s">
        <v>74</v>
      </c>
      <c r="D71" s="26">
        <v>3203.61</v>
      </c>
      <c r="E71" s="26">
        <v>5093.9799999999996</v>
      </c>
      <c r="F71" s="26">
        <v>4974.5</v>
      </c>
      <c r="G71" s="26"/>
      <c r="H71" s="26">
        <v>3084.13</v>
      </c>
    </row>
    <row r="72" spans="1:8" x14ac:dyDescent="0.25">
      <c r="A72" s="53" t="s">
        <v>253</v>
      </c>
      <c r="B72" s="20">
        <v>4600</v>
      </c>
      <c r="C72" s="20" t="s">
        <v>75</v>
      </c>
      <c r="D72" s="26">
        <v>24203.22</v>
      </c>
      <c r="E72" s="26">
        <v>24203.22</v>
      </c>
      <c r="F72" s="26">
        <v>14141.93</v>
      </c>
      <c r="G72" s="26"/>
      <c r="H72" s="26">
        <v>14141.93</v>
      </c>
    </row>
    <row r="73" spans="1:8" x14ac:dyDescent="0.25">
      <c r="A73" s="53" t="s">
        <v>381</v>
      </c>
      <c r="B73" s="20">
        <v>4812</v>
      </c>
      <c r="C73" s="20" t="s">
        <v>372</v>
      </c>
      <c r="D73" s="26">
        <v>0</v>
      </c>
      <c r="E73" s="26">
        <v>69.19</v>
      </c>
      <c r="F73" s="26">
        <v>69.19</v>
      </c>
      <c r="G73" s="26"/>
      <c r="H73" s="26">
        <v>0</v>
      </c>
    </row>
    <row r="74" spans="1:8" ht="14.4" x14ac:dyDescent="0.3">
      <c r="A74" s="50" t="s">
        <v>255</v>
      </c>
      <c r="B74" s="51"/>
      <c r="C74" s="51" t="s">
        <v>77</v>
      </c>
      <c r="D74" s="52">
        <v>2741.03</v>
      </c>
      <c r="E74" s="52">
        <v>1201.56</v>
      </c>
      <c r="F74" s="52">
        <v>25117.4</v>
      </c>
      <c r="G74" s="52"/>
      <c r="H74" s="52">
        <v>26656.87</v>
      </c>
    </row>
    <row r="75" spans="1:8" x14ac:dyDescent="0.25">
      <c r="A75" s="53" t="s">
        <v>257</v>
      </c>
      <c r="B75" s="20">
        <v>4618</v>
      </c>
      <c r="C75" s="20" t="s">
        <v>79</v>
      </c>
      <c r="D75" s="26">
        <v>1069.52</v>
      </c>
      <c r="E75" s="26">
        <v>1069.52</v>
      </c>
      <c r="F75" s="26">
        <v>711.53</v>
      </c>
      <c r="G75" s="26"/>
      <c r="H75" s="26">
        <v>711.53</v>
      </c>
    </row>
    <row r="76" spans="1:8" x14ac:dyDescent="0.25">
      <c r="A76" s="53" t="s">
        <v>256</v>
      </c>
      <c r="B76" s="20">
        <v>4626</v>
      </c>
      <c r="C76" s="20" t="s">
        <v>78</v>
      </c>
      <c r="D76" s="26">
        <v>1373.34</v>
      </c>
      <c r="E76" s="26">
        <v>108.49</v>
      </c>
      <c r="F76" s="26">
        <v>20052.39</v>
      </c>
      <c r="G76" s="26"/>
      <c r="H76" s="26">
        <v>21317.24</v>
      </c>
    </row>
    <row r="77" spans="1:8" x14ac:dyDescent="0.25">
      <c r="A77" s="53" t="s">
        <v>258</v>
      </c>
      <c r="B77" s="20">
        <v>4677</v>
      </c>
      <c r="C77" s="20" t="s">
        <v>80</v>
      </c>
      <c r="D77" s="26">
        <v>298.17</v>
      </c>
      <c r="E77" s="26">
        <v>23.55</v>
      </c>
      <c r="F77" s="26">
        <v>4353.4799999999996</v>
      </c>
      <c r="G77" s="26"/>
      <c r="H77" s="26">
        <v>4628.1000000000004</v>
      </c>
    </row>
    <row r="78" spans="1:8" ht="14.4" x14ac:dyDescent="0.3">
      <c r="A78" s="50" t="s">
        <v>259</v>
      </c>
      <c r="B78" s="51"/>
      <c r="C78" s="51" t="s">
        <v>81</v>
      </c>
      <c r="D78" s="52">
        <v>322665.40999999997</v>
      </c>
      <c r="E78" s="52">
        <v>188337.2</v>
      </c>
      <c r="F78" s="52">
        <v>136933.6</v>
      </c>
      <c r="G78" s="52"/>
      <c r="H78" s="52">
        <v>271261.81</v>
      </c>
    </row>
    <row r="79" spans="1:8" x14ac:dyDescent="0.25">
      <c r="A79" s="53" t="s">
        <v>260</v>
      </c>
      <c r="B79" s="20">
        <v>582</v>
      </c>
      <c r="C79" s="20" t="s">
        <v>82</v>
      </c>
      <c r="D79" s="26">
        <v>11681.05</v>
      </c>
      <c r="E79" s="26">
        <v>0</v>
      </c>
      <c r="F79" s="26">
        <v>3135.07</v>
      </c>
      <c r="G79" s="26"/>
      <c r="H79" s="26">
        <v>14816.12</v>
      </c>
    </row>
    <row r="80" spans="1:8" x14ac:dyDescent="0.25">
      <c r="A80" s="53" t="s">
        <v>264</v>
      </c>
      <c r="B80" s="20">
        <v>590</v>
      </c>
      <c r="C80" s="20" t="s">
        <v>86</v>
      </c>
      <c r="D80" s="26">
        <v>82835.61</v>
      </c>
      <c r="E80" s="26">
        <v>0</v>
      </c>
      <c r="F80" s="26">
        <v>2499.91</v>
      </c>
      <c r="G80" s="26"/>
      <c r="H80" s="26">
        <v>85335.52</v>
      </c>
    </row>
    <row r="81" spans="1:8" x14ac:dyDescent="0.25">
      <c r="A81" s="53" t="s">
        <v>262</v>
      </c>
      <c r="B81" s="20">
        <v>3417</v>
      </c>
      <c r="C81" s="20" t="s">
        <v>84</v>
      </c>
      <c r="D81" s="26">
        <v>4072.68</v>
      </c>
      <c r="E81" s="26">
        <v>0</v>
      </c>
      <c r="F81" s="26">
        <v>1090.98</v>
      </c>
      <c r="G81" s="26"/>
      <c r="H81" s="26">
        <v>5163.66</v>
      </c>
    </row>
    <row r="82" spans="1:8" x14ac:dyDescent="0.25">
      <c r="A82" s="53" t="s">
        <v>263</v>
      </c>
      <c r="B82" s="20">
        <v>3425</v>
      </c>
      <c r="C82" s="20" t="s">
        <v>85</v>
      </c>
      <c r="D82" s="26">
        <v>31055.8</v>
      </c>
      <c r="E82" s="26">
        <v>0</v>
      </c>
      <c r="F82" s="26">
        <v>194.19</v>
      </c>
      <c r="G82" s="26"/>
      <c r="H82" s="26">
        <v>31249.99</v>
      </c>
    </row>
    <row r="83" spans="1:8" x14ac:dyDescent="0.25">
      <c r="A83" s="53" t="s">
        <v>265</v>
      </c>
      <c r="B83" s="20">
        <v>5150</v>
      </c>
      <c r="C83" s="20" t="s">
        <v>87</v>
      </c>
      <c r="D83" s="26">
        <v>36261.72</v>
      </c>
      <c r="E83" s="26">
        <v>0</v>
      </c>
      <c r="F83" s="26">
        <v>428.82</v>
      </c>
      <c r="G83" s="26"/>
      <c r="H83" s="26">
        <v>36690.54</v>
      </c>
    </row>
    <row r="84" spans="1:8" x14ac:dyDescent="0.25">
      <c r="A84" s="53" t="s">
        <v>261</v>
      </c>
      <c r="B84" s="20">
        <v>5240</v>
      </c>
      <c r="C84" s="20" t="s">
        <v>83</v>
      </c>
      <c r="D84" s="26">
        <v>156758.54999999999</v>
      </c>
      <c r="E84" s="26">
        <v>188337.2</v>
      </c>
      <c r="F84" s="26">
        <v>129584.63</v>
      </c>
      <c r="G84" s="26"/>
      <c r="H84" s="26">
        <v>98005.98</v>
      </c>
    </row>
    <row r="85" spans="1:8" ht="14.4" x14ac:dyDescent="0.3">
      <c r="A85" s="50" t="s">
        <v>266</v>
      </c>
      <c r="B85" s="51"/>
      <c r="C85" s="51" t="s">
        <v>88</v>
      </c>
      <c r="D85" s="52">
        <v>123254.45</v>
      </c>
      <c r="E85" s="52">
        <v>181155.99</v>
      </c>
      <c r="F85" s="52">
        <v>148327.03</v>
      </c>
      <c r="G85" s="52"/>
      <c r="H85" s="52">
        <v>90425.49</v>
      </c>
    </row>
    <row r="86" spans="1:8" x14ac:dyDescent="0.25">
      <c r="A86" s="53" t="s">
        <v>269</v>
      </c>
      <c r="B86" s="20">
        <v>604</v>
      </c>
      <c r="C86" s="20" t="s">
        <v>91</v>
      </c>
      <c r="D86" s="26">
        <v>105602.82</v>
      </c>
      <c r="E86" s="26">
        <v>122783.33</v>
      </c>
      <c r="F86" s="26">
        <v>80467.240000000005</v>
      </c>
      <c r="G86" s="26"/>
      <c r="H86" s="26">
        <v>63286.73</v>
      </c>
    </row>
    <row r="87" spans="1:8" x14ac:dyDescent="0.25">
      <c r="A87" s="53" t="s">
        <v>271</v>
      </c>
      <c r="B87" s="20">
        <v>620</v>
      </c>
      <c r="C87" s="20" t="s">
        <v>93</v>
      </c>
      <c r="D87" s="26">
        <v>66.28</v>
      </c>
      <c r="E87" s="26">
        <v>66.28</v>
      </c>
      <c r="F87" s="26">
        <v>99.28</v>
      </c>
      <c r="G87" s="26"/>
      <c r="H87" s="26">
        <v>99.28</v>
      </c>
    </row>
    <row r="88" spans="1:8" x14ac:dyDescent="0.25">
      <c r="A88" s="53" t="s">
        <v>270</v>
      </c>
      <c r="B88" s="20">
        <v>4650</v>
      </c>
      <c r="C88" s="20" t="s">
        <v>92</v>
      </c>
      <c r="D88" s="26">
        <v>13157.01</v>
      </c>
      <c r="E88" s="26">
        <v>53878.04</v>
      </c>
      <c r="F88" s="26">
        <v>67254.41</v>
      </c>
      <c r="G88" s="26"/>
      <c r="H88" s="26">
        <v>26533.38</v>
      </c>
    </row>
    <row r="89" spans="1:8" x14ac:dyDescent="0.25">
      <c r="A89" s="53" t="s">
        <v>268</v>
      </c>
      <c r="B89" s="20">
        <v>5880</v>
      </c>
      <c r="C89" s="20" t="s">
        <v>90</v>
      </c>
      <c r="D89" s="26">
        <v>4428.34</v>
      </c>
      <c r="E89" s="26">
        <v>4428.34</v>
      </c>
      <c r="F89" s="26">
        <v>506.1</v>
      </c>
      <c r="G89" s="26"/>
      <c r="H89" s="26">
        <v>506.1</v>
      </c>
    </row>
    <row r="90" spans="1:8" ht="14.4" x14ac:dyDescent="0.3">
      <c r="A90" s="50" t="s">
        <v>272</v>
      </c>
      <c r="B90" s="51"/>
      <c r="C90" s="51" t="s">
        <v>94</v>
      </c>
      <c r="D90" s="52">
        <v>89266.880000000005</v>
      </c>
      <c r="E90" s="52">
        <v>104494.54</v>
      </c>
      <c r="F90" s="52">
        <v>134883.07999999999</v>
      </c>
      <c r="G90" s="52"/>
      <c r="H90" s="52">
        <v>119655.42</v>
      </c>
    </row>
    <row r="91" spans="1:8" x14ac:dyDescent="0.25">
      <c r="A91" s="53" t="s">
        <v>274</v>
      </c>
      <c r="B91" s="20">
        <v>3468</v>
      </c>
      <c r="C91" s="20" t="s">
        <v>96</v>
      </c>
      <c r="D91" s="26">
        <v>89266.880000000005</v>
      </c>
      <c r="E91" s="26">
        <v>89266.880000000005</v>
      </c>
      <c r="F91" s="26">
        <v>119655.42</v>
      </c>
      <c r="G91" s="26"/>
      <c r="H91" s="26">
        <v>119655.42</v>
      </c>
    </row>
    <row r="92" spans="1:8" x14ac:dyDescent="0.25">
      <c r="A92" s="53" t="s">
        <v>447</v>
      </c>
      <c r="B92" s="20">
        <v>3514</v>
      </c>
      <c r="C92" s="20" t="s">
        <v>443</v>
      </c>
      <c r="D92" s="26">
        <v>0</v>
      </c>
      <c r="E92" s="26">
        <v>453.86</v>
      </c>
      <c r="F92" s="26">
        <v>453.86</v>
      </c>
      <c r="G92" s="26"/>
      <c r="H92" s="26">
        <v>0</v>
      </c>
    </row>
    <row r="93" spans="1:8" x14ac:dyDescent="0.25">
      <c r="A93" s="53" t="s">
        <v>276</v>
      </c>
      <c r="B93" s="20">
        <v>5428</v>
      </c>
      <c r="C93" s="20" t="s">
        <v>98</v>
      </c>
      <c r="D93" s="26">
        <v>0</v>
      </c>
      <c r="E93" s="26">
        <v>14773.8</v>
      </c>
      <c r="F93" s="26">
        <v>14773.8</v>
      </c>
      <c r="G93" s="26"/>
      <c r="H93" s="26">
        <v>0</v>
      </c>
    </row>
    <row r="94" spans="1:8" ht="14.4" x14ac:dyDescent="0.3">
      <c r="A94" s="50" t="s">
        <v>277</v>
      </c>
      <c r="B94" s="51"/>
      <c r="C94" s="51" t="s">
        <v>99</v>
      </c>
      <c r="D94" s="52">
        <v>4234806.08</v>
      </c>
      <c r="E94" s="52">
        <v>0</v>
      </c>
      <c r="F94" s="52">
        <v>81970.89</v>
      </c>
      <c r="G94" s="52"/>
      <c r="H94" s="52">
        <v>4316776.97</v>
      </c>
    </row>
    <row r="95" spans="1:8" ht="14.4" x14ac:dyDescent="0.3">
      <c r="A95" s="50" t="s">
        <v>278</v>
      </c>
      <c r="B95" s="51"/>
      <c r="C95" s="51" t="s">
        <v>100</v>
      </c>
      <c r="D95" s="52">
        <v>4234806.08</v>
      </c>
      <c r="E95" s="52">
        <v>0</v>
      </c>
      <c r="F95" s="52">
        <v>81970.89</v>
      </c>
      <c r="G95" s="52"/>
      <c r="H95" s="52">
        <v>4316776.97</v>
      </c>
    </row>
    <row r="96" spans="1:8" ht="14.4" x14ac:dyDescent="0.3">
      <c r="A96" s="50" t="s">
        <v>279</v>
      </c>
      <c r="B96" s="51"/>
      <c r="C96" s="51" t="s">
        <v>94</v>
      </c>
      <c r="D96" s="52">
        <v>4234806.08</v>
      </c>
      <c r="E96" s="52">
        <v>0</v>
      </c>
      <c r="F96" s="52">
        <v>81970.89</v>
      </c>
      <c r="G96" s="52"/>
      <c r="H96" s="52">
        <v>4316776.97</v>
      </c>
    </row>
    <row r="97" spans="1:8" x14ac:dyDescent="0.25">
      <c r="A97" s="53" t="s">
        <v>280</v>
      </c>
      <c r="B97" s="20">
        <v>3549</v>
      </c>
      <c r="C97" s="20" t="s">
        <v>101</v>
      </c>
      <c r="D97" s="26">
        <v>4234806.08</v>
      </c>
      <c r="E97" s="26">
        <v>0</v>
      </c>
      <c r="F97" s="26">
        <v>81970.89</v>
      </c>
      <c r="G97" s="26"/>
      <c r="H97" s="26">
        <v>4316776.97</v>
      </c>
    </row>
    <row r="98" spans="1:8" ht="14.4" x14ac:dyDescent="0.3">
      <c r="A98" s="50" t="s">
        <v>281</v>
      </c>
      <c r="B98" s="51"/>
      <c r="C98" s="51" t="s">
        <v>102</v>
      </c>
      <c r="D98" s="52">
        <v>-1235198.76</v>
      </c>
      <c r="E98" s="52">
        <v>0</v>
      </c>
      <c r="F98" s="52">
        <v>0</v>
      </c>
      <c r="G98" s="52"/>
      <c r="H98" s="52">
        <v>-1235198.76</v>
      </c>
    </row>
    <row r="99" spans="1:8" ht="14.4" x14ac:dyDescent="0.3">
      <c r="A99" s="50" t="s">
        <v>282</v>
      </c>
      <c r="B99" s="51"/>
      <c r="C99" s="51" t="s">
        <v>103</v>
      </c>
      <c r="D99" s="52">
        <v>1128000</v>
      </c>
      <c r="E99" s="52">
        <v>0</v>
      </c>
      <c r="F99" s="52">
        <v>0</v>
      </c>
      <c r="G99" s="52"/>
      <c r="H99" s="52">
        <v>1128000</v>
      </c>
    </row>
    <row r="100" spans="1:8" ht="14.4" x14ac:dyDescent="0.3">
      <c r="A100" s="50" t="s">
        <v>283</v>
      </c>
      <c r="B100" s="51"/>
      <c r="C100" s="51" t="s">
        <v>104</v>
      </c>
      <c r="D100" s="52">
        <v>1128000</v>
      </c>
      <c r="E100" s="52">
        <v>0</v>
      </c>
      <c r="F100" s="52">
        <v>0</v>
      </c>
      <c r="G100" s="52"/>
      <c r="H100" s="52">
        <v>1128000</v>
      </c>
    </row>
    <row r="101" spans="1:8" x14ac:dyDescent="0.25">
      <c r="A101" s="53" t="s">
        <v>284</v>
      </c>
      <c r="B101" s="20">
        <v>760</v>
      </c>
      <c r="C101" s="20" t="s">
        <v>105</v>
      </c>
      <c r="D101" s="26">
        <v>1128000</v>
      </c>
      <c r="E101" s="26">
        <v>0</v>
      </c>
      <c r="F101" s="26">
        <v>0</v>
      </c>
      <c r="G101" s="26"/>
      <c r="H101" s="26">
        <v>1128000</v>
      </c>
    </row>
    <row r="102" spans="1:8" ht="14.4" x14ac:dyDescent="0.3">
      <c r="A102" s="50" t="s">
        <v>285</v>
      </c>
      <c r="B102" s="51"/>
      <c r="C102" s="51" t="s">
        <v>106</v>
      </c>
      <c r="D102" s="52">
        <v>-2363198.7599999998</v>
      </c>
      <c r="E102" s="52">
        <v>0</v>
      </c>
      <c r="F102" s="52">
        <v>0</v>
      </c>
      <c r="G102" s="52"/>
      <c r="H102" s="52">
        <v>-2363198.7599999998</v>
      </c>
    </row>
    <row r="103" spans="1:8" ht="14.4" x14ac:dyDescent="0.3">
      <c r="A103" s="50" t="s">
        <v>286</v>
      </c>
      <c r="B103" s="51"/>
      <c r="C103" s="51" t="s">
        <v>106</v>
      </c>
      <c r="D103" s="52">
        <v>-2363198.7599999998</v>
      </c>
      <c r="E103" s="52">
        <v>0</v>
      </c>
      <c r="F103" s="52">
        <v>0</v>
      </c>
      <c r="G103" s="52"/>
      <c r="H103" s="52">
        <v>-2363198.7599999998</v>
      </c>
    </row>
    <row r="104" spans="1:8" x14ac:dyDescent="0.25">
      <c r="A104" s="53" t="s">
        <v>287</v>
      </c>
      <c r="B104" s="20">
        <v>3581</v>
      </c>
      <c r="C104" s="20" t="s">
        <v>107</v>
      </c>
      <c r="D104" s="26">
        <v>-2363198.7599999998</v>
      </c>
      <c r="E104" s="26">
        <v>0</v>
      </c>
      <c r="F104" s="26">
        <v>0</v>
      </c>
      <c r="G104" s="26"/>
      <c r="H104" s="26">
        <v>-2363198.7599999998</v>
      </c>
    </row>
    <row r="105" spans="1:8" ht="14.4" x14ac:dyDescent="0.3">
      <c r="A105" s="50">
        <v>3</v>
      </c>
      <c r="B105" s="51"/>
      <c r="C105" s="51" t="s">
        <v>109</v>
      </c>
      <c r="D105" s="52">
        <v>1872181.46</v>
      </c>
      <c r="E105" s="52">
        <v>180516.12</v>
      </c>
      <c r="F105" s="52">
        <v>637100.69999999995</v>
      </c>
      <c r="G105" s="55">
        <f>F105-E105</f>
        <v>456584.57999999996</v>
      </c>
      <c r="H105" s="52">
        <v>2328766.04</v>
      </c>
    </row>
    <row r="106" spans="1:8" ht="14.4" x14ac:dyDescent="0.3">
      <c r="A106" s="50" t="s">
        <v>293</v>
      </c>
      <c r="B106" s="51"/>
      <c r="C106" s="51" t="s">
        <v>110</v>
      </c>
      <c r="D106" s="52">
        <v>1872177.51</v>
      </c>
      <c r="E106" s="52">
        <v>180516.12</v>
      </c>
      <c r="F106" s="52">
        <v>637099.93000000005</v>
      </c>
      <c r="G106" s="55">
        <f>F106-E106</f>
        <v>456583.81000000006</v>
      </c>
      <c r="H106" s="52">
        <v>2328761.3199999998</v>
      </c>
    </row>
    <row r="107" spans="1:8" ht="14.4" x14ac:dyDescent="0.3">
      <c r="A107" s="50" t="s">
        <v>294</v>
      </c>
      <c r="B107" s="51"/>
      <c r="C107" s="51" t="s">
        <v>111</v>
      </c>
      <c r="D107" s="52">
        <v>2072669.34</v>
      </c>
      <c r="E107" s="52">
        <v>21178.54</v>
      </c>
      <c r="F107" s="52">
        <v>620072.39</v>
      </c>
      <c r="G107" s="55">
        <f>F107-E107</f>
        <v>598893.85</v>
      </c>
      <c r="H107" s="52">
        <v>2671563.19</v>
      </c>
    </row>
    <row r="108" spans="1:8" ht="14.4" x14ac:dyDescent="0.3">
      <c r="A108" s="50" t="s">
        <v>295</v>
      </c>
      <c r="B108" s="51"/>
      <c r="C108" s="51" t="s">
        <v>112</v>
      </c>
      <c r="D108" s="52">
        <v>2062113.62</v>
      </c>
      <c r="E108" s="52">
        <v>0</v>
      </c>
      <c r="F108" s="52">
        <v>617787.79</v>
      </c>
      <c r="G108" s="55">
        <f>F108-E108</f>
        <v>617787.79</v>
      </c>
      <c r="H108" s="52">
        <v>2679901.41</v>
      </c>
    </row>
    <row r="109" spans="1:8" x14ac:dyDescent="0.25">
      <c r="A109" s="53" t="s">
        <v>296</v>
      </c>
      <c r="B109" s="20">
        <v>922</v>
      </c>
      <c r="C109" s="20" t="s">
        <v>113</v>
      </c>
      <c r="D109" s="26">
        <v>2062113.62</v>
      </c>
      <c r="E109" s="26">
        <v>0</v>
      </c>
      <c r="F109" s="26">
        <v>617787.79</v>
      </c>
      <c r="G109" s="55">
        <f>F109-E109</f>
        <v>617787.79</v>
      </c>
      <c r="H109" s="26">
        <v>2679901.41</v>
      </c>
    </row>
    <row r="110" spans="1:8" ht="14.4" x14ac:dyDescent="0.3">
      <c r="A110" s="50" t="s">
        <v>297</v>
      </c>
      <c r="B110" s="51"/>
      <c r="C110" s="51" t="s">
        <v>114</v>
      </c>
      <c r="D110" s="52">
        <v>-48427.8</v>
      </c>
      <c r="E110" s="52">
        <v>21178.54</v>
      </c>
      <c r="F110" s="52">
        <v>2284.6</v>
      </c>
      <c r="G110" s="55">
        <f>F110-E110</f>
        <v>-18893.940000000002</v>
      </c>
      <c r="H110" s="52">
        <v>-67321.740000000005</v>
      </c>
    </row>
    <row r="111" spans="1:8" x14ac:dyDescent="0.25">
      <c r="A111" s="53" t="s">
        <v>298</v>
      </c>
      <c r="B111" s="20">
        <v>5363</v>
      </c>
      <c r="C111" s="20" t="s">
        <v>115</v>
      </c>
      <c r="D111" s="26">
        <v>-48427.8</v>
      </c>
      <c r="E111" s="26">
        <v>21178.54</v>
      </c>
      <c r="F111" s="26">
        <v>2284.6</v>
      </c>
      <c r="G111" s="55">
        <f>F111-E111</f>
        <v>-18893.940000000002</v>
      </c>
      <c r="H111" s="26">
        <v>-67321.740000000005</v>
      </c>
    </row>
    <row r="112" spans="1:8" ht="14.4" x14ac:dyDescent="0.3">
      <c r="A112" s="50" t="s">
        <v>299</v>
      </c>
      <c r="B112" s="51"/>
      <c r="C112" s="51" t="s">
        <v>116</v>
      </c>
      <c r="D112" s="52">
        <v>58983.519999999997</v>
      </c>
      <c r="E112" s="52">
        <v>0</v>
      </c>
      <c r="F112" s="52">
        <v>0</v>
      </c>
      <c r="G112" s="55">
        <f>F112-E112</f>
        <v>0</v>
      </c>
      <c r="H112" s="52">
        <v>58983.519999999997</v>
      </c>
    </row>
    <row r="113" spans="1:8" x14ac:dyDescent="0.25">
      <c r="A113" s="53" t="s">
        <v>300</v>
      </c>
      <c r="B113" s="20">
        <v>5495</v>
      </c>
      <c r="C113" s="20" t="s">
        <v>117</v>
      </c>
      <c r="D113" s="26">
        <v>58983.519999999997</v>
      </c>
      <c r="E113" s="26">
        <v>0</v>
      </c>
      <c r="F113" s="26">
        <v>0</v>
      </c>
      <c r="G113" s="55">
        <f>F113-E113</f>
        <v>0</v>
      </c>
      <c r="H113" s="26">
        <v>58983.519999999997</v>
      </c>
    </row>
    <row r="114" spans="1:8" ht="14.4" x14ac:dyDescent="0.3">
      <c r="A114" s="50" t="s">
        <v>301</v>
      </c>
      <c r="B114" s="51"/>
      <c r="C114" s="51" t="s">
        <v>118</v>
      </c>
      <c r="D114" s="52">
        <v>-200491.83</v>
      </c>
      <c r="E114" s="52">
        <v>159337.57999999999</v>
      </c>
      <c r="F114" s="52">
        <v>17027.54</v>
      </c>
      <c r="G114" s="55">
        <f>F114-E114</f>
        <v>-142310.03999999998</v>
      </c>
      <c r="H114" s="52">
        <v>-342801.87</v>
      </c>
    </row>
    <row r="115" spans="1:8" ht="14.4" x14ac:dyDescent="0.3">
      <c r="A115" s="50" t="s">
        <v>302</v>
      </c>
      <c r="B115" s="51"/>
      <c r="C115" s="51" t="s">
        <v>119</v>
      </c>
      <c r="D115" s="52">
        <v>-200491.83</v>
      </c>
      <c r="E115" s="52">
        <v>159337.57999999999</v>
      </c>
      <c r="F115" s="52">
        <v>17027.54</v>
      </c>
      <c r="G115" s="55">
        <f>F115-E115</f>
        <v>-142310.03999999998</v>
      </c>
      <c r="H115" s="52">
        <v>-342801.87</v>
      </c>
    </row>
    <row r="116" spans="1:8" x14ac:dyDescent="0.25">
      <c r="A116" s="53" t="s">
        <v>303</v>
      </c>
      <c r="B116" s="20">
        <v>981</v>
      </c>
      <c r="C116" s="20" t="s">
        <v>120</v>
      </c>
      <c r="D116" s="26">
        <v>-4629.08</v>
      </c>
      <c r="E116" s="26">
        <v>19917.759999999998</v>
      </c>
      <c r="F116" s="26">
        <v>0</v>
      </c>
      <c r="G116" s="55">
        <f>F116-E116</f>
        <v>-19917.759999999998</v>
      </c>
      <c r="H116" s="26">
        <v>-24546.84</v>
      </c>
    </row>
    <row r="117" spans="1:8" x14ac:dyDescent="0.25">
      <c r="A117" s="53" t="s">
        <v>306</v>
      </c>
      <c r="B117" s="20">
        <v>4014</v>
      </c>
      <c r="C117" s="20" t="s">
        <v>123</v>
      </c>
      <c r="D117" s="26">
        <v>-1005.01</v>
      </c>
      <c r="E117" s="26">
        <v>4324.25</v>
      </c>
      <c r="F117" s="26">
        <v>0</v>
      </c>
      <c r="G117" s="55">
        <f>F117-E117</f>
        <v>-4324.25</v>
      </c>
      <c r="H117" s="26">
        <v>-5329.26</v>
      </c>
    </row>
    <row r="118" spans="1:8" x14ac:dyDescent="0.25">
      <c r="A118" s="53" t="s">
        <v>305</v>
      </c>
      <c r="B118" s="20">
        <v>1007</v>
      </c>
      <c r="C118" s="20" t="s">
        <v>122</v>
      </c>
      <c r="D118" s="26">
        <v>-233135.37</v>
      </c>
      <c r="E118" s="26">
        <v>80254.67</v>
      </c>
      <c r="F118" s="26">
        <v>0</v>
      </c>
      <c r="G118" s="55">
        <f>F118-E118</f>
        <v>-80254.67</v>
      </c>
      <c r="H118" s="26">
        <v>-313390.03999999998</v>
      </c>
    </row>
    <row r="119" spans="1:8" x14ac:dyDescent="0.25">
      <c r="A119" s="53" t="s">
        <v>400</v>
      </c>
      <c r="B119" s="20">
        <v>4669</v>
      </c>
      <c r="C119" s="20" t="s">
        <v>401</v>
      </c>
      <c r="D119" s="26">
        <v>0</v>
      </c>
      <c r="E119" s="26">
        <v>54840.9</v>
      </c>
      <c r="F119" s="26">
        <v>0</v>
      </c>
      <c r="G119" s="55">
        <f>F119-E119</f>
        <v>-54840.9</v>
      </c>
      <c r="H119" s="26">
        <v>-54840.9</v>
      </c>
    </row>
    <row r="120" spans="1:8" x14ac:dyDescent="0.25">
      <c r="A120" s="53" t="s">
        <v>304</v>
      </c>
      <c r="B120" s="20">
        <v>5410</v>
      </c>
      <c r="C120" s="20" t="s">
        <v>121</v>
      </c>
      <c r="D120" s="26">
        <v>38277.629999999997</v>
      </c>
      <c r="E120" s="26">
        <v>0</v>
      </c>
      <c r="F120" s="26">
        <v>17027.54</v>
      </c>
      <c r="G120" s="55">
        <f>F120-E120</f>
        <v>17027.54</v>
      </c>
      <c r="H120" s="26">
        <v>55305.17</v>
      </c>
    </row>
    <row r="121" spans="1:8" ht="14.4" x14ac:dyDescent="0.3">
      <c r="A121" s="50" t="s">
        <v>307</v>
      </c>
      <c r="B121" s="51"/>
      <c r="C121" s="51" t="s">
        <v>124</v>
      </c>
      <c r="D121" s="52">
        <v>3.95</v>
      </c>
      <c r="E121" s="52">
        <v>0</v>
      </c>
      <c r="F121" s="52">
        <v>0.77</v>
      </c>
      <c r="G121" s="55">
        <f>F121-E121</f>
        <v>0.77</v>
      </c>
      <c r="H121" s="52">
        <v>4.72</v>
      </c>
    </row>
    <row r="122" spans="1:8" ht="14.4" x14ac:dyDescent="0.3">
      <c r="A122" s="50" t="s">
        <v>308</v>
      </c>
      <c r="B122" s="51"/>
      <c r="C122" s="51" t="s">
        <v>125</v>
      </c>
      <c r="D122" s="52">
        <v>3.95</v>
      </c>
      <c r="E122" s="52">
        <v>0</v>
      </c>
      <c r="F122" s="52">
        <v>0.77</v>
      </c>
      <c r="G122" s="55">
        <f>F122-E122</f>
        <v>0.77</v>
      </c>
      <c r="H122" s="52">
        <v>4.72</v>
      </c>
    </row>
    <row r="123" spans="1:8" ht="14.4" x14ac:dyDescent="0.3">
      <c r="A123" s="50" t="s">
        <v>309</v>
      </c>
      <c r="B123" s="51"/>
      <c r="C123" s="51" t="s">
        <v>126</v>
      </c>
      <c r="D123" s="52">
        <v>3.95</v>
      </c>
      <c r="E123" s="52">
        <v>0</v>
      </c>
      <c r="F123" s="52">
        <v>0.77</v>
      </c>
      <c r="G123" s="55">
        <f>F123-E123</f>
        <v>0.77</v>
      </c>
      <c r="H123" s="52">
        <v>4.72</v>
      </c>
    </row>
    <row r="124" spans="1:8" x14ac:dyDescent="0.25">
      <c r="A124" s="53" t="s">
        <v>310</v>
      </c>
      <c r="B124" s="20">
        <v>3603</v>
      </c>
      <c r="C124" s="20" t="s">
        <v>127</v>
      </c>
      <c r="D124" s="26">
        <v>3.95</v>
      </c>
      <c r="E124" s="26">
        <v>0</v>
      </c>
      <c r="F124" s="26">
        <v>0.77</v>
      </c>
      <c r="G124" s="55">
        <f>F124-E124</f>
        <v>0.77</v>
      </c>
      <c r="H124" s="26">
        <v>4.72</v>
      </c>
    </row>
    <row r="125" spans="1:8" ht="14.4" x14ac:dyDescent="0.3">
      <c r="A125" s="50">
        <v>4</v>
      </c>
      <c r="B125" s="51"/>
      <c r="C125" s="51" t="s">
        <v>128</v>
      </c>
      <c r="D125" s="52">
        <v>2568725.77</v>
      </c>
      <c r="E125" s="52">
        <v>1007489.1</v>
      </c>
      <c r="F125" s="52">
        <v>200637.7</v>
      </c>
      <c r="G125" s="55">
        <f>F125-E125</f>
        <v>-806851.39999999991</v>
      </c>
      <c r="H125" s="52">
        <v>3375577.17</v>
      </c>
    </row>
    <row r="126" spans="1:8" ht="14.4" x14ac:dyDescent="0.3">
      <c r="A126" s="50" t="s">
        <v>311</v>
      </c>
      <c r="B126" s="51"/>
      <c r="C126" s="51" t="s">
        <v>129</v>
      </c>
      <c r="D126" s="52">
        <v>326522.96000000002</v>
      </c>
      <c r="E126" s="52">
        <v>87232.86</v>
      </c>
      <c r="F126" s="52">
        <v>1771.4</v>
      </c>
      <c r="G126" s="55">
        <f>F126-E126</f>
        <v>-85461.46</v>
      </c>
      <c r="H126" s="52">
        <v>411984.42</v>
      </c>
    </row>
    <row r="127" spans="1:8" ht="14.4" x14ac:dyDescent="0.3">
      <c r="A127" s="50" t="s">
        <v>312</v>
      </c>
      <c r="B127" s="51"/>
      <c r="C127" s="51" t="s">
        <v>129</v>
      </c>
      <c r="D127" s="52">
        <v>326522.96000000002</v>
      </c>
      <c r="E127" s="52">
        <v>87232.86</v>
      </c>
      <c r="F127" s="52">
        <v>1771.4</v>
      </c>
      <c r="G127" s="55">
        <f>F127-E127</f>
        <v>-85461.46</v>
      </c>
      <c r="H127" s="52">
        <v>411984.42</v>
      </c>
    </row>
    <row r="128" spans="1:8" ht="14.4" x14ac:dyDescent="0.3">
      <c r="A128" s="50" t="s">
        <v>313</v>
      </c>
      <c r="B128" s="51"/>
      <c r="C128" s="51" t="s">
        <v>130</v>
      </c>
      <c r="D128" s="52">
        <v>311447.75</v>
      </c>
      <c r="E128" s="52">
        <v>87232.86</v>
      </c>
      <c r="F128" s="52">
        <v>1771.4</v>
      </c>
      <c r="G128" s="55">
        <f>F128-E128</f>
        <v>-85461.46</v>
      </c>
      <c r="H128" s="52">
        <v>396909.21</v>
      </c>
    </row>
    <row r="129" spans="1:8" x14ac:dyDescent="0.25">
      <c r="A129" s="53" t="s">
        <v>315</v>
      </c>
      <c r="B129" s="20">
        <v>1120</v>
      </c>
      <c r="C129" s="20" t="s">
        <v>132</v>
      </c>
      <c r="D129" s="26">
        <v>-953107.73</v>
      </c>
      <c r="E129" s="26">
        <v>0</v>
      </c>
      <c r="F129" s="26">
        <v>0</v>
      </c>
      <c r="G129" s="55">
        <f>F129-E129</f>
        <v>0</v>
      </c>
      <c r="H129" s="26">
        <v>-953107.73</v>
      </c>
    </row>
    <row r="130" spans="1:8" x14ac:dyDescent="0.25">
      <c r="A130" s="53" t="s">
        <v>390</v>
      </c>
      <c r="B130" s="20">
        <v>1112</v>
      </c>
      <c r="C130" s="20" t="s">
        <v>388</v>
      </c>
      <c r="D130" s="26">
        <v>35293.5</v>
      </c>
      <c r="E130" s="26">
        <v>12000</v>
      </c>
      <c r="F130" s="26">
        <v>0</v>
      </c>
      <c r="G130" s="55">
        <f>F130-E130</f>
        <v>-12000</v>
      </c>
      <c r="H130" s="26">
        <v>47293.5</v>
      </c>
    </row>
    <row r="131" spans="1:8" x14ac:dyDescent="0.25">
      <c r="A131" s="53" t="s">
        <v>382</v>
      </c>
      <c r="B131" s="20">
        <v>3034</v>
      </c>
      <c r="C131" s="20" t="s">
        <v>373</v>
      </c>
      <c r="D131" s="26">
        <v>-19240.599999999999</v>
      </c>
      <c r="E131" s="26">
        <v>376.43</v>
      </c>
      <c r="F131" s="26">
        <v>1771.4</v>
      </c>
      <c r="G131" s="55">
        <f>F131-E131</f>
        <v>1394.97</v>
      </c>
      <c r="H131" s="26">
        <v>-20635.57</v>
      </c>
    </row>
    <row r="132" spans="1:8" x14ac:dyDescent="0.25">
      <c r="A132" s="53" t="s">
        <v>314</v>
      </c>
      <c r="B132" s="20">
        <v>1066</v>
      </c>
      <c r="C132" s="20" t="s">
        <v>131</v>
      </c>
      <c r="D132" s="26">
        <v>1081516.48</v>
      </c>
      <c r="E132" s="26">
        <v>0</v>
      </c>
      <c r="F132" s="26">
        <v>0</v>
      </c>
      <c r="G132" s="55">
        <f>F132-E132</f>
        <v>0</v>
      </c>
      <c r="H132" s="26">
        <v>1081516.48</v>
      </c>
    </row>
    <row r="133" spans="1:8" x14ac:dyDescent="0.25">
      <c r="A133" s="53" t="s">
        <v>316</v>
      </c>
      <c r="B133" s="20">
        <v>4847</v>
      </c>
      <c r="C133" s="20" t="s">
        <v>133</v>
      </c>
      <c r="D133" s="26">
        <v>166986.1</v>
      </c>
      <c r="E133" s="26">
        <v>74856.429999999993</v>
      </c>
      <c r="F133" s="26">
        <v>0</v>
      </c>
      <c r="G133" s="55">
        <f>F133-E133</f>
        <v>-74856.429999999993</v>
      </c>
      <c r="H133" s="26">
        <v>241842.53</v>
      </c>
    </row>
    <row r="134" spans="1:8" ht="14.4" x14ac:dyDescent="0.3">
      <c r="A134" s="50" t="s">
        <v>317</v>
      </c>
      <c r="B134" s="51"/>
      <c r="C134" s="51" t="s">
        <v>134</v>
      </c>
      <c r="D134" s="52">
        <v>15075.21</v>
      </c>
      <c r="E134" s="52">
        <v>0</v>
      </c>
      <c r="F134" s="52">
        <v>0</v>
      </c>
      <c r="G134" s="55">
        <f>F134-E134</f>
        <v>0</v>
      </c>
      <c r="H134" s="52">
        <v>15075.21</v>
      </c>
    </row>
    <row r="135" spans="1:8" x14ac:dyDescent="0.25">
      <c r="A135" s="53" t="s">
        <v>318</v>
      </c>
      <c r="B135" s="20">
        <v>5738</v>
      </c>
      <c r="C135" s="20" t="s">
        <v>135</v>
      </c>
      <c r="D135" s="26">
        <v>15075.21</v>
      </c>
      <c r="E135" s="26">
        <v>0</v>
      </c>
      <c r="F135" s="26">
        <v>0</v>
      </c>
      <c r="G135" s="55">
        <f>F135-E135</f>
        <v>0</v>
      </c>
      <c r="H135" s="26">
        <v>15075.21</v>
      </c>
    </row>
    <row r="136" spans="1:8" ht="14.4" x14ac:dyDescent="0.3">
      <c r="A136" s="50" t="s">
        <v>319</v>
      </c>
      <c r="B136" s="51"/>
      <c r="C136" s="51" t="s">
        <v>136</v>
      </c>
      <c r="D136" s="52">
        <v>2242202.81</v>
      </c>
      <c r="E136" s="52">
        <v>920256.24</v>
      </c>
      <c r="F136" s="52">
        <v>198866.3</v>
      </c>
      <c r="G136" s="55">
        <f>F136-E136</f>
        <v>-721389.94</v>
      </c>
      <c r="H136" s="52">
        <v>2963592.75</v>
      </c>
    </row>
    <row r="137" spans="1:8" ht="14.4" x14ac:dyDescent="0.3">
      <c r="A137" s="50" t="s">
        <v>320</v>
      </c>
      <c r="B137" s="51"/>
      <c r="C137" s="51" t="s">
        <v>137</v>
      </c>
      <c r="D137" s="52">
        <v>1052800.96</v>
      </c>
      <c r="E137" s="52">
        <v>620097.79</v>
      </c>
      <c r="F137" s="52">
        <v>188837.48</v>
      </c>
      <c r="G137" s="55">
        <f>F137-E137</f>
        <v>-431260.31000000006</v>
      </c>
      <c r="H137" s="52">
        <v>1484061.27</v>
      </c>
    </row>
    <row r="138" spans="1:8" ht="14.4" x14ac:dyDescent="0.3">
      <c r="A138" s="50" t="s">
        <v>321</v>
      </c>
      <c r="B138" s="51"/>
      <c r="C138" s="51" t="s">
        <v>138</v>
      </c>
      <c r="D138" s="52">
        <v>726482.38</v>
      </c>
      <c r="E138" s="52">
        <v>480821.48</v>
      </c>
      <c r="F138" s="52">
        <v>188337.2</v>
      </c>
      <c r="G138" s="55">
        <f>F138-E138</f>
        <v>-292484.27999999997</v>
      </c>
      <c r="H138" s="52">
        <v>1018966.66</v>
      </c>
    </row>
    <row r="139" spans="1:8" x14ac:dyDescent="0.25">
      <c r="A139" s="53" t="s">
        <v>322</v>
      </c>
      <c r="B139" s="20">
        <v>4057</v>
      </c>
      <c r="C139" s="20" t="s">
        <v>139</v>
      </c>
      <c r="D139" s="26">
        <v>726482.38</v>
      </c>
      <c r="E139" s="26">
        <v>480821.48</v>
      </c>
      <c r="F139" s="26">
        <v>188337.2</v>
      </c>
      <c r="G139" s="55">
        <f>F139-E139</f>
        <v>-292484.27999999997</v>
      </c>
      <c r="H139" s="26">
        <v>1018966.66</v>
      </c>
    </row>
    <row r="140" spans="1:8" ht="14.4" x14ac:dyDescent="0.3">
      <c r="A140" s="50" t="s">
        <v>383</v>
      </c>
      <c r="B140" s="51"/>
      <c r="C140" s="51" t="s">
        <v>374</v>
      </c>
      <c r="D140" s="52">
        <v>63768.67</v>
      </c>
      <c r="E140" s="52">
        <v>0</v>
      </c>
      <c r="F140" s="52">
        <v>0</v>
      </c>
      <c r="G140" s="55">
        <f>F140-E140</f>
        <v>0</v>
      </c>
      <c r="H140" s="52">
        <v>63768.67</v>
      </c>
    </row>
    <row r="141" spans="1:8" x14ac:dyDescent="0.25">
      <c r="A141" s="53" t="s">
        <v>384</v>
      </c>
      <c r="B141" s="20">
        <v>5665</v>
      </c>
      <c r="C141" s="20" t="s">
        <v>375</v>
      </c>
      <c r="D141" s="26">
        <v>63768.67</v>
      </c>
      <c r="E141" s="26">
        <v>0</v>
      </c>
      <c r="F141" s="26">
        <v>0</v>
      </c>
      <c r="G141" s="55">
        <f>F141-E141</f>
        <v>0</v>
      </c>
      <c r="H141" s="26">
        <v>63768.67</v>
      </c>
    </row>
    <row r="142" spans="1:8" ht="14.4" x14ac:dyDescent="0.3">
      <c r="A142" s="50" t="s">
        <v>323</v>
      </c>
      <c r="B142" s="51"/>
      <c r="C142" s="51" t="s">
        <v>140</v>
      </c>
      <c r="D142" s="52">
        <v>262549.90999999997</v>
      </c>
      <c r="E142" s="52">
        <v>139276.31</v>
      </c>
      <c r="F142" s="52">
        <v>500.28</v>
      </c>
      <c r="G142" s="55">
        <f>F142-E142</f>
        <v>-138776.03</v>
      </c>
      <c r="H142" s="52">
        <v>401325.94</v>
      </c>
    </row>
    <row r="143" spans="1:8" x14ac:dyDescent="0.25">
      <c r="A143" s="53" t="s">
        <v>326</v>
      </c>
      <c r="B143" s="20">
        <v>1090</v>
      </c>
      <c r="C143" s="20" t="s">
        <v>143</v>
      </c>
      <c r="D143" s="26">
        <v>117058.81</v>
      </c>
      <c r="E143" s="26">
        <v>61278.62</v>
      </c>
      <c r="F143" s="26">
        <v>500.28</v>
      </c>
      <c r="G143" s="55">
        <f>F143-E143</f>
        <v>-60778.340000000004</v>
      </c>
      <c r="H143" s="26">
        <v>177837.15</v>
      </c>
    </row>
    <row r="144" spans="1:8" x14ac:dyDescent="0.25">
      <c r="A144" s="53" t="s">
        <v>325</v>
      </c>
      <c r="B144" s="20">
        <v>4049</v>
      </c>
      <c r="C144" s="20" t="s">
        <v>142</v>
      </c>
      <c r="D144" s="26">
        <v>72725.429999999993</v>
      </c>
      <c r="E144" s="26">
        <v>9597.5</v>
      </c>
      <c r="F144" s="26">
        <v>0</v>
      </c>
      <c r="G144" s="55">
        <f>F144-E144</f>
        <v>-9597.5</v>
      </c>
      <c r="H144" s="26">
        <v>82322.929999999993</v>
      </c>
    </row>
    <row r="145" spans="1:8" x14ac:dyDescent="0.25">
      <c r="A145" s="53" t="s">
        <v>324</v>
      </c>
      <c r="B145" s="20">
        <v>4855</v>
      </c>
      <c r="C145" s="20" t="s">
        <v>141</v>
      </c>
      <c r="D145" s="26">
        <v>72765.67</v>
      </c>
      <c r="E145" s="26">
        <v>68400.19</v>
      </c>
      <c r="F145" s="26">
        <v>0</v>
      </c>
      <c r="G145" s="55">
        <f>F145-E145</f>
        <v>-68400.19</v>
      </c>
      <c r="H145" s="26">
        <v>141165.85999999999</v>
      </c>
    </row>
    <row r="146" spans="1:8" ht="14.4" x14ac:dyDescent="0.3">
      <c r="A146" s="50" t="s">
        <v>327</v>
      </c>
      <c r="B146" s="51"/>
      <c r="C146" s="51" t="s">
        <v>144</v>
      </c>
      <c r="D146" s="52">
        <v>319732.58</v>
      </c>
      <c r="E146" s="52">
        <v>60345.66</v>
      </c>
      <c r="F146" s="52">
        <v>10028.82</v>
      </c>
      <c r="G146" s="55">
        <f>F146-E146</f>
        <v>-50316.840000000004</v>
      </c>
      <c r="H146" s="52">
        <v>370049.42</v>
      </c>
    </row>
    <row r="147" spans="1:8" ht="14.4" x14ac:dyDescent="0.3">
      <c r="A147" s="50" t="s">
        <v>328</v>
      </c>
      <c r="B147" s="51"/>
      <c r="C147" s="51" t="s">
        <v>144</v>
      </c>
      <c r="D147" s="52">
        <v>319732.58</v>
      </c>
      <c r="E147" s="52">
        <v>60345.66</v>
      </c>
      <c r="F147" s="52">
        <v>10028.82</v>
      </c>
      <c r="G147" s="55">
        <f>F147-E147</f>
        <v>-50316.840000000004</v>
      </c>
      <c r="H147" s="52">
        <v>370049.42</v>
      </c>
    </row>
    <row r="148" spans="1:8" x14ac:dyDescent="0.25">
      <c r="A148" s="53" t="s">
        <v>385</v>
      </c>
      <c r="B148" s="20">
        <v>1465</v>
      </c>
      <c r="C148" s="20" t="s">
        <v>376</v>
      </c>
      <c r="D148" s="26">
        <v>35852.31</v>
      </c>
      <c r="E148" s="26">
        <v>1916.23</v>
      </c>
      <c r="F148" s="26">
        <v>0</v>
      </c>
      <c r="G148" s="55">
        <f>F148-E148</f>
        <v>-1916.23</v>
      </c>
      <c r="H148" s="26">
        <v>34661.14</v>
      </c>
    </row>
    <row r="149" spans="1:8" x14ac:dyDescent="0.25">
      <c r="A149" s="53" t="s">
        <v>330</v>
      </c>
      <c r="B149" s="20">
        <v>1473</v>
      </c>
      <c r="C149" s="20" t="s">
        <v>146</v>
      </c>
      <c r="D149" s="26">
        <v>6706.37</v>
      </c>
      <c r="E149" s="26">
        <v>2107.25</v>
      </c>
      <c r="F149" s="26">
        <v>0</v>
      </c>
      <c r="G149" s="55">
        <f>F149-E149</f>
        <v>-2107.25</v>
      </c>
      <c r="H149" s="26">
        <v>8813.6200000000008</v>
      </c>
    </row>
    <row r="150" spans="1:8" x14ac:dyDescent="0.25">
      <c r="A150" s="53" t="s">
        <v>331</v>
      </c>
      <c r="B150" s="20">
        <v>1481</v>
      </c>
      <c r="C150" s="20" t="s">
        <v>147</v>
      </c>
      <c r="D150" s="26">
        <v>20074.150000000001</v>
      </c>
      <c r="E150" s="26">
        <v>3128.77</v>
      </c>
      <c r="F150" s="26">
        <v>0</v>
      </c>
      <c r="G150" s="55">
        <f>F150-E150</f>
        <v>-3128.77</v>
      </c>
      <c r="H150" s="26">
        <v>23202.92</v>
      </c>
    </row>
    <row r="151" spans="1:8" x14ac:dyDescent="0.25">
      <c r="A151" s="53" t="s">
        <v>332</v>
      </c>
      <c r="B151" s="20">
        <v>1490</v>
      </c>
      <c r="C151" s="20" t="s">
        <v>148</v>
      </c>
      <c r="D151" s="26">
        <v>51620.49</v>
      </c>
      <c r="E151" s="26">
        <v>10481.370000000001</v>
      </c>
      <c r="F151" s="26">
        <v>0</v>
      </c>
      <c r="G151" s="55">
        <f>F151-E151</f>
        <v>-10481.370000000001</v>
      </c>
      <c r="H151" s="26">
        <v>62101.86</v>
      </c>
    </row>
    <row r="152" spans="1:8" x14ac:dyDescent="0.25">
      <c r="A152" s="53" t="s">
        <v>336</v>
      </c>
      <c r="B152" s="20">
        <v>1503</v>
      </c>
      <c r="C152" s="20" t="s">
        <v>150</v>
      </c>
      <c r="D152" s="26">
        <v>119223.05</v>
      </c>
      <c r="E152" s="26">
        <v>37928</v>
      </c>
      <c r="F152" s="26">
        <f>6256.42+3107.4+665</f>
        <v>10028.82</v>
      </c>
      <c r="G152" s="55">
        <f>F152-E152</f>
        <v>-27899.18</v>
      </c>
      <c r="H152" s="26">
        <v>150894.63</v>
      </c>
    </row>
    <row r="153" spans="1:8" x14ac:dyDescent="0.25">
      <c r="A153" s="53" t="s">
        <v>334</v>
      </c>
      <c r="B153" s="20">
        <v>1546</v>
      </c>
      <c r="C153" s="20" t="s">
        <v>86</v>
      </c>
      <c r="D153" s="26">
        <v>50877.68</v>
      </c>
      <c r="E153" s="26">
        <v>557.99</v>
      </c>
      <c r="F153" s="26">
        <v>0</v>
      </c>
      <c r="G153" s="55">
        <f>F153-E153</f>
        <v>-557.99</v>
      </c>
      <c r="H153" s="26">
        <v>51435.67</v>
      </c>
    </row>
    <row r="154" spans="1:8" x14ac:dyDescent="0.25">
      <c r="A154" s="53" t="s">
        <v>333</v>
      </c>
      <c r="B154" s="20">
        <v>1554</v>
      </c>
      <c r="C154" s="20" t="s">
        <v>82</v>
      </c>
      <c r="D154" s="26">
        <v>11688.76</v>
      </c>
      <c r="E154" s="26">
        <v>3135.07</v>
      </c>
      <c r="F154" s="26">
        <v>0</v>
      </c>
      <c r="G154" s="55">
        <f>F154-E154</f>
        <v>-3135.07</v>
      </c>
      <c r="H154" s="26">
        <v>14823.83</v>
      </c>
    </row>
    <row r="155" spans="1:8" x14ac:dyDescent="0.25">
      <c r="A155" s="53" t="s">
        <v>335</v>
      </c>
      <c r="B155" s="20">
        <v>1570</v>
      </c>
      <c r="C155" s="20" t="s">
        <v>149</v>
      </c>
      <c r="D155" s="26">
        <v>4064.97</v>
      </c>
      <c r="E155" s="26">
        <v>1090.98</v>
      </c>
      <c r="F155" s="26">
        <v>0</v>
      </c>
      <c r="G155" s="55">
        <f>F155-E155</f>
        <v>-1090.98</v>
      </c>
      <c r="H155" s="26">
        <v>5155.95</v>
      </c>
    </row>
    <row r="156" spans="1:8" x14ac:dyDescent="0.25">
      <c r="A156" s="53" t="s">
        <v>337</v>
      </c>
      <c r="B156" s="20">
        <v>1597</v>
      </c>
      <c r="C156" s="20" t="s">
        <v>151</v>
      </c>
      <c r="D156" s="26">
        <v>1655</v>
      </c>
      <c r="E156" s="26">
        <v>0</v>
      </c>
      <c r="F156" s="26">
        <v>0</v>
      </c>
      <c r="G156" s="55">
        <f>F156-E156</f>
        <v>0</v>
      </c>
      <c r="H156" s="26">
        <v>990</v>
      </c>
    </row>
    <row r="157" spans="1:8" x14ac:dyDescent="0.25">
      <c r="A157" s="53" t="s">
        <v>329</v>
      </c>
      <c r="B157" s="20">
        <v>1619</v>
      </c>
      <c r="C157" s="20" t="s">
        <v>145</v>
      </c>
      <c r="D157" s="26">
        <v>17969.8</v>
      </c>
      <c r="E157" s="26">
        <v>0</v>
      </c>
      <c r="F157" s="26">
        <v>0</v>
      </c>
      <c r="G157" s="55">
        <f>F157-E157</f>
        <v>0</v>
      </c>
      <c r="H157" s="26">
        <v>17969.8</v>
      </c>
    </row>
    <row r="158" spans="1:8" ht="14.4" x14ac:dyDescent="0.3">
      <c r="A158" s="50" t="s">
        <v>338</v>
      </c>
      <c r="B158" s="51"/>
      <c r="C158" s="51" t="s">
        <v>152</v>
      </c>
      <c r="D158" s="52">
        <v>397606.94</v>
      </c>
      <c r="E158" s="52">
        <v>130111.03</v>
      </c>
      <c r="F158" s="52">
        <v>0</v>
      </c>
      <c r="G158" s="55">
        <f>F158-E158</f>
        <v>-130111.03</v>
      </c>
      <c r="H158" s="52">
        <v>527717.97</v>
      </c>
    </row>
    <row r="159" spans="1:8" ht="14.4" x14ac:dyDescent="0.3">
      <c r="A159" s="50" t="s">
        <v>339</v>
      </c>
      <c r="B159" s="51"/>
      <c r="C159" s="51" t="s">
        <v>153</v>
      </c>
      <c r="D159" s="52">
        <v>2911.83</v>
      </c>
      <c r="E159" s="52">
        <v>583.61</v>
      </c>
      <c r="F159" s="52">
        <v>0</v>
      </c>
      <c r="G159" s="55">
        <f>F159-E159</f>
        <v>-583.61</v>
      </c>
      <c r="H159" s="52">
        <v>3495.44</v>
      </c>
    </row>
    <row r="160" spans="1:8" x14ac:dyDescent="0.25">
      <c r="A160" s="53" t="s">
        <v>340</v>
      </c>
      <c r="B160" s="20">
        <v>1864</v>
      </c>
      <c r="C160" s="20" t="s">
        <v>154</v>
      </c>
      <c r="D160" s="26">
        <v>2478</v>
      </c>
      <c r="E160" s="26">
        <v>199</v>
      </c>
      <c r="F160" s="26">
        <v>0</v>
      </c>
      <c r="G160" s="55">
        <f>F160-E160</f>
        <v>-199</v>
      </c>
      <c r="H160" s="26">
        <v>2677</v>
      </c>
    </row>
    <row r="161" spans="1:8" x14ac:dyDescent="0.25">
      <c r="A161" s="53" t="s">
        <v>341</v>
      </c>
      <c r="B161" s="20">
        <v>1872</v>
      </c>
      <c r="C161" s="20" t="s">
        <v>155</v>
      </c>
      <c r="D161" s="26">
        <v>433.83</v>
      </c>
      <c r="E161" s="26">
        <v>384.61</v>
      </c>
      <c r="F161" s="26">
        <v>0</v>
      </c>
      <c r="G161" s="55">
        <f>F161-E161</f>
        <v>-384.61</v>
      </c>
      <c r="H161" s="26">
        <v>818.44</v>
      </c>
    </row>
    <row r="162" spans="1:8" ht="14.4" x14ac:dyDescent="0.3">
      <c r="A162" s="50" t="s">
        <v>342</v>
      </c>
      <c r="B162" s="51"/>
      <c r="C162" s="51" t="s">
        <v>156</v>
      </c>
      <c r="D162" s="52">
        <v>1526.99</v>
      </c>
      <c r="E162" s="52">
        <v>4785.46</v>
      </c>
      <c r="F162" s="52">
        <v>0</v>
      </c>
      <c r="G162" s="55">
        <f>F162-E162</f>
        <v>-4785.46</v>
      </c>
      <c r="H162" s="52">
        <v>6312.45</v>
      </c>
    </row>
    <row r="163" spans="1:8" x14ac:dyDescent="0.25">
      <c r="A163" s="53" t="s">
        <v>386</v>
      </c>
      <c r="B163" s="20">
        <v>4103</v>
      </c>
      <c r="C163" s="20" t="s">
        <v>377</v>
      </c>
      <c r="D163" s="26">
        <v>200</v>
      </c>
      <c r="E163" s="26">
        <v>0</v>
      </c>
      <c r="F163" s="26">
        <v>0</v>
      </c>
      <c r="G163" s="55">
        <f>F163-E163</f>
        <v>0</v>
      </c>
      <c r="H163" s="26">
        <v>200</v>
      </c>
    </row>
    <row r="164" spans="1:8" x14ac:dyDescent="0.25">
      <c r="A164" s="53" t="s">
        <v>391</v>
      </c>
      <c r="B164" s="20">
        <v>4170</v>
      </c>
      <c r="C164" s="20" t="s">
        <v>444</v>
      </c>
      <c r="D164" s="26">
        <v>0</v>
      </c>
      <c r="E164" s="26">
        <v>100</v>
      </c>
      <c r="F164" s="26">
        <v>0</v>
      </c>
      <c r="G164" s="55">
        <f>F164-E164</f>
        <v>-100</v>
      </c>
      <c r="H164" s="26">
        <v>100</v>
      </c>
    </row>
    <row r="165" spans="1:8" x14ac:dyDescent="0.25">
      <c r="A165" s="53" t="s">
        <v>402</v>
      </c>
      <c r="B165" s="20">
        <v>4189</v>
      </c>
      <c r="C165" s="20" t="s">
        <v>389</v>
      </c>
      <c r="D165" s="26">
        <v>417</v>
      </c>
      <c r="E165" s="26">
        <v>0</v>
      </c>
      <c r="F165" s="26">
        <v>0</v>
      </c>
      <c r="G165" s="55">
        <f>F165-E165</f>
        <v>0</v>
      </c>
      <c r="H165" s="26">
        <v>417</v>
      </c>
    </row>
    <row r="166" spans="1:8" x14ac:dyDescent="0.25">
      <c r="A166" s="53" t="s">
        <v>396</v>
      </c>
      <c r="B166" s="20">
        <v>4200</v>
      </c>
      <c r="C166" s="20" t="s">
        <v>395</v>
      </c>
      <c r="D166" s="26">
        <v>376</v>
      </c>
      <c r="E166" s="26">
        <v>0</v>
      </c>
      <c r="F166" s="26">
        <v>0</v>
      </c>
      <c r="G166" s="55">
        <f>F166-E166</f>
        <v>0</v>
      </c>
      <c r="H166" s="26">
        <v>376</v>
      </c>
    </row>
    <row r="167" spans="1:8" x14ac:dyDescent="0.25">
      <c r="A167" s="53" t="s">
        <v>343</v>
      </c>
      <c r="B167" s="20">
        <v>4235</v>
      </c>
      <c r="C167" s="20" t="s">
        <v>157</v>
      </c>
      <c r="D167" s="26">
        <v>122.22</v>
      </c>
      <c r="E167" s="26">
        <v>3436.85</v>
      </c>
      <c r="F167" s="26">
        <v>0</v>
      </c>
      <c r="G167" s="55">
        <f>F167-E167</f>
        <v>-3436.85</v>
      </c>
      <c r="H167" s="26">
        <v>3559.07</v>
      </c>
    </row>
    <row r="168" spans="1:8" x14ac:dyDescent="0.25">
      <c r="A168" s="53" t="s">
        <v>387</v>
      </c>
      <c r="B168" s="20">
        <v>4286</v>
      </c>
      <c r="C168" s="20" t="s">
        <v>378</v>
      </c>
      <c r="D168" s="26">
        <v>411.77</v>
      </c>
      <c r="E168" s="26">
        <v>92.84</v>
      </c>
      <c r="F168" s="26">
        <v>0</v>
      </c>
      <c r="G168" s="55">
        <f>F168-E168</f>
        <v>-92.84</v>
      </c>
      <c r="H168" s="26">
        <v>504.61</v>
      </c>
    </row>
    <row r="169" spans="1:8" ht="14.4" x14ac:dyDescent="0.3">
      <c r="A169" s="50" t="s">
        <v>344</v>
      </c>
      <c r="B169" s="51"/>
      <c r="C169" s="51" t="s">
        <v>445</v>
      </c>
      <c r="D169" s="52">
        <v>0</v>
      </c>
      <c r="E169" s="52">
        <v>1155.77</v>
      </c>
      <c r="F169" s="52">
        <v>0</v>
      </c>
      <c r="G169" s="55">
        <f>F169-E169</f>
        <v>-1155.77</v>
      </c>
      <c r="H169" s="52">
        <v>1155.77</v>
      </c>
    </row>
    <row r="170" spans="1:8" x14ac:dyDescent="0.25">
      <c r="A170" s="53" t="s">
        <v>404</v>
      </c>
      <c r="B170" s="20">
        <v>4308</v>
      </c>
      <c r="C170" s="20" t="s">
        <v>158</v>
      </c>
      <c r="D170" s="26">
        <v>317237.03999999998</v>
      </c>
      <c r="E170" s="26">
        <v>102983.63</v>
      </c>
      <c r="F170" s="26">
        <v>0</v>
      </c>
      <c r="G170" s="55">
        <f>F170-E170</f>
        <v>-102983.63</v>
      </c>
      <c r="H170" s="26">
        <v>420220.67</v>
      </c>
    </row>
    <row r="171" spans="1:8" x14ac:dyDescent="0.25">
      <c r="A171" s="53" t="s">
        <v>347</v>
      </c>
      <c r="B171" s="20">
        <v>4316</v>
      </c>
      <c r="C171" s="20" t="s">
        <v>161</v>
      </c>
      <c r="D171" s="26">
        <v>15733</v>
      </c>
      <c r="E171" s="26">
        <v>3066</v>
      </c>
      <c r="F171" s="26">
        <v>0</v>
      </c>
      <c r="G171" s="55">
        <f>F171-E171</f>
        <v>-3066</v>
      </c>
      <c r="H171" s="26">
        <v>18799</v>
      </c>
    </row>
    <row r="172" spans="1:8" x14ac:dyDescent="0.25">
      <c r="A172" s="53" t="s">
        <v>345</v>
      </c>
      <c r="B172" s="20">
        <v>4324</v>
      </c>
      <c r="C172" s="20" t="s">
        <v>159</v>
      </c>
      <c r="D172" s="26">
        <v>120840</v>
      </c>
      <c r="E172" s="26">
        <v>40280</v>
      </c>
      <c r="F172" s="26">
        <v>0</v>
      </c>
      <c r="G172" s="55">
        <f>F172-E172</f>
        <v>-40280</v>
      </c>
      <c r="H172" s="26">
        <v>161120</v>
      </c>
    </row>
    <row r="173" spans="1:8" x14ac:dyDescent="0.25">
      <c r="A173" s="53" t="s">
        <v>346</v>
      </c>
      <c r="B173" s="20">
        <v>4332</v>
      </c>
      <c r="C173" s="20" t="s">
        <v>160</v>
      </c>
      <c r="D173" s="26">
        <v>157456.91</v>
      </c>
      <c r="E173" s="26">
        <v>50674.44</v>
      </c>
      <c r="F173" s="26">
        <v>0</v>
      </c>
      <c r="G173" s="55">
        <f>F173-E173</f>
        <v>-50674.44</v>
      </c>
      <c r="H173" s="26">
        <v>208131.35</v>
      </c>
    </row>
    <row r="174" spans="1:8" x14ac:dyDescent="0.25">
      <c r="A174" s="53" t="s">
        <v>348</v>
      </c>
      <c r="B174" s="20">
        <v>4340</v>
      </c>
      <c r="C174" s="20" t="s">
        <v>162</v>
      </c>
      <c r="D174" s="26">
        <v>23207.13</v>
      </c>
      <c r="E174" s="26">
        <v>8749.33</v>
      </c>
      <c r="F174" s="26">
        <v>0</v>
      </c>
      <c r="G174" s="55">
        <f>F174-E174</f>
        <v>-8749.33</v>
      </c>
      <c r="H174" s="26">
        <v>31956.46</v>
      </c>
    </row>
    <row r="175" spans="1:8" x14ac:dyDescent="0.25">
      <c r="A175" s="53" t="s">
        <v>448</v>
      </c>
      <c r="B175" s="20">
        <v>587</v>
      </c>
      <c r="C175" s="20" t="s">
        <v>446</v>
      </c>
      <c r="D175" s="26">
        <v>0</v>
      </c>
      <c r="E175" s="26">
        <v>213.86</v>
      </c>
      <c r="F175" s="26">
        <v>0</v>
      </c>
      <c r="G175" s="55">
        <f>F175-E175</f>
        <v>-213.86</v>
      </c>
      <c r="H175" s="26">
        <v>213.86</v>
      </c>
    </row>
    <row r="176" spans="1:8" ht="14.4" x14ac:dyDescent="0.3">
      <c r="A176" s="50" t="s">
        <v>349</v>
      </c>
      <c r="B176" s="51"/>
      <c r="C176" s="51" t="s">
        <v>163</v>
      </c>
      <c r="D176" s="52">
        <v>75931.08</v>
      </c>
      <c r="E176" s="52">
        <v>21758.33</v>
      </c>
      <c r="F176" s="52">
        <v>0</v>
      </c>
      <c r="G176" s="55">
        <f>F176-E176</f>
        <v>-21758.33</v>
      </c>
      <c r="H176" s="52">
        <v>97689.41</v>
      </c>
    </row>
    <row r="177" spans="1:8" x14ac:dyDescent="0.25">
      <c r="A177" s="53" t="s">
        <v>350</v>
      </c>
      <c r="B177" s="20">
        <v>4251</v>
      </c>
      <c r="C177" s="20" t="s">
        <v>164</v>
      </c>
      <c r="D177" s="26">
        <v>75931.08</v>
      </c>
      <c r="E177" s="26">
        <v>21758.33</v>
      </c>
      <c r="F177" s="26">
        <v>0</v>
      </c>
      <c r="G177" s="55">
        <f>F177-E177</f>
        <v>-21758.33</v>
      </c>
      <c r="H177" s="26">
        <v>97689.41</v>
      </c>
    </row>
    <row r="178" spans="1:8" ht="14.4" x14ac:dyDescent="0.3">
      <c r="A178" s="50" t="s">
        <v>351</v>
      </c>
      <c r="B178" s="51"/>
      <c r="C178" s="51" t="s">
        <v>165</v>
      </c>
      <c r="D178" s="52">
        <v>18251.580000000002</v>
      </c>
      <c r="E178" s="52">
        <v>6083.86</v>
      </c>
      <c r="F178" s="52">
        <v>0</v>
      </c>
      <c r="G178" s="55">
        <f>F178-E178</f>
        <v>-6083.86</v>
      </c>
      <c r="H178" s="52">
        <v>24335.439999999999</v>
      </c>
    </row>
    <row r="179" spans="1:8" ht="14.4" x14ac:dyDescent="0.3">
      <c r="A179" s="50" t="s">
        <v>352</v>
      </c>
      <c r="B179" s="51"/>
      <c r="C179" s="51" t="s">
        <v>166</v>
      </c>
      <c r="D179" s="52">
        <v>18251.580000000002</v>
      </c>
      <c r="E179" s="52">
        <v>6083.86</v>
      </c>
      <c r="F179" s="52">
        <v>0</v>
      </c>
      <c r="G179" s="55">
        <f>F179-E179</f>
        <v>-6083.86</v>
      </c>
      <c r="H179" s="52">
        <v>24335.439999999999</v>
      </c>
    </row>
    <row r="180" spans="1:8" x14ac:dyDescent="0.25">
      <c r="A180" s="53" t="s">
        <v>354</v>
      </c>
      <c r="B180" s="20">
        <v>1996</v>
      </c>
      <c r="C180" s="20" t="s">
        <v>168</v>
      </c>
      <c r="D180" s="26">
        <v>4998.87</v>
      </c>
      <c r="E180" s="26">
        <v>1666.29</v>
      </c>
      <c r="F180" s="26">
        <v>0</v>
      </c>
      <c r="G180" s="55">
        <f>F180-E180</f>
        <v>-1666.29</v>
      </c>
      <c r="H180" s="26">
        <v>6665.16</v>
      </c>
    </row>
    <row r="181" spans="1:8" x14ac:dyDescent="0.25">
      <c r="A181" s="53" t="s">
        <v>355</v>
      </c>
      <c r="B181" s="20">
        <v>2003</v>
      </c>
      <c r="C181" s="20" t="s">
        <v>169</v>
      </c>
      <c r="D181" s="26">
        <v>253.98</v>
      </c>
      <c r="E181" s="26">
        <v>84.66</v>
      </c>
      <c r="F181" s="26">
        <v>0</v>
      </c>
      <c r="G181" s="55">
        <f>F181-E181</f>
        <v>-84.66</v>
      </c>
      <c r="H181" s="26">
        <v>338.64</v>
      </c>
    </row>
    <row r="182" spans="1:8" x14ac:dyDescent="0.25">
      <c r="A182" s="53" t="s">
        <v>353</v>
      </c>
      <c r="B182" s="20">
        <v>5797</v>
      </c>
      <c r="C182" s="20" t="s">
        <v>167</v>
      </c>
      <c r="D182" s="26">
        <v>12950.01</v>
      </c>
      <c r="E182" s="26">
        <v>4316.67</v>
      </c>
      <c r="F182" s="26">
        <v>0</v>
      </c>
      <c r="G182" s="55">
        <f>F182-E182</f>
        <v>-4316.67</v>
      </c>
      <c r="H182" s="26">
        <v>17266.68</v>
      </c>
    </row>
    <row r="183" spans="1:8" x14ac:dyDescent="0.25">
      <c r="A183" s="53" t="s">
        <v>356</v>
      </c>
      <c r="B183" s="20">
        <v>5819</v>
      </c>
      <c r="C183" s="20" t="s">
        <v>170</v>
      </c>
      <c r="D183" s="26">
        <v>48.72</v>
      </c>
      <c r="E183" s="26">
        <v>16.239999999999998</v>
      </c>
      <c r="F183" s="26">
        <v>0</v>
      </c>
      <c r="G183" s="55">
        <f>F183-E183</f>
        <v>-16.239999999999998</v>
      </c>
      <c r="H183" s="26">
        <v>64.959999999999994</v>
      </c>
    </row>
    <row r="184" spans="1:8" ht="14.4" x14ac:dyDescent="0.3">
      <c r="A184" s="50" t="s">
        <v>357</v>
      </c>
      <c r="B184" s="51"/>
      <c r="C184" s="51" t="s">
        <v>171</v>
      </c>
      <c r="D184" s="52">
        <v>45341.17</v>
      </c>
      <c r="E184" s="52">
        <v>12361.02</v>
      </c>
      <c r="F184" s="52">
        <v>0</v>
      </c>
      <c r="G184" s="55">
        <f>F184-E184</f>
        <v>-12361.02</v>
      </c>
      <c r="H184" s="52">
        <v>57702.19</v>
      </c>
    </row>
    <row r="185" spans="1:8" ht="14.4" x14ac:dyDescent="0.3">
      <c r="A185" s="50" t="s">
        <v>358</v>
      </c>
      <c r="B185" s="51"/>
      <c r="C185" s="51" t="s">
        <v>172</v>
      </c>
      <c r="D185" s="52">
        <v>45341.17</v>
      </c>
      <c r="E185" s="52">
        <v>12361.02</v>
      </c>
      <c r="F185" s="52">
        <v>0</v>
      </c>
      <c r="G185" s="55">
        <f>F185-E185</f>
        <v>-12361.02</v>
      </c>
      <c r="H185" s="52">
        <v>57702.19</v>
      </c>
    </row>
    <row r="186" spans="1:8" x14ac:dyDescent="0.25">
      <c r="A186" s="53" t="s">
        <v>359</v>
      </c>
      <c r="B186" s="20">
        <v>4448</v>
      </c>
      <c r="C186" s="20" t="s">
        <v>173</v>
      </c>
      <c r="D186" s="26">
        <v>1999.68</v>
      </c>
      <c r="E186" s="26">
        <v>2040</v>
      </c>
      <c r="F186" s="26">
        <v>0</v>
      </c>
      <c r="G186" s="55">
        <f>F186-E186</f>
        <v>-2040</v>
      </c>
      <c r="H186" s="26">
        <v>4039.68</v>
      </c>
    </row>
    <row r="187" spans="1:8" x14ac:dyDescent="0.25">
      <c r="A187" s="53" t="s">
        <v>360</v>
      </c>
      <c r="B187" s="20">
        <v>3859</v>
      </c>
      <c r="C187" s="20" t="s">
        <v>174</v>
      </c>
      <c r="D187" s="26">
        <v>5000.08</v>
      </c>
      <c r="E187" s="26">
        <v>1405.82</v>
      </c>
      <c r="F187" s="26">
        <v>0</v>
      </c>
      <c r="G187" s="55">
        <f>F187-E187</f>
        <v>-1405.82</v>
      </c>
      <c r="H187" s="26">
        <v>6405.9</v>
      </c>
    </row>
    <row r="188" spans="1:8" x14ac:dyDescent="0.25">
      <c r="A188" s="53" t="s">
        <v>393</v>
      </c>
      <c r="B188" s="20">
        <v>4863</v>
      </c>
      <c r="C188" s="20" t="s">
        <v>392</v>
      </c>
      <c r="D188" s="26">
        <v>38341.410000000003</v>
      </c>
      <c r="E188" s="26">
        <v>8915.2000000000007</v>
      </c>
      <c r="F188" s="26">
        <v>0</v>
      </c>
      <c r="G188" s="55">
        <f>F188-E188</f>
        <v>-8915.2000000000007</v>
      </c>
      <c r="H188" s="26">
        <v>47256.61</v>
      </c>
    </row>
    <row r="189" spans="1:8" ht="14.4" x14ac:dyDescent="0.3">
      <c r="A189" s="50" t="s">
        <v>364</v>
      </c>
      <c r="B189" s="51"/>
      <c r="C189" s="51" t="s">
        <v>176</v>
      </c>
      <c r="D189" s="52">
        <v>408469.58</v>
      </c>
      <c r="E189" s="52">
        <v>91256.88</v>
      </c>
      <c r="F189" s="52">
        <v>0</v>
      </c>
      <c r="G189" s="55">
        <f>F189-E189</f>
        <v>-91256.88</v>
      </c>
      <c r="H189" s="52">
        <v>499726.46</v>
      </c>
    </row>
    <row r="190" spans="1:8" ht="14.4" x14ac:dyDescent="0.3">
      <c r="A190" s="50" t="s">
        <v>365</v>
      </c>
      <c r="B190" s="51"/>
      <c r="C190" s="51" t="s">
        <v>176</v>
      </c>
      <c r="D190" s="52">
        <v>408469.58</v>
      </c>
      <c r="E190" s="52">
        <v>91256.88</v>
      </c>
      <c r="F190" s="52">
        <v>0</v>
      </c>
      <c r="G190" s="55">
        <f>F190-E190</f>
        <v>-91256.88</v>
      </c>
      <c r="H190" s="52">
        <v>499726.46</v>
      </c>
    </row>
    <row r="191" spans="1:8" x14ac:dyDescent="0.25">
      <c r="A191" s="53" t="s">
        <v>366</v>
      </c>
      <c r="B191" s="20">
        <v>3816</v>
      </c>
      <c r="C191" s="20" t="s">
        <v>177</v>
      </c>
      <c r="D191" s="26">
        <v>2535.4</v>
      </c>
      <c r="E191" s="26">
        <v>855.8</v>
      </c>
      <c r="F191" s="26">
        <v>0</v>
      </c>
      <c r="G191" s="55">
        <f>F191-E191</f>
        <v>-855.8</v>
      </c>
      <c r="H191" s="26">
        <v>3391.2</v>
      </c>
    </row>
    <row r="192" spans="1:8" x14ac:dyDescent="0.25">
      <c r="A192" s="53" t="s">
        <v>368</v>
      </c>
      <c r="B192" s="20">
        <v>3824</v>
      </c>
      <c r="C192" s="20" t="s">
        <v>179</v>
      </c>
      <c r="D192" s="26">
        <v>9312.7800000000007</v>
      </c>
      <c r="E192" s="26">
        <v>3498.31</v>
      </c>
      <c r="F192" s="26">
        <v>0</v>
      </c>
      <c r="G192" s="55">
        <f>F192-E192</f>
        <v>-3498.31</v>
      </c>
      <c r="H192" s="26">
        <v>12811.09</v>
      </c>
    </row>
    <row r="193" spans="1:8" x14ac:dyDescent="0.25">
      <c r="A193" s="53" t="s">
        <v>369</v>
      </c>
      <c r="B193" s="20">
        <v>3832</v>
      </c>
      <c r="C193" s="20" t="s">
        <v>180</v>
      </c>
      <c r="D193" s="26">
        <v>58579.8</v>
      </c>
      <c r="E193" s="26">
        <v>6856.38</v>
      </c>
      <c r="F193" s="26">
        <v>0</v>
      </c>
      <c r="G193" s="55">
        <f>F193-E193</f>
        <v>-6856.38</v>
      </c>
      <c r="H193" s="26">
        <v>65436.18</v>
      </c>
    </row>
    <row r="194" spans="1:8" x14ac:dyDescent="0.25">
      <c r="A194" s="53" t="s">
        <v>367</v>
      </c>
      <c r="B194" s="20">
        <v>5177</v>
      </c>
      <c r="C194" s="20" t="s">
        <v>178</v>
      </c>
      <c r="D194" s="26">
        <v>338041.59999999998</v>
      </c>
      <c r="E194" s="26">
        <v>80046.39</v>
      </c>
      <c r="F194" s="26">
        <v>0</v>
      </c>
      <c r="G194" s="55">
        <f>F194-E194</f>
        <v>-80046.39</v>
      </c>
      <c r="H194" s="26">
        <v>418087.99</v>
      </c>
    </row>
    <row r="196" spans="1:8" ht="14.4" x14ac:dyDescent="0.3">
      <c r="C196" s="54"/>
      <c r="D196" s="49" t="s">
        <v>2</v>
      </c>
      <c r="E196" s="49" t="s">
        <v>3</v>
      </c>
      <c r="F196" s="49" t="s">
        <v>4</v>
      </c>
      <c r="G196" s="49"/>
      <c r="H196" s="49" t="s">
        <v>5</v>
      </c>
    </row>
    <row r="197" spans="1:8" ht="14.4" x14ac:dyDescent="0.3">
      <c r="C197" s="51" t="s">
        <v>6</v>
      </c>
      <c r="D197" s="21">
        <v>5202337.37</v>
      </c>
      <c r="E197" s="21">
        <v>1730488.75</v>
      </c>
      <c r="F197" s="21">
        <v>1718123.65</v>
      </c>
      <c r="G197" s="21"/>
      <c r="H197" s="21">
        <v>5214702.47</v>
      </c>
    </row>
    <row r="198" spans="1:8" ht="14.4" x14ac:dyDescent="0.3">
      <c r="C198" s="51" t="s">
        <v>65</v>
      </c>
      <c r="D198" s="21">
        <v>5898881.6799999997</v>
      </c>
      <c r="E198" s="21">
        <v>1001112.02</v>
      </c>
      <c r="F198" s="21">
        <v>1363743.94</v>
      </c>
      <c r="G198" s="21"/>
      <c r="H198" s="21">
        <v>6261513.5999999996</v>
      </c>
    </row>
    <row r="199" spans="1:8" ht="14.4" x14ac:dyDescent="0.3">
      <c r="C199" s="51" t="s">
        <v>109</v>
      </c>
      <c r="D199" s="21">
        <v>1872181.46</v>
      </c>
      <c r="E199" s="21">
        <v>180516.12</v>
      </c>
      <c r="F199" s="21">
        <v>637100.69999999995</v>
      </c>
      <c r="G199" s="21"/>
      <c r="H199" s="21">
        <v>2328766.04</v>
      </c>
    </row>
    <row r="200" spans="1:8" ht="14.4" x14ac:dyDescent="0.3">
      <c r="C200" s="51" t="s">
        <v>128</v>
      </c>
      <c r="D200" s="21">
        <v>2568725.77</v>
      </c>
      <c r="E200" s="21">
        <v>1007489.1</v>
      </c>
      <c r="F200" s="21">
        <v>200637.7</v>
      </c>
      <c r="G200" s="21"/>
      <c r="H200" s="21">
        <v>3375577.17</v>
      </c>
    </row>
    <row r="201" spans="1:8" ht="14.4" x14ac:dyDescent="0.3">
      <c r="C201" s="51" t="s">
        <v>181</v>
      </c>
      <c r="D201" s="20"/>
      <c r="E201" s="20"/>
      <c r="F201" s="20"/>
      <c r="G201" s="20"/>
      <c r="H201" s="5">
        <f>F199+F200-E199-E200</f>
        <v>-350266.82000000007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FB2C-6D19-47A4-9E2F-4C27650F177F}">
  <dimension ref="A1:O100"/>
  <sheetViews>
    <sheetView workbookViewId="0">
      <selection activeCell="M28" sqref="M28"/>
    </sheetView>
  </sheetViews>
  <sheetFormatPr defaultRowHeight="13.2" x14ac:dyDescent="0.25"/>
  <cols>
    <col min="1" max="1" width="14.33203125" bestFit="1" customWidth="1"/>
    <col min="3" max="3" width="45.21875" bestFit="1" customWidth="1"/>
    <col min="4" max="4" width="12.88671875" bestFit="1" customWidth="1"/>
    <col min="5" max="5" width="10.77734375" style="56" customWidth="1"/>
    <col min="6" max="8" width="10.77734375" customWidth="1"/>
    <col min="11" max="11" width="32.33203125" bestFit="1" customWidth="1"/>
    <col min="12" max="15" width="11.77734375" customWidth="1"/>
  </cols>
  <sheetData>
    <row r="1" spans="1:15" ht="14.4" x14ac:dyDescent="0.3">
      <c r="A1" s="51" t="s">
        <v>405</v>
      </c>
      <c r="B1" s="51" t="s">
        <v>406</v>
      </c>
      <c r="C1" s="51" t="s">
        <v>407</v>
      </c>
      <c r="D1" s="61" t="s">
        <v>408</v>
      </c>
      <c r="E1" s="62" t="s">
        <v>409</v>
      </c>
      <c r="F1" s="61" t="s">
        <v>410</v>
      </c>
      <c r="G1" s="61" t="s">
        <v>411</v>
      </c>
      <c r="K1" s="104" t="s">
        <v>442</v>
      </c>
      <c r="L1" s="104" t="s">
        <v>408</v>
      </c>
      <c r="M1" s="104" t="s">
        <v>409</v>
      </c>
      <c r="N1" s="104" t="s">
        <v>410</v>
      </c>
      <c r="O1" s="104" t="s">
        <v>411</v>
      </c>
    </row>
    <row r="2" spans="1:15" ht="14.4" x14ac:dyDescent="0.3">
      <c r="A2" s="69">
        <v>3</v>
      </c>
      <c r="B2" s="70"/>
      <c r="C2" s="70" t="s">
        <v>109</v>
      </c>
      <c r="D2" s="71">
        <f>D3+D9+D16</f>
        <v>656359.67000000004</v>
      </c>
      <c r="E2" s="71">
        <f>E3+E9+E16</f>
        <v>455561.02999999991</v>
      </c>
      <c r="F2" s="71">
        <f>F3+F9+F16</f>
        <v>760260.76000000013</v>
      </c>
      <c r="G2" s="71">
        <f>G3+G9+G16</f>
        <v>456584.58000000013</v>
      </c>
      <c r="K2" s="103" t="s">
        <v>425</v>
      </c>
      <c r="L2" s="105">
        <f>D3</f>
        <v>704049</v>
      </c>
      <c r="M2" s="105">
        <f t="shared" ref="M2:O2" si="0">E3</f>
        <v>494905.81999999995</v>
      </c>
      <c r="N2" s="105">
        <f t="shared" si="0"/>
        <v>873714.52</v>
      </c>
      <c r="O2" s="105">
        <f t="shared" si="0"/>
        <v>598893.85000000009</v>
      </c>
    </row>
    <row r="3" spans="1:15" ht="14.4" x14ac:dyDescent="0.3">
      <c r="A3" s="57" t="s">
        <v>294</v>
      </c>
      <c r="B3" s="58"/>
      <c r="C3" s="58" t="s">
        <v>415</v>
      </c>
      <c r="D3" s="63">
        <f>D4+D5+D7</f>
        <v>704049</v>
      </c>
      <c r="E3" s="63">
        <f t="shared" ref="E3" si="1">E4+E5+E7</f>
        <v>494905.81999999995</v>
      </c>
      <c r="F3" s="63">
        <f t="shared" ref="F3" si="2">F4+F5+F7</f>
        <v>873714.52</v>
      </c>
      <c r="G3" s="63">
        <f t="shared" ref="G3" si="3">G4+G5+G7</f>
        <v>598893.85000000009</v>
      </c>
      <c r="K3" s="103" t="s">
        <v>426</v>
      </c>
      <c r="L3" s="56">
        <f>D5</f>
        <v>-6163.13</v>
      </c>
      <c r="M3" s="56">
        <f t="shared" ref="M3:O3" si="4">E5</f>
        <v>-31768.520000000004</v>
      </c>
      <c r="N3" s="56">
        <f t="shared" si="4"/>
        <v>-10496.15</v>
      </c>
      <c r="O3" s="56">
        <f t="shared" si="4"/>
        <v>-18893.940000000002</v>
      </c>
    </row>
    <row r="4" spans="1:15" x14ac:dyDescent="0.25">
      <c r="A4" s="53" t="s">
        <v>296</v>
      </c>
      <c r="B4" s="20">
        <v>922</v>
      </c>
      <c r="C4" s="20" t="s">
        <v>113</v>
      </c>
      <c r="D4" s="64">
        <f>SUMIF('01.2026'!B:B,'ANÁLISE DE RESULTADO'!B4,'01.2026'!G:G)</f>
        <v>651228.61</v>
      </c>
      <c r="E4" s="64">
        <f>SUMIF('02.2026'!B:B,'ANÁLISE DE RESULTADO'!B4,'02.2026'!G:G)</f>
        <v>526674.34</v>
      </c>
      <c r="F4" s="64">
        <f>SUMIF('03.2026'!B:B,'ANÁLISE DE RESULTADO'!B4,'03.2026'!G:G)</f>
        <v>884210.67</v>
      </c>
      <c r="G4" s="64">
        <f>SUMIF('04.2026'!B:B,'ANÁLISE DE RESULTADO'!B4,'04.2026'!G:G)</f>
        <v>617787.79</v>
      </c>
      <c r="K4" s="103" t="s">
        <v>427</v>
      </c>
      <c r="L4" s="56">
        <f>D9</f>
        <v>-47691.07</v>
      </c>
      <c r="M4" s="56">
        <f t="shared" ref="M4:O4" si="5">E9</f>
        <v>-39345.329999999994</v>
      </c>
      <c r="N4" s="56">
        <f t="shared" si="5"/>
        <v>-113455.43</v>
      </c>
      <c r="O4" s="56">
        <f t="shared" si="5"/>
        <v>-142310.03999999998</v>
      </c>
    </row>
    <row r="5" spans="1:15" ht="15" thickBot="1" x14ac:dyDescent="0.35">
      <c r="A5" s="59" t="s">
        <v>297</v>
      </c>
      <c r="B5" s="60"/>
      <c r="C5" s="60" t="s">
        <v>114</v>
      </c>
      <c r="D5" s="67">
        <f>D6</f>
        <v>-6163.13</v>
      </c>
      <c r="E5" s="67">
        <f t="shared" ref="E5:G5" si="6">E6</f>
        <v>-31768.520000000004</v>
      </c>
      <c r="F5" s="67">
        <f t="shared" si="6"/>
        <v>-10496.15</v>
      </c>
      <c r="G5" s="67">
        <f t="shared" si="6"/>
        <v>-18893.940000000002</v>
      </c>
      <c r="K5" s="106" t="s">
        <v>434</v>
      </c>
      <c r="L5" s="107">
        <f>SUM(L2:L4)</f>
        <v>650194.80000000005</v>
      </c>
      <c r="M5" s="107">
        <f t="shared" ref="M5:O5" si="7">SUM(M2:M4)</f>
        <v>423791.96999999991</v>
      </c>
      <c r="N5" s="107">
        <f t="shared" si="7"/>
        <v>749762.94</v>
      </c>
      <c r="O5" s="107">
        <f t="shared" si="7"/>
        <v>437689.87000000017</v>
      </c>
    </row>
    <row r="6" spans="1:15" ht="13.8" thickTop="1" x14ac:dyDescent="0.25">
      <c r="A6" s="53" t="s">
        <v>298</v>
      </c>
      <c r="B6" s="20">
        <v>5363</v>
      </c>
      <c r="C6" s="20" t="s">
        <v>115</v>
      </c>
      <c r="D6" s="64">
        <f>SUMIF('01.2026'!B:B,'ANÁLISE DE RESULTADO'!B6,'01.2026'!G:G)</f>
        <v>-6163.13</v>
      </c>
      <c r="E6" s="64">
        <f>SUMIF('02.2026'!B:B,'ANÁLISE DE RESULTADO'!B6,'02.2026'!G:G)</f>
        <v>-31768.520000000004</v>
      </c>
      <c r="F6" s="64">
        <f>SUMIF('03.2026'!B:B,'ANÁLISE DE RESULTADO'!B6,'03.2026'!G:G)</f>
        <v>-10496.15</v>
      </c>
      <c r="G6" s="64">
        <f>SUMIF('04.2026'!B:B,'ANÁLISE DE RESULTADO'!B6,'04.2026'!G:G)</f>
        <v>-18893.940000000002</v>
      </c>
    </row>
    <row r="7" spans="1:15" ht="14.4" x14ac:dyDescent="0.3">
      <c r="A7" s="57" t="s">
        <v>299</v>
      </c>
      <c r="B7" s="58"/>
      <c r="C7" s="58" t="s">
        <v>116</v>
      </c>
      <c r="D7" s="63">
        <f>D8</f>
        <v>58983.519999999997</v>
      </c>
      <c r="E7" s="65">
        <f t="shared" ref="E7:G7" si="8">E8</f>
        <v>0</v>
      </c>
      <c r="F7" s="65">
        <f t="shared" si="8"/>
        <v>0</v>
      </c>
      <c r="G7" s="65">
        <f t="shared" si="8"/>
        <v>0</v>
      </c>
      <c r="K7" s="103" t="s">
        <v>428</v>
      </c>
      <c r="L7" s="56">
        <f>D19</f>
        <v>-117500.55000000005</v>
      </c>
      <c r="M7" s="56">
        <f t="shared" ref="M7:O7" si="9">E19</f>
        <v>-74422.81</v>
      </c>
      <c r="N7" s="56">
        <f t="shared" si="9"/>
        <v>-119524.39</v>
      </c>
      <c r="O7" s="56">
        <f t="shared" si="9"/>
        <v>-85461.459999999992</v>
      </c>
    </row>
    <row r="8" spans="1:15" ht="13.8" thickBot="1" x14ac:dyDescent="0.3">
      <c r="A8" s="53" t="s">
        <v>300</v>
      </c>
      <c r="B8" s="20">
        <v>5495</v>
      </c>
      <c r="C8" s="20" t="s">
        <v>117</v>
      </c>
      <c r="D8" s="64">
        <f>SUMIF('01.2026'!B:B,'ANÁLISE DE RESULTADO'!B8,'01.2026'!G:G)</f>
        <v>58983.519999999997</v>
      </c>
      <c r="E8" s="66">
        <f>SUMIF('02.2026'!B:B,'ANÁLISE DE RESULTADO'!B8,'02.2026'!G:G)</f>
        <v>0</v>
      </c>
      <c r="F8" s="66">
        <f>SUMIF('03.2026'!B:B,'ANÁLISE DE RESULTADO'!B8,'03.2026'!G:G)</f>
        <v>0</v>
      </c>
      <c r="G8" s="66">
        <f>SUMIF('04.2026'!B:B,'ANÁLISE DE RESULTADO'!B8,'04.2026'!G:G)</f>
        <v>0</v>
      </c>
      <c r="K8" s="108" t="s">
        <v>429</v>
      </c>
      <c r="L8" s="110">
        <f>L5+L7</f>
        <v>532694.25</v>
      </c>
      <c r="M8" s="110">
        <f t="shared" ref="M8:O8" si="10">M5+M7</f>
        <v>349369.15999999992</v>
      </c>
      <c r="N8" s="110">
        <f t="shared" si="10"/>
        <v>630238.54999999993</v>
      </c>
      <c r="O8" s="110">
        <f t="shared" si="10"/>
        <v>352228.41000000015</v>
      </c>
    </row>
    <row r="9" spans="1:15" ht="15.6" thickTop="1" thickBot="1" x14ac:dyDescent="0.35">
      <c r="A9" s="59" t="s">
        <v>301</v>
      </c>
      <c r="B9" s="60"/>
      <c r="C9" s="60" t="s">
        <v>118</v>
      </c>
      <c r="D9" s="67">
        <f>SUM(D10:D14)</f>
        <v>-47691.07</v>
      </c>
      <c r="E9" s="67">
        <f t="shared" ref="E9:G9" si="11">SUM(E10:E14)</f>
        <v>-39345.329999999994</v>
      </c>
      <c r="F9" s="67">
        <f t="shared" si="11"/>
        <v>-113455.43</v>
      </c>
      <c r="G9" s="67">
        <f t="shared" si="11"/>
        <v>-142310.03999999998</v>
      </c>
      <c r="K9" s="113" t="s">
        <v>435</v>
      </c>
      <c r="L9" s="109">
        <f>L8/L5</f>
        <v>0.81928408224735105</v>
      </c>
      <c r="M9" s="109">
        <f t="shared" ref="M9:O9" si="12">M8/M5</f>
        <v>0.82438834317696008</v>
      </c>
      <c r="N9" s="109">
        <f t="shared" si="12"/>
        <v>0.84058375838101573</v>
      </c>
      <c r="O9" s="109">
        <f t="shared" si="12"/>
        <v>0.80474425876020395</v>
      </c>
    </row>
    <row r="10" spans="1:15" ht="13.8" thickTop="1" x14ac:dyDescent="0.25">
      <c r="A10" s="53" t="s">
        <v>303</v>
      </c>
      <c r="B10" s="20">
        <v>981</v>
      </c>
      <c r="C10" s="20" t="s">
        <v>120</v>
      </c>
      <c r="D10" s="64">
        <f>SUMIF('01.2026'!B:B,'ANÁLISE DE RESULTADO'!B10,'01.2026'!G:G)</f>
        <v>-806.07</v>
      </c>
      <c r="E10" s="64">
        <f>SUMIF('02.2026'!B:B,'ANÁLISE DE RESULTADO'!B10,'02.2026'!G:G)</f>
        <v>-1085.3599999999999</v>
      </c>
      <c r="F10" s="64">
        <f>SUMIF('03.2026'!B:B,'ANÁLISE DE RESULTADO'!B10,'03.2026'!G:G)</f>
        <v>-2737.65</v>
      </c>
      <c r="G10" s="64">
        <f>SUMIF('04.2026'!B:B,'ANÁLISE DE RESULTADO'!B10,'04.2026'!G:G)</f>
        <v>-19917.759999999998</v>
      </c>
    </row>
    <row r="11" spans="1:15" x14ac:dyDescent="0.25">
      <c r="A11" s="53" t="s">
        <v>306</v>
      </c>
      <c r="B11" s="20">
        <v>4014</v>
      </c>
      <c r="C11" s="20" t="s">
        <v>123</v>
      </c>
      <c r="D11" s="64">
        <f>SUMIF('01.2026'!B:B,'ANÁLISE DE RESULTADO'!B11,'01.2026'!G:G)</f>
        <v>-175</v>
      </c>
      <c r="E11" s="64">
        <f>SUMIF('02.2026'!B:B,'ANÁLISE DE RESULTADO'!B11,'02.2026'!G:G)</f>
        <v>-235.64</v>
      </c>
      <c r="F11" s="64">
        <f>SUMIF('03.2026'!B:B,'ANÁLISE DE RESULTADO'!B11,'03.2026'!G:G)</f>
        <v>-594.37</v>
      </c>
      <c r="G11" s="64">
        <f>SUMIF('04.2026'!B:B,'ANÁLISE DE RESULTADO'!B11,'04.2026'!G:G)</f>
        <v>-4324.25</v>
      </c>
      <c r="K11" s="103" t="s">
        <v>430</v>
      </c>
      <c r="L11" s="56">
        <f>D30</f>
        <v>-275606.44999999995</v>
      </c>
      <c r="M11" s="56">
        <f t="shared" ref="M11:O11" si="13">E30</f>
        <v>-263307.55</v>
      </c>
      <c r="N11" s="56">
        <f t="shared" si="13"/>
        <v>-251337.05000000005</v>
      </c>
      <c r="O11" s="56">
        <f t="shared" si="13"/>
        <v>-292484.27999999997</v>
      </c>
    </row>
    <row r="12" spans="1:15" x14ac:dyDescent="0.25">
      <c r="A12" s="53" t="s">
        <v>305</v>
      </c>
      <c r="B12" s="20">
        <v>1007</v>
      </c>
      <c r="C12" s="20" t="s">
        <v>122</v>
      </c>
      <c r="D12" s="64">
        <f>SUMIF('01.2026'!B:B,'ANÁLISE DE RESULTADO'!B12,'01.2026'!G:G)</f>
        <v>-57697.01</v>
      </c>
      <c r="E12" s="64">
        <f>SUMIF('02.2026'!B:B,'ANÁLISE DE RESULTADO'!B12,'02.2026'!G:G)</f>
        <v>-49411.159999999996</v>
      </c>
      <c r="F12" s="64">
        <f>SUMIF('03.2026'!B:B,'ANÁLISE DE RESULTADO'!B12,'03.2026'!G:G)</f>
        <v>-126027.2</v>
      </c>
      <c r="G12" s="64">
        <f>SUMIF('04.2026'!B:B,'ANÁLISE DE RESULTADO'!B12,'04.2026'!G:G)</f>
        <v>-80254.67</v>
      </c>
      <c r="K12" s="103" t="s">
        <v>431</v>
      </c>
      <c r="L12" s="56">
        <f>D33</f>
        <v>-158230.31</v>
      </c>
      <c r="M12" s="56">
        <f t="shared" ref="M12:O12" si="14">E33</f>
        <v>-22960.639999999999</v>
      </c>
      <c r="N12" s="56">
        <f t="shared" si="14"/>
        <v>-81358.960000000006</v>
      </c>
      <c r="O12" s="56">
        <f t="shared" si="14"/>
        <v>-138776.03</v>
      </c>
    </row>
    <row r="13" spans="1:15" ht="13.8" thickBot="1" x14ac:dyDescent="0.3">
      <c r="A13" s="53" t="s">
        <v>400</v>
      </c>
      <c r="B13" s="20">
        <v>4669</v>
      </c>
      <c r="C13" s="20" t="s">
        <v>401</v>
      </c>
      <c r="D13" s="66">
        <f>SUMIF('01.2026'!B:B,'ANÁLISE DE RESULTADO'!B13,'01.2026'!G:G)</f>
        <v>0</v>
      </c>
      <c r="E13" s="66">
        <f>SUMIF('02.2026'!B:B,'ANÁLISE DE RESULTADO'!B13,'02.2026'!G:G)</f>
        <v>0</v>
      </c>
      <c r="F13" s="66">
        <f>SUMIF('03.2026'!B:B,'ANÁLISE DE RESULTADO'!B13,'03.2026'!G:G)</f>
        <v>0</v>
      </c>
      <c r="G13" s="64">
        <f>SUMIF('04.2026'!B:B,'ANÁLISE DE RESULTADO'!B13,'04.2026'!G:G)</f>
        <v>-54840.9</v>
      </c>
      <c r="K13" s="108" t="s">
        <v>436</v>
      </c>
      <c r="L13" s="111">
        <f>L8+L11+L12</f>
        <v>98857.490000000049</v>
      </c>
      <c r="M13" s="111">
        <f t="shared" ref="M13:O13" si="15">M8+M11+M12</f>
        <v>63100.969999999928</v>
      </c>
      <c r="N13" s="111">
        <f t="shared" si="15"/>
        <v>297542.53999999986</v>
      </c>
      <c r="O13" s="111">
        <f t="shared" si="15"/>
        <v>-79031.89999999982</v>
      </c>
    </row>
    <row r="14" spans="1:15" ht="14.4" thickTop="1" thickBot="1" x14ac:dyDescent="0.3">
      <c r="A14" s="78" t="s">
        <v>304</v>
      </c>
      <c r="B14" s="79">
        <v>5410</v>
      </c>
      <c r="C14" s="79" t="s">
        <v>121</v>
      </c>
      <c r="D14" s="80">
        <f>SUMIF('01.2026'!B:B,'ANÁLISE DE RESULTADO'!B14,'01.2026'!G:G)</f>
        <v>10987.01</v>
      </c>
      <c r="E14" s="80">
        <f>SUMIF('02.2026'!B:B,'ANÁLISE DE RESULTADO'!B14,'02.2026'!G:G)</f>
        <v>11386.83</v>
      </c>
      <c r="F14" s="80">
        <f>SUMIF('03.2026'!B:B,'ANÁLISE DE RESULTADO'!B14,'03.2026'!G:G)</f>
        <v>15903.79</v>
      </c>
      <c r="G14" s="80">
        <f>SUMIF('04.2026'!B:B,'ANÁLISE DE RESULTADO'!B14,'04.2026'!G:G)</f>
        <v>17027.54</v>
      </c>
      <c r="K14" s="113" t="s">
        <v>437</v>
      </c>
      <c r="L14" s="109">
        <f>L13/L5</f>
        <v>0.15204288007224917</v>
      </c>
      <c r="M14" s="109">
        <f t="shared" ref="M14:O14" si="16">M13/M5</f>
        <v>0.14889609635595488</v>
      </c>
      <c r="N14" s="109">
        <f t="shared" si="16"/>
        <v>0.39684882264252735</v>
      </c>
      <c r="O14" s="109">
        <f t="shared" si="16"/>
        <v>-0.18056597928574356</v>
      </c>
    </row>
    <row r="15" spans="1:15" ht="16.05" customHeight="1" thickTop="1" x14ac:dyDescent="0.25">
      <c r="A15" s="92"/>
      <c r="B15" s="93"/>
      <c r="C15" s="93" t="s">
        <v>416</v>
      </c>
      <c r="D15" s="94">
        <f>D3+D5+D9</f>
        <v>650194.80000000005</v>
      </c>
      <c r="E15" s="94">
        <f t="shared" ref="E15:G15" si="17">E3+E5+E9</f>
        <v>423791.96999999991</v>
      </c>
      <c r="F15" s="94">
        <f t="shared" si="17"/>
        <v>749762.94</v>
      </c>
      <c r="G15" s="94">
        <f t="shared" si="17"/>
        <v>437689.87000000017</v>
      </c>
    </row>
    <row r="16" spans="1:15" ht="14.4" x14ac:dyDescent="0.3">
      <c r="A16" s="81" t="s">
        <v>307</v>
      </c>
      <c r="B16" s="82"/>
      <c r="C16" s="82" t="s">
        <v>124</v>
      </c>
      <c r="D16" s="83">
        <f>D17</f>
        <v>1.74</v>
      </c>
      <c r="E16" s="83">
        <f t="shared" ref="E16:G16" si="18">E17</f>
        <v>0.54</v>
      </c>
      <c r="F16" s="83">
        <f t="shared" si="18"/>
        <v>1.67</v>
      </c>
      <c r="G16" s="83">
        <f t="shared" si="18"/>
        <v>0.77</v>
      </c>
      <c r="K16" s="103" t="s">
        <v>432</v>
      </c>
      <c r="L16" s="56">
        <f>D29</f>
        <v>-876623.7699999999</v>
      </c>
      <c r="M16" s="56">
        <f t="shared" ref="M16:O16" si="19">E29</f>
        <v>-670007.4</v>
      </c>
      <c r="N16" s="56">
        <f t="shared" si="19"/>
        <v>-695571.64</v>
      </c>
      <c r="O16" s="56">
        <f t="shared" si="19"/>
        <v>-720020.30999999994</v>
      </c>
    </row>
    <row r="17" spans="1:15" ht="13.8" thickBot="1" x14ac:dyDescent="0.3">
      <c r="A17" s="53" t="s">
        <v>310</v>
      </c>
      <c r="B17" s="20">
        <v>3603</v>
      </c>
      <c r="C17" s="20" t="s">
        <v>127</v>
      </c>
      <c r="D17" s="64">
        <f>SUMIF('01.2026'!B:B,'ANÁLISE DE RESULTADO'!B17,'01.2026'!G:G)</f>
        <v>1.74</v>
      </c>
      <c r="E17" s="64">
        <f>SUMIF('02.2026'!B:B,'ANÁLISE DE RESULTADO'!B17,'02.2026'!G:G)</f>
        <v>0.54</v>
      </c>
      <c r="F17" s="64">
        <f>SUMIF('03.2026'!B:B,'ANÁLISE DE RESULTADO'!B17,'03.2026'!G:G)</f>
        <v>1.67</v>
      </c>
      <c r="G17" s="64">
        <f>SUMIF('04.2026'!B:B,'ANÁLISE DE RESULTADO'!B17,'04.2026'!G:G)</f>
        <v>0.77</v>
      </c>
      <c r="K17" s="108" t="s">
        <v>438</v>
      </c>
      <c r="L17" s="111">
        <f>D50</f>
        <v>-343929.5199999999</v>
      </c>
      <c r="M17" s="111">
        <f t="shared" ref="M17:O17" si="20">E50</f>
        <v>-320638.24000000011</v>
      </c>
      <c r="N17" s="111">
        <f t="shared" si="20"/>
        <v>-65333.090000000084</v>
      </c>
      <c r="O17" s="111">
        <f t="shared" si="20"/>
        <v>-367791.89999999979</v>
      </c>
    </row>
    <row r="18" spans="1:15" ht="15.6" thickTop="1" thickBot="1" x14ac:dyDescent="0.35">
      <c r="A18" s="72">
        <v>4</v>
      </c>
      <c r="B18" s="73"/>
      <c r="C18" s="73" t="s">
        <v>128</v>
      </c>
      <c r="D18" s="74">
        <f>D19+D25+D29</f>
        <v>-1009002.6799999999</v>
      </c>
      <c r="E18" s="74">
        <f>E19+E25+E29</f>
        <v>-744627.06</v>
      </c>
      <c r="F18" s="74">
        <f>F19+F25+F29</f>
        <v>-815096.03</v>
      </c>
      <c r="G18" s="74">
        <f>G19+G25+G29</f>
        <v>-805481.7699999999</v>
      </c>
      <c r="K18" s="113" t="s">
        <v>439</v>
      </c>
      <c r="L18" s="112">
        <f>D51</f>
        <v>-0.52896381207601151</v>
      </c>
      <c r="M18" s="112">
        <f t="shared" ref="M18:O18" si="21">E51</f>
        <v>-0.75659347674756594</v>
      </c>
      <c r="N18" s="112">
        <f t="shared" si="21"/>
        <v>-8.7138329349807669E-2</v>
      </c>
      <c r="O18" s="112">
        <f t="shared" si="21"/>
        <v>-0.84030251831050984</v>
      </c>
    </row>
    <row r="19" spans="1:15" ht="15" thickTop="1" x14ac:dyDescent="0.3">
      <c r="A19" s="59" t="s">
        <v>311</v>
      </c>
      <c r="B19" s="60"/>
      <c r="C19" s="60" t="s">
        <v>129</v>
      </c>
      <c r="D19" s="67">
        <f>SUM(D20:D24)</f>
        <v>-117500.55000000005</v>
      </c>
      <c r="E19" s="67">
        <f t="shared" ref="E19:G19" si="22">SUM(E20:E24)</f>
        <v>-74422.81</v>
      </c>
      <c r="F19" s="67">
        <f t="shared" si="22"/>
        <v>-119524.39</v>
      </c>
      <c r="G19" s="67">
        <f t="shared" si="22"/>
        <v>-85461.459999999992</v>
      </c>
    </row>
    <row r="20" spans="1:15" x14ac:dyDescent="0.25">
      <c r="A20" s="53" t="s">
        <v>315</v>
      </c>
      <c r="B20" s="20">
        <v>1120</v>
      </c>
      <c r="C20" s="20" t="s">
        <v>132</v>
      </c>
      <c r="D20" s="64">
        <f>SUMIF('01.2026'!B:B,'ANÁLISE DE RESULTADO'!B20,'01.2026'!G:G)</f>
        <v>953107.73</v>
      </c>
      <c r="E20" s="66">
        <f>SUMIF('02.2026'!B:B,'ANÁLISE DE RESULTADO'!B20,'02.2026'!G:G)</f>
        <v>0</v>
      </c>
      <c r="F20" s="66">
        <f>SUMIF('03.2026'!B:B,'ANÁLISE DE RESULTADO'!B20,'03.2026'!G:G)</f>
        <v>0</v>
      </c>
      <c r="G20" s="66">
        <f>SUMIF('04.2026'!B:B,'ANÁLISE DE RESULTADO'!B20,'04.2026'!G:G)</f>
        <v>0</v>
      </c>
      <c r="K20" s="103" t="s">
        <v>433</v>
      </c>
      <c r="L20" s="56">
        <f>D70</f>
        <v>-6083.86</v>
      </c>
      <c r="M20" s="56">
        <f t="shared" ref="M20:O20" si="23">E70</f>
        <v>-6083.86</v>
      </c>
      <c r="N20" s="56">
        <f t="shared" si="23"/>
        <v>-6083.86</v>
      </c>
      <c r="O20" s="56">
        <f t="shared" si="23"/>
        <v>-6083.86</v>
      </c>
    </row>
    <row r="21" spans="1:15" ht="13.8" thickBot="1" x14ac:dyDescent="0.3">
      <c r="A21" s="53" t="s">
        <v>390</v>
      </c>
      <c r="B21" s="20">
        <v>1112</v>
      </c>
      <c r="C21" s="20" t="s">
        <v>388</v>
      </c>
      <c r="D21" s="66">
        <f>SUMIF('01.2026'!B:B,'ANÁLISE DE RESULTADO'!B21,'01.2026'!G:G)</f>
        <v>0</v>
      </c>
      <c r="E21" s="64">
        <f>SUMIF('02.2026'!B:B,'ANÁLISE DE RESULTADO'!B21,'02.2026'!G:G)</f>
        <v>-25573.5</v>
      </c>
      <c r="F21" s="64">
        <f>SUMIF('03.2026'!B:B,'ANÁLISE DE RESULTADO'!B21,'03.2026'!G:G)</f>
        <v>-9720</v>
      </c>
      <c r="G21" s="64">
        <f>SUMIF('04.2026'!B:B,'ANÁLISE DE RESULTADO'!B21,'04.2026'!G:G)</f>
        <v>-12000</v>
      </c>
      <c r="K21" s="108" t="s">
        <v>440</v>
      </c>
      <c r="L21" s="111">
        <f>L17-L20</f>
        <v>-337845.65999999992</v>
      </c>
      <c r="M21" s="111">
        <f t="shared" ref="M21:O21" si="24">M17-M20</f>
        <v>-314554.38000000012</v>
      </c>
      <c r="N21" s="111">
        <f t="shared" si="24"/>
        <v>-59249.230000000083</v>
      </c>
      <c r="O21" s="111">
        <f t="shared" si="24"/>
        <v>-361708.0399999998</v>
      </c>
    </row>
    <row r="22" spans="1:15" ht="14.4" thickTop="1" thickBot="1" x14ac:dyDescent="0.3">
      <c r="A22" s="53" t="s">
        <v>382</v>
      </c>
      <c r="B22" s="20">
        <v>3034</v>
      </c>
      <c r="C22" s="20" t="s">
        <v>373</v>
      </c>
      <c r="D22" s="66">
        <f>SUMIF('01.2026'!B:B,'ANÁLISE DE RESULTADO'!B22,'01.2026'!G:G)</f>
        <v>0</v>
      </c>
      <c r="E22" s="64">
        <f>SUMIF('02.2026'!B:B,'ANÁLISE DE RESULTADO'!B22,'02.2026'!G:G)</f>
        <v>19240.599999999999</v>
      </c>
      <c r="F22" s="66">
        <f>SUMIF('03.2026'!B:B,'ANÁLISE DE RESULTADO'!B22,'03.2026'!G:G)</f>
        <v>0</v>
      </c>
      <c r="G22" s="64">
        <f>SUMIF('04.2026'!B:B,'ANÁLISE DE RESULTADO'!B22,'04.2026'!G:G)</f>
        <v>1394.97</v>
      </c>
      <c r="K22" s="113" t="s">
        <v>441</v>
      </c>
      <c r="L22" s="109">
        <f>L21/L5</f>
        <v>-0.51960683167567612</v>
      </c>
      <c r="M22" s="109">
        <f t="shared" ref="M22:O22" si="25">M21/M5</f>
        <v>-0.74223770686358259</v>
      </c>
      <c r="N22" s="109">
        <f t="shared" si="25"/>
        <v>-7.9023951223836278E-2</v>
      </c>
      <c r="O22" s="109">
        <f t="shared" si="25"/>
        <v>-0.82640258500842079</v>
      </c>
    </row>
    <row r="23" spans="1:15" ht="13.8" thickTop="1" x14ac:dyDescent="0.25">
      <c r="A23" s="53" t="s">
        <v>314</v>
      </c>
      <c r="B23" s="20">
        <v>1066</v>
      </c>
      <c r="C23" s="20" t="s">
        <v>131</v>
      </c>
      <c r="D23" s="64">
        <f>SUMIF('01.2026'!B:B,'ANÁLISE DE RESULTADO'!B23,'01.2026'!G:G)</f>
        <v>-1081516.48</v>
      </c>
      <c r="E23" s="66">
        <f>SUMIF('02.2026'!B:B,'ANÁLISE DE RESULTADO'!B23,'02.2026'!G:G)</f>
        <v>0</v>
      </c>
      <c r="F23" s="66">
        <f>SUMIF('03.2026'!B:B,'ANÁLISE DE RESULTADO'!B23,'03.2026'!G:G)</f>
        <v>0</v>
      </c>
      <c r="G23" s="66">
        <f>SUMIF('04.2026'!B:B,'ANÁLISE DE RESULTADO'!B23,'04.2026'!G:G)</f>
        <v>0</v>
      </c>
    </row>
    <row r="24" spans="1:15" x14ac:dyDescent="0.25">
      <c r="A24" s="53" t="s">
        <v>316</v>
      </c>
      <c r="B24" s="20">
        <v>4847</v>
      </c>
      <c r="C24" s="20" t="s">
        <v>133</v>
      </c>
      <c r="D24" s="64">
        <f>SUMIF('01.2026'!B:B,'ANÁLISE DE RESULTADO'!B24,'01.2026'!G:G)</f>
        <v>10908.199999999953</v>
      </c>
      <c r="E24" s="64">
        <f>SUMIF('02.2026'!B:B,'ANÁLISE DE RESULTADO'!B24,'02.2026'!G:G)</f>
        <v>-68089.91</v>
      </c>
      <c r="F24" s="64">
        <f>SUMIF('03.2026'!B:B,'ANÁLISE DE RESULTADO'!B24,'03.2026'!G:G)</f>
        <v>-109804.39</v>
      </c>
      <c r="G24" s="64">
        <f>SUMIF('04.2026'!B:B,'ANÁLISE DE RESULTADO'!B24,'04.2026'!G:G)</f>
        <v>-74856.429999999993</v>
      </c>
    </row>
    <row r="25" spans="1:15" ht="14.4" x14ac:dyDescent="0.3">
      <c r="A25" s="59" t="s">
        <v>317</v>
      </c>
      <c r="B25" s="60"/>
      <c r="C25" s="60" t="s">
        <v>134</v>
      </c>
      <c r="D25" s="67">
        <f>D26</f>
        <v>-14878.36</v>
      </c>
      <c r="E25" s="67">
        <f t="shared" ref="E25:G25" si="26">E26</f>
        <v>-196.85</v>
      </c>
      <c r="F25" s="68">
        <f t="shared" si="26"/>
        <v>0</v>
      </c>
      <c r="G25" s="68">
        <f t="shared" si="26"/>
        <v>0</v>
      </c>
    </row>
    <row r="26" spans="1:15" x14ac:dyDescent="0.25">
      <c r="A26" s="78" t="s">
        <v>318</v>
      </c>
      <c r="B26" s="79">
        <v>5738</v>
      </c>
      <c r="C26" s="79" t="s">
        <v>135</v>
      </c>
      <c r="D26" s="80">
        <f>SUMIF('01.2026'!B:B,'ANÁLISE DE RESULTADO'!B26,'01.2026'!G:G)</f>
        <v>-14878.36</v>
      </c>
      <c r="E26" s="80">
        <f>SUMIF('02.2026'!B:B,'ANÁLISE DE RESULTADO'!B26,'02.2026'!G:G)</f>
        <v>-196.85</v>
      </c>
      <c r="F26" s="84">
        <f>SUMIF('03.2026'!B:B,'ANÁLISE DE RESULTADO'!B26,'03.2026'!G:G)</f>
        <v>0</v>
      </c>
      <c r="G26" s="84">
        <f>SUMIF('04.2026'!B:B,'ANÁLISE DE RESULTADO'!B26,'04.2026'!G:G)</f>
        <v>0</v>
      </c>
    </row>
    <row r="27" spans="1:15" ht="16.05" customHeight="1" x14ac:dyDescent="0.25">
      <c r="A27" s="92"/>
      <c r="B27" s="93"/>
      <c r="C27" s="93" t="s">
        <v>417</v>
      </c>
      <c r="D27" s="94">
        <f>D15+D19</f>
        <v>532694.25</v>
      </c>
      <c r="E27" s="94">
        <f>E15+E19</f>
        <v>349369.15999999992</v>
      </c>
      <c r="F27" s="94">
        <f>F15+F19</f>
        <v>630238.54999999993</v>
      </c>
      <c r="G27" s="94">
        <f>G15+G19</f>
        <v>352228.41000000015</v>
      </c>
    </row>
    <row r="28" spans="1:15" ht="16.05" customHeight="1" x14ac:dyDescent="0.25">
      <c r="A28" s="92"/>
      <c r="B28" s="93"/>
      <c r="C28" s="93" t="s">
        <v>418</v>
      </c>
      <c r="D28" s="95">
        <f>D27/D15</f>
        <v>0.81928408224735105</v>
      </c>
      <c r="E28" s="95">
        <f t="shared" ref="E28:G28" si="27">E27/E15</f>
        <v>0.82438834317696008</v>
      </c>
      <c r="F28" s="95">
        <f t="shared" si="27"/>
        <v>0.84058375838101573</v>
      </c>
      <c r="G28" s="95">
        <f t="shared" si="27"/>
        <v>0.80474425876020395</v>
      </c>
    </row>
    <row r="29" spans="1:15" ht="14.4" x14ac:dyDescent="0.3">
      <c r="A29" s="85" t="s">
        <v>319</v>
      </c>
      <c r="B29" s="86"/>
      <c r="C29" s="86" t="s">
        <v>136</v>
      </c>
      <c r="D29" s="87">
        <f>D30+D33+D39+D52+D77+D82+D70</f>
        <v>-876623.7699999999</v>
      </c>
      <c r="E29" s="87">
        <f>E30+E33+E39+E52+E77+E82+E70</f>
        <v>-670007.4</v>
      </c>
      <c r="F29" s="87">
        <f>F30+F33+F39+F52+F77+F82+F70</f>
        <v>-695571.64</v>
      </c>
      <c r="G29" s="87">
        <f>G30+G33+G39+G52+G77+G82+G70</f>
        <v>-720020.30999999994</v>
      </c>
    </row>
    <row r="30" spans="1:15" ht="14.4" x14ac:dyDescent="0.3">
      <c r="A30" s="59" t="s">
        <v>321</v>
      </c>
      <c r="B30" s="60"/>
      <c r="C30" s="60" t="s">
        <v>414</v>
      </c>
      <c r="D30" s="67">
        <f>SUM(D31:D32)</f>
        <v>-275606.44999999995</v>
      </c>
      <c r="E30" s="67">
        <f t="shared" ref="E30:G30" si="28">SUM(E31:E32)</f>
        <v>-263307.55</v>
      </c>
      <c r="F30" s="67">
        <f t="shared" si="28"/>
        <v>-251337.05000000005</v>
      </c>
      <c r="G30" s="67">
        <f t="shared" si="28"/>
        <v>-292484.27999999997</v>
      </c>
    </row>
    <row r="31" spans="1:15" x14ac:dyDescent="0.25">
      <c r="A31" s="53" t="s">
        <v>322</v>
      </c>
      <c r="B31" s="20">
        <v>4057</v>
      </c>
      <c r="C31" s="20" t="s">
        <v>139</v>
      </c>
      <c r="D31" s="64">
        <f>SUMIF('01.2026'!B:B,'ANÁLISE DE RESULTADO'!B31,'01.2026'!G:G)</f>
        <v>-275606.44999999995</v>
      </c>
      <c r="E31" s="64">
        <f>SUMIF('02.2026'!B:B,'ANÁLISE DE RESULTADO'!B31,'02.2026'!G:G)</f>
        <v>-199538.88</v>
      </c>
      <c r="F31" s="64">
        <f>SUMIF('03.2026'!B:B,'ANÁLISE DE RESULTADO'!B31,'03.2026'!G:G)</f>
        <v>-251337.05000000005</v>
      </c>
      <c r="G31" s="64">
        <f>SUMIF('04.2026'!B:B,'ANÁLISE DE RESULTADO'!B31,'04.2026'!G:G)</f>
        <v>-292484.27999999997</v>
      </c>
    </row>
    <row r="32" spans="1:15" x14ac:dyDescent="0.25">
      <c r="A32" s="53" t="s">
        <v>384</v>
      </c>
      <c r="B32" s="20">
        <v>5665</v>
      </c>
      <c r="C32" s="20" t="s">
        <v>375</v>
      </c>
      <c r="D32" s="66">
        <f>SUMIF('01.2026'!B:B,'ANÁLISE DE RESULTADO'!B32,'01.2026'!G:G)</f>
        <v>0</v>
      </c>
      <c r="E32" s="64">
        <f>SUMIF('02.2026'!B:B,'ANÁLISE DE RESULTADO'!B32,'02.2026'!G:G)</f>
        <v>-63768.67</v>
      </c>
      <c r="F32" s="66">
        <f>SUMIF('03.2026'!B:B,'ANÁLISE DE RESULTADO'!B32,'03.2026'!G:G)</f>
        <v>0</v>
      </c>
      <c r="G32" s="66">
        <f>SUMIF('04.2026'!B:B,'ANÁLISE DE RESULTADO'!B32,'04.2026'!G:G)</f>
        <v>0</v>
      </c>
    </row>
    <row r="33" spans="1:7" ht="14.4" x14ac:dyDescent="0.3">
      <c r="A33" s="59" t="s">
        <v>323</v>
      </c>
      <c r="B33" s="60"/>
      <c r="C33" s="60" t="s">
        <v>140</v>
      </c>
      <c r="D33" s="67">
        <f>SUM(D34:D36)</f>
        <v>-158230.31</v>
      </c>
      <c r="E33" s="67">
        <f t="shared" ref="E33:G33" si="29">SUM(E34:E36)</f>
        <v>-22960.639999999999</v>
      </c>
      <c r="F33" s="67">
        <f t="shared" si="29"/>
        <v>-81358.960000000006</v>
      </c>
      <c r="G33" s="67">
        <f t="shared" si="29"/>
        <v>-138776.03</v>
      </c>
    </row>
    <row r="34" spans="1:7" x14ac:dyDescent="0.25">
      <c r="A34" s="53" t="s">
        <v>326</v>
      </c>
      <c r="B34" s="20">
        <v>1090</v>
      </c>
      <c r="C34" s="20" t="s">
        <v>143</v>
      </c>
      <c r="D34" s="64">
        <f>SUMIF('01.2026'!B:B,'ANÁLISE DE RESULTADO'!B34,'01.2026'!G:G)</f>
        <v>-51658.84</v>
      </c>
      <c r="E34" s="64">
        <f>SUMIF('02.2026'!B:B,'ANÁLISE DE RESULTADO'!B34,'02.2026'!G:G)</f>
        <v>-22551.329999999994</v>
      </c>
      <c r="F34" s="64">
        <f>SUMIF('03.2026'!B:B,'ANÁLISE DE RESULTADO'!B34,'03.2026'!G:G)</f>
        <v>-42848.639999999999</v>
      </c>
      <c r="G34" s="64">
        <f>SUMIF('04.2026'!B:B,'ANÁLISE DE RESULTADO'!B34,'04.2026'!G:G)</f>
        <v>-60778.340000000004</v>
      </c>
    </row>
    <row r="35" spans="1:7" x14ac:dyDescent="0.25">
      <c r="A35" s="53" t="s">
        <v>325</v>
      </c>
      <c r="B35" s="20">
        <v>4049</v>
      </c>
      <c r="C35" s="20" t="s">
        <v>142</v>
      </c>
      <c r="D35" s="64">
        <f>SUMIF('01.2026'!B:B,'ANÁLISE DE RESULTADO'!B35,'01.2026'!G:G)</f>
        <v>-65490.380000000005</v>
      </c>
      <c r="E35" s="64">
        <f>SUMIF('02.2026'!B:B,'ANÁLISE DE RESULTADO'!B35,'02.2026'!G:G)</f>
        <v>13648.259999999995</v>
      </c>
      <c r="F35" s="64">
        <f>SUMIF('03.2026'!B:B,'ANÁLISE DE RESULTADO'!B35,'03.2026'!G:G)</f>
        <v>-20883.310000000005</v>
      </c>
      <c r="G35" s="64">
        <f>SUMIF('04.2026'!B:B,'ANÁLISE DE RESULTADO'!B35,'04.2026'!G:G)</f>
        <v>-9597.5</v>
      </c>
    </row>
    <row r="36" spans="1:7" x14ac:dyDescent="0.25">
      <c r="A36" s="78" t="s">
        <v>324</v>
      </c>
      <c r="B36" s="79">
        <v>4855</v>
      </c>
      <c r="C36" s="79" t="s">
        <v>141</v>
      </c>
      <c r="D36" s="80">
        <f>SUMIF('01.2026'!B:B,'ANÁLISE DE RESULTADO'!B36,'01.2026'!G:G)</f>
        <v>-41081.090000000011</v>
      </c>
      <c r="E36" s="80">
        <f>SUMIF('02.2026'!B:B,'ANÁLISE DE RESULTADO'!B36,'02.2026'!G:G)</f>
        <v>-14057.57</v>
      </c>
      <c r="F36" s="80">
        <f>SUMIF('03.2026'!B:B,'ANÁLISE DE RESULTADO'!B36,'03.2026'!G:G)</f>
        <v>-17627.010000000002</v>
      </c>
      <c r="G36" s="80">
        <f>SUMIF('04.2026'!B:B,'ANÁLISE DE RESULTADO'!B36,'04.2026'!G:G)</f>
        <v>-68400.19</v>
      </c>
    </row>
    <row r="37" spans="1:7" s="99" customFormat="1" ht="16.05" customHeight="1" x14ac:dyDescent="0.25">
      <c r="A37" s="92"/>
      <c r="B37" s="93"/>
      <c r="C37" s="93" t="s">
        <v>419</v>
      </c>
      <c r="D37" s="94">
        <f>(D15+D19+D30+D33)</f>
        <v>98857.490000000049</v>
      </c>
      <c r="E37" s="94">
        <f>(E15+E19+E30+E33)</f>
        <v>63100.969999999928</v>
      </c>
      <c r="F37" s="94">
        <f>(F15+F19+F30+F33)</f>
        <v>297542.53999999986</v>
      </c>
      <c r="G37" s="94">
        <f>(G15+G19+G30+G33)</f>
        <v>-79031.89999999982</v>
      </c>
    </row>
    <row r="38" spans="1:7" s="99" customFormat="1" ht="16.05" customHeight="1" x14ac:dyDescent="0.25">
      <c r="A38" s="100"/>
      <c r="B38" s="101"/>
      <c r="C38" s="101" t="s">
        <v>420</v>
      </c>
      <c r="D38" s="102">
        <f>D37/D15</f>
        <v>0.15204288007224917</v>
      </c>
      <c r="E38" s="102">
        <f>E37/E15</f>
        <v>0.14889609635595488</v>
      </c>
      <c r="F38" s="102">
        <f>F37/F15</f>
        <v>0.39684882264252735</v>
      </c>
      <c r="G38" s="102">
        <f>G37/G15</f>
        <v>-0.18056597928574356</v>
      </c>
    </row>
    <row r="39" spans="1:7" ht="14.4" x14ac:dyDescent="0.3">
      <c r="A39" s="85" t="s">
        <v>328</v>
      </c>
      <c r="B39" s="86"/>
      <c r="C39" s="86" t="s">
        <v>144</v>
      </c>
      <c r="D39" s="87">
        <f>SUM(D40:D49)</f>
        <v>-129748.94999999998</v>
      </c>
      <c r="E39" s="87">
        <f t="shared" ref="E39:G39" si="30">SUM(E40:E49)</f>
        <v>-115799.85999999999</v>
      </c>
      <c r="F39" s="87">
        <f t="shared" si="30"/>
        <v>-74183.76999999999</v>
      </c>
      <c r="G39" s="87">
        <f t="shared" si="30"/>
        <v>-50316.840000000004</v>
      </c>
    </row>
    <row r="40" spans="1:7" x14ac:dyDescent="0.25">
      <c r="A40" s="53" t="s">
        <v>385</v>
      </c>
      <c r="B40" s="20">
        <v>1465</v>
      </c>
      <c r="C40" s="20" t="s">
        <v>376</v>
      </c>
      <c r="D40" s="66">
        <f>SUMIF('01.2026'!B:B,'ANÁLISE DE RESULTADO'!B40,'01.2026'!G:G)</f>
        <v>0</v>
      </c>
      <c r="E40" s="64">
        <f>SUMIF('02.2026'!B:B,'ANÁLISE DE RESULTADO'!B40,'02.2026'!G:G)</f>
        <v>-34669.89</v>
      </c>
      <c r="F40" s="64">
        <f>SUMIF('03.2026'!B:B,'ANÁLISE DE RESULTADO'!B40,'03.2026'!G:G)</f>
        <v>-1182.42</v>
      </c>
      <c r="G40" s="64">
        <f>SUMIF('04.2026'!B:B,'ANÁLISE DE RESULTADO'!B40,'04.2026'!G:G)</f>
        <v>-1916.23</v>
      </c>
    </row>
    <row r="41" spans="1:7" x14ac:dyDescent="0.25">
      <c r="A41" s="53" t="s">
        <v>330</v>
      </c>
      <c r="B41" s="20">
        <v>1473</v>
      </c>
      <c r="C41" s="20" t="s">
        <v>146</v>
      </c>
      <c r="D41" s="64">
        <f>SUMIF('01.2026'!B:B,'ANÁLISE DE RESULTADO'!B41,'01.2026'!G:G)</f>
        <v>-4406.88</v>
      </c>
      <c r="E41" s="64">
        <f>SUMIF('02.2026'!B:B,'ANÁLISE DE RESULTADO'!B41,'02.2026'!G:G)</f>
        <v>-2299.4899999999998</v>
      </c>
      <c r="F41" s="66">
        <f>SUMIF('03.2026'!B:B,'ANÁLISE DE RESULTADO'!B41,'03.2026'!G:G)</f>
        <v>0</v>
      </c>
      <c r="G41" s="64">
        <f>SUMIF('04.2026'!B:B,'ANÁLISE DE RESULTADO'!B41,'04.2026'!G:G)</f>
        <v>-2107.25</v>
      </c>
    </row>
    <row r="42" spans="1:7" x14ac:dyDescent="0.25">
      <c r="A42" s="53" t="s">
        <v>331</v>
      </c>
      <c r="B42" s="20">
        <v>1481</v>
      </c>
      <c r="C42" s="20" t="s">
        <v>147</v>
      </c>
      <c r="D42" s="64">
        <f>SUMIF('01.2026'!B:B,'ANÁLISE DE RESULTADO'!B42,'01.2026'!G:G)</f>
        <v>-6982.89</v>
      </c>
      <c r="E42" s="64">
        <f>SUMIF('02.2026'!B:B,'ANÁLISE DE RESULTADO'!B42,'02.2026'!G:G)</f>
        <v>-5803.62</v>
      </c>
      <c r="F42" s="64">
        <f>SUMIF('03.2026'!B:B,'ANÁLISE DE RESULTADO'!B42,'03.2026'!G:G)</f>
        <v>-7287.64</v>
      </c>
      <c r="G42" s="64">
        <f>SUMIF('04.2026'!B:B,'ANÁLISE DE RESULTADO'!B42,'04.2026'!G:G)</f>
        <v>-3128.77</v>
      </c>
    </row>
    <row r="43" spans="1:7" x14ac:dyDescent="0.25">
      <c r="A43" s="53" t="s">
        <v>332</v>
      </c>
      <c r="B43" s="20">
        <v>1490</v>
      </c>
      <c r="C43" s="20" t="s">
        <v>148</v>
      </c>
      <c r="D43" s="64">
        <f>SUMIF('01.2026'!B:B,'ANÁLISE DE RESULTADO'!B43,'01.2026'!G:G)</f>
        <v>-23392.71</v>
      </c>
      <c r="E43" s="64">
        <f>SUMIF('02.2026'!B:B,'ANÁLISE DE RESULTADO'!B43,'02.2026'!G:G)</f>
        <v>-15861.44</v>
      </c>
      <c r="F43" s="64">
        <f>SUMIF('03.2026'!B:B,'ANÁLISE DE RESULTADO'!B43,'03.2026'!G:G)</f>
        <v>-12366.34</v>
      </c>
      <c r="G43" s="64">
        <f>SUMIF('04.2026'!B:B,'ANÁLISE DE RESULTADO'!B43,'04.2026'!G:G)</f>
        <v>-10481.370000000001</v>
      </c>
    </row>
    <row r="44" spans="1:7" x14ac:dyDescent="0.25">
      <c r="A44" s="53" t="s">
        <v>336</v>
      </c>
      <c r="B44" s="20">
        <v>1503</v>
      </c>
      <c r="C44" s="20" t="s">
        <v>150</v>
      </c>
      <c r="D44" s="64">
        <f>SUMIF('01.2026'!B:B,'ANÁLISE DE RESULTADO'!B44,'01.2026'!G:G)</f>
        <v>-40541.53</v>
      </c>
      <c r="E44" s="64">
        <f>SUMIF('02.2026'!B:B,'ANÁLISE DE RESULTADO'!B44,'02.2026'!G:G)</f>
        <v>-38630.39</v>
      </c>
      <c r="F44" s="64">
        <f>SUMIF('03.2026'!B:B,'ANÁLISE DE RESULTADO'!B44,'03.2026'!G:G)</f>
        <v>-40051.129999999997</v>
      </c>
      <c r="G44" s="64">
        <f>SUMIF('04.2026'!B:B,'ANÁLISE DE RESULTADO'!B44,'04.2026'!G:G)</f>
        <v>-27899.18</v>
      </c>
    </row>
    <row r="45" spans="1:7" x14ac:dyDescent="0.25">
      <c r="A45" s="53" t="s">
        <v>334</v>
      </c>
      <c r="B45" s="20">
        <v>1546</v>
      </c>
      <c r="C45" s="20" t="s">
        <v>86</v>
      </c>
      <c r="D45" s="64">
        <f>SUMIF('01.2026'!B:B,'ANÁLISE DE RESULTADO'!B45,'01.2026'!G:G)</f>
        <v>-39976.480000000003</v>
      </c>
      <c r="E45" s="64">
        <f>SUMIF('02.2026'!B:B,'ANÁLISE DE RESULTADO'!B45,'02.2026'!G:G)</f>
        <v>-4803.3599999999997</v>
      </c>
      <c r="F45" s="64">
        <f>SUMIF('03.2026'!B:B,'ANÁLISE DE RESULTADO'!B45,'03.2026'!G:G)</f>
        <v>-6097.84</v>
      </c>
      <c r="G45" s="64">
        <f>SUMIF('04.2026'!B:B,'ANÁLISE DE RESULTADO'!B45,'04.2026'!G:G)</f>
        <v>-557.99</v>
      </c>
    </row>
    <row r="46" spans="1:7" x14ac:dyDescent="0.25">
      <c r="A46" s="53" t="s">
        <v>333</v>
      </c>
      <c r="B46" s="20">
        <v>1554</v>
      </c>
      <c r="C46" s="20" t="s">
        <v>82</v>
      </c>
      <c r="D46" s="64">
        <f>SUMIF('01.2026'!B:B,'ANÁLISE DE RESULTADO'!B46,'01.2026'!G:G)</f>
        <v>-3855.89</v>
      </c>
      <c r="E46" s="64">
        <f>SUMIF('02.2026'!B:B,'ANÁLISE DE RESULTADO'!B46,'02.2026'!G:G)</f>
        <v>-4434.01</v>
      </c>
      <c r="F46" s="64">
        <f>SUMIF('03.2026'!B:B,'ANÁLISE DE RESULTADO'!B46,'03.2026'!G:G)</f>
        <v>-3398.86</v>
      </c>
      <c r="G46" s="64">
        <f>SUMIF('04.2026'!B:B,'ANÁLISE DE RESULTADO'!B46,'04.2026'!G:G)</f>
        <v>-3135.07</v>
      </c>
    </row>
    <row r="47" spans="1:7" x14ac:dyDescent="0.25">
      <c r="A47" s="53" t="s">
        <v>335</v>
      </c>
      <c r="B47" s="20">
        <v>1570</v>
      </c>
      <c r="C47" s="20" t="s">
        <v>149</v>
      </c>
      <c r="D47" s="64">
        <f>SUMIF('01.2026'!B:B,'ANÁLISE DE RESULTADO'!B47,'01.2026'!G:G)</f>
        <v>-1339.15</v>
      </c>
      <c r="E47" s="64">
        <f>SUMIF('02.2026'!B:B,'ANÁLISE DE RESULTADO'!B47,'02.2026'!G:G)</f>
        <v>-1543.04</v>
      </c>
      <c r="F47" s="64">
        <f>SUMIF('03.2026'!B:B,'ANÁLISE DE RESULTADO'!B47,'03.2026'!G:G)</f>
        <v>-1182.78</v>
      </c>
      <c r="G47" s="64">
        <f>SUMIF('04.2026'!B:B,'ANÁLISE DE RESULTADO'!B47,'04.2026'!G:G)</f>
        <v>-1090.98</v>
      </c>
    </row>
    <row r="48" spans="1:7" x14ac:dyDescent="0.25">
      <c r="A48" s="53" t="s">
        <v>337</v>
      </c>
      <c r="B48" s="20">
        <v>1597</v>
      </c>
      <c r="C48" s="20" t="s">
        <v>151</v>
      </c>
      <c r="D48" s="64">
        <f>SUMIF('01.2026'!B:B,'ANÁLISE DE RESULTADO'!B48,'01.2026'!G:G)</f>
        <v>-1575</v>
      </c>
      <c r="E48" s="64">
        <f>SUMIF('02.2026'!B:B,'ANÁLISE DE RESULTADO'!B48,'02.2026'!G:G)</f>
        <v>-80</v>
      </c>
      <c r="F48" s="66">
        <f>SUMIF('03.2026'!B:B,'ANÁLISE DE RESULTADO'!B48,'03.2026'!G:G)</f>
        <v>0</v>
      </c>
      <c r="G48" s="66">
        <f>SUMIF('04.2026'!B:B,'ANÁLISE DE RESULTADO'!B48,'04.2026'!G:G)</f>
        <v>0</v>
      </c>
    </row>
    <row r="49" spans="1:7" x14ac:dyDescent="0.25">
      <c r="A49" s="78" t="s">
        <v>329</v>
      </c>
      <c r="B49" s="79">
        <v>1619</v>
      </c>
      <c r="C49" s="79" t="s">
        <v>145</v>
      </c>
      <c r="D49" s="80">
        <f>SUMIF('01.2026'!B:B,'ANÁLISE DE RESULTADO'!B49,'01.2026'!G:G)</f>
        <v>-7678.42</v>
      </c>
      <c r="E49" s="80">
        <f>SUMIF('02.2026'!B:B,'ANÁLISE DE RESULTADO'!B49,'02.2026'!G:G)</f>
        <v>-7674.62</v>
      </c>
      <c r="F49" s="80">
        <f>SUMIF('03.2026'!B:B,'ANÁLISE DE RESULTADO'!B49,'03.2026'!G:G)</f>
        <v>-2616.7600000000002</v>
      </c>
      <c r="G49" s="84">
        <f>SUMIF('04.2026'!B:B,'ANÁLISE DE RESULTADO'!B49,'04.2026'!G:G)</f>
        <v>0</v>
      </c>
    </row>
    <row r="50" spans="1:7" ht="16.05" customHeight="1" x14ac:dyDescent="0.25">
      <c r="A50" s="97"/>
      <c r="B50" s="98"/>
      <c r="C50" s="93" t="s">
        <v>422</v>
      </c>
      <c r="D50" s="94">
        <f>D27+D29</f>
        <v>-343929.5199999999</v>
      </c>
      <c r="E50" s="94">
        <f>E27+E29</f>
        <v>-320638.24000000011</v>
      </c>
      <c r="F50" s="94">
        <f>F27+F29</f>
        <v>-65333.090000000084</v>
      </c>
      <c r="G50" s="94">
        <f>G27+G29</f>
        <v>-367791.89999999979</v>
      </c>
    </row>
    <row r="51" spans="1:7" ht="16.05" customHeight="1" x14ac:dyDescent="0.25">
      <c r="A51" s="97"/>
      <c r="B51" s="98"/>
      <c r="C51" s="93" t="s">
        <v>423</v>
      </c>
      <c r="D51" s="95">
        <f>D50/D15</f>
        <v>-0.52896381207601151</v>
      </c>
      <c r="E51" s="95">
        <f t="shared" ref="E51:G51" si="31">E50/E15</f>
        <v>-0.75659347674756594</v>
      </c>
      <c r="F51" s="95">
        <f t="shared" si="31"/>
        <v>-8.7138329349807669E-2</v>
      </c>
      <c r="G51" s="95">
        <f t="shared" si="31"/>
        <v>-0.84030251831050984</v>
      </c>
    </row>
    <row r="52" spans="1:7" ht="14.4" x14ac:dyDescent="0.3">
      <c r="A52" s="85" t="s">
        <v>338</v>
      </c>
      <c r="B52" s="86"/>
      <c r="C52" s="86" t="s">
        <v>152</v>
      </c>
      <c r="D52" s="87">
        <f>D53+D56+D63+D68</f>
        <v>-147670.77000000002</v>
      </c>
      <c r="E52" s="87">
        <f>E53+E56+E63+E68</f>
        <v>-114659.44</v>
      </c>
      <c r="F52" s="87">
        <f>F53+F56+F63+F68</f>
        <v>-135276.72999999998</v>
      </c>
      <c r="G52" s="87">
        <f>G53+G56+G63+G68</f>
        <v>-128741.40000000001</v>
      </c>
    </row>
    <row r="53" spans="1:7" ht="14.4" x14ac:dyDescent="0.3">
      <c r="A53" s="59" t="s">
        <v>339</v>
      </c>
      <c r="B53" s="60"/>
      <c r="C53" s="60" t="s">
        <v>153</v>
      </c>
      <c r="D53" s="67">
        <f>SUM(D54:D55)</f>
        <v>-1844.6100000000001</v>
      </c>
      <c r="E53" s="67">
        <f t="shared" ref="E53:G53" si="32">SUM(E54:E55)</f>
        <v>-723.61</v>
      </c>
      <c r="F53" s="67">
        <f t="shared" si="32"/>
        <v>-343.61</v>
      </c>
      <c r="G53" s="67">
        <f t="shared" si="32"/>
        <v>-583.61</v>
      </c>
    </row>
    <row r="54" spans="1:7" x14ac:dyDescent="0.25">
      <c r="A54" s="53" t="s">
        <v>340</v>
      </c>
      <c r="B54" s="20">
        <v>1864</v>
      </c>
      <c r="C54" s="20" t="s">
        <v>154</v>
      </c>
      <c r="D54" s="64">
        <f>SUMIF('01.2026'!B:B,'ANÁLISE DE RESULTADO'!B54,'01.2026'!G:G)</f>
        <v>-1700</v>
      </c>
      <c r="E54" s="64">
        <f>SUMIF('02.2026'!B:B,'ANÁLISE DE RESULTADO'!B54,'02.2026'!G:G)</f>
        <v>-579</v>
      </c>
      <c r="F54" s="64">
        <f>SUMIF('03.2026'!B:B,'ANÁLISE DE RESULTADO'!B54,'03.2026'!G:G)</f>
        <v>-199</v>
      </c>
      <c r="G54" s="64">
        <f>SUMIF('04.2026'!B:B,'ANÁLISE DE RESULTADO'!B54,'04.2026'!G:G)</f>
        <v>-199</v>
      </c>
    </row>
    <row r="55" spans="1:7" x14ac:dyDescent="0.25">
      <c r="A55" s="53" t="s">
        <v>341</v>
      </c>
      <c r="B55" s="20">
        <v>1872</v>
      </c>
      <c r="C55" s="20" t="s">
        <v>155</v>
      </c>
      <c r="D55" s="64">
        <f>SUMIF('01.2026'!B:B,'ANÁLISE DE RESULTADO'!B55,'01.2026'!G:G)</f>
        <v>-144.61000000000001</v>
      </c>
      <c r="E55" s="64">
        <f>SUMIF('02.2026'!B:B,'ANÁLISE DE RESULTADO'!B55,'02.2026'!G:G)</f>
        <v>-144.61000000000001</v>
      </c>
      <c r="F55" s="64">
        <f>SUMIF('03.2026'!B:B,'ANÁLISE DE RESULTADO'!B55,'03.2026'!G:G)</f>
        <v>-144.61000000000001</v>
      </c>
      <c r="G55" s="64">
        <f>SUMIF('04.2026'!B:B,'ANÁLISE DE RESULTADO'!B55,'04.2026'!G:G)</f>
        <v>-384.61</v>
      </c>
    </row>
    <row r="56" spans="1:7" ht="14.4" x14ac:dyDescent="0.3">
      <c r="A56" s="59" t="s">
        <v>342</v>
      </c>
      <c r="B56" s="60"/>
      <c r="C56" s="60" t="s">
        <v>156</v>
      </c>
      <c r="D56" s="67">
        <f>SUM(D57:D62)</f>
        <v>-498.22</v>
      </c>
      <c r="E56" s="67">
        <f t="shared" ref="E56:G56" si="33">SUM(E57:E62)</f>
        <v>-539.37</v>
      </c>
      <c r="F56" s="67">
        <f t="shared" si="33"/>
        <v>-489.4</v>
      </c>
      <c r="G56" s="67">
        <f t="shared" si="33"/>
        <v>-3629.69</v>
      </c>
    </row>
    <row r="57" spans="1:7" x14ac:dyDescent="0.25">
      <c r="A57" s="53" t="s">
        <v>386</v>
      </c>
      <c r="B57" s="20">
        <v>4103</v>
      </c>
      <c r="C57" s="20" t="s">
        <v>377</v>
      </c>
      <c r="D57" s="66">
        <f>SUMIF('01.2026'!B:B,'ANÁLISE DE RESULTADO'!B57,'01.2026'!G:G)</f>
        <v>0</v>
      </c>
      <c r="E57" s="64">
        <f>SUMIF('02.2026'!B:B,'ANÁLISE DE RESULTADO'!B57,'02.2026'!G:G)</f>
        <v>-200</v>
      </c>
      <c r="F57" s="66">
        <f>SUMIF('03.2026'!B:B,'ANÁLISE DE RESULTADO'!B57,'03.2026'!G:G)</f>
        <v>0</v>
      </c>
      <c r="G57" s="66">
        <f>SUMIF('04.2026'!B:B,'ANÁLISE DE RESULTADO'!B57,'04.2026'!G:G)</f>
        <v>0</v>
      </c>
    </row>
    <row r="58" spans="1:7" x14ac:dyDescent="0.25">
      <c r="A58" s="53" t="s">
        <v>391</v>
      </c>
      <c r="B58" s="20">
        <v>4170</v>
      </c>
      <c r="C58" s="20" t="s">
        <v>389</v>
      </c>
      <c r="D58" s="66">
        <f>SUMIF('01.2026'!B:B,'ANÁLISE DE RESULTADO'!B58,'01.2026'!G:G)</f>
        <v>0</v>
      </c>
      <c r="E58" s="66">
        <f>SUMIF('02.2026'!B:B,'ANÁLISE DE RESULTADO'!B58,'02.2026'!G:G)</f>
        <v>0</v>
      </c>
      <c r="F58" s="64">
        <f>SUMIF('03.2026'!B:B,'ANÁLISE DE RESULTADO'!B58,'03.2026'!G:G)</f>
        <v>-417</v>
      </c>
      <c r="G58" s="66">
        <f>SUMIF('04.2026'!B:B,'ANÁLISE DE RESULTADO'!B58,'04.2026'!G:G)</f>
        <v>-100</v>
      </c>
    </row>
    <row r="59" spans="1:7" x14ac:dyDescent="0.25">
      <c r="A59" s="53" t="s">
        <v>402</v>
      </c>
      <c r="B59" s="20">
        <v>4189</v>
      </c>
      <c r="C59" s="20" t="s">
        <v>403</v>
      </c>
      <c r="D59" s="66">
        <f>SUMIF('01.2026'!B:B,'ANÁLISE DE RESULTADO'!B59,'01.2026'!G:G)</f>
        <v>0</v>
      </c>
      <c r="E59" s="66">
        <f>SUMIF('02.2026'!B:B,'ANÁLISE DE RESULTADO'!B59,'02.2026'!G:G)</f>
        <v>0</v>
      </c>
      <c r="F59" s="66">
        <f>SUMIF('03.2026'!B:B,'ANÁLISE DE RESULTADO'!B59,'03.2026'!G:G)</f>
        <v>0</v>
      </c>
      <c r="G59" s="64">
        <f>SUMIF('04.2026'!B:B,'ANÁLISE DE RESULTADO'!B59,'04.2026'!G:G)</f>
        <v>0</v>
      </c>
    </row>
    <row r="60" spans="1:7" x14ac:dyDescent="0.25">
      <c r="A60" s="53" t="s">
        <v>396</v>
      </c>
      <c r="B60" s="20">
        <v>4200</v>
      </c>
      <c r="C60" s="20" t="s">
        <v>395</v>
      </c>
      <c r="D60" s="64">
        <f>SUMIF('01.2026'!B:B,'ANÁLISE DE RESULTADO'!B60,'01.2026'!G:G)</f>
        <v>-376</v>
      </c>
      <c r="E60" s="66">
        <f>SUMIF('02.2026'!B:B,'ANÁLISE DE RESULTADO'!B60,'02.2026'!G:G)</f>
        <v>0</v>
      </c>
      <c r="F60" s="66">
        <f>SUMIF('03.2026'!B:B,'ANÁLISE DE RESULTADO'!B60,'03.2026'!G:G)</f>
        <v>0</v>
      </c>
      <c r="G60" s="66">
        <f>SUMIF('04.2026'!B:B,'ANÁLISE DE RESULTADO'!B60,'04.2026'!G:G)</f>
        <v>0</v>
      </c>
    </row>
    <row r="61" spans="1:7" x14ac:dyDescent="0.25">
      <c r="A61" s="53" t="s">
        <v>343</v>
      </c>
      <c r="B61" s="20">
        <v>4235</v>
      </c>
      <c r="C61" s="20" t="s">
        <v>157</v>
      </c>
      <c r="D61" s="64">
        <f>SUMIF('01.2026'!B:B,'ANÁLISE DE RESULTADO'!B61,'01.2026'!G:G)</f>
        <v>-122.22</v>
      </c>
      <c r="E61" s="66">
        <f>SUMIF('02.2026'!B:B,'ANÁLISE DE RESULTADO'!B61,'02.2026'!G:G)</f>
        <v>0</v>
      </c>
      <c r="F61" s="66">
        <f>SUMIF('03.2026'!B:B,'ANÁLISE DE RESULTADO'!B61,'03.2026'!G:G)</f>
        <v>0</v>
      </c>
      <c r="G61" s="66">
        <f>SUMIF('04.2026'!B:B,'ANÁLISE DE RESULTADO'!B61,'04.2026'!G:G)</f>
        <v>-3436.85</v>
      </c>
    </row>
    <row r="62" spans="1:7" x14ac:dyDescent="0.25">
      <c r="A62" s="53" t="s">
        <v>387</v>
      </c>
      <c r="B62" s="20">
        <v>4286</v>
      </c>
      <c r="C62" s="20" t="s">
        <v>378</v>
      </c>
      <c r="D62" s="66">
        <f>SUMIF('01.2026'!B:B,'ANÁLISE DE RESULTADO'!B62,'01.2026'!G:G)</f>
        <v>0</v>
      </c>
      <c r="E62" s="64">
        <f>SUMIF('02.2026'!B:B,'ANÁLISE DE RESULTADO'!B62,'02.2026'!G:G)</f>
        <v>-339.37</v>
      </c>
      <c r="F62" s="64">
        <f>SUMIF('03.2026'!B:B,'ANÁLISE DE RESULTADO'!B62,'03.2026'!G:G)</f>
        <v>-72.400000000000006</v>
      </c>
      <c r="G62" s="64">
        <f>SUMIF('04.2026'!B:B,'ANÁLISE DE RESULTADO'!B62,'04.2026'!G:G)</f>
        <v>-92.84</v>
      </c>
    </row>
    <row r="63" spans="1:7" ht="14.4" x14ac:dyDescent="0.3">
      <c r="A63" s="59" t="s">
        <v>344</v>
      </c>
      <c r="B63" s="60"/>
      <c r="C63" s="60" t="s">
        <v>158</v>
      </c>
      <c r="D63" s="67">
        <f>SUM(D64:D67)</f>
        <v>-120147.16</v>
      </c>
      <c r="E63" s="67">
        <f>SUM(E64:E67)</f>
        <v>-104715.19</v>
      </c>
      <c r="F63" s="67">
        <f>SUM(F64:F67)</f>
        <v>-92374.69</v>
      </c>
      <c r="G63" s="67">
        <f>SUM(G64:G67)</f>
        <v>-102769.77</v>
      </c>
    </row>
    <row r="64" spans="1:7" x14ac:dyDescent="0.25">
      <c r="A64" s="53" t="s">
        <v>347</v>
      </c>
      <c r="B64" s="20">
        <v>4316</v>
      </c>
      <c r="C64" s="20" t="s">
        <v>161</v>
      </c>
      <c r="D64" s="64">
        <f>SUMIF('01.2026'!B:B,'ANÁLISE DE RESULTADO'!B64,'01.2026'!G:G)</f>
        <v>-2000</v>
      </c>
      <c r="E64" s="64">
        <f>SUMIF('02.2026'!B:B,'ANÁLISE DE RESULTADO'!B64,'02.2026'!G:G)</f>
        <v>-6867</v>
      </c>
      <c r="F64" s="64">
        <f>SUMIF('03.2026'!B:B,'ANÁLISE DE RESULTADO'!B64,'03.2026'!G:G)</f>
        <v>-6866</v>
      </c>
      <c r="G64" s="64">
        <f>SUMIF('04.2026'!B:B,'ANÁLISE DE RESULTADO'!B64,'04.2026'!G:G)</f>
        <v>-3066</v>
      </c>
    </row>
    <row r="65" spans="1:7" x14ac:dyDescent="0.25">
      <c r="A65" s="53" t="s">
        <v>345</v>
      </c>
      <c r="B65" s="20">
        <v>4324</v>
      </c>
      <c r="C65" s="20" t="s">
        <v>159</v>
      </c>
      <c r="D65" s="64">
        <f>SUMIF('01.2026'!B:B,'ANÁLISE DE RESULTADO'!B65,'01.2026'!G:G)</f>
        <v>-40280</v>
      </c>
      <c r="E65" s="64">
        <f>SUMIF('02.2026'!B:B,'ANÁLISE DE RESULTADO'!B65,'02.2026'!G:G)</f>
        <v>-40280</v>
      </c>
      <c r="F65" s="64">
        <f>SUMIF('03.2026'!B:B,'ANÁLISE DE RESULTADO'!B65,'03.2026'!G:G)</f>
        <v>-40280</v>
      </c>
      <c r="G65" s="64">
        <f>SUMIF('04.2026'!B:B,'ANÁLISE DE RESULTADO'!B65,'04.2026'!G:G)</f>
        <v>-40280</v>
      </c>
    </row>
    <row r="66" spans="1:7" x14ac:dyDescent="0.25">
      <c r="A66" s="53" t="s">
        <v>346</v>
      </c>
      <c r="B66" s="20">
        <v>4332</v>
      </c>
      <c r="C66" s="20" t="s">
        <v>160</v>
      </c>
      <c r="D66" s="64">
        <f>SUMIF('01.2026'!B:B,'ANÁLISE DE RESULTADO'!B66,'01.2026'!G:G)</f>
        <v>-69258.36</v>
      </c>
      <c r="E66" s="64">
        <f>SUMIF('02.2026'!B:B,'ANÁLISE DE RESULTADO'!B66,'02.2026'!G:G)</f>
        <v>-47311.39</v>
      </c>
      <c r="F66" s="64">
        <f>SUMIF('03.2026'!B:B,'ANÁLISE DE RESULTADO'!B66,'03.2026'!G:G)</f>
        <v>-40887.160000000003</v>
      </c>
      <c r="G66" s="64">
        <f>SUMIF('04.2026'!B:B,'ANÁLISE DE RESULTADO'!B66,'04.2026'!G:G)</f>
        <v>-50674.44</v>
      </c>
    </row>
    <row r="67" spans="1:7" x14ac:dyDescent="0.25">
      <c r="A67" s="53" t="s">
        <v>348</v>
      </c>
      <c r="B67" s="20">
        <v>4340</v>
      </c>
      <c r="C67" s="20" t="s">
        <v>162</v>
      </c>
      <c r="D67" s="64">
        <f>SUMIF('01.2026'!B:B,'ANÁLISE DE RESULTADO'!B67,'01.2026'!G:G)</f>
        <v>-8608.7999999999993</v>
      </c>
      <c r="E67" s="64">
        <f>SUMIF('02.2026'!B:B,'ANÁLISE DE RESULTADO'!B67,'02.2026'!G:G)</f>
        <v>-10256.799999999999</v>
      </c>
      <c r="F67" s="64">
        <f>SUMIF('03.2026'!B:B,'ANÁLISE DE RESULTADO'!B67,'03.2026'!G:G)</f>
        <v>-4341.53</v>
      </c>
      <c r="G67" s="64">
        <f>SUMIF('04.2026'!B:B,'ANÁLISE DE RESULTADO'!B67,'04.2026'!G:G)</f>
        <v>-8749.33</v>
      </c>
    </row>
    <row r="68" spans="1:7" ht="14.4" x14ac:dyDescent="0.3">
      <c r="A68" s="59" t="s">
        <v>349</v>
      </c>
      <c r="B68" s="60"/>
      <c r="C68" s="60" t="s">
        <v>163</v>
      </c>
      <c r="D68" s="67">
        <f>SUM(D69:D69)</f>
        <v>-25180.78</v>
      </c>
      <c r="E68" s="67">
        <f>SUM(E69:E69)</f>
        <v>-8681.27</v>
      </c>
      <c r="F68" s="67">
        <f>SUM(F69:F69)</f>
        <v>-42069.03</v>
      </c>
      <c r="G68" s="67">
        <f>SUM(G69:G69)</f>
        <v>-21758.33</v>
      </c>
    </row>
    <row r="69" spans="1:7" x14ac:dyDescent="0.25">
      <c r="A69" s="53" t="s">
        <v>350</v>
      </c>
      <c r="B69" s="20">
        <v>4251</v>
      </c>
      <c r="C69" s="20" t="s">
        <v>164</v>
      </c>
      <c r="D69" s="64">
        <f>SUMIF('01.2026'!B:B,'ANÁLISE DE RESULTADO'!B69,'01.2026'!G:G)</f>
        <v>-25180.78</v>
      </c>
      <c r="E69" s="64">
        <f>SUMIF('02.2026'!B:B,'ANÁLISE DE RESULTADO'!B69,'02.2026'!G:G)</f>
        <v>-8681.27</v>
      </c>
      <c r="F69" s="64">
        <f>SUMIF('03.2026'!B:B,'ANÁLISE DE RESULTADO'!B69,'03.2026'!G:G)</f>
        <v>-42069.03</v>
      </c>
      <c r="G69" s="64">
        <f>SUMIF('04.2026'!B:B,'ANÁLISE DE RESULTADO'!B69,'04.2026'!G:G)</f>
        <v>-21758.33</v>
      </c>
    </row>
    <row r="70" spans="1:7" ht="14.4" x14ac:dyDescent="0.3">
      <c r="A70" s="59" t="s">
        <v>352</v>
      </c>
      <c r="B70" s="60"/>
      <c r="C70" s="60" t="s">
        <v>166</v>
      </c>
      <c r="D70" s="67">
        <f>SUM(D71:D74)</f>
        <v>-6083.86</v>
      </c>
      <c r="E70" s="67">
        <f t="shared" ref="E70:G70" si="34">SUM(E71:E74)</f>
        <v>-6083.86</v>
      </c>
      <c r="F70" s="67">
        <f t="shared" si="34"/>
        <v>-6083.86</v>
      </c>
      <c r="G70" s="67">
        <f t="shared" si="34"/>
        <v>-6083.86</v>
      </c>
    </row>
    <row r="71" spans="1:7" x14ac:dyDescent="0.25">
      <c r="A71" s="53" t="s">
        <v>354</v>
      </c>
      <c r="B71" s="20">
        <v>1996</v>
      </c>
      <c r="C71" s="20" t="s">
        <v>168</v>
      </c>
      <c r="D71" s="64">
        <f>SUMIF('01.2026'!B:B,'ANÁLISE DE RESULTADO'!B71,'01.2026'!G:G)</f>
        <v>-1666.29</v>
      </c>
      <c r="E71" s="64">
        <f>SUMIF('02.2026'!B:B,'ANÁLISE DE RESULTADO'!B71,'02.2026'!G:G)</f>
        <v>-1666.29</v>
      </c>
      <c r="F71" s="64">
        <f>SUMIF('03.2026'!B:B,'ANÁLISE DE RESULTADO'!B71,'03.2026'!G:G)</f>
        <v>-1666.29</v>
      </c>
      <c r="G71" s="64">
        <f>SUMIF('04.2026'!B:B,'ANÁLISE DE RESULTADO'!B71,'04.2026'!G:G)</f>
        <v>-1666.29</v>
      </c>
    </row>
    <row r="72" spans="1:7" x14ac:dyDescent="0.25">
      <c r="A72" s="53" t="s">
        <v>355</v>
      </c>
      <c r="B72" s="20">
        <v>2003</v>
      </c>
      <c r="C72" s="20" t="s">
        <v>169</v>
      </c>
      <c r="D72" s="64">
        <f>SUMIF('01.2026'!B:B,'ANÁLISE DE RESULTADO'!B72,'01.2026'!G:G)</f>
        <v>-84.66</v>
      </c>
      <c r="E72" s="64">
        <f>SUMIF('02.2026'!B:B,'ANÁLISE DE RESULTADO'!B72,'02.2026'!G:G)</f>
        <v>-84.66</v>
      </c>
      <c r="F72" s="64">
        <f>SUMIF('03.2026'!B:B,'ANÁLISE DE RESULTADO'!B72,'03.2026'!G:G)</f>
        <v>-84.66</v>
      </c>
      <c r="G72" s="64">
        <f>SUMIF('04.2026'!B:B,'ANÁLISE DE RESULTADO'!B72,'04.2026'!G:G)</f>
        <v>-84.66</v>
      </c>
    </row>
    <row r="73" spans="1:7" x14ac:dyDescent="0.25">
      <c r="A73" s="53" t="s">
        <v>353</v>
      </c>
      <c r="B73" s="20">
        <v>5797</v>
      </c>
      <c r="C73" s="20" t="s">
        <v>167</v>
      </c>
      <c r="D73" s="64">
        <f>SUMIF('01.2026'!B:B,'ANÁLISE DE RESULTADO'!B73,'01.2026'!G:G)</f>
        <v>-4316.67</v>
      </c>
      <c r="E73" s="64">
        <f>SUMIF('02.2026'!B:B,'ANÁLISE DE RESULTADO'!B73,'02.2026'!G:G)</f>
        <v>-4316.67</v>
      </c>
      <c r="F73" s="64">
        <f>SUMIF('03.2026'!B:B,'ANÁLISE DE RESULTADO'!B73,'03.2026'!G:G)</f>
        <v>-4316.67</v>
      </c>
      <c r="G73" s="64">
        <f>SUMIF('04.2026'!B:B,'ANÁLISE DE RESULTADO'!B73,'04.2026'!G:G)</f>
        <v>-4316.67</v>
      </c>
    </row>
    <row r="74" spans="1:7" x14ac:dyDescent="0.25">
      <c r="A74" s="53" t="s">
        <v>356</v>
      </c>
      <c r="B74" s="20">
        <v>5819</v>
      </c>
      <c r="C74" s="20" t="s">
        <v>170</v>
      </c>
      <c r="D74" s="64">
        <f>SUMIF('01.2026'!B:B,'ANÁLISE DE RESULTADO'!B74,'01.2026'!G:G)</f>
        <v>-16.239999999999998</v>
      </c>
      <c r="E74" s="64">
        <f>SUMIF('02.2026'!B:B,'ANÁLISE DE RESULTADO'!B74,'02.2026'!G:G)</f>
        <v>-16.239999999999998</v>
      </c>
      <c r="F74" s="64">
        <f>SUMIF('03.2026'!B:B,'ANÁLISE DE RESULTADO'!B74,'03.2026'!G:G)</f>
        <v>-16.239999999999998</v>
      </c>
      <c r="G74" s="64">
        <f>SUMIF('04.2026'!B:B,'ANÁLISE DE RESULTADO'!B74,'04.2026'!G:G)</f>
        <v>-16.239999999999998</v>
      </c>
    </row>
    <row r="75" spans="1:7" ht="16.05" customHeight="1" x14ac:dyDescent="0.25">
      <c r="A75" s="88"/>
      <c r="B75" s="89"/>
      <c r="C75" s="96" t="s">
        <v>421</v>
      </c>
      <c r="D75" s="90">
        <f>D50-D70</f>
        <v>-337845.65999999992</v>
      </c>
      <c r="E75" s="90">
        <f t="shared" ref="E75:G75" si="35">E50-E70</f>
        <v>-314554.38000000012</v>
      </c>
      <c r="F75" s="90">
        <f t="shared" si="35"/>
        <v>-59249.230000000083</v>
      </c>
      <c r="G75" s="90">
        <f t="shared" si="35"/>
        <v>-361708.0399999998</v>
      </c>
    </row>
    <row r="76" spans="1:7" ht="16.05" customHeight="1" x14ac:dyDescent="0.25">
      <c r="A76" s="88"/>
      <c r="B76" s="89"/>
      <c r="C76" s="96" t="s">
        <v>424</v>
      </c>
      <c r="D76" s="91">
        <f>D75/D15</f>
        <v>-0.51960683167567612</v>
      </c>
      <c r="E76" s="91">
        <f t="shared" ref="E76:G76" si="36">E75/E15</f>
        <v>-0.74223770686358259</v>
      </c>
      <c r="F76" s="91">
        <f t="shared" si="36"/>
        <v>-7.9023951223836278E-2</v>
      </c>
      <c r="G76" s="91">
        <f t="shared" si="36"/>
        <v>-0.82640258500842079</v>
      </c>
    </row>
    <row r="77" spans="1:7" ht="14.4" x14ac:dyDescent="0.3">
      <c r="A77" s="59" t="s">
        <v>357</v>
      </c>
      <c r="B77" s="60"/>
      <c r="C77" s="60" t="s">
        <v>171</v>
      </c>
      <c r="D77" s="67">
        <f>D78</f>
        <v>-9879.34</v>
      </c>
      <c r="E77" s="67">
        <f t="shared" ref="E77:G77" si="37">E78</f>
        <v>-22423.25</v>
      </c>
      <c r="F77" s="67">
        <f t="shared" si="37"/>
        <v>-13038.580000000002</v>
      </c>
      <c r="G77" s="67">
        <f t="shared" si="37"/>
        <v>-12361.02</v>
      </c>
    </row>
    <row r="78" spans="1:7" ht="14.4" x14ac:dyDescent="0.3">
      <c r="A78" s="59" t="s">
        <v>358</v>
      </c>
      <c r="B78" s="60"/>
      <c r="C78" s="60" t="s">
        <v>172</v>
      </c>
      <c r="D78" s="67">
        <f>SUM(D79:D81)</f>
        <v>-9879.34</v>
      </c>
      <c r="E78" s="67">
        <f t="shared" ref="E78:G78" si="38">SUM(E79:E81)</f>
        <v>-22423.25</v>
      </c>
      <c r="F78" s="67">
        <f t="shared" si="38"/>
        <v>-13038.580000000002</v>
      </c>
      <c r="G78" s="67">
        <f t="shared" si="38"/>
        <v>-12361.02</v>
      </c>
    </row>
    <row r="79" spans="1:7" x14ac:dyDescent="0.25">
      <c r="A79" s="53" t="s">
        <v>359</v>
      </c>
      <c r="B79" s="20">
        <v>4448</v>
      </c>
      <c r="C79" s="20" t="s">
        <v>173</v>
      </c>
      <c r="D79" s="64">
        <f>SUMIF('01.2026'!B:B,'ANÁLISE DE RESULTADO'!B79,'01.2026'!G:G)</f>
        <v>-1561.7</v>
      </c>
      <c r="E79" s="64">
        <f>SUMIF('02.2026'!B:B,'ANÁLISE DE RESULTADO'!B79,'02.2026'!G:G)</f>
        <v>-437.98</v>
      </c>
      <c r="F79" s="66">
        <f>SUMIF('03.2026'!B:B,'ANÁLISE DE RESULTADO'!B79,'03.2026'!G:G)</f>
        <v>0</v>
      </c>
      <c r="G79" s="64">
        <f>SUMIF('04.2026'!B:B,'ANÁLISE DE RESULTADO'!B79,'04.2026'!G:G)</f>
        <v>-2040</v>
      </c>
    </row>
    <row r="80" spans="1:7" x14ac:dyDescent="0.25">
      <c r="A80" s="53" t="s">
        <v>360</v>
      </c>
      <c r="B80" s="20">
        <v>3859</v>
      </c>
      <c r="C80" s="20" t="s">
        <v>174</v>
      </c>
      <c r="D80" s="64">
        <f>SUMIF('01.2026'!B:B,'ANÁLISE DE RESULTADO'!B80,'01.2026'!G:G)</f>
        <v>-1161.18</v>
      </c>
      <c r="E80" s="64">
        <f>SUMIF('02.2026'!B:B,'ANÁLISE DE RESULTADO'!B80,'02.2026'!G:G)</f>
        <v>-2104.77</v>
      </c>
      <c r="F80" s="64">
        <f>SUMIF('03.2026'!B:B,'ANÁLISE DE RESULTADO'!B80,'03.2026'!G:G)</f>
        <v>-1734.13</v>
      </c>
      <c r="G80" s="64">
        <f>SUMIF('04.2026'!B:B,'ANÁLISE DE RESULTADO'!B80,'04.2026'!G:G)</f>
        <v>-1405.82</v>
      </c>
    </row>
    <row r="81" spans="1:7" x14ac:dyDescent="0.25">
      <c r="A81" s="53" t="s">
        <v>393</v>
      </c>
      <c r="B81" s="20">
        <v>4863</v>
      </c>
      <c r="C81" s="20" t="s">
        <v>392</v>
      </c>
      <c r="D81" s="64">
        <f>SUMIF('01.2026'!B:B,'ANÁLISE DE RESULTADO'!B81,'01.2026'!G:G)</f>
        <v>-7156.46</v>
      </c>
      <c r="E81" s="64">
        <f>SUMIF('02.2026'!B:B,'ANÁLISE DE RESULTADO'!B81,'02.2026'!G:G)</f>
        <v>-19880.5</v>
      </c>
      <c r="F81" s="64">
        <f>SUMIF('03.2026'!B:B,'ANÁLISE DE RESULTADO'!B81,'03.2026'!G:G)</f>
        <v>-11304.45</v>
      </c>
      <c r="G81" s="66">
        <f>SUMIF('04.2026'!B:B,'ANÁLISE DE RESULTADO'!B81,'04.2026'!G:G)</f>
        <v>-8915.2000000000007</v>
      </c>
    </row>
    <row r="82" spans="1:7" ht="14.4" x14ac:dyDescent="0.3">
      <c r="A82" s="59" t="s">
        <v>364</v>
      </c>
      <c r="B82" s="60"/>
      <c r="C82" s="60" t="s">
        <v>176</v>
      </c>
      <c r="D82" s="67">
        <f>D83</f>
        <v>-149404.09000000003</v>
      </c>
      <c r="E82" s="67">
        <f t="shared" ref="E82:G82" si="39">E83</f>
        <v>-124772.79999999999</v>
      </c>
      <c r="F82" s="67">
        <f t="shared" si="39"/>
        <v>-134292.69</v>
      </c>
      <c r="G82" s="67">
        <f t="shared" si="39"/>
        <v>-91256.88</v>
      </c>
    </row>
    <row r="83" spans="1:7" ht="14.4" x14ac:dyDescent="0.3">
      <c r="A83" s="59" t="s">
        <v>365</v>
      </c>
      <c r="B83" s="60"/>
      <c r="C83" s="60" t="s">
        <v>176</v>
      </c>
      <c r="D83" s="67">
        <f>SUM(D84:D87)</f>
        <v>-149404.09000000003</v>
      </c>
      <c r="E83" s="67">
        <f t="shared" ref="E83:G83" si="40">SUM(E84:E87)</f>
        <v>-124772.79999999999</v>
      </c>
      <c r="F83" s="67">
        <f t="shared" si="40"/>
        <v>-134292.69</v>
      </c>
      <c r="G83" s="67">
        <f t="shared" si="40"/>
        <v>-91256.88</v>
      </c>
    </row>
    <row r="84" spans="1:7" x14ac:dyDescent="0.25">
      <c r="A84" s="53" t="s">
        <v>366</v>
      </c>
      <c r="B84" s="20">
        <v>3816</v>
      </c>
      <c r="C84" s="20" t="s">
        <v>177</v>
      </c>
      <c r="D84" s="64">
        <f>SUMIF('01.2026'!B:B,'ANÁLISE DE RESULTADO'!B84,'01.2026'!G:G)</f>
        <v>-975.35</v>
      </c>
      <c r="E84" s="64">
        <f>SUMIF('02.2026'!B:B,'ANÁLISE DE RESULTADO'!B84,'02.2026'!G:G)</f>
        <v>-741.79</v>
      </c>
      <c r="F84" s="64">
        <f>SUMIF('03.2026'!B:B,'ANÁLISE DE RESULTADO'!B84,'03.2026'!G:G)</f>
        <v>-818.26</v>
      </c>
      <c r="G84" s="64">
        <f>SUMIF('04.2026'!B:B,'ANÁLISE DE RESULTADO'!B84,'04.2026'!G:G)</f>
        <v>-855.8</v>
      </c>
    </row>
    <row r="85" spans="1:7" x14ac:dyDescent="0.25">
      <c r="A85" s="53" t="s">
        <v>368</v>
      </c>
      <c r="B85" s="20">
        <v>3824</v>
      </c>
      <c r="C85" s="20" t="s">
        <v>179</v>
      </c>
      <c r="D85" s="64">
        <f>SUMIF('01.2026'!B:B,'ANÁLISE DE RESULTADO'!B85,'01.2026'!G:G)</f>
        <v>-5705.43</v>
      </c>
      <c r="E85" s="64">
        <f>SUMIF('02.2026'!B:B,'ANÁLISE DE RESULTADO'!B85,'02.2026'!G:G)</f>
        <v>-3607.35</v>
      </c>
      <c r="F85" s="66">
        <f>SUMIF('03.2026'!B:B,'ANÁLISE DE RESULTADO'!B85,'03.2026'!G:G)</f>
        <v>0</v>
      </c>
      <c r="G85" s="64">
        <f>SUMIF('04.2026'!B:B,'ANÁLISE DE RESULTADO'!B85,'04.2026'!G:G)</f>
        <v>-3498.31</v>
      </c>
    </row>
    <row r="86" spans="1:7" x14ac:dyDescent="0.25">
      <c r="A86" s="53" t="s">
        <v>369</v>
      </c>
      <c r="B86" s="20">
        <v>3832</v>
      </c>
      <c r="C86" s="20" t="s">
        <v>180</v>
      </c>
      <c r="D86" s="64">
        <f>SUMIF('01.2026'!B:B,'ANÁLISE DE RESULTADO'!B86,'01.2026'!G:G)</f>
        <v>-5752.61</v>
      </c>
      <c r="E86" s="64">
        <f>SUMIF('02.2026'!B:B,'ANÁLISE DE RESULTADO'!B86,'02.2026'!G:G)</f>
        <v>-40142.35</v>
      </c>
      <c r="F86" s="64">
        <f>SUMIF('03.2026'!B:B,'ANÁLISE DE RESULTADO'!B86,'03.2026'!G:G)</f>
        <v>-12684.84</v>
      </c>
      <c r="G86" s="64">
        <f>SUMIF('04.2026'!B:B,'ANÁLISE DE RESULTADO'!B86,'04.2026'!G:G)</f>
        <v>-6856.38</v>
      </c>
    </row>
    <row r="87" spans="1:7" x14ac:dyDescent="0.25">
      <c r="A87" s="53" t="s">
        <v>367</v>
      </c>
      <c r="B87" s="20">
        <v>5177</v>
      </c>
      <c r="C87" s="20" t="s">
        <v>178</v>
      </c>
      <c r="D87" s="64">
        <f>SUMIF('01.2026'!B:B,'ANÁLISE DE RESULTADO'!B87,'01.2026'!G:G)</f>
        <v>-136970.70000000001</v>
      </c>
      <c r="E87" s="64">
        <f>SUMIF('02.2026'!B:B,'ANÁLISE DE RESULTADO'!B87,'02.2026'!G:G)</f>
        <v>-80281.31</v>
      </c>
      <c r="F87" s="64">
        <f>SUMIF('03.2026'!B:B,'ANÁLISE DE RESULTADO'!B87,'03.2026'!G:G)</f>
        <v>-120789.59</v>
      </c>
      <c r="G87" s="64">
        <f>SUMIF('04.2026'!B:B,'ANÁLISE DE RESULTADO'!B87,'04.2026'!G:G)</f>
        <v>-80046.39</v>
      </c>
    </row>
    <row r="88" spans="1:7" x14ac:dyDescent="0.25">
      <c r="E88"/>
    </row>
    <row r="89" spans="1:7" ht="14.4" x14ac:dyDescent="0.3">
      <c r="A89" s="75"/>
      <c r="B89" s="75"/>
      <c r="C89" s="77" t="s">
        <v>412</v>
      </c>
      <c r="D89" s="76">
        <f>D2+D18</f>
        <v>-352643.00999999989</v>
      </c>
      <c r="E89" s="76">
        <f>E2+E18</f>
        <v>-289066.03000000014</v>
      </c>
      <c r="F89" s="76">
        <f>F2+F18</f>
        <v>-54835.269999999902</v>
      </c>
      <c r="G89" s="76">
        <f>G2+G18</f>
        <v>-348897.18999999977</v>
      </c>
    </row>
    <row r="90" spans="1:7" x14ac:dyDescent="0.25">
      <c r="E90"/>
    </row>
    <row r="91" spans="1:7" x14ac:dyDescent="0.25">
      <c r="E91"/>
    </row>
    <row r="92" spans="1:7" x14ac:dyDescent="0.25">
      <c r="E92"/>
    </row>
    <row r="93" spans="1:7" x14ac:dyDescent="0.25">
      <c r="E93"/>
    </row>
    <row r="94" spans="1:7" x14ac:dyDescent="0.25">
      <c r="E94"/>
    </row>
    <row r="95" spans="1:7" x14ac:dyDescent="0.25">
      <c r="E95"/>
    </row>
    <row r="96" spans="1:7" x14ac:dyDescent="0.25">
      <c r="E96"/>
    </row>
    <row r="97" spans="5:5" x14ac:dyDescent="0.25">
      <c r="E97"/>
    </row>
    <row r="98" spans="5:5" x14ac:dyDescent="0.25">
      <c r="E98"/>
    </row>
    <row r="99" spans="5:5" x14ac:dyDescent="0.25">
      <c r="E99"/>
    </row>
    <row r="100" spans="5:5" x14ac:dyDescent="0.25">
      <c r="E100"/>
    </row>
  </sheetData>
  <autoFilter ref="A1:G100" xr:uid="{1DFFFB2C-6D19-47A4-9E2F-4C27650F177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01.2026</vt:lpstr>
      <vt:lpstr>02.2026</vt:lpstr>
      <vt:lpstr>03.2026</vt:lpstr>
      <vt:lpstr>04.2026</vt:lpstr>
      <vt:lpstr>ANÁLISE DE 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murilloproenca3@gmail.com</cp:lastModifiedBy>
  <dcterms:modified xsi:type="dcterms:W3CDTF">2026-05-12T19:17:18Z</dcterms:modified>
</cp:coreProperties>
</file>
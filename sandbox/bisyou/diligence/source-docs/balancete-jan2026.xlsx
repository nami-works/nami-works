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0. Fechamento\2026\01.2026\"/>
    </mc:Choice>
  </mc:AlternateContent>
  <xr:revisionPtr revIDLastSave="0" documentId="13_ncr:1_{F6CE0B2A-A247-4B97-BC01-E5FBB6E031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lanc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1" l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C5" i="1" l="1"/>
  <c r="C4" i="1" s="1"/>
  <c r="D5" i="1"/>
  <c r="D4" i="1" s="1"/>
  <c r="E5" i="1"/>
  <c r="E4" i="1" s="1"/>
  <c r="F5" i="1"/>
  <c r="F4" i="1" s="1"/>
  <c r="C7" i="1"/>
  <c r="D7" i="1"/>
  <c r="E7" i="1"/>
  <c r="F7" i="1"/>
  <c r="C12" i="1"/>
  <c r="D12" i="1"/>
  <c r="E12" i="1"/>
  <c r="F12" i="1"/>
  <c r="F14" i="1"/>
  <c r="C15" i="1"/>
  <c r="C14" i="1" s="1"/>
  <c r="D15" i="1"/>
  <c r="D14" i="1" s="1"/>
  <c r="E15" i="1"/>
  <c r="E14" i="1" s="1"/>
  <c r="F15" i="1"/>
  <c r="C19" i="1"/>
  <c r="D19" i="1"/>
  <c r="E19" i="1"/>
  <c r="F19" i="1"/>
  <c r="F18" i="1" s="1"/>
  <c r="C22" i="1"/>
  <c r="C18" i="1" s="1"/>
  <c r="D22" i="1"/>
  <c r="D18" i="1" s="1"/>
  <c r="E22" i="1"/>
  <c r="E18" i="1" s="1"/>
  <c r="F22" i="1"/>
  <c r="C24" i="1"/>
  <c r="D24" i="1"/>
  <c r="E24" i="1"/>
  <c r="F24" i="1"/>
  <c r="C26" i="1"/>
  <c r="D26" i="1"/>
  <c r="E26" i="1"/>
  <c r="F26" i="1"/>
  <c r="C31" i="1"/>
  <c r="D31" i="1"/>
  <c r="E31" i="1"/>
  <c r="F31" i="1"/>
  <c r="C36" i="1"/>
  <c r="D36" i="1"/>
  <c r="E36" i="1"/>
  <c r="C37" i="1"/>
  <c r="D37" i="1"/>
  <c r="E37" i="1"/>
  <c r="F37" i="1"/>
  <c r="F36" i="1" s="1"/>
  <c r="C40" i="1"/>
  <c r="D40" i="1"/>
  <c r="E40" i="1"/>
  <c r="C41" i="1"/>
  <c r="D41" i="1"/>
  <c r="E41" i="1"/>
  <c r="F41" i="1"/>
  <c r="F40" i="1" s="1"/>
  <c r="C44" i="1"/>
  <c r="C39" i="1" s="1"/>
  <c r="D44" i="1"/>
  <c r="D39" i="1" s="1"/>
  <c r="E44" i="1"/>
  <c r="E39" i="1" s="1"/>
  <c r="C45" i="1"/>
  <c r="D45" i="1"/>
  <c r="E45" i="1"/>
  <c r="F45" i="1"/>
  <c r="F44" i="1" s="1"/>
  <c r="C49" i="1"/>
  <c r="D49" i="1"/>
  <c r="E49" i="1"/>
  <c r="F49" i="1"/>
  <c r="C53" i="1"/>
  <c r="D53" i="1"/>
  <c r="E53" i="1"/>
  <c r="C54" i="1"/>
  <c r="D54" i="1"/>
  <c r="E54" i="1"/>
  <c r="F54" i="1"/>
  <c r="F53" i="1" s="1"/>
  <c r="C57" i="1"/>
  <c r="D57" i="1"/>
  <c r="E57" i="1"/>
  <c r="F57" i="1"/>
  <c r="C59" i="1"/>
  <c r="D59" i="1"/>
  <c r="E59" i="1"/>
  <c r="C60" i="1"/>
  <c r="D60" i="1"/>
  <c r="E60" i="1"/>
  <c r="F60" i="1"/>
  <c r="F59" i="1" s="1"/>
  <c r="C66" i="1"/>
  <c r="D66" i="1"/>
  <c r="E66" i="1"/>
  <c r="F66" i="1"/>
  <c r="F65" i="1" s="1"/>
  <c r="F64" i="1" s="1"/>
  <c r="C68" i="1"/>
  <c r="C65" i="1" s="1"/>
  <c r="C64" i="1" s="1"/>
  <c r="D68" i="1"/>
  <c r="D65" i="1" s="1"/>
  <c r="D64" i="1" s="1"/>
  <c r="E68" i="1"/>
  <c r="E65" i="1" s="1"/>
  <c r="E64" i="1" s="1"/>
  <c r="F68" i="1"/>
  <c r="C72" i="1"/>
  <c r="D72" i="1"/>
  <c r="E72" i="1"/>
  <c r="F72" i="1"/>
  <c r="C77" i="1"/>
  <c r="D77" i="1"/>
  <c r="E77" i="1"/>
  <c r="F77" i="1"/>
  <c r="C81" i="1"/>
  <c r="D81" i="1"/>
  <c r="E81" i="1"/>
  <c r="F81" i="1"/>
  <c r="C88" i="1"/>
  <c r="D88" i="1"/>
  <c r="E88" i="1"/>
  <c r="F88" i="1"/>
  <c r="C94" i="1"/>
  <c r="D94" i="1"/>
  <c r="E94" i="1"/>
  <c r="F94" i="1"/>
  <c r="C99" i="1"/>
  <c r="E99" i="1"/>
  <c r="C100" i="1"/>
  <c r="D100" i="1"/>
  <c r="D99" i="1" s="1"/>
  <c r="E100" i="1"/>
  <c r="C101" i="1"/>
  <c r="D101" i="1"/>
  <c r="E101" i="1"/>
  <c r="F101" i="1"/>
  <c r="F100" i="1" s="1"/>
  <c r="F99" i="1" s="1"/>
  <c r="C104" i="1"/>
  <c r="D104" i="1"/>
  <c r="E104" i="1"/>
  <c r="C105" i="1"/>
  <c r="D105" i="1"/>
  <c r="E105" i="1"/>
  <c r="F105" i="1"/>
  <c r="F104" i="1" s="1"/>
  <c r="C107" i="1"/>
  <c r="C103" i="1" s="1"/>
  <c r="D107" i="1"/>
  <c r="D103" i="1" s="1"/>
  <c r="C108" i="1"/>
  <c r="D108" i="1"/>
  <c r="E108" i="1"/>
  <c r="E107" i="1" s="1"/>
  <c r="E103" i="1" s="1"/>
  <c r="F108" i="1"/>
  <c r="F107" i="1" s="1"/>
  <c r="F110" i="1"/>
  <c r="C111" i="1"/>
  <c r="C110" i="1" s="1"/>
  <c r="D111" i="1"/>
  <c r="D110" i="1" s="1"/>
  <c r="E111" i="1"/>
  <c r="E110" i="1" s="1"/>
  <c r="F111" i="1"/>
  <c r="C117" i="1"/>
  <c r="D117" i="1"/>
  <c r="E117" i="1"/>
  <c r="F117" i="1"/>
  <c r="F116" i="1" s="1"/>
  <c r="C119" i="1"/>
  <c r="D119" i="1"/>
  <c r="E119" i="1"/>
  <c r="F119" i="1"/>
  <c r="C121" i="1"/>
  <c r="C116" i="1" s="1"/>
  <c r="C115" i="1" s="1"/>
  <c r="C114" i="1" s="1"/>
  <c r="C198" i="1" s="1"/>
  <c r="D121" i="1"/>
  <c r="D116" i="1" s="1"/>
  <c r="D115" i="1" s="1"/>
  <c r="D114" i="1" s="1"/>
  <c r="D198" i="1" s="1"/>
  <c r="E121" i="1"/>
  <c r="E116" i="1" s="1"/>
  <c r="E115" i="1" s="1"/>
  <c r="E114" i="1" s="1"/>
  <c r="E198" i="1" s="1"/>
  <c r="F121" i="1"/>
  <c r="C123" i="1"/>
  <c r="D123" i="1"/>
  <c r="E123" i="1"/>
  <c r="C124" i="1"/>
  <c r="D124" i="1"/>
  <c r="E124" i="1"/>
  <c r="F124" i="1"/>
  <c r="F123" i="1" s="1"/>
  <c r="C129" i="1"/>
  <c r="D129" i="1"/>
  <c r="E129" i="1"/>
  <c r="C130" i="1"/>
  <c r="D130" i="1"/>
  <c r="E130" i="1"/>
  <c r="C131" i="1"/>
  <c r="D131" i="1"/>
  <c r="E131" i="1"/>
  <c r="F131" i="1"/>
  <c r="F130" i="1" s="1"/>
  <c r="F129" i="1" s="1"/>
  <c r="F135" i="1"/>
  <c r="F134" i="1" s="1"/>
  <c r="C136" i="1"/>
  <c r="C135" i="1" s="1"/>
  <c r="C134" i="1" s="1"/>
  <c r="D136" i="1"/>
  <c r="D135" i="1" s="1"/>
  <c r="D134" i="1" s="1"/>
  <c r="E136" i="1"/>
  <c r="E135" i="1" s="1"/>
  <c r="E134" i="1" s="1"/>
  <c r="F136" i="1"/>
  <c r="C139" i="1"/>
  <c r="D139" i="1"/>
  <c r="E139" i="1"/>
  <c r="F139" i="1"/>
  <c r="C142" i="1"/>
  <c r="D142" i="1"/>
  <c r="E142" i="1"/>
  <c r="C143" i="1"/>
  <c r="D143" i="1"/>
  <c r="E143" i="1"/>
  <c r="F143" i="1"/>
  <c r="F142" i="1" s="1"/>
  <c r="F141" i="1" s="1"/>
  <c r="C145" i="1"/>
  <c r="D145" i="1"/>
  <c r="E145" i="1"/>
  <c r="F145" i="1"/>
  <c r="C149" i="1"/>
  <c r="D149" i="1"/>
  <c r="E149" i="1"/>
  <c r="C150" i="1"/>
  <c r="D150" i="1"/>
  <c r="E150" i="1"/>
  <c r="F150" i="1"/>
  <c r="F149" i="1" s="1"/>
  <c r="C161" i="1"/>
  <c r="C160" i="1" s="1"/>
  <c r="D161" i="1"/>
  <c r="D160" i="1" s="1"/>
  <c r="E161" i="1"/>
  <c r="E160" i="1" s="1"/>
  <c r="F161" i="1"/>
  <c r="C164" i="1"/>
  <c r="D164" i="1"/>
  <c r="E164" i="1"/>
  <c r="F164" i="1"/>
  <c r="C167" i="1"/>
  <c r="D167" i="1"/>
  <c r="E167" i="1"/>
  <c r="F167" i="1"/>
  <c r="F160" i="1" s="1"/>
  <c r="C173" i="1"/>
  <c r="D173" i="1"/>
  <c r="E173" i="1"/>
  <c r="F173" i="1"/>
  <c r="C175" i="1"/>
  <c r="D175" i="1"/>
  <c r="E175" i="1"/>
  <c r="C176" i="1"/>
  <c r="D176" i="1"/>
  <c r="E176" i="1"/>
  <c r="F176" i="1"/>
  <c r="F175" i="1" s="1"/>
  <c r="C181" i="1"/>
  <c r="D181" i="1"/>
  <c r="C182" i="1"/>
  <c r="D182" i="1"/>
  <c r="E182" i="1"/>
  <c r="E181" i="1" s="1"/>
  <c r="F182" i="1"/>
  <c r="F181" i="1" s="1"/>
  <c r="F185" i="1"/>
  <c r="C186" i="1"/>
  <c r="C185" i="1" s="1"/>
  <c r="D186" i="1"/>
  <c r="D185" i="1" s="1"/>
  <c r="E186" i="1"/>
  <c r="E185" i="1" s="1"/>
  <c r="F186" i="1"/>
  <c r="C188" i="1"/>
  <c r="D188" i="1"/>
  <c r="E188" i="1"/>
  <c r="C189" i="1"/>
  <c r="D189" i="1"/>
  <c r="E189" i="1"/>
  <c r="F189" i="1"/>
  <c r="F188" i="1" s="1"/>
  <c r="D141" i="1" l="1"/>
  <c r="F115" i="1"/>
  <c r="F114" i="1" s="1"/>
  <c r="F198" i="1" s="1"/>
  <c r="E141" i="1"/>
  <c r="E133" i="1" s="1"/>
  <c r="E199" i="1" s="1"/>
  <c r="C141" i="1"/>
  <c r="F103" i="1"/>
  <c r="F63" i="1" s="1"/>
  <c r="F197" i="1" s="1"/>
  <c r="F3" i="1"/>
  <c r="F2" i="1" s="1"/>
  <c r="F196" i="1" s="1"/>
  <c r="D133" i="1"/>
  <c r="D199" i="1" s="1"/>
  <c r="C133" i="1"/>
  <c r="C199" i="1" s="1"/>
  <c r="F133" i="1"/>
  <c r="F199" i="1" s="1"/>
  <c r="E63" i="1"/>
  <c r="E197" i="1" s="1"/>
  <c r="F39" i="1"/>
  <c r="E3" i="1"/>
  <c r="E2" i="1" s="1"/>
  <c r="E196" i="1" s="1"/>
  <c r="D63" i="1"/>
  <c r="D197" i="1" s="1"/>
  <c r="D3" i="1"/>
  <c r="D2" i="1" s="1"/>
  <c r="D196" i="1" s="1"/>
  <c r="C63" i="1"/>
  <c r="C197" i="1" s="1"/>
  <c r="C3" i="1"/>
  <c r="C2" i="1" s="1"/>
  <c r="C196" i="1" s="1"/>
  <c r="F200" i="1" l="1"/>
</calcChain>
</file>

<file path=xl/sharedStrings.xml><?xml version="1.0" encoding="utf-8"?>
<sst xmlns="http://schemas.openxmlformats.org/spreadsheetml/2006/main" count="401" uniqueCount="378">
  <si>
    <t>Conta contábil</t>
  </si>
  <si>
    <t>Descrição da Conta</t>
  </si>
  <si>
    <t xml:space="preserve">        Saldo anterior        </t>
  </si>
  <si>
    <t xml:space="preserve">            Débito            </t>
  </si>
  <si>
    <t xml:space="preserve">            Crédito           </t>
  </si>
  <si>
    <t xml:space="preserve">          Saldo Atual         </t>
  </si>
  <si>
    <t xml:space="preserve">1             </t>
  </si>
  <si>
    <t>ATIVO</t>
  </si>
  <si>
    <t xml:space="preserve">1.1           </t>
  </si>
  <si>
    <t>ATIVO CIRCULANTE</t>
  </si>
  <si>
    <t xml:space="preserve">1.1.01        </t>
  </si>
  <si>
    <t>DISPONÍVEL</t>
  </si>
  <si>
    <t xml:space="preserve">1.1.01.01     </t>
  </si>
  <si>
    <t>CAIXA</t>
  </si>
  <si>
    <t xml:space="preserve">             5</t>
  </si>
  <si>
    <t>Entre Contas</t>
  </si>
  <si>
    <t xml:space="preserve">1.1.01.02     </t>
  </si>
  <si>
    <t>BANCOS CONTA MOVIMENTO</t>
  </si>
  <si>
    <t xml:space="preserve">          5860</t>
  </si>
  <si>
    <t>Banco Bradesco</t>
  </si>
  <si>
    <t xml:space="preserve">            27</t>
  </si>
  <si>
    <t>Banco Itaú</t>
  </si>
  <si>
    <t xml:space="preserve">           576</t>
  </si>
  <si>
    <t>Banco Pag Útil</t>
  </si>
  <si>
    <t xml:space="preserve">          5444</t>
  </si>
  <si>
    <t>Mercado Pago - Banco Digital</t>
  </si>
  <si>
    <t xml:space="preserve">1.1.01.03     </t>
  </si>
  <si>
    <t>APLICAÇÕES FINANCEIRAS</t>
  </si>
  <si>
    <t xml:space="preserve">            35</t>
  </si>
  <si>
    <t>Aplicações Banco Itaú</t>
  </si>
  <si>
    <t xml:space="preserve">1.1.02        </t>
  </si>
  <si>
    <t>CONTAS A RECEBER</t>
  </si>
  <si>
    <t xml:space="preserve">1.1.02.01     </t>
  </si>
  <si>
    <t>CLIENTES NACIONAIS</t>
  </si>
  <si>
    <t xml:space="preserve">          5347</t>
  </si>
  <si>
    <t>Clientes B2B</t>
  </si>
  <si>
    <t xml:space="preserve">            43</t>
  </si>
  <si>
    <t>Clientes Nacionais</t>
  </si>
  <si>
    <t xml:space="preserve">1.1.03        </t>
  </si>
  <si>
    <t>OUTROS CRÉDITOS</t>
  </si>
  <si>
    <t xml:space="preserve">1.1.03.01     </t>
  </si>
  <si>
    <t>CRÉDITOS DE FUNCIONÁRIOS</t>
  </si>
  <si>
    <t xml:space="preserve">            60</t>
  </si>
  <si>
    <t>Adiantamento de Férias</t>
  </si>
  <si>
    <t xml:space="preserve">          3263</t>
  </si>
  <si>
    <t>Adiantamento de Salários</t>
  </si>
  <si>
    <t xml:space="preserve">1.1.03.02     </t>
  </si>
  <si>
    <t>ADIANTAMENTO A FORNECEDORES</t>
  </si>
  <si>
    <t xml:space="preserve">          3220</t>
  </si>
  <si>
    <t>Adiantamento a Fornecedores</t>
  </si>
  <si>
    <t xml:space="preserve">1.1.03.03     </t>
  </si>
  <si>
    <t>OUTROS CREDITOS A RECEBER</t>
  </si>
  <si>
    <t xml:space="preserve">          5789</t>
  </si>
  <si>
    <t>Outros Creditos a Receber</t>
  </si>
  <si>
    <t xml:space="preserve">1.1.03.05     </t>
  </si>
  <si>
    <t>IMPOSTOS A RECUPERAR</t>
  </si>
  <si>
    <t xml:space="preserve">            94</t>
  </si>
  <si>
    <t>COFINS a Recuperar</t>
  </si>
  <si>
    <t xml:space="preserve">           116</t>
  </si>
  <si>
    <t>ICMS a Recuperar</t>
  </si>
  <si>
    <t xml:space="preserve">          5274</t>
  </si>
  <si>
    <t>ICMS Difal a Recuperar</t>
  </si>
  <si>
    <t xml:space="preserve">           159</t>
  </si>
  <si>
    <t>PIS a Recuperar</t>
  </si>
  <si>
    <t xml:space="preserve">1.1.03.06     </t>
  </si>
  <si>
    <t>TRIBUTOS A COMPENSAR</t>
  </si>
  <si>
    <t xml:space="preserve">          4510</t>
  </si>
  <si>
    <t>CSLL a Compensar</t>
  </si>
  <si>
    <t xml:space="preserve">          4561</t>
  </si>
  <si>
    <t>IRPJ a Compensar</t>
  </si>
  <si>
    <t xml:space="preserve">          4545</t>
  </si>
  <si>
    <t>IRRF Aplicação</t>
  </si>
  <si>
    <t xml:space="preserve">          4502</t>
  </si>
  <si>
    <t>Saldo Negativo IRPJ</t>
  </si>
  <si>
    <t xml:space="preserve">1.1.06        </t>
  </si>
  <si>
    <t>ESTOQUES</t>
  </si>
  <si>
    <t xml:space="preserve">1.1.06.01     </t>
  </si>
  <si>
    <t>ESTOQUES PARA REVENDA</t>
  </si>
  <si>
    <t xml:space="preserve">           175</t>
  </si>
  <si>
    <t>Mercadorias para Revenda</t>
  </si>
  <si>
    <t xml:space="preserve">1.2           </t>
  </si>
  <si>
    <t>ATIVO NÃO CIRCULANTE</t>
  </si>
  <si>
    <t xml:space="preserve">1.2.01        </t>
  </si>
  <si>
    <t>ATIVO REALIZÁVEL A LONGO PRAZO</t>
  </si>
  <si>
    <t xml:space="preserve">1.2.01.05     </t>
  </si>
  <si>
    <t>CRÉDITOS A SÓCIOS</t>
  </si>
  <si>
    <t xml:space="preserve">          3344</t>
  </si>
  <si>
    <t>Débitos de Sócios</t>
  </si>
  <si>
    <t xml:space="preserve">          3336</t>
  </si>
  <si>
    <t>Mutuo Sócios</t>
  </si>
  <si>
    <t xml:space="preserve">1.2.03        </t>
  </si>
  <si>
    <t>ATIVO IMOBILIZADO</t>
  </si>
  <si>
    <t xml:space="preserve">1.2.03.01     </t>
  </si>
  <si>
    <t>IMOBILIZADO</t>
  </si>
  <si>
    <t xml:space="preserve">           205</t>
  </si>
  <si>
    <t>Computadores e Periféricos</t>
  </si>
  <si>
    <t xml:space="preserve">          4588</t>
  </si>
  <si>
    <t>Equipamentos de Comunicação</t>
  </si>
  <si>
    <t xml:space="preserve">           248</t>
  </si>
  <si>
    <t>Móveis e Utensílios</t>
  </si>
  <si>
    <t xml:space="preserve">1.2.03.02     </t>
  </si>
  <si>
    <t>(-) DEPRECIAÇÃO/AMORTIZAÇÃO ACUMULADA</t>
  </si>
  <si>
    <t xml:space="preserve">           280</t>
  </si>
  <si>
    <t>(-) Computadores e Periféricos</t>
  </si>
  <si>
    <t xml:space="preserve">           299</t>
  </si>
  <si>
    <t>(-) Equipamentos de Comunicação</t>
  </si>
  <si>
    <t xml:space="preserve">           329</t>
  </si>
  <si>
    <t>(-) Móveis e Utensílios</t>
  </si>
  <si>
    <t xml:space="preserve">1.2.04        </t>
  </si>
  <si>
    <t>INTANGÍVEL</t>
  </si>
  <si>
    <t xml:space="preserve">1.2.04.01     </t>
  </si>
  <si>
    <t xml:space="preserve">          2615</t>
  </si>
  <si>
    <t>Marcas e Patentes</t>
  </si>
  <si>
    <t xml:space="preserve">          3948</t>
  </si>
  <si>
    <t>Software</t>
  </si>
  <si>
    <t xml:space="preserve">1.2.04.02     </t>
  </si>
  <si>
    <t>AMORTIZAÇÃO ACUMULADA</t>
  </si>
  <si>
    <t xml:space="preserve">          3964</t>
  </si>
  <si>
    <t>(-) Software</t>
  </si>
  <si>
    <t xml:space="preserve">1.9           </t>
  </si>
  <si>
    <t>REMESSAS DE MERCADORIAS</t>
  </si>
  <si>
    <t xml:space="preserve">1.9.01        </t>
  </si>
  <si>
    <t>SIMPLES REMESSA</t>
  </si>
  <si>
    <t xml:space="preserve">          5881</t>
  </si>
  <si>
    <t>Simples Remessa</t>
  </si>
  <si>
    <t xml:space="preserve">          5883</t>
  </si>
  <si>
    <t>Transferencia entre Filiais</t>
  </si>
  <si>
    <t xml:space="preserve">2             </t>
  </si>
  <si>
    <t>PASSIVO</t>
  </si>
  <si>
    <t xml:space="preserve">2.1           </t>
  </si>
  <si>
    <t>PASSIVO CIRCULANTE</t>
  </si>
  <si>
    <t xml:space="preserve">2.1.01        </t>
  </si>
  <si>
    <t>OBRIGAÇÕES DE CURTO PRAZO</t>
  </si>
  <si>
    <t xml:space="preserve">2.1.01.01     </t>
  </si>
  <si>
    <t>FORNECEDORES</t>
  </si>
  <si>
    <t xml:space="preserve">           353</t>
  </si>
  <si>
    <t>Fornecedores Nacionais</t>
  </si>
  <si>
    <t xml:space="preserve">2.1.01.02     </t>
  </si>
  <si>
    <t>EMPRÉSTIMOS/FINANCIAMENTOS BANCÁRIOS</t>
  </si>
  <si>
    <t xml:space="preserve">           362</t>
  </si>
  <si>
    <t xml:space="preserve">           361</t>
  </si>
  <si>
    <t xml:space="preserve">          5885</t>
  </si>
  <si>
    <t>Banco Itaú Conta Garantida</t>
  </si>
  <si>
    <t xml:space="preserve">2.1.01.04     </t>
  </si>
  <si>
    <t>OBRIGAÇÕES TRABALHISTAS</t>
  </si>
  <si>
    <t xml:space="preserve">           418</t>
  </si>
  <si>
    <t>E-Consignado a Pagar</t>
  </si>
  <si>
    <t xml:space="preserve">          4596</t>
  </si>
  <si>
    <t>FGTS a Recolher</t>
  </si>
  <si>
    <t xml:space="preserve">          4600</t>
  </si>
  <si>
    <t>INSS a Recolher</t>
  </si>
  <si>
    <t xml:space="preserve">           434</t>
  </si>
  <si>
    <t>Salários e Ordenados a Pagar</t>
  </si>
  <si>
    <t xml:space="preserve">2.1.01.05     </t>
  </si>
  <si>
    <t>CONTRIBUIÇÕES FISCAIS A RECOLHER</t>
  </si>
  <si>
    <t xml:space="preserve">          4626</t>
  </si>
  <si>
    <t>COFINS a Recolher</t>
  </si>
  <si>
    <t xml:space="preserve">          4618</t>
  </si>
  <si>
    <t>IRRF sobre Salários</t>
  </si>
  <si>
    <t xml:space="preserve">          4677</t>
  </si>
  <si>
    <t>PIS a Recolher</t>
  </si>
  <si>
    <t xml:space="preserve">2.1.01.06     </t>
  </si>
  <si>
    <t>PROVISÕES</t>
  </si>
  <si>
    <t xml:space="preserve">           582</t>
  </si>
  <si>
    <t>Provisão de 13º Salário</t>
  </si>
  <si>
    <t xml:space="preserve">          5240</t>
  </si>
  <si>
    <t>Provisão de Despesas</t>
  </si>
  <si>
    <t xml:space="preserve">          3417</t>
  </si>
  <si>
    <t>Provisão de Encargos sobre 13º Salário</t>
  </si>
  <si>
    <t xml:space="preserve">          3425</t>
  </si>
  <si>
    <t>Provisão de Encargos sobre Férias</t>
  </si>
  <si>
    <t xml:space="preserve">           590</t>
  </si>
  <si>
    <t>Provisão de Férias</t>
  </si>
  <si>
    <t xml:space="preserve">          5150</t>
  </si>
  <si>
    <t>Provisão para Contingência Fiscal</t>
  </si>
  <si>
    <t xml:space="preserve">2.1.01.07     </t>
  </si>
  <si>
    <t>OBRIGAÇÕES TRIBUTÁRIAS</t>
  </si>
  <si>
    <t xml:space="preserve">           663</t>
  </si>
  <si>
    <t>CSLL Retido a Recolher</t>
  </si>
  <si>
    <t xml:space="preserve">          5880</t>
  </si>
  <si>
    <t>CSRF a Recolher</t>
  </si>
  <si>
    <t xml:space="preserve">           604</t>
  </si>
  <si>
    <t>ICMS a Recolher</t>
  </si>
  <si>
    <t xml:space="preserve">          4650</t>
  </si>
  <si>
    <t>ICMS Destino Difal a Recolher</t>
  </si>
  <si>
    <t xml:space="preserve">           620</t>
  </si>
  <si>
    <t>IRRF Retido a Recollher</t>
  </si>
  <si>
    <t xml:space="preserve">2.1.01.08     </t>
  </si>
  <si>
    <t>OUTRAS OBRIGAÇÕES</t>
  </si>
  <si>
    <t xml:space="preserve">          3239</t>
  </si>
  <si>
    <t>Cartão de Crédito a Pagar</t>
  </si>
  <si>
    <t xml:space="preserve">          3468</t>
  </si>
  <si>
    <t>Fretes e Armazenagem a Pagar</t>
  </si>
  <si>
    <t xml:space="preserve">          5436</t>
  </si>
  <si>
    <t>Reembolso a Pagar - Carol Rojas</t>
  </si>
  <si>
    <t xml:space="preserve">          5428</t>
  </si>
  <si>
    <t>Reembolsos a Pagar - Ivanildo Pinheiro</t>
  </si>
  <si>
    <t xml:space="preserve">2.2           </t>
  </si>
  <si>
    <t>PASSIVO NÃO CIRCULANTE</t>
  </si>
  <si>
    <t xml:space="preserve">2.2.01        </t>
  </si>
  <si>
    <t>OBRIGAÇÕES A LONGO PRAZO</t>
  </si>
  <si>
    <t xml:space="preserve">2.2.01.04     </t>
  </si>
  <si>
    <t xml:space="preserve">          3549</t>
  </si>
  <si>
    <t>Débitos de Pessoas Ligadas a Longo Prazo</t>
  </si>
  <si>
    <t xml:space="preserve">2.4           </t>
  </si>
  <si>
    <t>PATRIMÔNIO LÍQUIDO</t>
  </si>
  <si>
    <t xml:space="preserve">2.4.01        </t>
  </si>
  <si>
    <t>CAPITAL REALIZADO</t>
  </si>
  <si>
    <t xml:space="preserve">2.4.01.01     </t>
  </si>
  <si>
    <t>CAPITAL SOCIAL</t>
  </si>
  <si>
    <t xml:space="preserve">           760</t>
  </si>
  <si>
    <t>Capital Social - Nacional</t>
  </si>
  <si>
    <t xml:space="preserve">2.4.06        </t>
  </si>
  <si>
    <t>LUCROS OU PREJUÍZOS ACUMULADOS</t>
  </si>
  <si>
    <t xml:space="preserve">2.4.06.01     </t>
  </si>
  <si>
    <t xml:space="preserve">          3581</t>
  </si>
  <si>
    <t>Prejuízos Acumulados</t>
  </si>
  <si>
    <t xml:space="preserve">2.9           </t>
  </si>
  <si>
    <t>REMESSA DE MERCADORIAS</t>
  </si>
  <si>
    <t xml:space="preserve">2.9.01        </t>
  </si>
  <si>
    <t xml:space="preserve">          5882</t>
  </si>
  <si>
    <t xml:space="preserve">          5884</t>
  </si>
  <si>
    <t xml:space="preserve">3             </t>
  </si>
  <si>
    <t>RECEITAS</t>
  </si>
  <si>
    <t xml:space="preserve">3.1           </t>
  </si>
  <si>
    <t>RECEITA LÍQUIDA OPERACIONAIS</t>
  </si>
  <si>
    <t xml:space="preserve">3.1.01        </t>
  </si>
  <si>
    <t>RECEITA BRUTA DE VENDAS E SERVIÇOS</t>
  </si>
  <si>
    <t xml:space="preserve">3.1.01.01     </t>
  </si>
  <si>
    <t>RECEITA BRUTA DE REVENDAS DE MERCADORIAS</t>
  </si>
  <si>
    <t xml:space="preserve">           922</t>
  </si>
  <si>
    <t>Revendas de Mercadorias B2C</t>
  </si>
  <si>
    <t xml:space="preserve">3.1.01.02     </t>
  </si>
  <si>
    <t>DEDUÇÕES DA RECEITA BRUTA</t>
  </si>
  <si>
    <t xml:space="preserve">          5363</t>
  </si>
  <si>
    <t>Devolução de Revenda</t>
  </si>
  <si>
    <t xml:space="preserve">3.1.01.03     </t>
  </si>
  <si>
    <t>RECEITA BRUTA REVENDA - B2B</t>
  </si>
  <si>
    <t xml:space="preserve">          5495</t>
  </si>
  <si>
    <t>Revenda de mercadoria - B2B</t>
  </si>
  <si>
    <t xml:space="preserve">3.1.03        </t>
  </si>
  <si>
    <t>IMPOSTOS INCIDENTES</t>
  </si>
  <si>
    <t xml:space="preserve">3.1.03.03     </t>
  </si>
  <si>
    <t>IMPOSTOS E CONTRIBUIÇÕES SOBRE VENDAS</t>
  </si>
  <si>
    <t xml:space="preserve">          5410</t>
  </si>
  <si>
    <t>(-) ICMS Revenda Reg. Especial Cred. Pre</t>
  </si>
  <si>
    <t xml:space="preserve">           981</t>
  </si>
  <si>
    <t>COFINS sobre Revendas</t>
  </si>
  <si>
    <t xml:space="preserve">          1007</t>
  </si>
  <si>
    <t>ICMS sobre Revendas</t>
  </si>
  <si>
    <t xml:space="preserve">          4014</t>
  </si>
  <si>
    <t>PIS sobre Revendas</t>
  </si>
  <si>
    <t xml:space="preserve">3.2           </t>
  </si>
  <si>
    <t>OUTRAS RECEITAS OPERACIONAIS</t>
  </si>
  <si>
    <t xml:space="preserve">3.2.01        </t>
  </si>
  <si>
    <t>RESULTADO FINANCEIRO</t>
  </si>
  <si>
    <t xml:space="preserve">3.2.01.01     </t>
  </si>
  <si>
    <t>RECEITAS FINANCEIRAS</t>
  </si>
  <si>
    <t xml:space="preserve">          3603</t>
  </si>
  <si>
    <t>Rendimento de Aplicações Financeiras</t>
  </si>
  <si>
    <t xml:space="preserve">4             </t>
  </si>
  <si>
    <t>CUSTO E DESPESAS</t>
  </si>
  <si>
    <t xml:space="preserve">4.2           </t>
  </si>
  <si>
    <t>CUSTO DE MERCADORIAS REVENDIDAS</t>
  </si>
  <si>
    <t xml:space="preserve">4.2.01        </t>
  </si>
  <si>
    <t xml:space="preserve">4.2.01.01     </t>
  </si>
  <si>
    <t>CUSTO - CONTROLE ESTOQUE</t>
  </si>
  <si>
    <t xml:space="preserve">          4848</t>
  </si>
  <si>
    <t>Amostra Grátis</t>
  </si>
  <si>
    <t xml:space="preserve">          4847</t>
  </si>
  <si>
    <t>CMV</t>
  </si>
  <si>
    <t xml:space="preserve">4.2.01.02     </t>
  </si>
  <si>
    <t>CUSTO - B2B</t>
  </si>
  <si>
    <t xml:space="preserve">          5738</t>
  </si>
  <si>
    <t>CMV - B2B</t>
  </si>
  <si>
    <t xml:space="preserve">4.3           </t>
  </si>
  <si>
    <t>DESPESAS OPERACIONAIS</t>
  </si>
  <si>
    <t xml:space="preserve">4.3.01        </t>
  </si>
  <si>
    <t>DESPESAS COM PUBLICIDADE E VENDAS</t>
  </si>
  <si>
    <t xml:space="preserve">4.3.01.01     </t>
  </si>
  <si>
    <t>OUTRAS DESPESAS COMERCIAIS</t>
  </si>
  <si>
    <t xml:space="preserve">          4057</t>
  </si>
  <si>
    <t>Propaganda e Publicidade Online</t>
  </si>
  <si>
    <t xml:space="preserve">4.3.01.03     </t>
  </si>
  <si>
    <t>DESPESAS COM VENDAS</t>
  </si>
  <si>
    <t xml:space="preserve">          4855</t>
  </si>
  <si>
    <t>Armazenagem</t>
  </si>
  <si>
    <t xml:space="preserve">          4049</t>
  </si>
  <si>
    <t>Comissões sobre Vendas - PJ</t>
  </si>
  <si>
    <t xml:space="preserve">          1090</t>
  </si>
  <si>
    <t>Fretes e Carretos</t>
  </si>
  <si>
    <t xml:space="preserve">4.3.02        </t>
  </si>
  <si>
    <t>DESPESAS COM PESSOAL</t>
  </si>
  <si>
    <t xml:space="preserve">4.3.02.01     </t>
  </si>
  <si>
    <t xml:space="preserve">          1619</t>
  </si>
  <si>
    <t>Assistencia Médica</t>
  </si>
  <si>
    <t xml:space="preserve">          1473</t>
  </si>
  <si>
    <t>Férias</t>
  </si>
  <si>
    <t xml:space="preserve">          1481</t>
  </si>
  <si>
    <t>FGTS</t>
  </si>
  <si>
    <t xml:space="preserve">          1490</t>
  </si>
  <si>
    <t>INSS</t>
  </si>
  <si>
    <t xml:space="preserve">          1554</t>
  </si>
  <si>
    <t xml:space="preserve">          1546</t>
  </si>
  <si>
    <t xml:space="preserve">          1570</t>
  </si>
  <si>
    <t>Provisão Encargos Sobre 13º Salário</t>
  </si>
  <si>
    <t xml:space="preserve">          1503</t>
  </si>
  <si>
    <t>Salários e Ordenados</t>
  </si>
  <si>
    <t xml:space="preserve">          1597</t>
  </si>
  <si>
    <t>Vale Refeição</t>
  </si>
  <si>
    <t xml:space="preserve">4.3.03        </t>
  </si>
  <si>
    <t>DESPESAS ADMINISTRATIVAS</t>
  </si>
  <si>
    <t xml:space="preserve">4.3.03.01     </t>
  </si>
  <si>
    <t>DESPESAS DE OCUPAÇÃO</t>
  </si>
  <si>
    <t xml:space="preserve">          1864</t>
  </si>
  <si>
    <t>Alugueis Pagos a PJ</t>
  </si>
  <si>
    <t xml:space="preserve">          1872</t>
  </si>
  <si>
    <t>Telefone</t>
  </si>
  <si>
    <t xml:space="preserve">4.3.03.02     </t>
  </si>
  <si>
    <t>DESPESAS GERAIS E ADMINISTRATIVAS</t>
  </si>
  <si>
    <t xml:space="preserve">          4235</t>
  </si>
  <si>
    <t>Material de Uso e Consumo</t>
  </si>
  <si>
    <t xml:space="preserve">          4189</t>
  </si>
  <si>
    <t>Viagens e Estadias</t>
  </si>
  <si>
    <t xml:space="preserve">4.3.03.03     </t>
  </si>
  <si>
    <t>DESP COM SERVICOS PROFISSIONAIS</t>
  </si>
  <si>
    <t xml:space="preserve">          4324</t>
  </si>
  <si>
    <t>Contabilidade</t>
  </si>
  <si>
    <t xml:space="preserve">          4332</t>
  </si>
  <si>
    <t>Informática/Software</t>
  </si>
  <si>
    <t xml:space="preserve">          4316</t>
  </si>
  <si>
    <t>Juridico</t>
  </si>
  <si>
    <t xml:space="preserve">          4928</t>
  </si>
  <si>
    <t>Motoboy</t>
  </si>
  <si>
    <t xml:space="preserve">          4340</t>
  </si>
  <si>
    <t>Outros Serviços Prestados</t>
  </si>
  <si>
    <t xml:space="preserve">4.3.03.04     </t>
  </si>
  <si>
    <t>DESPESAS COM DOAÇÃO E BONIFICAÇÃO</t>
  </si>
  <si>
    <t xml:space="preserve">          4251</t>
  </si>
  <si>
    <t>Bonificações</t>
  </si>
  <si>
    <t xml:space="preserve">4.3.04        </t>
  </si>
  <si>
    <t>DEPRECIAÇÃO E AMORTIZAÇÃO</t>
  </si>
  <si>
    <t xml:space="preserve">4.3.04.01     </t>
  </si>
  <si>
    <t>DEPRECIAÇÕES</t>
  </si>
  <si>
    <t xml:space="preserve">          5797</t>
  </si>
  <si>
    <t>Amortização de Software</t>
  </si>
  <si>
    <t xml:space="preserve">          1996</t>
  </si>
  <si>
    <t>Depreciação de Computadores e Periférico</t>
  </si>
  <si>
    <t xml:space="preserve">          2003</t>
  </si>
  <si>
    <t>Depreciação de Equipamentos de Comunicaç</t>
  </si>
  <si>
    <t xml:space="preserve">          5819</t>
  </si>
  <si>
    <t>Depreciação de Móveis e Utensilios</t>
  </si>
  <si>
    <t xml:space="preserve">4.3.06        </t>
  </si>
  <si>
    <t>DESPESAS TRIBUTÁRIAS</t>
  </si>
  <si>
    <t xml:space="preserve">4.3.06.01     </t>
  </si>
  <si>
    <t>TRIBUTOS E CONTRIBUIÇÕES</t>
  </si>
  <si>
    <t xml:space="preserve">          4448</t>
  </si>
  <si>
    <t>Impostos e Taxas Diversas</t>
  </si>
  <si>
    <t xml:space="preserve">          3859</t>
  </si>
  <si>
    <t>IOF</t>
  </si>
  <si>
    <t xml:space="preserve">4.3.10        </t>
  </si>
  <si>
    <t xml:space="preserve">4.3.10.01     </t>
  </si>
  <si>
    <t xml:space="preserve">          5231</t>
  </si>
  <si>
    <t>Provisão - Boniteca</t>
  </si>
  <si>
    <t xml:space="preserve">4.3.11        </t>
  </si>
  <si>
    <t>DESPESAS FINANCEIRAS</t>
  </si>
  <si>
    <t xml:space="preserve">4.3.11.01     </t>
  </si>
  <si>
    <t xml:space="preserve">          3816</t>
  </si>
  <si>
    <t>Despesas Bancárias</t>
  </si>
  <si>
    <t xml:space="preserve">          5177</t>
  </si>
  <si>
    <t>Encargos Financeiros - SELIC</t>
  </si>
  <si>
    <t xml:space="preserve">          3824</t>
  </si>
  <si>
    <t>Multa/Juros sobre Impostos Pagos em Atra</t>
  </si>
  <si>
    <t xml:space="preserve">          3832</t>
  </si>
  <si>
    <t>Multa/Juros sobre Outras Contas Pagas</t>
  </si>
  <si>
    <t>Prejuízo</t>
  </si>
  <si>
    <t>NF emitida em Fev/26</t>
  </si>
  <si>
    <t>Verificando questão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</si>
</sst>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;\(#,###,###,##0.00\)"/>
  </numFmts>
  <fonts count="4" x14ac:knownFonts="1"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0" fillId="0" borderId="1" xfId="0" applyFill="1" applyBorder="1" applyAlignment="1">
      <alignment vertical="top"/>
    </xf>
    <xf numFmtId="164" fontId="0" fillId="0" borderId="1" xfId="0" applyNumberFormat="1" applyFill="1" applyBorder="1" applyAlignment="1">
      <alignment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topLeftCell="A176" workbookViewId="0">
      <selection activeCell="A74" sqref="A74:XFD88"/>
    </sheetView>
  </sheetViews>
  <sheetFormatPr defaultColWidth="11.42578125" defaultRowHeight="12.75" customHeight="1" x14ac:dyDescent="0.2"/>
  <cols>
    <col min="1" max="1" width="14.140625" style="5" customWidth="1"/>
    <col min="2" max="2" width="46.42578125" style="5" customWidth="1"/>
    <col min="3" max="3" width="23.140625" style="5" customWidth="1"/>
    <col min="4" max="4" width="20.5703125" style="5" customWidth="1"/>
    <col min="5" max="5" width="20.7109375" style="5" customWidth="1"/>
    <col min="6" max="6" width="22.42578125" style="5" customWidth="1"/>
    <col min="7" max="7" width="10.7109375" style="5" bestFit="1" customWidth="1"/>
    <col min="8" max="16384" width="11.42578125" style="5"/>
  </cols>
  <sheetData>
    <row r="1" spans="1:6" ht="12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customHeight="1" x14ac:dyDescent="0.2">
      <c r="A2" s="3" t="s">
        <v>6</v>
      </c>
      <c r="B2" s="3" t="s">
        <v>7</v>
      </c>
      <c r="C2" s="4">
        <f>C3+C39+C59</f>
        <v>5330654</v>
      </c>
      <c r="D2" s="4">
        <f>D3+D39+D59</f>
        <v>2667905.4</v>
      </c>
      <c r="E2" s="4">
        <f>E3+E39+E59</f>
        <v>3020979.08</v>
      </c>
      <c r="F2" s="4">
        <f>F3+F39+F59</f>
        <v>4977580.32</v>
      </c>
    </row>
    <row r="3" spans="1:6" ht="12.75" customHeight="1" x14ac:dyDescent="0.2">
      <c r="A3" s="3" t="s">
        <v>8</v>
      </c>
      <c r="B3" s="3" t="s">
        <v>9</v>
      </c>
      <c r="C3" s="4">
        <f>C4+C14+C18+C36</f>
        <v>2183243.4299999997</v>
      </c>
      <c r="D3" s="4">
        <f>D4+D14+D18+D36</f>
        <v>2579757.13</v>
      </c>
      <c r="E3" s="4">
        <f>E4+E14+E18+E36</f>
        <v>2926746.95</v>
      </c>
      <c r="F3" s="4">
        <f>F4+F14+F18+F36</f>
        <v>1836253.6099999999</v>
      </c>
    </row>
    <row r="4" spans="1:6" ht="12.75" customHeight="1" x14ac:dyDescent="0.2">
      <c r="A4" s="3" t="s">
        <v>10</v>
      </c>
      <c r="B4" s="3" t="s">
        <v>11</v>
      </c>
      <c r="C4" s="4">
        <f>C5+C7+C12</f>
        <v>22157</v>
      </c>
      <c r="D4" s="4">
        <f>D5+D7+D12</f>
        <v>1411427.6600000001</v>
      </c>
      <c r="E4" s="4">
        <f>E5+E7+E12</f>
        <v>1427037.4500000002</v>
      </c>
      <c r="F4" s="4">
        <f>F5+F7+F12</f>
        <v>6547.21</v>
      </c>
    </row>
    <row r="5" spans="1:6" ht="12.75" customHeight="1" x14ac:dyDescent="0.2">
      <c r="A5" s="3" t="s">
        <v>12</v>
      </c>
      <c r="B5" s="3" t="s">
        <v>13</v>
      </c>
      <c r="C5" s="4">
        <f>SUM(C6:C6)</f>
        <v>0</v>
      </c>
      <c r="D5" s="4">
        <f>SUM(D6:D6)</f>
        <v>150694.49</v>
      </c>
      <c r="E5" s="4">
        <f>SUM(E6:E6)</f>
        <v>150694.49</v>
      </c>
      <c r="F5" s="4">
        <f>SUM(F6:F6)</f>
        <v>0</v>
      </c>
    </row>
    <row r="6" spans="1:6" ht="12.75" customHeight="1" x14ac:dyDescent="0.2">
      <c r="A6" s="3" t="s">
        <v>14</v>
      </c>
      <c r="B6" s="3" t="s">
        <v>15</v>
      </c>
      <c r="C6" s="4">
        <v>0</v>
      </c>
      <c r="D6" s="4">
        <v>150694.49</v>
      </c>
      <c r="E6" s="4">
        <v>150694.49</v>
      </c>
      <c r="F6" s="4">
        <v>0</v>
      </c>
    </row>
    <row r="7" spans="1:6" ht="12.75" customHeight="1" x14ac:dyDescent="0.2">
      <c r="A7" s="3" t="s">
        <v>16</v>
      </c>
      <c r="B7" s="3" t="s">
        <v>17</v>
      </c>
      <c r="C7" s="4">
        <f>SUM(C8:C11)</f>
        <v>18003.95</v>
      </c>
      <c r="D7" s="4">
        <f>SUM(D8:D11)</f>
        <v>1260733.1700000002</v>
      </c>
      <c r="E7" s="4">
        <f>SUM(E8:E11)</f>
        <v>1272189.9100000001</v>
      </c>
      <c r="F7" s="4">
        <f>SUM(F8:F11)</f>
        <v>6547.21</v>
      </c>
    </row>
    <row r="8" spans="1:6" ht="12.75" customHeight="1" x14ac:dyDescent="0.2">
      <c r="A8" s="3" t="s">
        <v>18</v>
      </c>
      <c r="B8" s="3" t="s">
        <v>19</v>
      </c>
      <c r="C8" s="4">
        <v>13242.64</v>
      </c>
      <c r="D8" s="4">
        <v>180407.88</v>
      </c>
      <c r="E8" s="4">
        <v>193650.52</v>
      </c>
      <c r="F8" s="4">
        <v>0</v>
      </c>
    </row>
    <row r="9" spans="1:6" ht="12.75" customHeight="1" x14ac:dyDescent="0.2">
      <c r="A9" s="3" t="s">
        <v>20</v>
      </c>
      <c r="B9" s="3" t="s">
        <v>21</v>
      </c>
      <c r="C9" s="4">
        <v>1</v>
      </c>
      <c r="D9" s="4">
        <v>1076581.5900000001</v>
      </c>
      <c r="E9" s="4">
        <v>1076582.5900000001</v>
      </c>
      <c r="F9" s="4">
        <v>0</v>
      </c>
    </row>
    <row r="10" spans="1:6" ht="12.75" customHeight="1" x14ac:dyDescent="0.2">
      <c r="A10" s="3" t="s">
        <v>22</v>
      </c>
      <c r="B10" s="3" t="s">
        <v>23</v>
      </c>
      <c r="C10" s="4">
        <v>0</v>
      </c>
      <c r="D10" s="4">
        <v>3194.49</v>
      </c>
      <c r="E10" s="4">
        <v>1834.58</v>
      </c>
      <c r="F10" s="4">
        <v>1359.91</v>
      </c>
    </row>
    <row r="11" spans="1:6" ht="12.75" customHeight="1" x14ac:dyDescent="0.2">
      <c r="A11" s="3" t="s">
        <v>24</v>
      </c>
      <c r="B11" s="3" t="s">
        <v>25</v>
      </c>
      <c r="C11" s="4">
        <v>4760.3100000000004</v>
      </c>
      <c r="D11" s="4">
        <v>549.21</v>
      </c>
      <c r="E11" s="4">
        <v>122.22</v>
      </c>
      <c r="F11" s="4">
        <v>5187.3</v>
      </c>
    </row>
    <row r="12" spans="1:6" ht="12.75" customHeight="1" x14ac:dyDescent="0.2">
      <c r="A12" s="3" t="s">
        <v>26</v>
      </c>
      <c r="B12" s="3" t="s">
        <v>27</v>
      </c>
      <c r="C12" s="4">
        <f>SUM(C13:C13)</f>
        <v>4153.05</v>
      </c>
      <c r="D12" s="4">
        <f>SUM(D13:D13)</f>
        <v>0</v>
      </c>
      <c r="E12" s="4">
        <f>SUM(E13:E13)</f>
        <v>4153.05</v>
      </c>
      <c r="F12" s="4">
        <f>SUM(F13:F13)</f>
        <v>0</v>
      </c>
    </row>
    <row r="13" spans="1:6" ht="12.75" customHeight="1" x14ac:dyDescent="0.2">
      <c r="A13" s="3" t="s">
        <v>28</v>
      </c>
      <c r="B13" s="3" t="s">
        <v>29</v>
      </c>
      <c r="C13" s="4">
        <v>4153.05</v>
      </c>
      <c r="D13" s="4">
        <v>0</v>
      </c>
      <c r="E13" s="4">
        <v>4153.05</v>
      </c>
      <c r="F13" s="4">
        <v>0</v>
      </c>
    </row>
    <row r="14" spans="1:6" ht="12.75" customHeight="1" x14ac:dyDescent="0.2">
      <c r="A14" s="3" t="s">
        <v>30</v>
      </c>
      <c r="B14" s="3" t="s">
        <v>31</v>
      </c>
      <c r="C14" s="4">
        <f>C15</f>
        <v>857471.45</v>
      </c>
      <c r="D14" s="4">
        <f>D15</f>
        <v>1047480.13</v>
      </c>
      <c r="E14" s="4">
        <f>E15</f>
        <v>1290639.47</v>
      </c>
      <c r="F14" s="4">
        <f>F15</f>
        <v>614312.11</v>
      </c>
    </row>
    <row r="15" spans="1:6" ht="12.75" customHeight="1" x14ac:dyDescent="0.2">
      <c r="A15" s="3" t="s">
        <v>32</v>
      </c>
      <c r="B15" s="3" t="s">
        <v>33</v>
      </c>
      <c r="C15" s="4">
        <f>SUM(C16:C17)</f>
        <v>857471.45</v>
      </c>
      <c r="D15" s="4">
        <f>SUM(D16:D17)</f>
        <v>1047480.13</v>
      </c>
      <c r="E15" s="4">
        <f>SUM(E16:E17)</f>
        <v>1290639.47</v>
      </c>
      <c r="F15" s="4">
        <f>SUM(F16:F17)</f>
        <v>614312.11</v>
      </c>
    </row>
    <row r="16" spans="1:6" ht="12.75" customHeight="1" x14ac:dyDescent="0.2">
      <c r="A16" s="3" t="s">
        <v>34</v>
      </c>
      <c r="B16" s="3" t="s">
        <v>35</v>
      </c>
      <c r="C16" s="4">
        <v>344307.03</v>
      </c>
      <c r="D16" s="4">
        <v>337108.73</v>
      </c>
      <c r="E16" s="4">
        <v>469228.78</v>
      </c>
      <c r="F16" s="4">
        <v>212186.98</v>
      </c>
    </row>
    <row r="17" spans="1:6" ht="12.75" customHeight="1" x14ac:dyDescent="0.2">
      <c r="A17" s="3" t="s">
        <v>36</v>
      </c>
      <c r="B17" s="3" t="s">
        <v>37</v>
      </c>
      <c r="C17" s="4">
        <v>513164.42</v>
      </c>
      <c r="D17" s="4">
        <v>710371.4</v>
      </c>
      <c r="E17" s="4">
        <v>821410.69</v>
      </c>
      <c r="F17" s="4">
        <v>402125.13</v>
      </c>
    </row>
    <row r="18" spans="1:6" ht="12.75" customHeight="1" x14ac:dyDescent="0.2">
      <c r="A18" s="3" t="s">
        <v>38</v>
      </c>
      <c r="B18" s="3" t="s">
        <v>39</v>
      </c>
      <c r="C18" s="4">
        <f>C19+C22+C24+C26+C31</f>
        <v>350507.25</v>
      </c>
      <c r="D18" s="4">
        <f>D19+D22+D24+D26+D31</f>
        <v>93866.01</v>
      </c>
      <c r="E18" s="4">
        <f>E19+E22+E24+E26+E31</f>
        <v>46907.97</v>
      </c>
      <c r="F18" s="4">
        <f>F19+F22+F24+F26+F31</f>
        <v>397465.29</v>
      </c>
    </row>
    <row r="19" spans="1:6" ht="12.75" customHeight="1" x14ac:dyDescent="0.2">
      <c r="A19" s="3" t="s">
        <v>40</v>
      </c>
      <c r="B19" s="3" t="s">
        <v>41</v>
      </c>
      <c r="C19" s="4">
        <f>SUM(C20:C21)</f>
        <v>6071.56</v>
      </c>
      <c r="D19" s="4">
        <f>SUM(D20:D21)</f>
        <v>34747.35</v>
      </c>
      <c r="E19" s="4">
        <f>SUM(E20:E21)</f>
        <v>37600.01</v>
      </c>
      <c r="F19" s="4">
        <f>SUM(F20:F21)</f>
        <v>3218.9</v>
      </c>
    </row>
    <row r="20" spans="1:6" ht="12.75" customHeight="1" x14ac:dyDescent="0.2">
      <c r="A20" s="3" t="s">
        <v>42</v>
      </c>
      <c r="B20" s="3" t="s">
        <v>43</v>
      </c>
      <c r="C20" s="4">
        <v>6071.56</v>
      </c>
      <c r="D20" s="4">
        <v>2972.89</v>
      </c>
      <c r="E20" s="4">
        <v>5825.55</v>
      </c>
      <c r="F20" s="4">
        <v>3218.9</v>
      </c>
    </row>
    <row r="21" spans="1:6" ht="12.75" customHeight="1" x14ac:dyDescent="0.2">
      <c r="A21" s="3" t="s">
        <v>44</v>
      </c>
      <c r="B21" s="3" t="s">
        <v>45</v>
      </c>
      <c r="C21" s="4">
        <v>0</v>
      </c>
      <c r="D21" s="4">
        <v>31774.46</v>
      </c>
      <c r="E21" s="4">
        <v>31774.46</v>
      </c>
      <c r="F21" s="4">
        <v>0</v>
      </c>
    </row>
    <row r="22" spans="1:6" ht="12.75" customHeight="1" x14ac:dyDescent="0.2">
      <c r="A22" s="3" t="s">
        <v>46</v>
      </c>
      <c r="B22" s="3" t="s">
        <v>47</v>
      </c>
      <c r="C22" s="4">
        <f>SUM(C23:C23)</f>
        <v>147010.20000000001</v>
      </c>
      <c r="D22" s="4">
        <f>SUM(D23:D23)</f>
        <v>0</v>
      </c>
      <c r="E22" s="4">
        <f>SUM(E23:E23)</f>
        <v>0</v>
      </c>
      <c r="F22" s="4">
        <f>SUM(F23:F23)</f>
        <v>147010.20000000001</v>
      </c>
    </row>
    <row r="23" spans="1:6" ht="12.75" customHeight="1" x14ac:dyDescent="0.2">
      <c r="A23" s="3" t="s">
        <v>48</v>
      </c>
      <c r="B23" s="3" t="s">
        <v>49</v>
      </c>
      <c r="C23" s="4">
        <v>147010.20000000001</v>
      </c>
      <c r="D23" s="4">
        <v>0</v>
      </c>
      <c r="E23" s="4">
        <v>0</v>
      </c>
      <c r="F23" s="4">
        <v>147010.20000000001</v>
      </c>
    </row>
    <row r="24" spans="1:6" ht="12.75" customHeight="1" x14ac:dyDescent="0.2">
      <c r="A24" s="3" t="s">
        <v>50</v>
      </c>
      <c r="B24" s="3" t="s">
        <v>51</v>
      </c>
      <c r="C24" s="4">
        <f>SUM(C25:C25)</f>
        <v>126211.51</v>
      </c>
      <c r="D24" s="4">
        <f>SUM(D25:D25)</f>
        <v>0</v>
      </c>
      <c r="E24" s="4">
        <f>SUM(E25:E25)</f>
        <v>0</v>
      </c>
      <c r="F24" s="4">
        <f>SUM(F25:F25)</f>
        <v>126211.51</v>
      </c>
    </row>
    <row r="25" spans="1:6" ht="12.75" customHeight="1" x14ac:dyDescent="0.2">
      <c r="A25" s="3" t="s">
        <v>52</v>
      </c>
      <c r="B25" s="3" t="s">
        <v>53</v>
      </c>
      <c r="C25" s="4">
        <v>126211.51</v>
      </c>
      <c r="D25" s="4">
        <v>0</v>
      </c>
      <c r="E25" s="4">
        <v>0</v>
      </c>
      <c r="F25" s="4">
        <v>126211.51</v>
      </c>
    </row>
    <row r="26" spans="1:6" ht="12.75" customHeight="1" x14ac:dyDescent="0.2">
      <c r="A26" s="3" t="s">
        <v>54</v>
      </c>
      <c r="B26" s="3" t="s">
        <v>55</v>
      </c>
      <c r="C26" s="4">
        <f>SUM(C27:C30)</f>
        <v>7120.88</v>
      </c>
      <c r="D26" s="4">
        <f>SUM(D27:D30)</f>
        <v>59118.659999999996</v>
      </c>
      <c r="E26" s="4">
        <f>SUM(E27:E30)</f>
        <v>9307.9600000000009</v>
      </c>
      <c r="F26" s="4">
        <f>SUM(F27:F30)</f>
        <v>56931.58</v>
      </c>
    </row>
    <row r="27" spans="1:6" ht="12.75" customHeight="1" x14ac:dyDescent="0.2">
      <c r="A27" s="3" t="s">
        <v>56</v>
      </c>
      <c r="B27" s="3" t="s">
        <v>57</v>
      </c>
      <c r="C27" s="4">
        <v>0</v>
      </c>
      <c r="D27" s="4">
        <v>41338.42</v>
      </c>
      <c r="E27" s="4">
        <v>412.87</v>
      </c>
      <c r="F27" s="4">
        <v>40925.550000000003</v>
      </c>
    </row>
    <row r="28" spans="1:6" ht="12.75" customHeight="1" x14ac:dyDescent="0.2">
      <c r="A28" s="3" t="s">
        <v>58</v>
      </c>
      <c r="B28" s="3" t="s">
        <v>59</v>
      </c>
      <c r="C28" s="4">
        <v>0</v>
      </c>
      <c r="D28" s="4">
        <v>8720.09</v>
      </c>
      <c r="E28" s="4">
        <v>8720.09</v>
      </c>
      <c r="F28" s="4">
        <v>0</v>
      </c>
    </row>
    <row r="29" spans="1:6" ht="12.75" customHeight="1" x14ac:dyDescent="0.2">
      <c r="A29" s="3" t="s">
        <v>60</v>
      </c>
      <c r="B29" s="3" t="s">
        <v>61</v>
      </c>
      <c r="C29" s="4">
        <v>7120.88</v>
      </c>
      <c r="D29" s="4">
        <v>0</v>
      </c>
      <c r="E29" s="4">
        <v>0</v>
      </c>
      <c r="F29" s="4">
        <v>7120.88</v>
      </c>
    </row>
    <row r="30" spans="1:6" ht="12.75" customHeight="1" x14ac:dyDescent="0.2">
      <c r="A30" s="3" t="s">
        <v>62</v>
      </c>
      <c r="B30" s="3" t="s">
        <v>63</v>
      </c>
      <c r="C30" s="4">
        <v>0</v>
      </c>
      <c r="D30" s="4">
        <v>9060.15</v>
      </c>
      <c r="E30" s="4">
        <v>175</v>
      </c>
      <c r="F30" s="4">
        <v>8885.15</v>
      </c>
    </row>
    <row r="31" spans="1:6" ht="12.75" customHeight="1" x14ac:dyDescent="0.2">
      <c r="A31" s="3" t="s">
        <v>64</v>
      </c>
      <c r="B31" s="3" t="s">
        <v>65</v>
      </c>
      <c r="C31" s="4">
        <f>SUM(C32:C35)</f>
        <v>64093.1</v>
      </c>
      <c r="D31" s="4">
        <f>SUM(D32:D35)</f>
        <v>0</v>
      </c>
      <c r="E31" s="4">
        <f>SUM(E32:E35)</f>
        <v>0</v>
      </c>
      <c r="F31" s="4">
        <f>SUM(F32:F35)</f>
        <v>64093.1</v>
      </c>
    </row>
    <row r="32" spans="1:6" ht="12.75" customHeight="1" x14ac:dyDescent="0.2">
      <c r="A32" s="3" t="s">
        <v>66</v>
      </c>
      <c r="B32" s="3" t="s">
        <v>67</v>
      </c>
      <c r="C32" s="4">
        <v>34627.339999999997</v>
      </c>
      <c r="D32" s="4">
        <v>0</v>
      </c>
      <c r="E32" s="4">
        <v>0</v>
      </c>
      <c r="F32" s="4">
        <v>34627.339999999997</v>
      </c>
    </row>
    <row r="33" spans="1:6" ht="12.75" customHeight="1" x14ac:dyDescent="0.2">
      <c r="A33" s="3" t="s">
        <v>68</v>
      </c>
      <c r="B33" s="3" t="s">
        <v>69</v>
      </c>
      <c r="C33" s="4">
        <v>29435.68</v>
      </c>
      <c r="D33" s="4">
        <v>0</v>
      </c>
      <c r="E33" s="4">
        <v>0</v>
      </c>
      <c r="F33" s="4">
        <v>29435.68</v>
      </c>
    </row>
    <row r="34" spans="1:6" ht="12.75" customHeight="1" x14ac:dyDescent="0.2">
      <c r="A34" s="3" t="s">
        <v>70</v>
      </c>
      <c r="B34" s="3" t="s">
        <v>71</v>
      </c>
      <c r="C34" s="4">
        <v>16.21</v>
      </c>
      <c r="D34" s="4">
        <v>0</v>
      </c>
      <c r="E34" s="4">
        <v>0</v>
      </c>
      <c r="F34" s="4">
        <v>16.21</v>
      </c>
    </row>
    <row r="35" spans="1:6" ht="12.75" customHeight="1" x14ac:dyDescent="0.2">
      <c r="A35" s="3" t="s">
        <v>72</v>
      </c>
      <c r="B35" s="3" t="s">
        <v>73</v>
      </c>
      <c r="C35" s="4">
        <v>13.87</v>
      </c>
      <c r="D35" s="4">
        <v>0</v>
      </c>
      <c r="E35" s="4">
        <v>0</v>
      </c>
      <c r="F35" s="4">
        <v>13.87</v>
      </c>
    </row>
    <row r="36" spans="1:6" ht="12.75" customHeight="1" x14ac:dyDescent="0.2">
      <c r="A36" s="3" t="s">
        <v>74</v>
      </c>
      <c r="B36" s="3" t="s">
        <v>75</v>
      </c>
      <c r="C36" s="4">
        <f>C37</f>
        <v>953107.73</v>
      </c>
      <c r="D36" s="4">
        <f>D37</f>
        <v>26983.33</v>
      </c>
      <c r="E36" s="4">
        <f>E37</f>
        <v>162162.06</v>
      </c>
      <c r="F36" s="4">
        <f>F37</f>
        <v>817929</v>
      </c>
    </row>
    <row r="37" spans="1:6" ht="12.75" customHeight="1" x14ac:dyDescent="0.2">
      <c r="A37" s="3" t="s">
        <v>76</v>
      </c>
      <c r="B37" s="3" t="s">
        <v>77</v>
      </c>
      <c r="C37" s="4">
        <f>SUM(C38:C38)</f>
        <v>953107.73</v>
      </c>
      <c r="D37" s="4">
        <f>SUM(D38:D38)</f>
        <v>26983.33</v>
      </c>
      <c r="E37" s="4">
        <f>SUM(E38:E38)</f>
        <v>162162.06</v>
      </c>
      <c r="F37" s="4">
        <f>SUM(F38:F38)</f>
        <v>817929</v>
      </c>
    </row>
    <row r="38" spans="1:6" ht="12.75" customHeight="1" x14ac:dyDescent="0.2">
      <c r="A38" s="3" t="s">
        <v>78</v>
      </c>
      <c r="B38" s="3" t="s">
        <v>79</v>
      </c>
      <c r="C38" s="4">
        <v>953107.73</v>
      </c>
      <c r="D38" s="4">
        <v>26983.33</v>
      </c>
      <c r="E38" s="4">
        <v>162162.06</v>
      </c>
      <c r="F38" s="4">
        <v>817929</v>
      </c>
    </row>
    <row r="39" spans="1:6" ht="12.75" customHeight="1" x14ac:dyDescent="0.2">
      <c r="A39" s="3" t="s">
        <v>80</v>
      </c>
      <c r="B39" s="3" t="s">
        <v>81</v>
      </c>
      <c r="C39" s="4">
        <f>C40+C44+C53</f>
        <v>3147410.57</v>
      </c>
      <c r="D39" s="4">
        <f>D40+D44+D53</f>
        <v>0</v>
      </c>
      <c r="E39" s="4">
        <f>E40+E44+E53</f>
        <v>6083.8600000000006</v>
      </c>
      <c r="F39" s="4">
        <f>F40+F44+F53</f>
        <v>3141326.71</v>
      </c>
    </row>
    <row r="40" spans="1:6" ht="12.75" customHeight="1" x14ac:dyDescent="0.2">
      <c r="A40" s="3" t="s">
        <v>82</v>
      </c>
      <c r="B40" s="3" t="s">
        <v>83</v>
      </c>
      <c r="C40" s="4">
        <f>C41</f>
        <v>3022148.98</v>
      </c>
      <c r="D40" s="4">
        <f>D41</f>
        <v>0</v>
      </c>
      <c r="E40" s="4">
        <f>E41</f>
        <v>0</v>
      </c>
      <c r="F40" s="4">
        <f>F41</f>
        <v>3022148.98</v>
      </c>
    </row>
    <row r="41" spans="1:6" ht="12.75" customHeight="1" x14ac:dyDescent="0.2">
      <c r="A41" s="3" t="s">
        <v>84</v>
      </c>
      <c r="B41" s="3" t="s">
        <v>85</v>
      </c>
      <c r="C41" s="4">
        <f>SUM(C42:C43)</f>
        <v>3022148.98</v>
      </c>
      <c r="D41" s="4">
        <f>SUM(D42:D43)</f>
        <v>0</v>
      </c>
      <c r="E41" s="4">
        <f>SUM(E42:E43)</f>
        <v>0</v>
      </c>
      <c r="F41" s="4">
        <f>SUM(F42:F43)</f>
        <v>3022148.98</v>
      </c>
    </row>
    <row r="42" spans="1:6" ht="12.75" customHeight="1" x14ac:dyDescent="0.2">
      <c r="A42" s="3" t="s">
        <v>86</v>
      </c>
      <c r="B42" s="3" t="s">
        <v>87</v>
      </c>
      <c r="C42" s="4">
        <v>1797559.66</v>
      </c>
      <c r="D42" s="4">
        <v>0</v>
      </c>
      <c r="E42" s="4">
        <v>0</v>
      </c>
      <c r="F42" s="4">
        <v>1797559.66</v>
      </c>
    </row>
    <row r="43" spans="1:6" ht="12.75" customHeight="1" x14ac:dyDescent="0.2">
      <c r="A43" s="3" t="s">
        <v>88</v>
      </c>
      <c r="B43" s="3" t="s">
        <v>89</v>
      </c>
      <c r="C43" s="4">
        <v>1224589.32</v>
      </c>
      <c r="D43" s="4">
        <v>0</v>
      </c>
      <c r="E43" s="4">
        <v>0</v>
      </c>
      <c r="F43" s="4">
        <v>1224589.32</v>
      </c>
    </row>
    <row r="44" spans="1:6" ht="12.75" customHeight="1" x14ac:dyDescent="0.2">
      <c r="A44" s="3" t="s">
        <v>90</v>
      </c>
      <c r="B44" s="3" t="s">
        <v>91</v>
      </c>
      <c r="C44" s="4">
        <f>C45+C49</f>
        <v>69663.170000000013</v>
      </c>
      <c r="D44" s="4">
        <f>D45+D49</f>
        <v>0</v>
      </c>
      <c r="E44" s="4">
        <f>E45+E49</f>
        <v>1767.19</v>
      </c>
      <c r="F44" s="4">
        <f>F45+F49</f>
        <v>67895.98000000001</v>
      </c>
    </row>
    <row r="45" spans="1:6" ht="12.75" customHeight="1" x14ac:dyDescent="0.2">
      <c r="A45" s="3" t="s">
        <v>92</v>
      </c>
      <c r="B45" s="3" t="s">
        <v>93</v>
      </c>
      <c r="C45" s="4">
        <f>SUM(C46:C48)</f>
        <v>139435.51</v>
      </c>
      <c r="D45" s="4">
        <f>SUM(D46:D48)</f>
        <v>0</v>
      </c>
      <c r="E45" s="4">
        <f>SUM(E46:E48)</f>
        <v>0</v>
      </c>
      <c r="F45" s="4">
        <f>SUM(F46:F48)</f>
        <v>139435.51</v>
      </c>
    </row>
    <row r="46" spans="1:6" ht="12.75" customHeight="1" x14ac:dyDescent="0.2">
      <c r="A46" s="3" t="s">
        <v>94</v>
      </c>
      <c r="B46" s="3" t="s">
        <v>95</v>
      </c>
      <c r="C46" s="4">
        <v>132597.82</v>
      </c>
      <c r="D46" s="4">
        <v>0</v>
      </c>
      <c r="E46" s="4">
        <v>0</v>
      </c>
      <c r="F46" s="4">
        <v>132597.82</v>
      </c>
    </row>
    <row r="47" spans="1:6" ht="12.75" customHeight="1" x14ac:dyDescent="0.2">
      <c r="A47" s="3" t="s">
        <v>96</v>
      </c>
      <c r="B47" s="3" t="s">
        <v>97</v>
      </c>
      <c r="C47" s="4">
        <v>4888.6899999999996</v>
      </c>
      <c r="D47" s="4">
        <v>0</v>
      </c>
      <c r="E47" s="4">
        <v>0</v>
      </c>
      <c r="F47" s="4">
        <v>4888.6899999999996</v>
      </c>
    </row>
    <row r="48" spans="1:6" ht="12.75" customHeight="1" x14ac:dyDescent="0.2">
      <c r="A48" s="3" t="s">
        <v>98</v>
      </c>
      <c r="B48" s="3" t="s">
        <v>99</v>
      </c>
      <c r="C48" s="4">
        <v>1949</v>
      </c>
      <c r="D48" s="4">
        <v>0</v>
      </c>
      <c r="E48" s="4">
        <v>0</v>
      </c>
      <c r="F48" s="4">
        <v>1949</v>
      </c>
    </row>
    <row r="49" spans="1:6" ht="12.75" customHeight="1" x14ac:dyDescent="0.2">
      <c r="A49" s="3" t="s">
        <v>100</v>
      </c>
      <c r="B49" s="3" t="s">
        <v>101</v>
      </c>
      <c r="C49" s="4">
        <f>SUM(C50:C52)</f>
        <v>-69772.34</v>
      </c>
      <c r="D49" s="4">
        <f>SUM(D50:D52)</f>
        <v>0</v>
      </c>
      <c r="E49" s="4">
        <f>SUM(E50:E52)</f>
        <v>1767.19</v>
      </c>
      <c r="F49" s="4">
        <f>SUM(F50:F52)</f>
        <v>-71539.53</v>
      </c>
    </row>
    <row r="50" spans="1:6" ht="12.75" customHeight="1" x14ac:dyDescent="0.2">
      <c r="A50" s="3" t="s">
        <v>102</v>
      </c>
      <c r="B50" s="3" t="s">
        <v>103</v>
      </c>
      <c r="C50" s="4">
        <v>-66138.73</v>
      </c>
      <c r="D50" s="4">
        <v>0</v>
      </c>
      <c r="E50" s="4">
        <v>1666.29</v>
      </c>
      <c r="F50" s="4">
        <v>-67805.02</v>
      </c>
    </row>
    <row r="51" spans="1:6" ht="12.75" customHeight="1" x14ac:dyDescent="0.2">
      <c r="A51" s="3" t="s">
        <v>104</v>
      </c>
      <c r="B51" s="3" t="s">
        <v>105</v>
      </c>
      <c r="C51" s="4">
        <v>-3471.21</v>
      </c>
      <c r="D51" s="4">
        <v>0</v>
      </c>
      <c r="E51" s="4">
        <v>84.66</v>
      </c>
      <c r="F51" s="4">
        <v>-3555.87</v>
      </c>
    </row>
    <row r="52" spans="1:6" ht="12.75" customHeight="1" x14ac:dyDescent="0.2">
      <c r="A52" s="3" t="s">
        <v>106</v>
      </c>
      <c r="B52" s="3" t="s">
        <v>107</v>
      </c>
      <c r="C52" s="4">
        <v>-162.4</v>
      </c>
      <c r="D52" s="4">
        <v>0</v>
      </c>
      <c r="E52" s="4">
        <v>16.239999999999998</v>
      </c>
      <c r="F52" s="4">
        <v>-178.64</v>
      </c>
    </row>
    <row r="53" spans="1:6" ht="12.75" customHeight="1" x14ac:dyDescent="0.2">
      <c r="A53" s="3" t="s">
        <v>108</v>
      </c>
      <c r="B53" s="3" t="s">
        <v>109</v>
      </c>
      <c r="C53" s="4">
        <f>C54+C57</f>
        <v>55598.42</v>
      </c>
      <c r="D53" s="4">
        <f>D54+D57</f>
        <v>0</v>
      </c>
      <c r="E53" s="4">
        <f>E54+E57</f>
        <v>4316.67</v>
      </c>
      <c r="F53" s="4">
        <f>F54+F57</f>
        <v>51281.75</v>
      </c>
    </row>
    <row r="54" spans="1:6" ht="12.75" customHeight="1" x14ac:dyDescent="0.2">
      <c r="A54" s="3" t="s">
        <v>110</v>
      </c>
      <c r="B54" s="3" t="s">
        <v>109</v>
      </c>
      <c r="C54" s="4">
        <f>SUM(C55:C56)</f>
        <v>109099</v>
      </c>
      <c r="D54" s="4">
        <f>SUM(D55:D56)</f>
        <v>0</v>
      </c>
      <c r="E54" s="4">
        <f>SUM(E55:E56)</f>
        <v>0</v>
      </c>
      <c r="F54" s="4">
        <f>SUM(F55:F56)</f>
        <v>109099</v>
      </c>
    </row>
    <row r="55" spans="1:6" ht="12.75" customHeight="1" x14ac:dyDescent="0.2">
      <c r="A55" s="3" t="s">
        <v>111</v>
      </c>
      <c r="B55" s="3" t="s">
        <v>112</v>
      </c>
      <c r="C55" s="4">
        <v>5499</v>
      </c>
      <c r="D55" s="4">
        <v>0</v>
      </c>
      <c r="E55" s="4">
        <v>0</v>
      </c>
      <c r="F55" s="4">
        <v>5499</v>
      </c>
    </row>
    <row r="56" spans="1:6" ht="12.75" customHeight="1" x14ac:dyDescent="0.2">
      <c r="A56" s="3" t="s">
        <v>113</v>
      </c>
      <c r="B56" s="3" t="s">
        <v>114</v>
      </c>
      <c r="C56" s="4">
        <v>103600</v>
      </c>
      <c r="D56" s="4">
        <v>0</v>
      </c>
      <c r="E56" s="4">
        <v>0</v>
      </c>
      <c r="F56" s="4">
        <v>103600</v>
      </c>
    </row>
    <row r="57" spans="1:6" ht="12.75" customHeight="1" x14ac:dyDescent="0.2">
      <c r="A57" s="3" t="s">
        <v>115</v>
      </c>
      <c r="B57" s="3" t="s">
        <v>116</v>
      </c>
      <c r="C57" s="4">
        <f>SUM(C58:C58)</f>
        <v>-53500.58</v>
      </c>
      <c r="D57" s="4">
        <f>SUM(D58:D58)</f>
        <v>0</v>
      </c>
      <c r="E57" s="4">
        <f>SUM(E58:E58)</f>
        <v>4316.67</v>
      </c>
      <c r="F57" s="4">
        <f>SUM(F58:F58)</f>
        <v>-57817.25</v>
      </c>
    </row>
    <row r="58" spans="1:6" ht="12.75" customHeight="1" x14ac:dyDescent="0.2">
      <c r="A58" s="3" t="s">
        <v>117</v>
      </c>
      <c r="B58" s="3" t="s">
        <v>118</v>
      </c>
      <c r="C58" s="4">
        <v>-53500.58</v>
      </c>
      <c r="D58" s="4">
        <v>0</v>
      </c>
      <c r="E58" s="4">
        <v>4316.67</v>
      </c>
      <c r="F58" s="4">
        <v>-57817.25</v>
      </c>
    </row>
    <row r="59" spans="1:6" ht="12.75" customHeight="1" x14ac:dyDescent="0.2">
      <c r="A59" s="3" t="s">
        <v>119</v>
      </c>
      <c r="B59" s="3" t="s">
        <v>120</v>
      </c>
      <c r="C59" s="4">
        <f>C60</f>
        <v>0</v>
      </c>
      <c r="D59" s="4">
        <f>D60</f>
        <v>88148.26999999999</v>
      </c>
      <c r="E59" s="4">
        <f>E60</f>
        <v>88148.26999999999</v>
      </c>
      <c r="F59" s="4">
        <f>F60</f>
        <v>0</v>
      </c>
    </row>
    <row r="60" spans="1:6" ht="12.75" customHeight="1" x14ac:dyDescent="0.2">
      <c r="A60" s="3" t="s">
        <v>121</v>
      </c>
      <c r="B60" s="3" t="s">
        <v>122</v>
      </c>
      <c r="C60" s="4">
        <f>C61+C62</f>
        <v>0</v>
      </c>
      <c r="D60" s="4">
        <f>D61+D62</f>
        <v>88148.26999999999</v>
      </c>
      <c r="E60" s="4">
        <f>E61+E62</f>
        <v>88148.26999999999</v>
      </c>
      <c r="F60" s="4">
        <f>F61+F62</f>
        <v>0</v>
      </c>
    </row>
    <row r="61" spans="1:6" ht="12.75" customHeight="1" x14ac:dyDescent="0.2">
      <c r="A61" s="3" t="s">
        <v>123</v>
      </c>
      <c r="B61" s="3" t="s">
        <v>124</v>
      </c>
      <c r="C61" s="4">
        <v>0</v>
      </c>
      <c r="D61" s="4">
        <v>63929.27</v>
      </c>
      <c r="E61" s="4">
        <v>63929.27</v>
      </c>
      <c r="F61" s="4">
        <v>0</v>
      </c>
    </row>
    <row r="62" spans="1:6" ht="12.75" customHeight="1" x14ac:dyDescent="0.2">
      <c r="A62" s="3" t="s">
        <v>125</v>
      </c>
      <c r="B62" s="3" t="s">
        <v>126</v>
      </c>
      <c r="C62" s="4">
        <v>0</v>
      </c>
      <c r="D62" s="4">
        <v>24219</v>
      </c>
      <c r="E62" s="4">
        <v>24219</v>
      </c>
      <c r="F62" s="4">
        <v>0</v>
      </c>
    </row>
    <row r="63" spans="1:6" s="10" customFormat="1" ht="12.75" customHeight="1" x14ac:dyDescent="0.2">
      <c r="A63" s="8" t="s">
        <v>127</v>
      </c>
      <c r="B63" s="8" t="s">
        <v>128</v>
      </c>
      <c r="C63" s="9">
        <f>C64+C99+C103+C110</f>
        <v>5330654</v>
      </c>
      <c r="D63" s="9">
        <f>D64+D99+D103+D110</f>
        <v>1901352.47</v>
      </c>
      <c r="E63" s="9">
        <f>E64+E99+E103+E110</f>
        <v>1701516.6100000003</v>
      </c>
      <c r="F63" s="9">
        <f>F64+F99+F103+F110</f>
        <v>5130818.1400000006</v>
      </c>
    </row>
    <row r="64" spans="1:6" ht="12.75" customHeight="1" x14ac:dyDescent="0.2">
      <c r="A64" s="3" t="s">
        <v>129</v>
      </c>
      <c r="B64" s="3" t="s">
        <v>130</v>
      </c>
      <c r="C64" s="4">
        <f>C65</f>
        <v>3163021.9899999998</v>
      </c>
      <c r="D64" s="4">
        <f>D65</f>
        <v>1810297.92</v>
      </c>
      <c r="E64" s="4">
        <f>E65</f>
        <v>1569489.7100000002</v>
      </c>
      <c r="F64" s="4">
        <f>F65</f>
        <v>2922213.7800000003</v>
      </c>
    </row>
    <row r="65" spans="1:6" ht="12.75" customHeight="1" x14ac:dyDescent="0.2">
      <c r="A65" s="3" t="s">
        <v>131</v>
      </c>
      <c r="B65" s="3" t="s">
        <v>132</v>
      </c>
      <c r="C65" s="4">
        <f>C66+C68+C72+C77+C81+C88+C94</f>
        <v>3163021.9899999998</v>
      </c>
      <c r="D65" s="4">
        <f>D66+D68+D72+D77+D81+D88+D94</f>
        <v>1810297.92</v>
      </c>
      <c r="E65" s="4">
        <f>E66+E68+E72+E77+E81+E88+E94</f>
        <v>1569489.7100000002</v>
      </c>
      <c r="F65" s="4">
        <f>F66+F68+F72+F77+F81+F88+F94</f>
        <v>2922213.7800000003</v>
      </c>
    </row>
    <row r="66" spans="1:6" ht="12.75" customHeight="1" x14ac:dyDescent="0.2">
      <c r="A66" s="3" t="s">
        <v>133</v>
      </c>
      <c r="B66" s="3" t="s">
        <v>134</v>
      </c>
      <c r="C66" s="4">
        <f>SUM(C67:C67)</f>
        <v>1901555.71</v>
      </c>
      <c r="D66" s="4">
        <f>SUM(D67:D67)</f>
        <v>508804.51</v>
      </c>
      <c r="E66" s="4">
        <f>SUM(E67:E67)</f>
        <v>668057.06999999995</v>
      </c>
      <c r="F66" s="4">
        <f>SUM(F67:F67)</f>
        <v>2060808.27</v>
      </c>
    </row>
    <row r="67" spans="1:6" ht="12.75" customHeight="1" x14ac:dyDescent="0.2">
      <c r="A67" s="3" t="s">
        <v>135</v>
      </c>
      <c r="B67" s="3" t="s">
        <v>136</v>
      </c>
      <c r="C67" s="4">
        <v>1901555.71</v>
      </c>
      <c r="D67" s="4">
        <v>508804.51</v>
      </c>
      <c r="E67" s="4">
        <v>668057.06999999995</v>
      </c>
      <c r="F67" s="4">
        <v>2060808.27</v>
      </c>
    </row>
    <row r="68" spans="1:6" ht="12.75" customHeight="1" x14ac:dyDescent="0.2">
      <c r="A68" s="3" t="s">
        <v>137</v>
      </c>
      <c r="B68" s="3" t="s">
        <v>138</v>
      </c>
      <c r="C68" s="4">
        <f>SUM(C69:C71)</f>
        <v>0</v>
      </c>
      <c r="D68" s="4">
        <f>SUM(D69:D71)</f>
        <v>0</v>
      </c>
      <c r="E68" s="4">
        <f>SUM(E69:E71)</f>
        <v>218367.14</v>
      </c>
      <c r="F68" s="4">
        <f>SUM(F69:F71)</f>
        <v>218367.14</v>
      </c>
    </row>
    <row r="69" spans="1:6" ht="12.75" customHeight="1" x14ac:dyDescent="0.2">
      <c r="A69" s="3" t="s">
        <v>139</v>
      </c>
      <c r="B69" s="3" t="s">
        <v>19</v>
      </c>
      <c r="C69" s="4">
        <v>0</v>
      </c>
      <c r="D69" s="4">
        <v>0</v>
      </c>
      <c r="E69" s="4">
        <v>26575.43</v>
      </c>
      <c r="F69" s="4">
        <v>26575.43</v>
      </c>
    </row>
    <row r="70" spans="1:6" ht="12.75" customHeight="1" x14ac:dyDescent="0.2">
      <c r="A70" s="3" t="s">
        <v>140</v>
      </c>
      <c r="B70" s="3" t="s">
        <v>21</v>
      </c>
      <c r="C70" s="4">
        <v>0</v>
      </c>
      <c r="D70" s="4">
        <v>0</v>
      </c>
      <c r="E70" s="4">
        <v>28351.71</v>
      </c>
      <c r="F70" s="4">
        <v>28351.71</v>
      </c>
    </row>
    <row r="71" spans="1:6" ht="12.75" customHeight="1" x14ac:dyDescent="0.2">
      <c r="A71" s="3" t="s">
        <v>141</v>
      </c>
      <c r="B71" s="3" t="s">
        <v>142</v>
      </c>
      <c r="C71" s="4">
        <v>0</v>
      </c>
      <c r="D71" s="4">
        <v>0</v>
      </c>
      <c r="E71" s="4">
        <v>163440</v>
      </c>
      <c r="F71" s="4">
        <v>163440</v>
      </c>
    </row>
    <row r="72" spans="1:6" s="10" customFormat="1" ht="12.75" customHeight="1" x14ac:dyDescent="0.2">
      <c r="A72" s="8" t="s">
        <v>143</v>
      </c>
      <c r="B72" s="8" t="s">
        <v>144</v>
      </c>
      <c r="C72" s="9">
        <f>SUM(C73:C76)</f>
        <v>26074.38</v>
      </c>
      <c r="D72" s="9">
        <f>SUM(D73:D76)</f>
        <v>58194.76</v>
      </c>
      <c r="E72" s="9">
        <f>SUM(E73:E76)</f>
        <v>73519.930000000008</v>
      </c>
      <c r="F72" s="9">
        <f>SUM(F73:F76)</f>
        <v>41399.549999999996</v>
      </c>
    </row>
    <row r="73" spans="1:6" ht="13.5" customHeight="1" x14ac:dyDescent="0.2">
      <c r="A73" s="3" t="s">
        <v>145</v>
      </c>
      <c r="B73" s="3" t="s">
        <v>146</v>
      </c>
      <c r="C73" s="4">
        <v>0</v>
      </c>
      <c r="D73" s="4">
        <v>1056.6400000000001</v>
      </c>
      <c r="E73" s="4">
        <v>1056.6400000000001</v>
      </c>
      <c r="F73" s="4">
        <v>0</v>
      </c>
    </row>
    <row r="74" spans="1:6" s="15" customFormat="1" ht="12.75" customHeight="1" x14ac:dyDescent="0.2">
      <c r="A74" s="13" t="s">
        <v>147</v>
      </c>
      <c r="B74" s="13" t="s">
        <v>148</v>
      </c>
      <c r="C74" s="14">
        <v>6785.18</v>
      </c>
      <c r="D74" s="14">
        <v>6785.18</v>
      </c>
      <c r="E74" s="14">
        <v>4495.99</v>
      </c>
      <c r="F74" s="14">
        <v>4495.99</v>
      </c>
    </row>
    <row r="75" spans="1:6" s="15" customFormat="1" ht="12.75" customHeight="1" x14ac:dyDescent="0.2">
      <c r="A75" s="13" t="s">
        <v>149</v>
      </c>
      <c r="B75" s="13" t="s">
        <v>150</v>
      </c>
      <c r="C75" s="14">
        <v>19289.2</v>
      </c>
      <c r="D75" s="14">
        <v>0</v>
      </c>
      <c r="E75" s="14">
        <v>17614.36</v>
      </c>
      <c r="F75" s="14">
        <v>36903.56</v>
      </c>
    </row>
    <row r="76" spans="1:6" s="15" customFormat="1" ht="12.75" customHeight="1" x14ac:dyDescent="0.2">
      <c r="A76" s="13" t="s">
        <v>151</v>
      </c>
      <c r="B76" s="13" t="s">
        <v>152</v>
      </c>
      <c r="C76" s="14">
        <v>0</v>
      </c>
      <c r="D76" s="14">
        <v>50352.94</v>
      </c>
      <c r="E76" s="14">
        <v>50352.94</v>
      </c>
      <c r="F76" s="14">
        <v>0</v>
      </c>
    </row>
    <row r="77" spans="1:6" s="15" customFormat="1" ht="12.75" customHeight="1" x14ac:dyDescent="0.2">
      <c r="A77" s="13" t="s">
        <v>153</v>
      </c>
      <c r="B77" s="13" t="s">
        <v>154</v>
      </c>
      <c r="C77" s="14">
        <f>SUM(C78:C80)</f>
        <v>4994.6099999999997</v>
      </c>
      <c r="D77" s="14">
        <f>SUM(D78:D80)</f>
        <v>3824.12</v>
      </c>
      <c r="E77" s="14">
        <f>SUM(E78:E80)</f>
        <v>1543</v>
      </c>
      <c r="F77" s="14">
        <f>SUM(F78:F80)</f>
        <v>2713.49</v>
      </c>
    </row>
    <row r="78" spans="1:6" s="15" customFormat="1" ht="12.75" customHeight="1" x14ac:dyDescent="0.2">
      <c r="A78" s="13" t="s">
        <v>155</v>
      </c>
      <c r="B78" s="13" t="s">
        <v>156</v>
      </c>
      <c r="C78" s="14">
        <v>2343.41</v>
      </c>
      <c r="D78" s="14">
        <v>3149.48</v>
      </c>
      <c r="E78" s="14">
        <v>806.07</v>
      </c>
      <c r="F78" s="14">
        <v>0</v>
      </c>
    </row>
    <row r="79" spans="1:6" s="15" customFormat="1" ht="12.75" customHeight="1" x14ac:dyDescent="0.2">
      <c r="A79" s="13" t="s">
        <v>157</v>
      </c>
      <c r="B79" s="13" t="s">
        <v>158</v>
      </c>
      <c r="C79" s="14">
        <v>2151.56</v>
      </c>
      <c r="D79" s="14">
        <v>0</v>
      </c>
      <c r="E79" s="14">
        <v>561.92999999999995</v>
      </c>
      <c r="F79" s="14">
        <v>2713.49</v>
      </c>
    </row>
    <row r="80" spans="1:6" s="15" customFormat="1" ht="12.75" customHeight="1" x14ac:dyDescent="0.2">
      <c r="A80" s="13" t="s">
        <v>159</v>
      </c>
      <c r="B80" s="13" t="s">
        <v>160</v>
      </c>
      <c r="C80" s="14">
        <v>499.64</v>
      </c>
      <c r="D80" s="14">
        <v>674.64</v>
      </c>
      <c r="E80" s="14">
        <v>175</v>
      </c>
      <c r="F80" s="14">
        <v>0</v>
      </c>
    </row>
    <row r="81" spans="1:6" s="15" customFormat="1" ht="12.75" customHeight="1" x14ac:dyDescent="0.2">
      <c r="A81" s="13" t="s">
        <v>161</v>
      </c>
      <c r="B81" s="13" t="s">
        <v>162</v>
      </c>
      <c r="C81" s="14">
        <f>SUM(C82:C87)</f>
        <v>411354.16</v>
      </c>
      <c r="D81" s="14">
        <f>SUM(D82:D87)</f>
        <v>190224.22</v>
      </c>
      <c r="E81" s="14">
        <f>SUM(E82:E87)</f>
        <v>122873.89</v>
      </c>
      <c r="F81" s="14">
        <f>SUM(F82:F87)</f>
        <v>344003.83</v>
      </c>
    </row>
    <row r="82" spans="1:6" s="15" customFormat="1" ht="12.75" customHeight="1" x14ac:dyDescent="0.2">
      <c r="A82" s="13" t="s">
        <v>163</v>
      </c>
      <c r="B82" s="13" t="s">
        <v>164</v>
      </c>
      <c r="C82" s="14">
        <v>0</v>
      </c>
      <c r="D82" s="14">
        <v>0</v>
      </c>
      <c r="E82" s="14">
        <v>3848.18</v>
      </c>
      <c r="F82" s="14">
        <v>3848.18</v>
      </c>
    </row>
    <row r="83" spans="1:6" s="15" customFormat="1" ht="12.75" customHeight="1" x14ac:dyDescent="0.2">
      <c r="A83" s="13" t="s">
        <v>165</v>
      </c>
      <c r="B83" s="13" t="s">
        <v>166</v>
      </c>
      <c r="C83" s="14">
        <v>327172.24</v>
      </c>
      <c r="D83" s="14">
        <v>185665.01</v>
      </c>
      <c r="E83" s="14">
        <v>61014.720000000001</v>
      </c>
      <c r="F83" s="14">
        <v>202521.95</v>
      </c>
    </row>
    <row r="84" spans="1:6" s="15" customFormat="1" ht="12.75" customHeight="1" x14ac:dyDescent="0.2">
      <c r="A84" s="13" t="s">
        <v>167</v>
      </c>
      <c r="B84" s="13" t="s">
        <v>168</v>
      </c>
      <c r="C84" s="14">
        <v>0</v>
      </c>
      <c r="D84" s="14">
        <v>0</v>
      </c>
      <c r="E84" s="14">
        <v>1346.86</v>
      </c>
      <c r="F84" s="14">
        <v>1346.86</v>
      </c>
    </row>
    <row r="85" spans="1:6" s="15" customFormat="1" ht="12.75" customHeight="1" x14ac:dyDescent="0.2">
      <c r="A85" s="13" t="s">
        <v>169</v>
      </c>
      <c r="B85" s="13" t="s">
        <v>170</v>
      </c>
      <c r="C85" s="14">
        <v>12720.91</v>
      </c>
      <c r="D85" s="14">
        <v>0</v>
      </c>
      <c r="E85" s="14">
        <v>14541.3</v>
      </c>
      <c r="F85" s="14">
        <v>27262.21</v>
      </c>
    </row>
    <row r="86" spans="1:6" s="15" customFormat="1" ht="12.75" customHeight="1" x14ac:dyDescent="0.2">
      <c r="A86" s="13" t="s">
        <v>171</v>
      </c>
      <c r="B86" s="13" t="s">
        <v>172</v>
      </c>
      <c r="C86" s="14">
        <v>36554.57</v>
      </c>
      <c r="D86" s="14">
        <v>4559.21</v>
      </c>
      <c r="E86" s="14">
        <v>41546.57</v>
      </c>
      <c r="F86" s="14">
        <v>73541.929999999993</v>
      </c>
    </row>
    <row r="87" spans="1:6" s="15" customFormat="1" ht="12.75" customHeight="1" x14ac:dyDescent="0.2">
      <c r="A87" s="13" t="s">
        <v>173</v>
      </c>
      <c r="B87" s="13" t="s">
        <v>174</v>
      </c>
      <c r="C87" s="14">
        <v>34906.44</v>
      </c>
      <c r="D87" s="14">
        <v>0</v>
      </c>
      <c r="E87" s="14">
        <v>576.26</v>
      </c>
      <c r="F87" s="14">
        <v>35482.699999999997</v>
      </c>
    </row>
    <row r="88" spans="1:6" s="15" customFormat="1" ht="12.75" customHeight="1" x14ac:dyDescent="0.2">
      <c r="A88" s="13" t="s">
        <v>175</v>
      </c>
      <c r="B88" s="13" t="s">
        <v>176</v>
      </c>
      <c r="C88" s="14">
        <f>SUM(C89:C93)</f>
        <v>221806</v>
      </c>
      <c r="D88" s="14">
        <f>SUM(D89:D93)</f>
        <v>191236.69</v>
      </c>
      <c r="E88" s="14">
        <f>SUM(E89:E93)</f>
        <v>169895.58000000002</v>
      </c>
      <c r="F88" s="14">
        <f>SUM(F89:F93)</f>
        <v>200464.89</v>
      </c>
    </row>
    <row r="89" spans="1:6" ht="12.75" customHeight="1" x14ac:dyDescent="0.2">
      <c r="A89" s="3" t="s">
        <v>177</v>
      </c>
      <c r="B89" s="3" t="s">
        <v>178</v>
      </c>
      <c r="C89" s="4">
        <v>3136.84</v>
      </c>
      <c r="D89" s="4">
        <v>3136.84</v>
      </c>
      <c r="E89" s="4">
        <v>0</v>
      </c>
      <c r="F89" s="4">
        <v>0</v>
      </c>
    </row>
    <row r="90" spans="1:6" ht="12.75" customHeight="1" x14ac:dyDescent="0.2">
      <c r="A90" s="3" t="s">
        <v>179</v>
      </c>
      <c r="B90" s="3" t="s">
        <v>180</v>
      </c>
      <c r="C90" s="4">
        <v>11449.43</v>
      </c>
      <c r="D90" s="4">
        <v>16877.34</v>
      </c>
      <c r="E90" s="4">
        <v>14922.5</v>
      </c>
      <c r="F90" s="4">
        <v>9494.59</v>
      </c>
    </row>
    <row r="91" spans="1:6" ht="12.75" customHeight="1" x14ac:dyDescent="0.2">
      <c r="A91" s="3" t="s">
        <v>181</v>
      </c>
      <c r="B91" s="3" t="s">
        <v>182</v>
      </c>
      <c r="C91" s="4">
        <v>68806.61</v>
      </c>
      <c r="D91" s="4">
        <v>62372.05</v>
      </c>
      <c r="E91" s="4">
        <v>34761.75</v>
      </c>
      <c r="F91" s="4">
        <v>41196.31</v>
      </c>
    </row>
    <row r="92" spans="1:6" ht="12.75" customHeight="1" x14ac:dyDescent="0.2">
      <c r="A92" s="3" t="s">
        <v>183</v>
      </c>
      <c r="B92" s="3" t="s">
        <v>184</v>
      </c>
      <c r="C92" s="4">
        <v>136553.47</v>
      </c>
      <c r="D92" s="4">
        <v>106990.81</v>
      </c>
      <c r="E92" s="4">
        <v>119845.6</v>
      </c>
      <c r="F92" s="4">
        <v>149408.26</v>
      </c>
    </row>
    <row r="93" spans="1:6" ht="12.75" customHeight="1" x14ac:dyDescent="0.2">
      <c r="A93" s="3" t="s">
        <v>185</v>
      </c>
      <c r="B93" s="3" t="s">
        <v>186</v>
      </c>
      <c r="C93" s="4">
        <v>1859.65</v>
      </c>
      <c r="D93" s="4">
        <v>1859.65</v>
      </c>
      <c r="E93" s="4">
        <v>365.73</v>
      </c>
      <c r="F93" s="4">
        <v>365.73</v>
      </c>
    </row>
    <row r="94" spans="1:6" s="10" customFormat="1" ht="12.75" customHeight="1" x14ac:dyDescent="0.2">
      <c r="A94" s="8" t="s">
        <v>187</v>
      </c>
      <c r="B94" s="8" t="s">
        <v>188</v>
      </c>
      <c r="C94" s="9">
        <f>SUM(C95:C98)</f>
        <v>597237.13</v>
      </c>
      <c r="D94" s="9">
        <f>SUM(D95:D98)</f>
        <v>858013.62</v>
      </c>
      <c r="E94" s="9">
        <f>SUM(E95:E98)</f>
        <v>315233.10000000003</v>
      </c>
      <c r="F94" s="9">
        <f>SUM(F95:F98)</f>
        <v>54456.61</v>
      </c>
    </row>
    <row r="95" spans="1:6" ht="12.75" customHeight="1" x14ac:dyDescent="0.2">
      <c r="A95" s="3" t="s">
        <v>189</v>
      </c>
      <c r="B95" s="3" t="s">
        <v>190</v>
      </c>
      <c r="C95" s="4">
        <v>0</v>
      </c>
      <c r="D95" s="4">
        <v>8982.02</v>
      </c>
      <c r="E95" s="4">
        <v>8982.02</v>
      </c>
      <c r="F95" s="4">
        <v>0</v>
      </c>
    </row>
    <row r="96" spans="1:6" ht="12.75" customHeight="1" x14ac:dyDescent="0.2">
      <c r="A96" s="3" t="s">
        <v>191</v>
      </c>
      <c r="B96" s="3" t="s">
        <v>192</v>
      </c>
      <c r="C96" s="4">
        <v>427552.51</v>
      </c>
      <c r="D96" s="4">
        <v>677785.28</v>
      </c>
      <c r="E96" s="4">
        <v>286463.33</v>
      </c>
      <c r="F96" s="4">
        <v>36230.559999999998</v>
      </c>
    </row>
    <row r="97" spans="1:6" ht="12.75" customHeight="1" x14ac:dyDescent="0.2">
      <c r="A97" s="3" t="s">
        <v>193</v>
      </c>
      <c r="B97" s="3" t="s">
        <v>194</v>
      </c>
      <c r="C97" s="4">
        <v>125389.67</v>
      </c>
      <c r="D97" s="4">
        <v>126951.37</v>
      </c>
      <c r="E97" s="4">
        <v>1561.7</v>
      </c>
      <c r="F97" s="4">
        <v>0</v>
      </c>
    </row>
    <row r="98" spans="1:6" ht="12.75" customHeight="1" x14ac:dyDescent="0.2">
      <c r="A98" s="3" t="s">
        <v>195</v>
      </c>
      <c r="B98" s="3" t="s">
        <v>196</v>
      </c>
      <c r="C98" s="4">
        <v>44294.95</v>
      </c>
      <c r="D98" s="4">
        <v>44294.95</v>
      </c>
      <c r="E98" s="4">
        <v>18226.05</v>
      </c>
      <c r="F98" s="4">
        <v>18226.05</v>
      </c>
    </row>
    <row r="99" spans="1:6" s="10" customFormat="1" ht="12.75" customHeight="1" x14ac:dyDescent="0.2">
      <c r="A99" s="8" t="s">
        <v>197</v>
      </c>
      <c r="B99" s="8" t="s">
        <v>198</v>
      </c>
      <c r="C99" s="9">
        <f t="shared" ref="C99:F100" si="0">C100</f>
        <v>3402830.77</v>
      </c>
      <c r="D99" s="9">
        <f t="shared" si="0"/>
        <v>0</v>
      </c>
      <c r="E99" s="9">
        <f t="shared" si="0"/>
        <v>40972.35</v>
      </c>
      <c r="F99" s="9">
        <f t="shared" si="0"/>
        <v>3443803.12</v>
      </c>
    </row>
    <row r="100" spans="1:6" ht="12.75" customHeight="1" x14ac:dyDescent="0.2">
      <c r="A100" s="3" t="s">
        <v>199</v>
      </c>
      <c r="B100" s="3" t="s">
        <v>200</v>
      </c>
      <c r="C100" s="4">
        <f t="shared" si="0"/>
        <v>3402830.77</v>
      </c>
      <c r="D100" s="4">
        <f t="shared" si="0"/>
        <v>0</v>
      </c>
      <c r="E100" s="4">
        <f t="shared" si="0"/>
        <v>40972.35</v>
      </c>
      <c r="F100" s="4">
        <f t="shared" si="0"/>
        <v>3443803.12</v>
      </c>
    </row>
    <row r="101" spans="1:6" ht="12.75" customHeight="1" x14ac:dyDescent="0.2">
      <c r="A101" s="3" t="s">
        <v>201</v>
      </c>
      <c r="B101" s="3" t="s">
        <v>188</v>
      </c>
      <c r="C101" s="4">
        <f>SUM(C102:C102)</f>
        <v>3402830.77</v>
      </c>
      <c r="D101" s="4">
        <f>SUM(D102:D102)</f>
        <v>0</v>
      </c>
      <c r="E101" s="4">
        <f>SUM(E102:E102)</f>
        <v>40972.35</v>
      </c>
      <c r="F101" s="4">
        <f>SUM(F102:F102)</f>
        <v>3443803.12</v>
      </c>
    </row>
    <row r="102" spans="1:6" ht="12.75" customHeight="1" x14ac:dyDescent="0.2">
      <c r="A102" s="3" t="s">
        <v>202</v>
      </c>
      <c r="B102" s="3" t="s">
        <v>203</v>
      </c>
      <c r="C102" s="4">
        <v>3402830.77</v>
      </c>
      <c r="D102" s="4">
        <v>0</v>
      </c>
      <c r="E102" s="4">
        <v>40972.35</v>
      </c>
      <c r="F102" s="4">
        <v>3443803.12</v>
      </c>
    </row>
    <row r="103" spans="1:6" ht="12.75" customHeight="1" x14ac:dyDescent="0.2">
      <c r="A103" s="3" t="s">
        <v>204</v>
      </c>
      <c r="B103" s="3" t="s">
        <v>205</v>
      </c>
      <c r="C103" s="4">
        <f>C104+C107</f>
        <v>-1235198.7599999998</v>
      </c>
      <c r="D103" s="4">
        <f>D104+D107</f>
        <v>0</v>
      </c>
      <c r="E103" s="4">
        <f>E104+E107</f>
        <v>0</v>
      </c>
      <c r="F103" s="4">
        <f>F104+F107</f>
        <v>-1235198.7599999998</v>
      </c>
    </row>
    <row r="104" spans="1:6" ht="12.75" customHeight="1" x14ac:dyDescent="0.2">
      <c r="A104" s="3" t="s">
        <v>206</v>
      </c>
      <c r="B104" s="3" t="s">
        <v>207</v>
      </c>
      <c r="C104" s="4">
        <f>C105</f>
        <v>1128000</v>
      </c>
      <c r="D104" s="4">
        <f>D105</f>
        <v>0</v>
      </c>
      <c r="E104" s="4">
        <f>E105</f>
        <v>0</v>
      </c>
      <c r="F104" s="4">
        <f>F105</f>
        <v>1128000</v>
      </c>
    </row>
    <row r="105" spans="1:6" ht="12.75" customHeight="1" x14ac:dyDescent="0.2">
      <c r="A105" s="3" t="s">
        <v>208</v>
      </c>
      <c r="B105" s="3" t="s">
        <v>209</v>
      </c>
      <c r="C105" s="4">
        <f>SUM(C106:C106)</f>
        <v>1128000</v>
      </c>
      <c r="D105" s="4">
        <f>SUM(D106:D106)</f>
        <v>0</v>
      </c>
      <c r="E105" s="4">
        <f>SUM(E106:E106)</f>
        <v>0</v>
      </c>
      <c r="F105" s="4">
        <f>SUM(F106:F106)</f>
        <v>1128000</v>
      </c>
    </row>
    <row r="106" spans="1:6" ht="12.75" customHeight="1" x14ac:dyDescent="0.2">
      <c r="A106" s="3" t="s">
        <v>210</v>
      </c>
      <c r="B106" s="3" t="s">
        <v>211</v>
      </c>
      <c r="C106" s="4">
        <v>1128000</v>
      </c>
      <c r="D106" s="4">
        <v>0</v>
      </c>
      <c r="E106" s="4">
        <v>0</v>
      </c>
      <c r="F106" s="4">
        <v>1128000</v>
      </c>
    </row>
    <row r="107" spans="1:6" ht="12.75" customHeight="1" x14ac:dyDescent="0.2">
      <c r="A107" s="3" t="s">
        <v>212</v>
      </c>
      <c r="B107" s="3" t="s">
        <v>213</v>
      </c>
      <c r="C107" s="4">
        <f>C108</f>
        <v>-2363198.7599999998</v>
      </c>
      <c r="D107" s="4">
        <f>D108</f>
        <v>0</v>
      </c>
      <c r="E107" s="4">
        <f>E108</f>
        <v>0</v>
      </c>
      <c r="F107" s="4">
        <f>F108</f>
        <v>-2363198.7599999998</v>
      </c>
    </row>
    <row r="108" spans="1:6" ht="12.75" customHeight="1" x14ac:dyDescent="0.2">
      <c r="A108" s="3" t="s">
        <v>214</v>
      </c>
      <c r="B108" s="3" t="s">
        <v>213</v>
      </c>
      <c r="C108" s="4">
        <f>SUM(C109:C109)</f>
        <v>-2363198.7599999998</v>
      </c>
      <c r="D108" s="4">
        <f>SUM(D109:D109)</f>
        <v>0</v>
      </c>
      <c r="E108" s="4">
        <f>SUM(E109:E109)</f>
        <v>0</v>
      </c>
      <c r="F108" s="4">
        <f>SUM(F109:F109)</f>
        <v>-2363198.7599999998</v>
      </c>
    </row>
    <row r="109" spans="1:6" ht="12.75" customHeight="1" x14ac:dyDescent="0.2">
      <c r="A109" s="3" t="s">
        <v>215</v>
      </c>
      <c r="B109" s="3" t="s">
        <v>216</v>
      </c>
      <c r="C109" s="4">
        <v>-2363198.7599999998</v>
      </c>
      <c r="D109" s="4">
        <v>0</v>
      </c>
      <c r="E109" s="4">
        <v>0</v>
      </c>
      <c r="F109" s="4">
        <v>-2363198.7599999998</v>
      </c>
    </row>
    <row r="110" spans="1:6" ht="12.75" customHeight="1" x14ac:dyDescent="0.2">
      <c r="A110" s="3" t="s">
        <v>217</v>
      </c>
      <c r="B110" s="3" t="s">
        <v>218</v>
      </c>
      <c r="C110" s="4">
        <f>C111</f>
        <v>0</v>
      </c>
      <c r="D110" s="4">
        <f>D111</f>
        <v>91054.549999999988</v>
      </c>
      <c r="E110" s="4">
        <f>E111</f>
        <v>91054.549999999988</v>
      </c>
      <c r="F110" s="4">
        <f>F111</f>
        <v>0</v>
      </c>
    </row>
    <row r="111" spans="1:6" ht="12.75" customHeight="1" x14ac:dyDescent="0.2">
      <c r="A111" s="3" t="s">
        <v>219</v>
      </c>
      <c r="B111" s="3" t="s">
        <v>122</v>
      </c>
      <c r="C111" s="4">
        <f>C112+C113</f>
        <v>0</v>
      </c>
      <c r="D111" s="4">
        <f>D112+D113</f>
        <v>91054.549999999988</v>
      </c>
      <c r="E111" s="4">
        <f>E112+E113</f>
        <v>91054.549999999988</v>
      </c>
      <c r="F111" s="4">
        <f>F112+F113</f>
        <v>0</v>
      </c>
    </row>
    <row r="112" spans="1:6" ht="12.75" customHeight="1" x14ac:dyDescent="0.2">
      <c r="A112" s="3" t="s">
        <v>220</v>
      </c>
      <c r="B112" s="3" t="s">
        <v>124</v>
      </c>
      <c r="C112" s="4">
        <v>0</v>
      </c>
      <c r="D112" s="4">
        <v>63929.27</v>
      </c>
      <c r="E112" s="4">
        <v>63929.27</v>
      </c>
      <c r="F112" s="4">
        <v>0</v>
      </c>
    </row>
    <row r="113" spans="1:7" ht="10.5" customHeight="1" x14ac:dyDescent="0.2">
      <c r="A113" s="3" t="s">
        <v>221</v>
      </c>
      <c r="B113" s="3" t="s">
        <v>126</v>
      </c>
      <c r="C113" s="4">
        <v>0</v>
      </c>
      <c r="D113" s="4">
        <v>27125.279999999999</v>
      </c>
      <c r="E113" s="4">
        <v>27125.279999999999</v>
      </c>
      <c r="F113" s="4">
        <v>0</v>
      </c>
    </row>
    <row r="114" spans="1:7" s="10" customFormat="1" ht="12.75" customHeight="1" x14ac:dyDescent="0.2">
      <c r="A114" s="8" t="s">
        <v>222</v>
      </c>
      <c r="B114" s="8" t="s">
        <v>223</v>
      </c>
      <c r="C114" s="9">
        <f>C115+C129</f>
        <v>0</v>
      </c>
      <c r="D114" s="9">
        <f>D115+D129</f>
        <v>121749.27</v>
      </c>
      <c r="E114" s="9">
        <f>E115+E129</f>
        <v>721759.95</v>
      </c>
      <c r="F114" s="9">
        <f>F115+F129</f>
        <v>600010.68000000005</v>
      </c>
      <c r="G114" s="11">
        <f>D114-E114</f>
        <v>-600010.67999999993</v>
      </c>
    </row>
    <row r="115" spans="1:7" ht="12.75" customHeight="1" x14ac:dyDescent="0.2">
      <c r="A115" s="3" t="s">
        <v>224</v>
      </c>
      <c r="B115" s="3" t="s">
        <v>225</v>
      </c>
      <c r="C115" s="4">
        <f>C116+C123</f>
        <v>0</v>
      </c>
      <c r="D115" s="4">
        <f>D116+D123</f>
        <v>121749.27</v>
      </c>
      <c r="E115" s="4">
        <f>E116+E123</f>
        <v>721758.21</v>
      </c>
      <c r="F115" s="4">
        <f>F116+F123</f>
        <v>600008.94000000006</v>
      </c>
      <c r="G115" s="11">
        <f t="shared" ref="G115:G178" si="1">D115-E115</f>
        <v>-600008.93999999994</v>
      </c>
    </row>
    <row r="116" spans="1:7" ht="12.75" customHeight="1" x14ac:dyDescent="0.2">
      <c r="A116" s="3" t="s">
        <v>226</v>
      </c>
      <c r="B116" s="3" t="s">
        <v>227</v>
      </c>
      <c r="C116" s="4">
        <f>C117+C119+C121</f>
        <v>0</v>
      </c>
      <c r="D116" s="4">
        <f>D117+D119+D121</f>
        <v>6668.42</v>
      </c>
      <c r="E116" s="4">
        <f>E117+E119+E121</f>
        <v>710771.19999999995</v>
      </c>
      <c r="F116" s="4">
        <f>F117+F119+F121</f>
        <v>704102.78</v>
      </c>
      <c r="G116" s="11">
        <f t="shared" si="1"/>
        <v>-704102.77999999991</v>
      </c>
    </row>
    <row r="117" spans="1:7" ht="12.75" customHeight="1" x14ac:dyDescent="0.2">
      <c r="A117" s="3" t="s">
        <v>228</v>
      </c>
      <c r="B117" s="3" t="s">
        <v>229</v>
      </c>
      <c r="C117" s="4">
        <f>SUM(C118:C118)</f>
        <v>0</v>
      </c>
      <c r="D117" s="4">
        <f>SUM(D118:D118)</f>
        <v>0</v>
      </c>
      <c r="E117" s="4">
        <f>SUM(E118:E118)</f>
        <v>651228.61</v>
      </c>
      <c r="F117" s="4">
        <f>SUM(F118:F118)</f>
        <v>651228.61</v>
      </c>
      <c r="G117" s="11">
        <f t="shared" si="1"/>
        <v>-651228.61</v>
      </c>
    </row>
    <row r="118" spans="1:7" ht="12.75" customHeight="1" x14ac:dyDescent="0.2">
      <c r="A118" s="3" t="s">
        <v>230</v>
      </c>
      <c r="B118" s="3" t="s">
        <v>231</v>
      </c>
      <c r="C118" s="4">
        <v>0</v>
      </c>
      <c r="D118" s="4">
        <v>0</v>
      </c>
      <c r="E118" s="4">
        <v>651228.61</v>
      </c>
      <c r="F118" s="4">
        <v>651228.61</v>
      </c>
      <c r="G118" s="11">
        <f t="shared" si="1"/>
        <v>-651228.61</v>
      </c>
    </row>
    <row r="119" spans="1:7" ht="12.75" customHeight="1" x14ac:dyDescent="0.2">
      <c r="A119" s="3" t="s">
        <v>232</v>
      </c>
      <c r="B119" s="3" t="s">
        <v>233</v>
      </c>
      <c r="C119" s="4">
        <f>SUM(C120:C120)</f>
        <v>0</v>
      </c>
      <c r="D119" s="4">
        <f>SUM(D120:D120)</f>
        <v>6668.42</v>
      </c>
      <c r="E119" s="4">
        <f>SUM(E120:E120)</f>
        <v>559.07000000000005</v>
      </c>
      <c r="F119" s="4">
        <f>SUM(F120:F120)</f>
        <v>-6109.35</v>
      </c>
      <c r="G119" s="11">
        <f t="shared" si="1"/>
        <v>6109.35</v>
      </c>
    </row>
    <row r="120" spans="1:7" ht="12.75" customHeight="1" x14ac:dyDescent="0.2">
      <c r="A120" s="3" t="s">
        <v>234</v>
      </c>
      <c r="B120" s="3" t="s">
        <v>235</v>
      </c>
      <c r="C120" s="4">
        <v>0</v>
      </c>
      <c r="D120" s="4">
        <v>6668.42</v>
      </c>
      <c r="E120" s="4">
        <v>559.07000000000005</v>
      </c>
      <c r="F120" s="4">
        <v>-6109.35</v>
      </c>
      <c r="G120" s="11">
        <f t="shared" si="1"/>
        <v>6109.35</v>
      </c>
    </row>
    <row r="121" spans="1:7" ht="12.75" customHeight="1" x14ac:dyDescent="0.2">
      <c r="A121" s="3" t="s">
        <v>236</v>
      </c>
      <c r="B121" s="3" t="s">
        <v>237</v>
      </c>
      <c r="C121" s="4">
        <f>SUM(C122:C122)</f>
        <v>0</v>
      </c>
      <c r="D121" s="4">
        <f>SUM(D122:D122)</f>
        <v>0</v>
      </c>
      <c r="E121" s="4">
        <f>SUM(E122:E122)</f>
        <v>58983.519999999997</v>
      </c>
      <c r="F121" s="4">
        <f>SUM(F122:F122)</f>
        <v>58983.519999999997</v>
      </c>
      <c r="G121" s="11">
        <f t="shared" si="1"/>
        <v>-58983.519999999997</v>
      </c>
    </row>
    <row r="122" spans="1:7" ht="12.75" customHeight="1" x14ac:dyDescent="0.2">
      <c r="A122" s="3" t="s">
        <v>238</v>
      </c>
      <c r="B122" s="3" t="s">
        <v>239</v>
      </c>
      <c r="C122" s="4">
        <v>0</v>
      </c>
      <c r="D122" s="4">
        <v>0</v>
      </c>
      <c r="E122" s="4">
        <v>58983.519999999997</v>
      </c>
      <c r="F122" s="4">
        <v>58983.519999999997</v>
      </c>
      <c r="G122" s="11">
        <f t="shared" si="1"/>
        <v>-58983.519999999997</v>
      </c>
    </row>
    <row r="123" spans="1:7" ht="12.75" customHeight="1" x14ac:dyDescent="0.2">
      <c r="A123" s="3" t="s">
        <v>240</v>
      </c>
      <c r="B123" s="3" t="s">
        <v>241</v>
      </c>
      <c r="C123" s="4">
        <f>C124</f>
        <v>0</v>
      </c>
      <c r="D123" s="4">
        <f>D124</f>
        <v>115080.85</v>
      </c>
      <c r="E123" s="4">
        <f>E124</f>
        <v>10987.01</v>
      </c>
      <c r="F123" s="4">
        <f>F124</f>
        <v>-104093.84</v>
      </c>
      <c r="G123" s="11">
        <f t="shared" si="1"/>
        <v>104093.84000000001</v>
      </c>
    </row>
    <row r="124" spans="1:7" ht="12.75" customHeight="1" x14ac:dyDescent="0.2">
      <c r="A124" s="3" t="s">
        <v>242</v>
      </c>
      <c r="B124" s="3" t="s">
        <v>243</v>
      </c>
      <c r="C124" s="4">
        <f>SUM(C125:C128)</f>
        <v>0</v>
      </c>
      <c r="D124" s="4">
        <f>SUM(D125:D128)</f>
        <v>115080.85</v>
      </c>
      <c r="E124" s="4">
        <f>SUM(E125:E128)</f>
        <v>10987.01</v>
      </c>
      <c r="F124" s="4">
        <f>SUM(F125:F128)</f>
        <v>-104093.84</v>
      </c>
      <c r="G124" s="11">
        <f t="shared" si="1"/>
        <v>104093.84000000001</v>
      </c>
    </row>
    <row r="125" spans="1:7" ht="12.75" customHeight="1" x14ac:dyDescent="0.2">
      <c r="A125" s="3" t="s">
        <v>244</v>
      </c>
      <c r="B125" s="3" t="s">
        <v>245</v>
      </c>
      <c r="C125" s="4">
        <v>0</v>
      </c>
      <c r="D125" s="4">
        <v>0</v>
      </c>
      <c r="E125" s="4">
        <v>10987.01</v>
      </c>
      <c r="F125" s="4">
        <v>10987.01</v>
      </c>
      <c r="G125" s="11">
        <f t="shared" si="1"/>
        <v>-10987.01</v>
      </c>
    </row>
    <row r="126" spans="1:7" ht="12.75" customHeight="1" x14ac:dyDescent="0.2">
      <c r="A126" s="3" t="s">
        <v>246</v>
      </c>
      <c r="B126" s="3" t="s">
        <v>247</v>
      </c>
      <c r="C126" s="4">
        <v>0</v>
      </c>
      <c r="D126" s="4">
        <v>806.07</v>
      </c>
      <c r="E126" s="4">
        <v>0</v>
      </c>
      <c r="F126" s="4">
        <v>-806.07</v>
      </c>
      <c r="G126" s="11">
        <f t="shared" si="1"/>
        <v>806.07</v>
      </c>
    </row>
    <row r="127" spans="1:7" ht="12.75" customHeight="1" x14ac:dyDescent="0.2">
      <c r="A127" s="3" t="s">
        <v>248</v>
      </c>
      <c r="B127" s="3" t="s">
        <v>249</v>
      </c>
      <c r="C127" s="4">
        <v>0</v>
      </c>
      <c r="D127" s="4">
        <v>114099.78</v>
      </c>
      <c r="E127" s="4">
        <v>0</v>
      </c>
      <c r="F127" s="4">
        <v>-114099.78</v>
      </c>
      <c r="G127" s="11">
        <f t="shared" si="1"/>
        <v>114099.78</v>
      </c>
    </row>
    <row r="128" spans="1:7" ht="12.75" customHeight="1" x14ac:dyDescent="0.2">
      <c r="A128" s="3" t="s">
        <v>250</v>
      </c>
      <c r="B128" s="3" t="s">
        <v>251</v>
      </c>
      <c r="C128" s="4">
        <v>0</v>
      </c>
      <c r="D128" s="4">
        <v>175</v>
      </c>
      <c r="E128" s="4">
        <v>0</v>
      </c>
      <c r="F128" s="4">
        <v>-175</v>
      </c>
      <c r="G128" s="11">
        <f t="shared" si="1"/>
        <v>175</v>
      </c>
    </row>
    <row r="129" spans="1:7" ht="12.75" customHeight="1" x14ac:dyDescent="0.2">
      <c r="A129" s="3" t="s">
        <v>252</v>
      </c>
      <c r="B129" s="3" t="s">
        <v>253</v>
      </c>
      <c r="C129" s="4">
        <f t="shared" ref="C129:F130" si="2">C130</f>
        <v>0</v>
      </c>
      <c r="D129" s="4">
        <f t="shared" si="2"/>
        <v>0</v>
      </c>
      <c r="E129" s="4">
        <f t="shared" si="2"/>
        <v>1.74</v>
      </c>
      <c r="F129" s="4">
        <f t="shared" si="2"/>
        <v>1.74</v>
      </c>
      <c r="G129" s="11">
        <f t="shared" si="1"/>
        <v>-1.74</v>
      </c>
    </row>
    <row r="130" spans="1:7" ht="12.75" customHeight="1" x14ac:dyDescent="0.2">
      <c r="A130" s="3" t="s">
        <v>254</v>
      </c>
      <c r="B130" s="3" t="s">
        <v>255</v>
      </c>
      <c r="C130" s="4">
        <f t="shared" si="2"/>
        <v>0</v>
      </c>
      <c r="D130" s="4">
        <f t="shared" si="2"/>
        <v>0</v>
      </c>
      <c r="E130" s="4">
        <f t="shared" si="2"/>
        <v>1.74</v>
      </c>
      <c r="F130" s="4">
        <f t="shared" si="2"/>
        <v>1.74</v>
      </c>
      <c r="G130" s="11">
        <f t="shared" si="1"/>
        <v>-1.74</v>
      </c>
    </row>
    <row r="131" spans="1:7" ht="12.75" customHeight="1" x14ac:dyDescent="0.2">
      <c r="A131" s="3" t="s">
        <v>256</v>
      </c>
      <c r="B131" s="3" t="s">
        <v>257</v>
      </c>
      <c r="C131" s="4">
        <f>SUM(C132:C132)</f>
        <v>0</v>
      </c>
      <c r="D131" s="4">
        <f>SUM(D132:D132)</f>
        <v>0</v>
      </c>
      <c r="E131" s="4">
        <f>SUM(E132:E132)</f>
        <v>1.74</v>
      </c>
      <c r="F131" s="4">
        <f>SUM(F132:F132)</f>
        <v>1.74</v>
      </c>
      <c r="G131" s="11">
        <f t="shared" si="1"/>
        <v>-1.74</v>
      </c>
    </row>
    <row r="132" spans="1:7" ht="12.75" customHeight="1" x14ac:dyDescent="0.2">
      <c r="A132" s="3" t="s">
        <v>258</v>
      </c>
      <c r="B132" s="3" t="s">
        <v>259</v>
      </c>
      <c r="C132" s="4">
        <v>0</v>
      </c>
      <c r="D132" s="4">
        <v>0</v>
      </c>
      <c r="E132" s="4">
        <v>1.74</v>
      </c>
      <c r="F132" s="4">
        <v>1.74</v>
      </c>
      <c r="G132" s="11">
        <f t="shared" si="1"/>
        <v>-1.74</v>
      </c>
    </row>
    <row r="133" spans="1:7" ht="12.75" customHeight="1" x14ac:dyDescent="0.2">
      <c r="A133" s="3" t="s">
        <v>260</v>
      </c>
      <c r="B133" s="3" t="s">
        <v>261</v>
      </c>
      <c r="C133" s="4">
        <f>C134+C141</f>
        <v>0</v>
      </c>
      <c r="D133" s="4">
        <f>D134+D141</f>
        <v>1458271.76</v>
      </c>
      <c r="E133" s="4">
        <f>E134+E141</f>
        <v>705023.25999999989</v>
      </c>
      <c r="F133" s="4">
        <f>F134+F141</f>
        <v>753248.5</v>
      </c>
      <c r="G133" s="11">
        <f t="shared" si="1"/>
        <v>753248.50000000012</v>
      </c>
    </row>
    <row r="134" spans="1:7" ht="12.75" customHeight="1" x14ac:dyDescent="0.2">
      <c r="A134" s="3" t="s">
        <v>262</v>
      </c>
      <c r="B134" s="3" t="s">
        <v>263</v>
      </c>
      <c r="C134" s="4">
        <f>C135</f>
        <v>0</v>
      </c>
      <c r="D134" s="4">
        <f>D135</f>
        <v>104001.28</v>
      </c>
      <c r="E134" s="4">
        <f>E135</f>
        <v>0</v>
      </c>
      <c r="F134" s="4">
        <f>F135</f>
        <v>104001.28</v>
      </c>
      <c r="G134" s="11">
        <f t="shared" si="1"/>
        <v>104001.28</v>
      </c>
    </row>
    <row r="135" spans="1:7" ht="12.75" customHeight="1" x14ac:dyDescent="0.2">
      <c r="A135" s="3" t="s">
        <v>264</v>
      </c>
      <c r="B135" s="3" t="s">
        <v>263</v>
      </c>
      <c r="C135" s="4">
        <f>C136+C139</f>
        <v>0</v>
      </c>
      <c r="D135" s="4">
        <f>D136+D139</f>
        <v>104001.28</v>
      </c>
      <c r="E135" s="4">
        <f>E136+E139</f>
        <v>0</v>
      </c>
      <c r="F135" s="4">
        <f>F136+F139</f>
        <v>104001.28</v>
      </c>
      <c r="G135" s="11">
        <f t="shared" si="1"/>
        <v>104001.28</v>
      </c>
    </row>
    <row r="136" spans="1:7" ht="12.75" customHeight="1" x14ac:dyDescent="0.2">
      <c r="A136" s="3" t="s">
        <v>265</v>
      </c>
      <c r="B136" s="3" t="s">
        <v>266</v>
      </c>
      <c r="C136" s="4">
        <f>SUM(C137:C138)</f>
        <v>0</v>
      </c>
      <c r="D136" s="4">
        <f>SUM(D137:D138)</f>
        <v>96561.600000000006</v>
      </c>
      <c r="E136" s="4">
        <f>SUM(E137:E138)</f>
        <v>0</v>
      </c>
      <c r="F136" s="4">
        <f>SUM(F137:F138)</f>
        <v>96561.600000000006</v>
      </c>
      <c r="G136" s="11">
        <f t="shared" si="1"/>
        <v>96561.600000000006</v>
      </c>
    </row>
    <row r="137" spans="1:7" ht="12.75" customHeight="1" x14ac:dyDescent="0.2">
      <c r="A137" s="3" t="s">
        <v>267</v>
      </c>
      <c r="B137" s="3" t="s">
        <v>268</v>
      </c>
      <c r="C137" s="4">
        <v>0</v>
      </c>
      <c r="D137" s="4">
        <v>40814.93</v>
      </c>
      <c r="E137" s="4">
        <v>0</v>
      </c>
      <c r="F137" s="4">
        <v>40814.93</v>
      </c>
      <c r="G137" s="11">
        <f t="shared" si="1"/>
        <v>40814.93</v>
      </c>
    </row>
    <row r="138" spans="1:7" ht="12.75" customHeight="1" x14ac:dyDescent="0.2">
      <c r="A138" s="3" t="s">
        <v>269</v>
      </c>
      <c r="B138" s="3" t="s">
        <v>270</v>
      </c>
      <c r="C138" s="4">
        <v>0</v>
      </c>
      <c r="D138" s="4">
        <v>55746.67</v>
      </c>
      <c r="E138" s="4">
        <v>0</v>
      </c>
      <c r="F138" s="4">
        <v>55746.67</v>
      </c>
      <c r="G138" s="11">
        <f t="shared" si="1"/>
        <v>55746.67</v>
      </c>
    </row>
    <row r="139" spans="1:7" ht="12.75" customHeight="1" x14ac:dyDescent="0.2">
      <c r="A139" s="3" t="s">
        <v>271</v>
      </c>
      <c r="B139" s="3" t="s">
        <v>272</v>
      </c>
      <c r="C139" s="4">
        <f>SUM(C140:C140)</f>
        <v>0</v>
      </c>
      <c r="D139" s="4">
        <f>SUM(D140:D140)</f>
        <v>7439.68</v>
      </c>
      <c r="E139" s="4">
        <f>SUM(E140:E140)</f>
        <v>0</v>
      </c>
      <c r="F139" s="4">
        <f>SUM(F140:F140)</f>
        <v>7439.68</v>
      </c>
      <c r="G139" s="11">
        <f t="shared" si="1"/>
        <v>7439.68</v>
      </c>
    </row>
    <row r="140" spans="1:7" ht="12.75" customHeight="1" x14ac:dyDescent="0.2">
      <c r="A140" s="3" t="s">
        <v>273</v>
      </c>
      <c r="B140" s="3" t="s">
        <v>274</v>
      </c>
      <c r="C140" s="4">
        <v>0</v>
      </c>
      <c r="D140" s="4">
        <v>7439.68</v>
      </c>
      <c r="E140" s="4">
        <v>0</v>
      </c>
      <c r="F140" s="4">
        <v>7439.68</v>
      </c>
      <c r="G140" s="11">
        <f t="shared" si="1"/>
        <v>7439.68</v>
      </c>
    </row>
    <row r="141" spans="1:7" ht="12.75" customHeight="1" x14ac:dyDescent="0.2">
      <c r="A141" s="3" t="s">
        <v>275</v>
      </c>
      <c r="B141" s="3" t="s">
        <v>276</v>
      </c>
      <c r="C141" s="4">
        <f>C142+C149+C160+C175+C181+C185+C188</f>
        <v>0</v>
      </c>
      <c r="D141" s="4">
        <f>D142+D149+D160+D175+D181+D185+D188</f>
        <v>1354270.48</v>
      </c>
      <c r="E141" s="4">
        <f>E142+E149+E160+E175+E181+E185+E188</f>
        <v>705023.25999999989</v>
      </c>
      <c r="F141" s="4">
        <f>F142+F149+F160+F175+F181+F185+F188</f>
        <v>649247.22</v>
      </c>
      <c r="G141" s="11">
        <f t="shared" si="1"/>
        <v>649247.22000000009</v>
      </c>
    </row>
    <row r="142" spans="1:7" ht="12.75" customHeight="1" x14ac:dyDescent="0.2">
      <c r="A142" s="3" t="s">
        <v>277</v>
      </c>
      <c r="B142" s="3" t="s">
        <v>278</v>
      </c>
      <c r="C142" s="4">
        <f>C143+C145</f>
        <v>0</v>
      </c>
      <c r="D142" s="4">
        <f>D143+D145</f>
        <v>841526.62</v>
      </c>
      <c r="E142" s="4">
        <f>E143+E145</f>
        <v>593496.78</v>
      </c>
      <c r="F142" s="4">
        <f>F143+F145</f>
        <v>248029.84</v>
      </c>
      <c r="G142" s="11">
        <f t="shared" si="1"/>
        <v>248029.83999999997</v>
      </c>
    </row>
    <row r="143" spans="1:7" ht="12.75" customHeight="1" x14ac:dyDescent="0.2">
      <c r="A143" s="3" t="s">
        <v>279</v>
      </c>
      <c r="B143" s="3" t="s">
        <v>280</v>
      </c>
      <c r="C143" s="4">
        <f>SUM(C144:C144)</f>
        <v>0</v>
      </c>
      <c r="D143" s="4">
        <f>SUM(D144:D144)</f>
        <v>335114.42</v>
      </c>
      <c r="E143" s="4">
        <f>SUM(E144:E144)</f>
        <v>89513.17</v>
      </c>
      <c r="F143" s="4">
        <f>SUM(F144:F144)</f>
        <v>245601.25</v>
      </c>
      <c r="G143" s="11">
        <f t="shared" si="1"/>
        <v>245601.25</v>
      </c>
    </row>
    <row r="144" spans="1:7" ht="12.75" customHeight="1" x14ac:dyDescent="0.2">
      <c r="A144" s="3" t="s">
        <v>281</v>
      </c>
      <c r="B144" s="3" t="s">
        <v>282</v>
      </c>
      <c r="C144" s="4">
        <v>0</v>
      </c>
      <c r="D144" s="4">
        <v>335114.42</v>
      </c>
      <c r="E144" s="4">
        <v>89513.17</v>
      </c>
      <c r="F144" s="4">
        <v>245601.25</v>
      </c>
      <c r="G144" s="11">
        <f t="shared" si="1"/>
        <v>245601.25</v>
      </c>
    </row>
    <row r="145" spans="1:8" ht="12.75" customHeight="1" x14ac:dyDescent="0.2">
      <c r="A145" s="3" t="s">
        <v>283</v>
      </c>
      <c r="B145" s="3" t="s">
        <v>284</v>
      </c>
      <c r="C145" s="4">
        <f>SUM(C146:C148)</f>
        <v>0</v>
      </c>
      <c r="D145" s="4">
        <f>SUM(D146:D148)</f>
        <v>506412.2</v>
      </c>
      <c r="E145" s="4">
        <f>SUM(E146:E148)</f>
        <v>503983.61</v>
      </c>
      <c r="F145" s="4">
        <f>SUM(F146:F148)</f>
        <v>2428.5899999999965</v>
      </c>
      <c r="G145" s="11">
        <f t="shared" si="1"/>
        <v>2428.5900000000256</v>
      </c>
      <c r="H145" s="12" t="s">
        <v>377</v>
      </c>
    </row>
    <row r="146" spans="1:8" ht="12.75" customHeight="1" x14ac:dyDescent="0.2">
      <c r="A146" s="3" t="s">
        <v>285</v>
      </c>
      <c r="B146" s="3" t="s">
        <v>286</v>
      </c>
      <c r="C146" s="4">
        <v>0</v>
      </c>
      <c r="D146" s="4">
        <v>149859.44</v>
      </c>
      <c r="E146" s="4">
        <v>136026.62</v>
      </c>
      <c r="F146" s="4">
        <v>13832.82</v>
      </c>
      <c r="G146" s="11">
        <f t="shared" si="1"/>
        <v>13832.820000000007</v>
      </c>
    </row>
    <row r="147" spans="1:8" ht="12.75" customHeight="1" x14ac:dyDescent="0.2">
      <c r="A147" s="3" t="s">
        <v>287</v>
      </c>
      <c r="B147" s="3" t="s">
        <v>288</v>
      </c>
      <c r="C147" s="4">
        <v>0</v>
      </c>
      <c r="D147" s="4">
        <v>219948.87</v>
      </c>
      <c r="E147" s="4">
        <v>15061.28</v>
      </c>
      <c r="F147" s="4">
        <v>204887.59</v>
      </c>
      <c r="G147" s="11">
        <f t="shared" si="1"/>
        <v>204887.59</v>
      </c>
    </row>
    <row r="148" spans="1:8" ht="12.75" customHeight="1" x14ac:dyDescent="0.2">
      <c r="A148" s="3" t="s">
        <v>289</v>
      </c>
      <c r="B148" s="3" t="s">
        <v>290</v>
      </c>
      <c r="C148" s="4">
        <v>0</v>
      </c>
      <c r="D148" s="4">
        <v>136603.89000000001</v>
      </c>
      <c r="E148" s="4">
        <v>352895.71</v>
      </c>
      <c r="F148" s="4">
        <v>-216291.82</v>
      </c>
      <c r="G148" s="11">
        <f t="shared" si="1"/>
        <v>-216291.82</v>
      </c>
    </row>
    <row r="149" spans="1:8" ht="12.75" customHeight="1" x14ac:dyDescent="0.2">
      <c r="A149" s="3" t="s">
        <v>291</v>
      </c>
      <c r="B149" s="3" t="s">
        <v>292</v>
      </c>
      <c r="C149" s="4">
        <f>C150</f>
        <v>0</v>
      </c>
      <c r="D149" s="4">
        <f>D150</f>
        <v>145986.26999999999</v>
      </c>
      <c r="E149" s="4">
        <f>E150</f>
        <v>16312.32</v>
      </c>
      <c r="F149" s="4">
        <f>F150</f>
        <v>129673.94999999998</v>
      </c>
      <c r="G149" s="11">
        <f t="shared" si="1"/>
        <v>129673.94999999998</v>
      </c>
    </row>
    <row r="150" spans="1:8" ht="12.75" customHeight="1" x14ac:dyDescent="0.2">
      <c r="A150" s="3" t="s">
        <v>293</v>
      </c>
      <c r="B150" s="3" t="s">
        <v>292</v>
      </c>
      <c r="C150" s="4">
        <f>SUM(C151:C159)</f>
        <v>0</v>
      </c>
      <c r="D150" s="4">
        <f>SUM(D151:D159)</f>
        <v>145986.26999999999</v>
      </c>
      <c r="E150" s="4">
        <f>SUM(E151:E159)</f>
        <v>16312.32</v>
      </c>
      <c r="F150" s="4">
        <f>SUM(F151:F159)</f>
        <v>129673.94999999998</v>
      </c>
      <c r="G150" s="11">
        <f t="shared" si="1"/>
        <v>129673.94999999998</v>
      </c>
    </row>
    <row r="151" spans="1:8" ht="12.75" customHeight="1" x14ac:dyDescent="0.2">
      <c r="A151" s="3" t="s">
        <v>294</v>
      </c>
      <c r="B151" s="3" t="s">
        <v>295</v>
      </c>
      <c r="C151" s="4">
        <v>0</v>
      </c>
      <c r="D151" s="4">
        <v>7678.42</v>
      </c>
      <c r="E151" s="4">
        <v>0</v>
      </c>
      <c r="F151" s="4">
        <v>7678.42</v>
      </c>
      <c r="G151" s="11">
        <f t="shared" si="1"/>
        <v>7678.42</v>
      </c>
    </row>
    <row r="152" spans="1:8" ht="12.75" customHeight="1" x14ac:dyDescent="0.2">
      <c r="A152" s="3" t="s">
        <v>296</v>
      </c>
      <c r="B152" s="3" t="s">
        <v>297</v>
      </c>
      <c r="C152" s="4">
        <v>0</v>
      </c>
      <c r="D152" s="4">
        <v>4406.88</v>
      </c>
      <c r="E152" s="4">
        <v>0</v>
      </c>
      <c r="F152" s="4">
        <v>4406.88</v>
      </c>
      <c r="G152" s="11">
        <f t="shared" si="1"/>
        <v>4406.88</v>
      </c>
    </row>
    <row r="153" spans="1:8" ht="12.75" customHeight="1" x14ac:dyDescent="0.2">
      <c r="A153" s="3" t="s">
        <v>298</v>
      </c>
      <c r="B153" s="3" t="s">
        <v>299</v>
      </c>
      <c r="C153" s="4">
        <v>0</v>
      </c>
      <c r="D153" s="4">
        <v>6982.89</v>
      </c>
      <c r="E153" s="4">
        <v>0</v>
      </c>
      <c r="F153" s="4">
        <v>6982.89</v>
      </c>
      <c r="G153" s="11">
        <f t="shared" si="1"/>
        <v>6982.89</v>
      </c>
    </row>
    <row r="154" spans="1:8" ht="12.75" customHeight="1" x14ac:dyDescent="0.2">
      <c r="A154" s="3" t="s">
        <v>300</v>
      </c>
      <c r="B154" s="3" t="s">
        <v>301</v>
      </c>
      <c r="C154" s="4">
        <v>0</v>
      </c>
      <c r="D154" s="4">
        <v>23392.71</v>
      </c>
      <c r="E154" s="4">
        <v>0</v>
      </c>
      <c r="F154" s="4">
        <v>23392.71</v>
      </c>
      <c r="G154" s="11">
        <f t="shared" si="1"/>
        <v>23392.71</v>
      </c>
    </row>
    <row r="155" spans="1:8" ht="12.75" customHeight="1" x14ac:dyDescent="0.2">
      <c r="A155" s="3" t="s">
        <v>302</v>
      </c>
      <c r="B155" s="3" t="s">
        <v>164</v>
      </c>
      <c r="C155" s="4">
        <v>0</v>
      </c>
      <c r="D155" s="4">
        <v>3855.89</v>
      </c>
      <c r="E155" s="4">
        <v>0</v>
      </c>
      <c r="F155" s="4">
        <v>3855.89</v>
      </c>
      <c r="G155" s="11">
        <f t="shared" si="1"/>
        <v>3855.89</v>
      </c>
    </row>
    <row r="156" spans="1:8" ht="12.75" customHeight="1" x14ac:dyDescent="0.2">
      <c r="A156" s="3" t="s">
        <v>303</v>
      </c>
      <c r="B156" s="3" t="s">
        <v>172</v>
      </c>
      <c r="C156" s="4">
        <v>0</v>
      </c>
      <c r="D156" s="4">
        <v>39976.480000000003</v>
      </c>
      <c r="E156" s="4">
        <v>0</v>
      </c>
      <c r="F156" s="4">
        <v>39976.480000000003</v>
      </c>
      <c r="G156" s="11">
        <f t="shared" si="1"/>
        <v>39976.480000000003</v>
      </c>
    </row>
    <row r="157" spans="1:8" ht="12.75" customHeight="1" x14ac:dyDescent="0.2">
      <c r="A157" s="3" t="s">
        <v>304</v>
      </c>
      <c r="B157" s="3" t="s">
        <v>305</v>
      </c>
      <c r="C157" s="4">
        <v>0</v>
      </c>
      <c r="D157" s="4">
        <v>1339.15</v>
      </c>
      <c r="E157" s="4">
        <v>0</v>
      </c>
      <c r="F157" s="4">
        <v>1339.15</v>
      </c>
      <c r="G157" s="11">
        <f t="shared" si="1"/>
        <v>1339.15</v>
      </c>
    </row>
    <row r="158" spans="1:8" ht="12.75" customHeight="1" x14ac:dyDescent="0.2">
      <c r="A158" s="3" t="s">
        <v>306</v>
      </c>
      <c r="B158" s="3" t="s">
        <v>307</v>
      </c>
      <c r="C158" s="4">
        <v>0</v>
      </c>
      <c r="D158" s="4">
        <v>56853.85</v>
      </c>
      <c r="E158" s="4">
        <v>16312.32</v>
      </c>
      <c r="F158" s="4">
        <v>40541.53</v>
      </c>
      <c r="G158" s="11">
        <f t="shared" si="1"/>
        <v>40541.53</v>
      </c>
    </row>
    <row r="159" spans="1:8" ht="12.75" customHeight="1" x14ac:dyDescent="0.2">
      <c r="A159" s="3" t="s">
        <v>308</v>
      </c>
      <c r="B159" s="3" t="s">
        <v>309</v>
      </c>
      <c r="C159" s="4">
        <v>0</v>
      </c>
      <c r="D159" s="4">
        <v>1500</v>
      </c>
      <c r="E159" s="4">
        <v>0</v>
      </c>
      <c r="F159" s="4">
        <v>1500</v>
      </c>
      <c r="G159" s="11">
        <f t="shared" si="1"/>
        <v>1500</v>
      </c>
    </row>
    <row r="160" spans="1:8" ht="12.75" customHeight="1" x14ac:dyDescent="0.2">
      <c r="A160" s="3" t="s">
        <v>310</v>
      </c>
      <c r="B160" s="3" t="s">
        <v>311</v>
      </c>
      <c r="C160" s="4">
        <f>C161+C164+C167+C173</f>
        <v>0</v>
      </c>
      <c r="D160" s="4">
        <f>D161+D164+D167+D173</f>
        <v>208546.75999999995</v>
      </c>
      <c r="E160" s="4">
        <f>E161+E164+E167+E173</f>
        <v>2501.1999999999998</v>
      </c>
      <c r="F160" s="4">
        <f>F161+F164+F167+F173</f>
        <v>206045.55999999997</v>
      </c>
      <c r="G160" s="11">
        <f t="shared" si="1"/>
        <v>206045.55999999994</v>
      </c>
    </row>
    <row r="161" spans="1:7" ht="12.75" customHeight="1" x14ac:dyDescent="0.2">
      <c r="A161" s="3" t="s">
        <v>312</v>
      </c>
      <c r="B161" s="3" t="s">
        <v>313</v>
      </c>
      <c r="C161" s="4">
        <f>SUM(C162:C163)</f>
        <v>0</v>
      </c>
      <c r="D161" s="4">
        <f>SUM(D162:D163)</f>
        <v>1844.6100000000001</v>
      </c>
      <c r="E161" s="4">
        <f>SUM(E162:E163)</f>
        <v>0</v>
      </c>
      <c r="F161" s="4">
        <f>SUM(F162:F163)</f>
        <v>1844.6100000000001</v>
      </c>
      <c r="G161" s="11">
        <f t="shared" si="1"/>
        <v>1844.6100000000001</v>
      </c>
    </row>
    <row r="162" spans="1:7" ht="12.75" customHeight="1" x14ac:dyDescent="0.2">
      <c r="A162" s="3" t="s">
        <v>314</v>
      </c>
      <c r="B162" s="3" t="s">
        <v>315</v>
      </c>
      <c r="C162" s="4">
        <v>0</v>
      </c>
      <c r="D162" s="4">
        <v>1700</v>
      </c>
      <c r="E162" s="4">
        <v>0</v>
      </c>
      <c r="F162" s="4">
        <v>1700</v>
      </c>
      <c r="G162" s="11">
        <f t="shared" si="1"/>
        <v>1700</v>
      </c>
    </row>
    <row r="163" spans="1:7" ht="12.75" customHeight="1" x14ac:dyDescent="0.2">
      <c r="A163" s="3" t="s">
        <v>316</v>
      </c>
      <c r="B163" s="3" t="s">
        <v>317</v>
      </c>
      <c r="C163" s="4">
        <v>0</v>
      </c>
      <c r="D163" s="4">
        <v>144.61000000000001</v>
      </c>
      <c r="E163" s="4">
        <v>0</v>
      </c>
      <c r="F163" s="4">
        <v>144.61000000000001</v>
      </c>
      <c r="G163" s="11">
        <f t="shared" si="1"/>
        <v>144.61000000000001</v>
      </c>
    </row>
    <row r="164" spans="1:7" ht="12.75" customHeight="1" x14ac:dyDescent="0.2">
      <c r="A164" s="3" t="s">
        <v>318</v>
      </c>
      <c r="B164" s="3" t="s">
        <v>319</v>
      </c>
      <c r="C164" s="4">
        <f>SUM(C165:C166)</f>
        <v>0</v>
      </c>
      <c r="D164" s="4">
        <f>SUM(D165:D166)</f>
        <v>498.22</v>
      </c>
      <c r="E164" s="4">
        <f>SUM(E165:E166)</f>
        <v>0</v>
      </c>
      <c r="F164" s="4">
        <f>SUM(F165:F166)</f>
        <v>498.22</v>
      </c>
      <c r="G164" s="11">
        <f t="shared" si="1"/>
        <v>498.22</v>
      </c>
    </row>
    <row r="165" spans="1:7" ht="12.75" customHeight="1" x14ac:dyDescent="0.2">
      <c r="A165" s="3" t="s">
        <v>320</v>
      </c>
      <c r="B165" s="3" t="s">
        <v>321</v>
      </c>
      <c r="C165" s="4">
        <v>0</v>
      </c>
      <c r="D165" s="4">
        <v>122.22</v>
      </c>
      <c r="E165" s="4">
        <v>0</v>
      </c>
      <c r="F165" s="4">
        <v>122.22</v>
      </c>
      <c r="G165" s="11">
        <f t="shared" si="1"/>
        <v>122.22</v>
      </c>
    </row>
    <row r="166" spans="1:7" ht="12.75" customHeight="1" x14ac:dyDescent="0.2">
      <c r="A166" s="3" t="s">
        <v>322</v>
      </c>
      <c r="B166" s="3" t="s">
        <v>323</v>
      </c>
      <c r="C166" s="4">
        <v>0</v>
      </c>
      <c r="D166" s="4">
        <v>376</v>
      </c>
      <c r="E166" s="4">
        <v>0</v>
      </c>
      <c r="F166" s="4">
        <v>376</v>
      </c>
      <c r="G166" s="11">
        <f t="shared" si="1"/>
        <v>376</v>
      </c>
    </row>
    <row r="167" spans="1:7" ht="12.75" customHeight="1" x14ac:dyDescent="0.2">
      <c r="A167" s="3" t="s">
        <v>324</v>
      </c>
      <c r="B167" s="3" t="s">
        <v>325</v>
      </c>
      <c r="C167" s="4">
        <f>SUM(C168:C172)</f>
        <v>0</v>
      </c>
      <c r="D167" s="4">
        <f>SUM(D168:D172)</f>
        <v>151442.62999999998</v>
      </c>
      <c r="E167" s="4">
        <f>SUM(E168:E172)</f>
        <v>0</v>
      </c>
      <c r="F167" s="4">
        <f>SUM(F168:F172)</f>
        <v>151442.62999999998</v>
      </c>
      <c r="G167" s="11">
        <f t="shared" si="1"/>
        <v>151442.62999999998</v>
      </c>
    </row>
    <row r="168" spans="1:7" ht="12.75" customHeight="1" x14ac:dyDescent="0.2">
      <c r="A168" s="3" t="s">
        <v>326</v>
      </c>
      <c r="B168" s="3" t="s">
        <v>327</v>
      </c>
      <c r="C168" s="4">
        <v>0</v>
      </c>
      <c r="D168" s="4">
        <v>40280</v>
      </c>
      <c r="E168" s="4">
        <v>0</v>
      </c>
      <c r="F168" s="4">
        <v>40280</v>
      </c>
      <c r="G168" s="11">
        <f t="shared" si="1"/>
        <v>40280</v>
      </c>
    </row>
    <row r="169" spans="1:7" ht="12.75" customHeight="1" x14ac:dyDescent="0.2">
      <c r="A169" s="3" t="s">
        <v>328</v>
      </c>
      <c r="B169" s="3" t="s">
        <v>329</v>
      </c>
      <c r="C169" s="4">
        <v>0</v>
      </c>
      <c r="D169" s="4">
        <v>91912.23</v>
      </c>
      <c r="E169" s="4">
        <v>0</v>
      </c>
      <c r="F169" s="4">
        <v>91912.23</v>
      </c>
      <c r="G169" s="11">
        <f t="shared" si="1"/>
        <v>91912.23</v>
      </c>
    </row>
    <row r="170" spans="1:7" ht="12.75" customHeight="1" x14ac:dyDescent="0.2">
      <c r="A170" s="3" t="s">
        <v>330</v>
      </c>
      <c r="B170" s="3" t="s">
        <v>331</v>
      </c>
      <c r="C170" s="4">
        <v>0</v>
      </c>
      <c r="D170" s="4">
        <v>2000</v>
      </c>
      <c r="E170" s="4">
        <v>0</v>
      </c>
      <c r="F170" s="4">
        <v>2000</v>
      </c>
      <c r="G170" s="11">
        <f t="shared" si="1"/>
        <v>2000</v>
      </c>
    </row>
    <row r="171" spans="1:7" ht="12.75" customHeight="1" x14ac:dyDescent="0.2">
      <c r="A171" s="3" t="s">
        <v>332</v>
      </c>
      <c r="B171" s="3" t="s">
        <v>333</v>
      </c>
      <c r="C171" s="4">
        <v>0</v>
      </c>
      <c r="D171" s="4">
        <v>4400</v>
      </c>
      <c r="E171" s="4">
        <v>0</v>
      </c>
      <c r="F171" s="4">
        <v>4400</v>
      </c>
      <c r="G171" s="11">
        <f t="shared" si="1"/>
        <v>4400</v>
      </c>
    </row>
    <row r="172" spans="1:7" ht="12.75" customHeight="1" x14ac:dyDescent="0.2">
      <c r="A172" s="3" t="s">
        <v>334</v>
      </c>
      <c r="B172" s="3" t="s">
        <v>335</v>
      </c>
      <c r="C172" s="4">
        <v>0</v>
      </c>
      <c r="D172" s="4">
        <v>12850.4</v>
      </c>
      <c r="E172" s="4">
        <v>0</v>
      </c>
      <c r="F172" s="4">
        <v>12850.4</v>
      </c>
      <c r="G172" s="11">
        <f t="shared" si="1"/>
        <v>12850.4</v>
      </c>
    </row>
    <row r="173" spans="1:7" ht="12.75" customHeight="1" x14ac:dyDescent="0.2">
      <c r="A173" s="3" t="s">
        <v>336</v>
      </c>
      <c r="B173" s="3" t="s">
        <v>337</v>
      </c>
      <c r="C173" s="4">
        <f>SUM(C174:C174)</f>
        <v>0</v>
      </c>
      <c r="D173" s="4">
        <f>SUM(D174:D174)</f>
        <v>54761.3</v>
      </c>
      <c r="E173" s="4">
        <f>SUM(E174:E174)</f>
        <v>2501.1999999999998</v>
      </c>
      <c r="F173" s="4">
        <f>SUM(F174:F174)</f>
        <v>52260.1</v>
      </c>
      <c r="G173" s="11">
        <f t="shared" si="1"/>
        <v>52260.100000000006</v>
      </c>
    </row>
    <row r="174" spans="1:7" ht="12.75" customHeight="1" x14ac:dyDescent="0.2">
      <c r="A174" s="3" t="s">
        <v>338</v>
      </c>
      <c r="B174" s="3" t="s">
        <v>339</v>
      </c>
      <c r="C174" s="4">
        <v>0</v>
      </c>
      <c r="D174" s="4">
        <v>54761.3</v>
      </c>
      <c r="E174" s="4">
        <v>2501.1999999999998</v>
      </c>
      <c r="F174" s="4">
        <v>52260.1</v>
      </c>
      <c r="G174" s="11">
        <f t="shared" si="1"/>
        <v>52260.100000000006</v>
      </c>
    </row>
    <row r="175" spans="1:7" ht="12.75" customHeight="1" x14ac:dyDescent="0.2">
      <c r="A175" s="3" t="s">
        <v>340</v>
      </c>
      <c r="B175" s="3" t="s">
        <v>341</v>
      </c>
      <c r="C175" s="4">
        <f>C176</f>
        <v>0</v>
      </c>
      <c r="D175" s="4">
        <f>D176</f>
        <v>6083.86</v>
      </c>
      <c r="E175" s="4">
        <f>E176</f>
        <v>0</v>
      </c>
      <c r="F175" s="4">
        <f>F176</f>
        <v>6083.86</v>
      </c>
      <c r="G175" s="11">
        <f t="shared" si="1"/>
        <v>6083.86</v>
      </c>
    </row>
    <row r="176" spans="1:7" ht="12.75" customHeight="1" x14ac:dyDescent="0.2">
      <c r="A176" s="3" t="s">
        <v>342</v>
      </c>
      <c r="B176" s="3" t="s">
        <v>343</v>
      </c>
      <c r="C176" s="4">
        <f>SUM(C177:C180)</f>
        <v>0</v>
      </c>
      <c r="D176" s="4">
        <f>SUM(D177:D180)</f>
        <v>6083.86</v>
      </c>
      <c r="E176" s="4">
        <f>SUM(E177:E180)</f>
        <v>0</v>
      </c>
      <c r="F176" s="4">
        <f>SUM(F177:F180)</f>
        <v>6083.86</v>
      </c>
      <c r="G176" s="11">
        <f t="shared" si="1"/>
        <v>6083.86</v>
      </c>
    </row>
    <row r="177" spans="1:8" ht="12.75" customHeight="1" x14ac:dyDescent="0.2">
      <c r="A177" s="3" t="s">
        <v>344</v>
      </c>
      <c r="B177" s="3" t="s">
        <v>345</v>
      </c>
      <c r="C177" s="4">
        <v>0</v>
      </c>
      <c r="D177" s="4">
        <v>4316.67</v>
      </c>
      <c r="E177" s="4">
        <v>0</v>
      </c>
      <c r="F177" s="4">
        <v>4316.67</v>
      </c>
      <c r="G177" s="11">
        <f t="shared" si="1"/>
        <v>4316.67</v>
      </c>
    </row>
    <row r="178" spans="1:8" ht="12.75" customHeight="1" x14ac:dyDescent="0.2">
      <c r="A178" s="3" t="s">
        <v>346</v>
      </c>
      <c r="B178" s="3" t="s">
        <v>347</v>
      </c>
      <c r="C178" s="4">
        <v>0</v>
      </c>
      <c r="D178" s="4">
        <v>1666.29</v>
      </c>
      <c r="E178" s="4">
        <v>0</v>
      </c>
      <c r="F178" s="4">
        <v>1666.29</v>
      </c>
      <c r="G178" s="11">
        <f t="shared" si="1"/>
        <v>1666.29</v>
      </c>
    </row>
    <row r="179" spans="1:8" ht="12.75" customHeight="1" x14ac:dyDescent="0.2">
      <c r="A179" s="3" t="s">
        <v>348</v>
      </c>
      <c r="B179" s="3" t="s">
        <v>349</v>
      </c>
      <c r="C179" s="4">
        <v>0</v>
      </c>
      <c r="D179" s="4">
        <v>84.66</v>
      </c>
      <c r="E179" s="4">
        <v>0</v>
      </c>
      <c r="F179" s="4">
        <v>84.66</v>
      </c>
      <c r="G179" s="11">
        <f t="shared" ref="G179:G193" si="3">D179-E179</f>
        <v>84.66</v>
      </c>
    </row>
    <row r="180" spans="1:8" ht="12.75" customHeight="1" x14ac:dyDescent="0.2">
      <c r="A180" s="3" t="s">
        <v>350</v>
      </c>
      <c r="B180" s="3" t="s">
        <v>351</v>
      </c>
      <c r="C180" s="4">
        <v>0</v>
      </c>
      <c r="D180" s="4">
        <v>16.239999999999998</v>
      </c>
      <c r="E180" s="4">
        <v>0</v>
      </c>
      <c r="F180" s="4">
        <v>16.239999999999998</v>
      </c>
      <c r="G180" s="11">
        <f t="shared" si="3"/>
        <v>16.239999999999998</v>
      </c>
    </row>
    <row r="181" spans="1:8" ht="12.75" customHeight="1" x14ac:dyDescent="0.2">
      <c r="A181" s="3" t="s">
        <v>352</v>
      </c>
      <c r="B181" s="3" t="s">
        <v>353</v>
      </c>
      <c r="C181" s="4">
        <f>C182</f>
        <v>0</v>
      </c>
      <c r="D181" s="4">
        <f>D182</f>
        <v>2722.88</v>
      </c>
      <c r="E181" s="4">
        <f>E182</f>
        <v>0</v>
      </c>
      <c r="F181" s="4">
        <f>F182</f>
        <v>2722.88</v>
      </c>
      <c r="G181" s="11">
        <f t="shared" si="3"/>
        <v>2722.88</v>
      </c>
    </row>
    <row r="182" spans="1:8" ht="12.75" customHeight="1" x14ac:dyDescent="0.2">
      <c r="A182" s="3" t="s">
        <v>354</v>
      </c>
      <c r="B182" s="3" t="s">
        <v>355</v>
      </c>
      <c r="C182" s="4">
        <f>SUM(C183:C184)</f>
        <v>0</v>
      </c>
      <c r="D182" s="4">
        <f>SUM(D183:D184)</f>
        <v>2722.88</v>
      </c>
      <c r="E182" s="4">
        <f>SUM(E183:E184)</f>
        <v>0</v>
      </c>
      <c r="F182" s="4">
        <f>SUM(F183:F184)</f>
        <v>2722.88</v>
      </c>
      <c r="G182" s="11">
        <f t="shared" si="3"/>
        <v>2722.88</v>
      </c>
    </row>
    <row r="183" spans="1:8" ht="12.75" customHeight="1" x14ac:dyDescent="0.2">
      <c r="A183" s="3" t="s">
        <v>356</v>
      </c>
      <c r="B183" s="3" t="s">
        <v>357</v>
      </c>
      <c r="C183" s="4">
        <v>0</v>
      </c>
      <c r="D183" s="4">
        <v>1561.7</v>
      </c>
      <c r="E183" s="4">
        <v>0</v>
      </c>
      <c r="F183" s="4">
        <v>1561.7</v>
      </c>
      <c r="G183" s="11">
        <f t="shared" si="3"/>
        <v>1561.7</v>
      </c>
    </row>
    <row r="184" spans="1:8" ht="12.75" customHeight="1" x14ac:dyDescent="0.2">
      <c r="A184" s="3" t="s">
        <v>358</v>
      </c>
      <c r="B184" s="3" t="s">
        <v>359</v>
      </c>
      <c r="C184" s="4">
        <v>0</v>
      </c>
      <c r="D184" s="4">
        <v>1161.18</v>
      </c>
      <c r="E184" s="4">
        <v>0</v>
      </c>
      <c r="F184" s="4">
        <v>1161.18</v>
      </c>
      <c r="G184" s="11">
        <f t="shared" si="3"/>
        <v>1161.18</v>
      </c>
    </row>
    <row r="185" spans="1:8" ht="12.75" customHeight="1" x14ac:dyDescent="0.2">
      <c r="A185" s="3" t="s">
        <v>360</v>
      </c>
      <c r="B185" s="3" t="s">
        <v>162</v>
      </c>
      <c r="C185" s="4">
        <f>C186</f>
        <v>0</v>
      </c>
      <c r="D185" s="4">
        <f>D186</f>
        <v>0</v>
      </c>
      <c r="E185" s="4">
        <f>E186</f>
        <v>92712.960000000006</v>
      </c>
      <c r="F185" s="4">
        <f>F186</f>
        <v>-92712.960000000006</v>
      </c>
      <c r="G185" s="11">
        <f t="shared" si="3"/>
        <v>-92712.960000000006</v>
      </c>
    </row>
    <row r="186" spans="1:8" ht="12.75" customHeight="1" x14ac:dyDescent="0.2">
      <c r="A186" s="3" t="s">
        <v>361</v>
      </c>
      <c r="B186" s="3" t="s">
        <v>162</v>
      </c>
      <c r="C186" s="4">
        <f>SUM(C187:C187)</f>
        <v>0</v>
      </c>
      <c r="D186" s="4">
        <f>SUM(D187:D187)</f>
        <v>0</v>
      </c>
      <c r="E186" s="4">
        <f>SUM(E187:E187)</f>
        <v>92712.960000000006</v>
      </c>
      <c r="F186" s="4">
        <f>SUM(F187:F187)</f>
        <v>-92712.960000000006</v>
      </c>
      <c r="G186" s="11">
        <f t="shared" si="3"/>
        <v>-92712.960000000006</v>
      </c>
    </row>
    <row r="187" spans="1:8" ht="12.75" customHeight="1" x14ac:dyDescent="0.2">
      <c r="A187" s="3" t="s">
        <v>362</v>
      </c>
      <c r="B187" s="3" t="s">
        <v>363</v>
      </c>
      <c r="C187" s="4">
        <v>0</v>
      </c>
      <c r="D187" s="4">
        <v>0</v>
      </c>
      <c r="E187" s="4">
        <v>92712.960000000006</v>
      </c>
      <c r="F187" s="4">
        <v>-92712.960000000006</v>
      </c>
      <c r="G187" s="11">
        <f t="shared" si="3"/>
        <v>-92712.960000000006</v>
      </c>
      <c r="H187" s="12" t="s">
        <v>376</v>
      </c>
    </row>
    <row r="188" spans="1:8" ht="12.75" customHeight="1" x14ac:dyDescent="0.2">
      <c r="A188" s="3" t="s">
        <v>364</v>
      </c>
      <c r="B188" s="3" t="s">
        <v>365</v>
      </c>
      <c r="C188" s="4">
        <f>C189</f>
        <v>0</v>
      </c>
      <c r="D188" s="4">
        <f>D189</f>
        <v>149404.09</v>
      </c>
      <c r="E188" s="4">
        <f>E189</f>
        <v>0</v>
      </c>
      <c r="F188" s="4">
        <f>F189</f>
        <v>149404.09</v>
      </c>
      <c r="G188" s="11">
        <f t="shared" si="3"/>
        <v>149404.09</v>
      </c>
    </row>
    <row r="189" spans="1:8" ht="12.75" customHeight="1" x14ac:dyDescent="0.2">
      <c r="A189" s="3" t="s">
        <v>366</v>
      </c>
      <c r="B189" s="3" t="s">
        <v>365</v>
      </c>
      <c r="C189" s="4">
        <f>SUM(C190:C193)</f>
        <v>0</v>
      </c>
      <c r="D189" s="4">
        <f>SUM(D190:D193)</f>
        <v>149404.09</v>
      </c>
      <c r="E189" s="4">
        <f>SUM(E190:E193)</f>
        <v>0</v>
      </c>
      <c r="F189" s="4">
        <f>SUM(F190:F193)</f>
        <v>149404.09</v>
      </c>
      <c r="G189" s="11">
        <f t="shared" si="3"/>
        <v>149404.09</v>
      </c>
    </row>
    <row r="190" spans="1:8" ht="12.75" customHeight="1" x14ac:dyDescent="0.2">
      <c r="A190" s="3" t="s">
        <v>367</v>
      </c>
      <c r="B190" s="3" t="s">
        <v>368</v>
      </c>
      <c r="C190" s="4">
        <v>0</v>
      </c>
      <c r="D190" s="4">
        <v>975.35</v>
      </c>
      <c r="E190" s="4">
        <v>0</v>
      </c>
      <c r="F190" s="4">
        <v>975.35</v>
      </c>
      <c r="G190" s="11">
        <f t="shared" si="3"/>
        <v>975.35</v>
      </c>
    </row>
    <row r="191" spans="1:8" ht="12.75" customHeight="1" x14ac:dyDescent="0.2">
      <c r="A191" s="3" t="s">
        <v>369</v>
      </c>
      <c r="B191" s="3" t="s">
        <v>370</v>
      </c>
      <c r="C191" s="4">
        <v>0</v>
      </c>
      <c r="D191" s="4">
        <v>136970.70000000001</v>
      </c>
      <c r="E191" s="4">
        <v>0</v>
      </c>
      <c r="F191" s="4">
        <v>136970.70000000001</v>
      </c>
      <c r="G191" s="11">
        <f t="shared" si="3"/>
        <v>136970.70000000001</v>
      </c>
    </row>
    <row r="192" spans="1:8" ht="12.75" customHeight="1" x14ac:dyDescent="0.2">
      <c r="A192" s="3" t="s">
        <v>371</v>
      </c>
      <c r="B192" s="3" t="s">
        <v>372</v>
      </c>
      <c r="C192" s="4">
        <v>0</v>
      </c>
      <c r="D192" s="4">
        <v>5705.43</v>
      </c>
      <c r="E192" s="4">
        <v>0</v>
      </c>
      <c r="F192" s="4">
        <v>5705.43</v>
      </c>
      <c r="G192" s="11">
        <f t="shared" si="3"/>
        <v>5705.43</v>
      </c>
    </row>
    <row r="193" spans="1:7" ht="12.75" customHeight="1" x14ac:dyDescent="0.2">
      <c r="A193" s="3" t="s">
        <v>373</v>
      </c>
      <c r="B193" s="3" t="s">
        <v>374</v>
      </c>
      <c r="C193" s="4">
        <v>0</v>
      </c>
      <c r="D193" s="4">
        <v>5752.61</v>
      </c>
      <c r="E193" s="4">
        <v>0</v>
      </c>
      <c r="F193" s="4">
        <v>5752.61</v>
      </c>
      <c r="G193" s="11">
        <f t="shared" si="3"/>
        <v>5752.61</v>
      </c>
    </row>
    <row r="195" spans="1:7" ht="12.75" customHeight="1" x14ac:dyDescent="0.2">
      <c r="B195" s="1"/>
      <c r="C195" s="1" t="s">
        <v>2</v>
      </c>
      <c r="D195" s="1" t="s">
        <v>3</v>
      </c>
      <c r="E195" s="1" t="s">
        <v>4</v>
      </c>
      <c r="F195" s="1" t="s">
        <v>5</v>
      </c>
    </row>
    <row r="196" spans="1:7" ht="12.75" customHeight="1" x14ac:dyDescent="0.2">
      <c r="B196" s="6" t="s">
        <v>7</v>
      </c>
      <c r="C196" s="4">
        <f>Balancete!C2</f>
        <v>5330654</v>
      </c>
      <c r="D196" s="4">
        <f>Balancete!D2</f>
        <v>2667905.4</v>
      </c>
      <c r="E196" s="4">
        <f>Balancete!E2</f>
        <v>3020979.08</v>
      </c>
      <c r="F196" s="4">
        <f>Balancete!F2</f>
        <v>4977580.32</v>
      </c>
    </row>
    <row r="197" spans="1:7" ht="12.75" customHeight="1" x14ac:dyDescent="0.2">
      <c r="B197" s="6" t="s">
        <v>128</v>
      </c>
      <c r="C197" s="4">
        <f>Balancete!C63</f>
        <v>5330654</v>
      </c>
      <c r="D197" s="4">
        <f>Balancete!D63</f>
        <v>1901352.47</v>
      </c>
      <c r="E197" s="4">
        <f>Balancete!E63</f>
        <v>1701516.6100000003</v>
      </c>
      <c r="F197" s="4">
        <f>Balancete!F63</f>
        <v>5130818.1400000006</v>
      </c>
    </row>
    <row r="198" spans="1:7" ht="12.75" customHeight="1" x14ac:dyDescent="0.2">
      <c r="B198" s="6" t="s">
        <v>223</v>
      </c>
      <c r="C198" s="4">
        <f>Balancete!C114</f>
        <v>0</v>
      </c>
      <c r="D198" s="4">
        <f>Balancete!D114</f>
        <v>121749.27</v>
      </c>
      <c r="E198" s="4">
        <f>Balancete!E114</f>
        <v>721759.95</v>
      </c>
      <c r="F198" s="4">
        <f>Balancete!F114</f>
        <v>600010.68000000005</v>
      </c>
    </row>
    <row r="199" spans="1:7" ht="12.75" customHeight="1" x14ac:dyDescent="0.2">
      <c r="B199" s="6" t="s">
        <v>261</v>
      </c>
      <c r="C199" s="4">
        <f>Balancete!C133</f>
        <v>0</v>
      </c>
      <c r="D199" s="4">
        <f>Balancete!D133</f>
        <v>1458271.76</v>
      </c>
      <c r="E199" s="4">
        <f>Balancete!E133</f>
        <v>705023.25999999989</v>
      </c>
      <c r="F199" s="4">
        <f>Balancete!F133</f>
        <v>753248.5</v>
      </c>
    </row>
    <row r="200" spans="1:7" ht="12.75" customHeight="1" x14ac:dyDescent="0.2">
      <c r="B200" s="6" t="s">
        <v>375</v>
      </c>
      <c r="C200" s="6"/>
      <c r="D200" s="6"/>
      <c r="E200" s="6"/>
      <c r="F200" s="7">
        <f>(F198)-(F199)</f>
        <v>-153237.81999999995</v>
      </c>
    </row>
  </sheetData>
  <pageMargins left="0.78740157480314998" right="0.78740157480314998" top="0.78740157480314998" bottom="0.78740157480314998" header="0.31496062992126" footer="0.31496062992126"/>
  <pageSetup paperSize="9" fitToWidth="0" fitToHeight="0" orientation="landscape"/>
  <headerFooter>
    <oddHeader>&amp;L&amp;"Arial"&amp;10&amp;K000000BALANCETE DE VERIFICAÇÃO
ID BRANDS SERVICOS ADMINISTRATIVOS E COMERCIO VAREJISTA DE COSMETICOS LTDA
Período: 01/01/2026 a 31/01/2026 - CONSOLIDADO</oddHeader>
    <oddFooter>&amp;L&amp;"Arial"&amp;10&amp;K000000Página: &amp;P de &amp;N
-  -  -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Flavia Brune</cp:lastModifiedBy>
  <dcterms:modified xsi:type="dcterms:W3CDTF">2026-03-28T17:04:27Z</dcterms:modified>
</cp:coreProperties>
</file>
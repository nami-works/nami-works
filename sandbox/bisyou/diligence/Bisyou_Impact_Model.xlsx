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syou_DRE" sheetId="1" state="visible" r:id="rId1"/>
    <sheet xmlns:r="http://schemas.openxmlformats.org/officeDocument/2006/relationships" name="Group_Impact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1243F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1" fillId="3" borderId="0" pivotButton="0" quotePrefix="0" xfId="0"/>
    <xf numFmtId="164" fontId="1" fillId="3" borderId="0" pivotButton="0" quotePrefix="0" xfId="0"/>
    <xf numFmtId="3" fontId="0" fillId="0" borderId="0" pivotButton="0" quotePrefix="0" xfId="0"/>
    <xf numFmtId="164" fontId="0" fillId="0" borderId="0" pivotButton="0" quotePrefix="0" xfId="0"/>
    <xf numFmtId="3" fontId="1" fillId="0" borderId="0" pivotButton="0" quotePrefix="0" xfId="0"/>
    <xf numFmtId="3" fontId="2" fillId="2" borderId="0" pivotButton="0" quotePrefix="0" xfId="0"/>
    <xf numFmtId="9" fontId="1" fillId="0" borderId="0" pivotButton="0" quotePrefix="0" xfId="0"/>
  </cellXfs>
  <cellStyles count="1">
    <cellStyle name="Normal" xfId="0" builtinId="0" hidden="0"/>
  </cellStyles>
  <dxfs count="2">
    <dxf>
      <font>
        <color rgb="00B23B3B"/>
      </font>
    </dxf>
    <dxf>
      <font>
        <color rgb="001F7A3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26" customWidth="1" min="6" max="6"/>
    <col width="10" customWidth="1" min="7" max="7"/>
  </cols>
  <sheetData>
    <row r="1">
      <c r="A1" s="1" t="inlineStr">
        <is>
          <t>BISYOU — interactive channel DRE.  Edit the yellow cells; everything below recalculates (open in Excel).</t>
        </is>
      </c>
    </row>
    <row r="3">
      <c r="A3" s="2" t="inlineStr">
        <is>
          <t>ASSUMPTIONS (edit yellow)</t>
        </is>
      </c>
      <c r="C3" s="2" t="inlineStr">
        <is>
          <t>Conservative</t>
        </is>
      </c>
      <c r="D3" s="2" t="inlineStr">
        <is>
          <t>Run-rate</t>
        </is>
      </c>
    </row>
    <row r="4">
      <c r="A4" t="inlineStr">
        <is>
          <t>Net revenue – annual (R$)</t>
        </is>
      </c>
      <c r="C4" s="3" t="n">
        <v>5500000</v>
      </c>
      <c r="D4" s="3" t="n">
        <v>7600000</v>
      </c>
    </row>
    <row r="5">
      <c r="A5" t="inlineStr">
        <is>
          <t>Gross margin %</t>
        </is>
      </c>
      <c r="C5" s="4" t="n">
        <v>0.8</v>
      </c>
      <c r="D5" s="4" t="n">
        <v>0.8</v>
      </c>
    </row>
    <row r="6">
      <c r="A6" t="inlineStr">
        <is>
          <t>Selling/logistics/card %</t>
        </is>
      </c>
      <c r="C6" s="4" t="n">
        <v>0.17</v>
      </c>
      <c r="D6" s="4" t="n">
        <v>0.17</v>
      </c>
    </row>
    <row r="7">
      <c r="A7" t="inlineStr">
        <is>
          <t>Marketing / CPA %</t>
        </is>
      </c>
      <c r="C7" s="4" t="n">
        <v>0.25</v>
      </c>
      <c r="D7" s="4" t="n">
        <v>0.25</v>
      </c>
    </row>
    <row r="8">
      <c r="A8" t="inlineStr">
        <is>
          <t>SG&amp;A – annual (R$)</t>
        </is>
      </c>
      <c r="C8" s="3" t="n">
        <v>1250000</v>
      </c>
      <c r="D8" s="3" t="n">
        <v>1250000</v>
      </c>
    </row>
    <row r="9">
      <c r="A9" t="inlineStr">
        <is>
          <t>Royalty %</t>
        </is>
      </c>
      <c r="C9" s="4" t="n">
        <v>0.08</v>
      </c>
      <c r="D9" s="4" t="n">
        <v>0.08</v>
      </c>
    </row>
    <row r="10">
      <c r="A10" t="inlineStr">
        <is>
          <t>Tax gross-up % (net=gross*(1-tax))</t>
        </is>
      </c>
      <c r="C10" s="4" t="n">
        <v>0.13</v>
      </c>
      <c r="D10" s="4" t="n">
        <v>0.13</v>
      </c>
    </row>
    <row r="12">
      <c r="A12" s="1" t="inlineStr">
        <is>
          <t>Gross revenue (R$)</t>
        </is>
      </c>
      <c r="C12" s="5">
        <f>C4/(1-C10)</f>
        <v/>
      </c>
      <c r="D12" s="5">
        <f>D4/(1-D10)</f>
        <v/>
      </c>
    </row>
    <row r="13">
      <c r="A13" t="inlineStr">
        <is>
          <t>Monthly gross (R$)</t>
        </is>
      </c>
      <c r="C13" s="5">
        <f>C12/12</f>
        <v/>
      </c>
      <c r="D13" s="5">
        <f>D12/12</f>
        <v/>
      </c>
    </row>
    <row r="14">
      <c r="A14" t="inlineStr">
        <is>
          <t>Boniteca % (regressive lookup)</t>
        </is>
      </c>
      <c r="C14" s="6">
        <f>INDEX($G$31:$G$37,COUNT($F$31:$F$37)-COUNTIF($F$31:$F$37,"&gt;"&amp;C13)+1)</f>
        <v/>
      </c>
      <c r="D14" s="6">
        <f>INDEX($G$31:$G$37,COUNT($F$31:$F$37)-COUNTIF($F$31:$F$37,"&gt;"&amp;D13)+1)</f>
        <v/>
      </c>
    </row>
    <row r="16">
      <c r="A16" s="2" t="inlineStr">
        <is>
          <t>DRE — ANNUAL RUN-RATE (R$)</t>
        </is>
      </c>
      <c r="C16" s="2" t="inlineStr">
        <is>
          <t>Conservative</t>
        </is>
      </c>
      <c r="D16" s="2" t="inlineStr">
        <is>
          <t>Run-rate</t>
        </is>
      </c>
    </row>
    <row r="17">
      <c r="A17" t="inlineStr">
        <is>
          <t>Receita líquida</t>
        </is>
      </c>
      <c r="C17" s="5">
        <f>C4</f>
        <v/>
      </c>
      <c r="D17" s="5">
        <f>D4</f>
        <v/>
      </c>
    </row>
    <row r="18">
      <c r="A18" t="inlineStr">
        <is>
          <t>(–) CMV</t>
        </is>
      </c>
      <c r="C18" s="5">
        <f>-(1-C5)*C4</f>
        <v/>
      </c>
      <c r="D18" s="5">
        <f>-(1-D5)*D4</f>
        <v/>
      </c>
    </row>
    <row r="19">
      <c r="A19" s="1">
        <f> Margem bruta</f>
        <v/>
      </c>
      <c r="C19" s="7">
        <f>C5*C4</f>
        <v/>
      </c>
      <c r="D19" s="7">
        <f>D5*D4</f>
        <v/>
      </c>
    </row>
    <row r="20">
      <c r="A20" t="inlineStr">
        <is>
          <t>(–) Despesas de venda</t>
        </is>
      </c>
      <c r="C20" s="5">
        <f>-C6*C4</f>
        <v/>
      </c>
      <c r="D20" s="5">
        <f>-D6*D4</f>
        <v/>
      </c>
    </row>
    <row r="21">
      <c r="A21" t="inlineStr">
        <is>
          <t>(–) Marketing / CPA</t>
        </is>
      </c>
      <c r="C21" s="5">
        <f>-C7*C4</f>
        <v/>
      </c>
      <c r="D21" s="5">
        <f>-D7*D4</f>
        <v/>
      </c>
    </row>
    <row r="22">
      <c r="A22" t="inlineStr">
        <is>
          <t>(–) SG&amp;A</t>
        </is>
      </c>
      <c r="C22" s="5">
        <f>-C8</f>
        <v/>
      </c>
      <c r="D22" s="5">
        <f>-D8</f>
        <v/>
      </c>
    </row>
    <row r="23">
      <c r="A23" t="inlineStr">
        <is>
          <t>(–) Royalty</t>
        </is>
      </c>
      <c r="C23" s="5">
        <f>-C9*C4</f>
        <v/>
      </c>
      <c r="D23" s="5">
        <f>-D9*D4</f>
        <v/>
      </c>
    </row>
    <row r="24">
      <c r="A24" t="inlineStr">
        <is>
          <t>(–) Boniteca fee</t>
        </is>
      </c>
      <c r="C24" s="5">
        <f>-C14*C12</f>
        <v/>
      </c>
      <c r="D24" s="5">
        <f>-D14*D12</f>
        <v/>
      </c>
    </row>
    <row r="25">
      <c r="A25" s="1">
        <f> EBITDA (annual)</f>
        <v/>
      </c>
      <c r="C25" s="7">
        <f>C19+C20+C21+C22+C23+C24</f>
        <v/>
      </c>
      <c r="D25" s="7">
        <f>D19+D20+D21+D22+D23+D24</f>
        <v/>
      </c>
    </row>
    <row r="26">
      <c r="A26" t="inlineStr">
        <is>
          <t>EBITDA margin %</t>
        </is>
      </c>
      <c r="C26" s="6">
        <f>C25/C4</f>
        <v/>
      </c>
      <c r="D26" s="6">
        <f>D25/D4</f>
        <v/>
      </c>
    </row>
    <row r="27">
      <c r="A27" s="1">
        <f> EBITDA — H2-2026 (Jul–Dec, ×0.5)</f>
        <v/>
      </c>
      <c r="C27" s="7">
        <f>C25*0.5</f>
        <v/>
      </c>
      <c r="D27" s="7">
        <f>D25*0.5</f>
        <v/>
      </c>
    </row>
    <row r="28">
      <c r="A28" t="inlineStr">
        <is>
          <t>Boniteca uses GE's regressive table on MONTHLY gross (Bisyou's small scale → ~9%). Change Net revenue and the rate re-looks-up automatically.</t>
        </is>
      </c>
    </row>
    <row r="30">
      <c r="F30" s="1" t="inlineStr">
        <is>
          <t>Boniteca band (monthly gross →)</t>
        </is>
      </c>
      <c r="G30" s="1" t="inlineStr">
        <is>
          <t>Fee %</t>
        </is>
      </c>
    </row>
    <row r="31">
      <c r="F31" s="5" t="n">
        <v>500000</v>
      </c>
      <c r="G31" s="6" t="n">
        <v>0.1</v>
      </c>
    </row>
    <row r="32">
      <c r="F32" s="5" t="n">
        <v>750000</v>
      </c>
      <c r="G32" s="6" t="n">
        <v>0.09</v>
      </c>
    </row>
    <row r="33">
      <c r="F33" s="5" t="n">
        <v>1000000</v>
      </c>
      <c r="G33" s="6" t="n">
        <v>0.08</v>
      </c>
    </row>
    <row r="34">
      <c r="F34" s="5" t="n">
        <v>1250000</v>
      </c>
      <c r="G34" s="6" t="n">
        <v>0.075</v>
      </c>
    </row>
    <row r="35">
      <c r="F35" s="5" t="n">
        <v>1500000</v>
      </c>
      <c r="G35" s="6" t="n">
        <v>0.065</v>
      </c>
    </row>
    <row r="36">
      <c r="F36" s="5" t="n">
        <v>2000000</v>
      </c>
      <c r="G36" s="6" t="n">
        <v>0.06</v>
      </c>
    </row>
    <row r="37">
      <c r="F37" s="5" t="n">
        <v>10000000</v>
      </c>
      <c r="G37" s="6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GROUP P&amp;L IMPACT — GE 2026 (BP) + Bisyou H2-2026 (live from the Bisyou tab, Conservative col).</t>
        </is>
      </c>
    </row>
    <row r="3">
      <c r="A3" s="2" t="inlineStr">
        <is>
          <t>Line</t>
        </is>
      </c>
      <c r="B3" s="2" t="inlineStr">
        <is>
          <t>GE 2026 (BP)</t>
        </is>
      </c>
      <c r="C3" s="2" t="inlineStr">
        <is>
          <t>Bisyou H2-2026</t>
        </is>
      </c>
      <c r="D3" s="2" t="inlineStr">
        <is>
          <t>Pro-forma</t>
        </is>
      </c>
      <c r="E3" s="2" t="inlineStr">
        <is>
          <t>Δ %</t>
        </is>
      </c>
    </row>
    <row r="4">
      <c r="A4" t="inlineStr">
        <is>
          <t>Receita líquida</t>
        </is>
      </c>
      <c r="B4" s="5" t="n">
        <v>16422116.69240737</v>
      </c>
      <c r="C4" s="5">
        <f>'Bisyou_DRE'!C17*0.5</f>
        <v/>
      </c>
      <c r="D4" s="5">
        <f>B4+C4</f>
        <v/>
      </c>
      <c r="E4" s="6">
        <f>C4/B4</f>
        <v/>
      </c>
    </row>
    <row r="5">
      <c r="A5" t="inlineStr">
        <is>
          <t>Margem bruta</t>
        </is>
      </c>
      <c r="B5" s="5" t="n">
        <v>11418595.71087178</v>
      </c>
      <c r="C5" s="5">
        <f>'Bisyou_DRE'!C19*0.5</f>
        <v/>
      </c>
      <c r="D5" s="5">
        <f>B5+C5</f>
        <v/>
      </c>
      <c r="E5" s="6">
        <f>C5/B5</f>
        <v/>
      </c>
    </row>
    <row r="6">
      <c r="A6" t="inlineStr">
        <is>
          <t>Margem de contribuição</t>
        </is>
      </c>
      <c r="B6" s="5" t="n">
        <v>6841991.637342356</v>
      </c>
      <c r="C6" s="5">
        <f>('Bisyou_DRE'!C19+'Bisyou_DRE'!C20+'Bisyou_DRE'!C21)*0.5</f>
        <v/>
      </c>
      <c r="D6" s="5">
        <f>B6+C6</f>
        <v/>
      </c>
      <c r="E6" s="6">
        <f>C6/B6</f>
        <v/>
      </c>
    </row>
    <row r="7">
      <c r="A7" t="inlineStr">
        <is>
          <t>EBITDA</t>
        </is>
      </c>
      <c r="B7" s="5" t="n">
        <v>3306290.28898951</v>
      </c>
      <c r="C7" s="5">
        <f>'Bisyou_DRE'!C25*0.5</f>
        <v/>
      </c>
      <c r="D7" s="5">
        <f>B7+C7</f>
        <v/>
      </c>
      <c r="E7" s="6">
        <f>C7/B7</f>
        <v/>
      </c>
    </row>
    <row r="10">
      <c r="A10" t="inlineStr">
        <is>
          <t>GE figures are the BP's 2026 group totals (static snapshot). Bisyou side is live from the Bisyou tab. NB: GE EBITDA is PRE-Boniteca (model convention); Bisyou EBITDA here is post-Boniteca+royalty.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EBITDA CONTRIBUTION (annual, R$) — Royalty % (rows) × Net revenue (cols). LIVE: references the Bisyou tab's GM/selling/mktg/SG&amp;A/tax + band table.</t>
        </is>
      </c>
    </row>
    <row r="3">
      <c r="A3" s="2" t="inlineStr">
        <is>
          <t>Royalty / Net rev</t>
        </is>
      </c>
      <c r="B3" s="8" t="n">
        <v>5000000</v>
      </c>
      <c r="C3" s="8" t="n">
        <v>5500000</v>
      </c>
      <c r="D3" s="8" t="n">
        <v>6000000</v>
      </c>
      <c r="E3" s="8" t="n">
        <v>6500000</v>
      </c>
      <c r="F3" s="8" t="n">
        <v>7000000</v>
      </c>
      <c r="G3" s="8" t="n">
        <v>7600000</v>
      </c>
      <c r="H3" s="8" t="n">
        <v>8000000</v>
      </c>
    </row>
    <row r="4">
      <c r="A4" s="9" t="n">
        <v>0.03</v>
      </c>
      <c r="B4" s="5">
        <f>B$3*'Bisyou_DRE'!$C$5-B$3*'Bisyou_DRE'!$C$6-B$3*'Bisyou_DRE'!$C$7-'Bisyou_DRE'!$C$8-$A4*B$3-INDEX('Bisyou_DRE'!$G$31:$G$37,COUNT('Bisyou_DRE'!$F$31:$F$37)-COUNTIF('Bisyou_DRE'!$F$31:$F$37,"&gt;"&amp;((B$3/(1-'Bisyou_DRE'!$C$10))/12))+1)*(B$3/(1-'Bisyou_DRE'!$C$10))</f>
        <v/>
      </c>
      <c r="C4" s="5">
        <f>C$3*'Bisyou_DRE'!$C$5-C$3*'Bisyou_DRE'!$C$6-C$3*'Bisyou_DRE'!$C$7-'Bisyou_DRE'!$C$8-$A4*C$3-INDEX('Bisyou_DRE'!$G$31:$G$37,COUNT('Bisyou_DRE'!$F$31:$F$37)-COUNTIF('Bisyou_DRE'!$F$31:$F$37,"&gt;"&amp;((C$3/(1-'Bisyou_DRE'!$C$10))/12))+1)*(C$3/(1-'Bisyou_DRE'!$C$10))</f>
        <v/>
      </c>
      <c r="D4" s="5">
        <f>D$3*'Bisyou_DRE'!$C$5-D$3*'Bisyou_DRE'!$C$6-D$3*'Bisyou_DRE'!$C$7-'Bisyou_DRE'!$C$8-$A4*D$3-INDEX('Bisyou_DRE'!$G$31:$G$37,COUNT('Bisyou_DRE'!$F$31:$F$37)-COUNTIF('Bisyou_DRE'!$F$31:$F$37,"&gt;"&amp;((D$3/(1-'Bisyou_DRE'!$C$10))/12))+1)*(D$3/(1-'Bisyou_DRE'!$C$10))</f>
        <v/>
      </c>
      <c r="E4" s="5">
        <f>E$3*'Bisyou_DRE'!$C$5-E$3*'Bisyou_DRE'!$C$6-E$3*'Bisyou_DRE'!$C$7-'Bisyou_DRE'!$C$8-$A4*E$3-INDEX('Bisyou_DRE'!$G$31:$G$37,COUNT('Bisyou_DRE'!$F$31:$F$37)-COUNTIF('Bisyou_DRE'!$F$31:$F$37,"&gt;"&amp;((E$3/(1-'Bisyou_DRE'!$C$10))/12))+1)*(E$3/(1-'Bisyou_DRE'!$C$10))</f>
        <v/>
      </c>
      <c r="F4" s="5">
        <f>F$3*'Bisyou_DRE'!$C$5-F$3*'Bisyou_DRE'!$C$6-F$3*'Bisyou_DRE'!$C$7-'Bisyou_DRE'!$C$8-$A4*F$3-INDEX('Bisyou_DRE'!$G$31:$G$37,COUNT('Bisyou_DRE'!$F$31:$F$37)-COUNTIF('Bisyou_DRE'!$F$31:$F$37,"&gt;"&amp;((F$3/(1-'Bisyou_DRE'!$C$10))/12))+1)*(F$3/(1-'Bisyou_DRE'!$C$10))</f>
        <v/>
      </c>
      <c r="G4" s="5">
        <f>G$3*'Bisyou_DRE'!$C$5-G$3*'Bisyou_DRE'!$C$6-G$3*'Bisyou_DRE'!$C$7-'Bisyou_DRE'!$C$8-$A4*G$3-INDEX('Bisyou_DRE'!$G$31:$G$37,COUNT('Bisyou_DRE'!$F$31:$F$37)-COUNTIF('Bisyou_DRE'!$F$31:$F$37,"&gt;"&amp;((G$3/(1-'Bisyou_DRE'!$C$10))/12))+1)*(G$3/(1-'Bisyou_DRE'!$C$10))</f>
        <v/>
      </c>
      <c r="H4" s="5">
        <f>H$3*'Bisyou_DRE'!$C$5-H$3*'Bisyou_DRE'!$C$6-H$3*'Bisyou_DRE'!$C$7-'Bisyou_DRE'!$C$8-$A4*H$3-INDEX('Bisyou_DRE'!$G$31:$G$37,COUNT('Bisyou_DRE'!$F$31:$F$37)-COUNTIF('Bisyou_DRE'!$F$31:$F$37,"&gt;"&amp;((H$3/(1-'Bisyou_DRE'!$C$10))/12))+1)*(H$3/(1-'Bisyou_DRE'!$C$10))</f>
        <v/>
      </c>
    </row>
    <row r="5">
      <c r="A5" s="9" t="n">
        <v>0.04</v>
      </c>
      <c r="B5" s="5">
        <f>B$3*'Bisyou_DRE'!$C$5-B$3*'Bisyou_DRE'!$C$6-B$3*'Bisyou_DRE'!$C$7-'Bisyou_DRE'!$C$8-$A5*B$3-INDEX('Bisyou_DRE'!$G$31:$G$37,COUNT('Bisyou_DRE'!$F$31:$F$37)-COUNTIF('Bisyou_DRE'!$F$31:$F$37,"&gt;"&amp;((B$3/(1-'Bisyou_DRE'!$C$10))/12))+1)*(B$3/(1-'Bisyou_DRE'!$C$10))</f>
        <v/>
      </c>
      <c r="C5" s="5">
        <f>C$3*'Bisyou_DRE'!$C$5-C$3*'Bisyou_DRE'!$C$6-C$3*'Bisyou_DRE'!$C$7-'Bisyou_DRE'!$C$8-$A5*C$3-INDEX('Bisyou_DRE'!$G$31:$G$37,COUNT('Bisyou_DRE'!$F$31:$F$37)-COUNTIF('Bisyou_DRE'!$F$31:$F$37,"&gt;"&amp;((C$3/(1-'Bisyou_DRE'!$C$10))/12))+1)*(C$3/(1-'Bisyou_DRE'!$C$10))</f>
        <v/>
      </c>
      <c r="D5" s="5">
        <f>D$3*'Bisyou_DRE'!$C$5-D$3*'Bisyou_DRE'!$C$6-D$3*'Bisyou_DRE'!$C$7-'Bisyou_DRE'!$C$8-$A5*D$3-INDEX('Bisyou_DRE'!$G$31:$G$37,COUNT('Bisyou_DRE'!$F$31:$F$37)-COUNTIF('Bisyou_DRE'!$F$31:$F$37,"&gt;"&amp;((D$3/(1-'Bisyou_DRE'!$C$10))/12))+1)*(D$3/(1-'Bisyou_DRE'!$C$10))</f>
        <v/>
      </c>
      <c r="E5" s="5">
        <f>E$3*'Bisyou_DRE'!$C$5-E$3*'Bisyou_DRE'!$C$6-E$3*'Bisyou_DRE'!$C$7-'Bisyou_DRE'!$C$8-$A5*E$3-INDEX('Bisyou_DRE'!$G$31:$G$37,COUNT('Bisyou_DRE'!$F$31:$F$37)-COUNTIF('Bisyou_DRE'!$F$31:$F$37,"&gt;"&amp;((E$3/(1-'Bisyou_DRE'!$C$10))/12))+1)*(E$3/(1-'Bisyou_DRE'!$C$10))</f>
        <v/>
      </c>
      <c r="F5" s="5">
        <f>F$3*'Bisyou_DRE'!$C$5-F$3*'Bisyou_DRE'!$C$6-F$3*'Bisyou_DRE'!$C$7-'Bisyou_DRE'!$C$8-$A5*F$3-INDEX('Bisyou_DRE'!$G$31:$G$37,COUNT('Bisyou_DRE'!$F$31:$F$37)-COUNTIF('Bisyou_DRE'!$F$31:$F$37,"&gt;"&amp;((F$3/(1-'Bisyou_DRE'!$C$10))/12))+1)*(F$3/(1-'Bisyou_DRE'!$C$10))</f>
        <v/>
      </c>
      <c r="G5" s="5">
        <f>G$3*'Bisyou_DRE'!$C$5-G$3*'Bisyou_DRE'!$C$6-G$3*'Bisyou_DRE'!$C$7-'Bisyou_DRE'!$C$8-$A5*G$3-INDEX('Bisyou_DRE'!$G$31:$G$37,COUNT('Bisyou_DRE'!$F$31:$F$37)-COUNTIF('Bisyou_DRE'!$F$31:$F$37,"&gt;"&amp;((G$3/(1-'Bisyou_DRE'!$C$10))/12))+1)*(G$3/(1-'Bisyou_DRE'!$C$10))</f>
        <v/>
      </c>
      <c r="H5" s="5">
        <f>H$3*'Bisyou_DRE'!$C$5-H$3*'Bisyou_DRE'!$C$6-H$3*'Bisyou_DRE'!$C$7-'Bisyou_DRE'!$C$8-$A5*H$3-INDEX('Bisyou_DRE'!$G$31:$G$37,COUNT('Bisyou_DRE'!$F$31:$F$37)-COUNTIF('Bisyou_DRE'!$F$31:$F$37,"&gt;"&amp;((H$3/(1-'Bisyou_DRE'!$C$10))/12))+1)*(H$3/(1-'Bisyou_DRE'!$C$10))</f>
        <v/>
      </c>
    </row>
    <row r="6">
      <c r="A6" s="9" t="n">
        <v>0.05</v>
      </c>
      <c r="B6" s="5">
        <f>B$3*'Bisyou_DRE'!$C$5-B$3*'Bisyou_DRE'!$C$6-B$3*'Bisyou_DRE'!$C$7-'Bisyou_DRE'!$C$8-$A6*B$3-INDEX('Bisyou_DRE'!$G$31:$G$37,COUNT('Bisyou_DRE'!$F$31:$F$37)-COUNTIF('Bisyou_DRE'!$F$31:$F$37,"&gt;"&amp;((B$3/(1-'Bisyou_DRE'!$C$10))/12))+1)*(B$3/(1-'Bisyou_DRE'!$C$10))</f>
        <v/>
      </c>
      <c r="C6" s="5">
        <f>C$3*'Bisyou_DRE'!$C$5-C$3*'Bisyou_DRE'!$C$6-C$3*'Bisyou_DRE'!$C$7-'Bisyou_DRE'!$C$8-$A6*C$3-INDEX('Bisyou_DRE'!$G$31:$G$37,COUNT('Bisyou_DRE'!$F$31:$F$37)-COUNTIF('Bisyou_DRE'!$F$31:$F$37,"&gt;"&amp;((C$3/(1-'Bisyou_DRE'!$C$10))/12))+1)*(C$3/(1-'Bisyou_DRE'!$C$10))</f>
        <v/>
      </c>
      <c r="D6" s="5">
        <f>D$3*'Bisyou_DRE'!$C$5-D$3*'Bisyou_DRE'!$C$6-D$3*'Bisyou_DRE'!$C$7-'Bisyou_DRE'!$C$8-$A6*D$3-INDEX('Bisyou_DRE'!$G$31:$G$37,COUNT('Bisyou_DRE'!$F$31:$F$37)-COUNTIF('Bisyou_DRE'!$F$31:$F$37,"&gt;"&amp;((D$3/(1-'Bisyou_DRE'!$C$10))/12))+1)*(D$3/(1-'Bisyou_DRE'!$C$10))</f>
        <v/>
      </c>
      <c r="E6" s="5">
        <f>E$3*'Bisyou_DRE'!$C$5-E$3*'Bisyou_DRE'!$C$6-E$3*'Bisyou_DRE'!$C$7-'Bisyou_DRE'!$C$8-$A6*E$3-INDEX('Bisyou_DRE'!$G$31:$G$37,COUNT('Bisyou_DRE'!$F$31:$F$37)-COUNTIF('Bisyou_DRE'!$F$31:$F$37,"&gt;"&amp;((E$3/(1-'Bisyou_DRE'!$C$10))/12))+1)*(E$3/(1-'Bisyou_DRE'!$C$10))</f>
        <v/>
      </c>
      <c r="F6" s="5">
        <f>F$3*'Bisyou_DRE'!$C$5-F$3*'Bisyou_DRE'!$C$6-F$3*'Bisyou_DRE'!$C$7-'Bisyou_DRE'!$C$8-$A6*F$3-INDEX('Bisyou_DRE'!$G$31:$G$37,COUNT('Bisyou_DRE'!$F$31:$F$37)-COUNTIF('Bisyou_DRE'!$F$31:$F$37,"&gt;"&amp;((F$3/(1-'Bisyou_DRE'!$C$10))/12))+1)*(F$3/(1-'Bisyou_DRE'!$C$10))</f>
        <v/>
      </c>
      <c r="G6" s="5">
        <f>G$3*'Bisyou_DRE'!$C$5-G$3*'Bisyou_DRE'!$C$6-G$3*'Bisyou_DRE'!$C$7-'Bisyou_DRE'!$C$8-$A6*G$3-INDEX('Bisyou_DRE'!$G$31:$G$37,COUNT('Bisyou_DRE'!$F$31:$F$37)-COUNTIF('Bisyou_DRE'!$F$31:$F$37,"&gt;"&amp;((G$3/(1-'Bisyou_DRE'!$C$10))/12))+1)*(G$3/(1-'Bisyou_DRE'!$C$10))</f>
        <v/>
      </c>
      <c r="H6" s="5">
        <f>H$3*'Bisyou_DRE'!$C$5-H$3*'Bisyou_DRE'!$C$6-H$3*'Bisyou_DRE'!$C$7-'Bisyou_DRE'!$C$8-$A6*H$3-INDEX('Bisyou_DRE'!$G$31:$G$37,COUNT('Bisyou_DRE'!$F$31:$F$37)-COUNTIF('Bisyou_DRE'!$F$31:$F$37,"&gt;"&amp;((H$3/(1-'Bisyou_DRE'!$C$10))/12))+1)*(H$3/(1-'Bisyou_DRE'!$C$10))</f>
        <v/>
      </c>
    </row>
    <row r="7">
      <c r="A7" s="9" t="n">
        <v>0.06</v>
      </c>
      <c r="B7" s="5">
        <f>B$3*'Bisyou_DRE'!$C$5-B$3*'Bisyou_DRE'!$C$6-B$3*'Bisyou_DRE'!$C$7-'Bisyou_DRE'!$C$8-$A7*B$3-INDEX('Bisyou_DRE'!$G$31:$G$37,COUNT('Bisyou_DRE'!$F$31:$F$37)-COUNTIF('Bisyou_DRE'!$F$31:$F$37,"&gt;"&amp;((B$3/(1-'Bisyou_DRE'!$C$10))/12))+1)*(B$3/(1-'Bisyou_DRE'!$C$10))</f>
        <v/>
      </c>
      <c r="C7" s="5">
        <f>C$3*'Bisyou_DRE'!$C$5-C$3*'Bisyou_DRE'!$C$6-C$3*'Bisyou_DRE'!$C$7-'Bisyou_DRE'!$C$8-$A7*C$3-INDEX('Bisyou_DRE'!$G$31:$G$37,COUNT('Bisyou_DRE'!$F$31:$F$37)-COUNTIF('Bisyou_DRE'!$F$31:$F$37,"&gt;"&amp;((C$3/(1-'Bisyou_DRE'!$C$10))/12))+1)*(C$3/(1-'Bisyou_DRE'!$C$10))</f>
        <v/>
      </c>
      <c r="D7" s="5">
        <f>D$3*'Bisyou_DRE'!$C$5-D$3*'Bisyou_DRE'!$C$6-D$3*'Bisyou_DRE'!$C$7-'Bisyou_DRE'!$C$8-$A7*D$3-INDEX('Bisyou_DRE'!$G$31:$G$37,COUNT('Bisyou_DRE'!$F$31:$F$37)-COUNTIF('Bisyou_DRE'!$F$31:$F$37,"&gt;"&amp;((D$3/(1-'Bisyou_DRE'!$C$10))/12))+1)*(D$3/(1-'Bisyou_DRE'!$C$10))</f>
        <v/>
      </c>
      <c r="E7" s="5">
        <f>E$3*'Bisyou_DRE'!$C$5-E$3*'Bisyou_DRE'!$C$6-E$3*'Bisyou_DRE'!$C$7-'Bisyou_DRE'!$C$8-$A7*E$3-INDEX('Bisyou_DRE'!$G$31:$G$37,COUNT('Bisyou_DRE'!$F$31:$F$37)-COUNTIF('Bisyou_DRE'!$F$31:$F$37,"&gt;"&amp;((E$3/(1-'Bisyou_DRE'!$C$10))/12))+1)*(E$3/(1-'Bisyou_DRE'!$C$10))</f>
        <v/>
      </c>
      <c r="F7" s="5">
        <f>F$3*'Bisyou_DRE'!$C$5-F$3*'Bisyou_DRE'!$C$6-F$3*'Bisyou_DRE'!$C$7-'Bisyou_DRE'!$C$8-$A7*F$3-INDEX('Bisyou_DRE'!$G$31:$G$37,COUNT('Bisyou_DRE'!$F$31:$F$37)-COUNTIF('Bisyou_DRE'!$F$31:$F$37,"&gt;"&amp;((F$3/(1-'Bisyou_DRE'!$C$10))/12))+1)*(F$3/(1-'Bisyou_DRE'!$C$10))</f>
        <v/>
      </c>
      <c r="G7" s="5">
        <f>G$3*'Bisyou_DRE'!$C$5-G$3*'Bisyou_DRE'!$C$6-G$3*'Bisyou_DRE'!$C$7-'Bisyou_DRE'!$C$8-$A7*G$3-INDEX('Bisyou_DRE'!$G$31:$G$37,COUNT('Bisyou_DRE'!$F$31:$F$37)-COUNTIF('Bisyou_DRE'!$F$31:$F$37,"&gt;"&amp;((G$3/(1-'Bisyou_DRE'!$C$10))/12))+1)*(G$3/(1-'Bisyou_DRE'!$C$10))</f>
        <v/>
      </c>
      <c r="H7" s="5">
        <f>H$3*'Bisyou_DRE'!$C$5-H$3*'Bisyou_DRE'!$C$6-H$3*'Bisyou_DRE'!$C$7-'Bisyou_DRE'!$C$8-$A7*H$3-INDEX('Bisyou_DRE'!$G$31:$G$37,COUNT('Bisyou_DRE'!$F$31:$F$37)-COUNTIF('Bisyou_DRE'!$F$31:$F$37,"&gt;"&amp;((H$3/(1-'Bisyou_DRE'!$C$10))/12))+1)*(H$3/(1-'Bisyou_DRE'!$C$10))</f>
        <v/>
      </c>
    </row>
    <row r="8">
      <c r="A8" s="9" t="n">
        <v>0.07000000000000001</v>
      </c>
      <c r="B8" s="5">
        <f>B$3*'Bisyou_DRE'!$C$5-B$3*'Bisyou_DRE'!$C$6-B$3*'Bisyou_DRE'!$C$7-'Bisyou_DRE'!$C$8-$A8*B$3-INDEX('Bisyou_DRE'!$G$31:$G$37,COUNT('Bisyou_DRE'!$F$31:$F$37)-COUNTIF('Bisyou_DRE'!$F$31:$F$37,"&gt;"&amp;((B$3/(1-'Bisyou_DRE'!$C$10))/12))+1)*(B$3/(1-'Bisyou_DRE'!$C$10))</f>
        <v/>
      </c>
      <c r="C8" s="5">
        <f>C$3*'Bisyou_DRE'!$C$5-C$3*'Bisyou_DRE'!$C$6-C$3*'Bisyou_DRE'!$C$7-'Bisyou_DRE'!$C$8-$A8*C$3-INDEX('Bisyou_DRE'!$G$31:$G$37,COUNT('Bisyou_DRE'!$F$31:$F$37)-COUNTIF('Bisyou_DRE'!$F$31:$F$37,"&gt;"&amp;((C$3/(1-'Bisyou_DRE'!$C$10))/12))+1)*(C$3/(1-'Bisyou_DRE'!$C$10))</f>
        <v/>
      </c>
      <c r="D8" s="5">
        <f>D$3*'Bisyou_DRE'!$C$5-D$3*'Bisyou_DRE'!$C$6-D$3*'Bisyou_DRE'!$C$7-'Bisyou_DRE'!$C$8-$A8*D$3-INDEX('Bisyou_DRE'!$G$31:$G$37,COUNT('Bisyou_DRE'!$F$31:$F$37)-COUNTIF('Bisyou_DRE'!$F$31:$F$37,"&gt;"&amp;((D$3/(1-'Bisyou_DRE'!$C$10))/12))+1)*(D$3/(1-'Bisyou_DRE'!$C$10))</f>
        <v/>
      </c>
      <c r="E8" s="5">
        <f>E$3*'Bisyou_DRE'!$C$5-E$3*'Bisyou_DRE'!$C$6-E$3*'Bisyou_DRE'!$C$7-'Bisyou_DRE'!$C$8-$A8*E$3-INDEX('Bisyou_DRE'!$G$31:$G$37,COUNT('Bisyou_DRE'!$F$31:$F$37)-COUNTIF('Bisyou_DRE'!$F$31:$F$37,"&gt;"&amp;((E$3/(1-'Bisyou_DRE'!$C$10))/12))+1)*(E$3/(1-'Bisyou_DRE'!$C$10))</f>
        <v/>
      </c>
      <c r="F8" s="5">
        <f>F$3*'Bisyou_DRE'!$C$5-F$3*'Bisyou_DRE'!$C$6-F$3*'Bisyou_DRE'!$C$7-'Bisyou_DRE'!$C$8-$A8*F$3-INDEX('Bisyou_DRE'!$G$31:$G$37,COUNT('Bisyou_DRE'!$F$31:$F$37)-COUNTIF('Bisyou_DRE'!$F$31:$F$37,"&gt;"&amp;((F$3/(1-'Bisyou_DRE'!$C$10))/12))+1)*(F$3/(1-'Bisyou_DRE'!$C$10))</f>
        <v/>
      </c>
      <c r="G8" s="5">
        <f>G$3*'Bisyou_DRE'!$C$5-G$3*'Bisyou_DRE'!$C$6-G$3*'Bisyou_DRE'!$C$7-'Bisyou_DRE'!$C$8-$A8*G$3-INDEX('Bisyou_DRE'!$G$31:$G$37,COUNT('Bisyou_DRE'!$F$31:$F$37)-COUNTIF('Bisyou_DRE'!$F$31:$F$37,"&gt;"&amp;((G$3/(1-'Bisyou_DRE'!$C$10))/12))+1)*(G$3/(1-'Bisyou_DRE'!$C$10))</f>
        <v/>
      </c>
      <c r="H8" s="5">
        <f>H$3*'Bisyou_DRE'!$C$5-H$3*'Bisyou_DRE'!$C$6-H$3*'Bisyou_DRE'!$C$7-'Bisyou_DRE'!$C$8-$A8*H$3-INDEX('Bisyou_DRE'!$G$31:$G$37,COUNT('Bisyou_DRE'!$F$31:$F$37)-COUNTIF('Bisyou_DRE'!$F$31:$F$37,"&gt;"&amp;((H$3/(1-'Bisyou_DRE'!$C$10))/12))+1)*(H$3/(1-'Bisyou_DRE'!$C$10))</f>
        <v/>
      </c>
    </row>
    <row r="9">
      <c r="A9" s="9" t="n">
        <v>0.08</v>
      </c>
      <c r="B9" s="5">
        <f>B$3*'Bisyou_DRE'!$C$5-B$3*'Bisyou_DRE'!$C$6-B$3*'Bisyou_DRE'!$C$7-'Bisyou_DRE'!$C$8-$A9*B$3-INDEX('Bisyou_DRE'!$G$31:$G$37,COUNT('Bisyou_DRE'!$F$31:$F$37)-COUNTIF('Bisyou_DRE'!$F$31:$F$37,"&gt;"&amp;((B$3/(1-'Bisyou_DRE'!$C$10))/12))+1)*(B$3/(1-'Bisyou_DRE'!$C$10))</f>
        <v/>
      </c>
      <c r="C9" s="5">
        <f>C$3*'Bisyou_DRE'!$C$5-C$3*'Bisyou_DRE'!$C$6-C$3*'Bisyou_DRE'!$C$7-'Bisyou_DRE'!$C$8-$A9*C$3-INDEX('Bisyou_DRE'!$G$31:$G$37,COUNT('Bisyou_DRE'!$F$31:$F$37)-COUNTIF('Bisyou_DRE'!$F$31:$F$37,"&gt;"&amp;((C$3/(1-'Bisyou_DRE'!$C$10))/12))+1)*(C$3/(1-'Bisyou_DRE'!$C$10))</f>
        <v/>
      </c>
      <c r="D9" s="5">
        <f>D$3*'Bisyou_DRE'!$C$5-D$3*'Bisyou_DRE'!$C$6-D$3*'Bisyou_DRE'!$C$7-'Bisyou_DRE'!$C$8-$A9*D$3-INDEX('Bisyou_DRE'!$G$31:$G$37,COUNT('Bisyou_DRE'!$F$31:$F$37)-COUNTIF('Bisyou_DRE'!$F$31:$F$37,"&gt;"&amp;((D$3/(1-'Bisyou_DRE'!$C$10))/12))+1)*(D$3/(1-'Bisyou_DRE'!$C$10))</f>
        <v/>
      </c>
      <c r="E9" s="5">
        <f>E$3*'Bisyou_DRE'!$C$5-E$3*'Bisyou_DRE'!$C$6-E$3*'Bisyou_DRE'!$C$7-'Bisyou_DRE'!$C$8-$A9*E$3-INDEX('Bisyou_DRE'!$G$31:$G$37,COUNT('Bisyou_DRE'!$F$31:$F$37)-COUNTIF('Bisyou_DRE'!$F$31:$F$37,"&gt;"&amp;((E$3/(1-'Bisyou_DRE'!$C$10))/12))+1)*(E$3/(1-'Bisyou_DRE'!$C$10))</f>
        <v/>
      </c>
      <c r="F9" s="5">
        <f>F$3*'Bisyou_DRE'!$C$5-F$3*'Bisyou_DRE'!$C$6-F$3*'Bisyou_DRE'!$C$7-'Bisyou_DRE'!$C$8-$A9*F$3-INDEX('Bisyou_DRE'!$G$31:$G$37,COUNT('Bisyou_DRE'!$F$31:$F$37)-COUNTIF('Bisyou_DRE'!$F$31:$F$37,"&gt;"&amp;((F$3/(1-'Bisyou_DRE'!$C$10))/12))+1)*(F$3/(1-'Bisyou_DRE'!$C$10))</f>
        <v/>
      </c>
      <c r="G9" s="5">
        <f>G$3*'Bisyou_DRE'!$C$5-G$3*'Bisyou_DRE'!$C$6-G$3*'Bisyou_DRE'!$C$7-'Bisyou_DRE'!$C$8-$A9*G$3-INDEX('Bisyou_DRE'!$G$31:$G$37,COUNT('Bisyou_DRE'!$F$31:$F$37)-COUNTIF('Bisyou_DRE'!$F$31:$F$37,"&gt;"&amp;((G$3/(1-'Bisyou_DRE'!$C$10))/12))+1)*(G$3/(1-'Bisyou_DRE'!$C$10))</f>
        <v/>
      </c>
      <c r="H9" s="5">
        <f>H$3*'Bisyou_DRE'!$C$5-H$3*'Bisyou_DRE'!$C$6-H$3*'Bisyou_DRE'!$C$7-'Bisyou_DRE'!$C$8-$A9*H$3-INDEX('Bisyou_DRE'!$G$31:$G$37,COUNT('Bisyou_DRE'!$F$31:$F$37)-COUNTIF('Bisyou_DRE'!$F$31:$F$37,"&gt;"&amp;((H$3/(1-'Bisyou_DRE'!$C$10))/12))+1)*(H$3/(1-'Bisyou_DRE'!$C$10))</f>
        <v/>
      </c>
    </row>
    <row r="12">
      <c r="A12" s="1" t="inlineStr">
        <is>
          <t>Royalty ceiling (EBITDA=0)</t>
        </is>
      </c>
      <c r="B12" s="6">
        <f>'Bisyou_DRE'!$C$5-'Bisyou_DRE'!$C$6-'Bisyou_DRE'!$C$7-'Bisyou_DRE'!$C$8/B$3-INDEX('Bisyou_DRE'!$G$31:$G$37,COUNT('Bisyou_DRE'!$F$31:$F$37)-COUNTIF('Bisyou_DRE'!$F$31:$F$37,"&gt;"&amp;((B$3/(1-'Bisyou_DRE'!$C$10))/12))+1)*(B$3/(1-'Bisyou_DRE'!$C$10))/B$3</f>
        <v/>
      </c>
      <c r="C12" s="6">
        <f>'Bisyou_DRE'!$C$5-'Bisyou_DRE'!$C$6-'Bisyou_DRE'!$C$7-'Bisyou_DRE'!$C$8/C$3-INDEX('Bisyou_DRE'!$G$31:$G$37,COUNT('Bisyou_DRE'!$F$31:$F$37)-COUNTIF('Bisyou_DRE'!$F$31:$F$37,"&gt;"&amp;((C$3/(1-'Bisyou_DRE'!$C$10))/12))+1)*(C$3/(1-'Bisyou_DRE'!$C$10))/C$3</f>
        <v/>
      </c>
      <c r="D12" s="6">
        <f>'Bisyou_DRE'!$C$5-'Bisyou_DRE'!$C$6-'Bisyou_DRE'!$C$7-'Bisyou_DRE'!$C$8/D$3-INDEX('Bisyou_DRE'!$G$31:$G$37,COUNT('Bisyou_DRE'!$F$31:$F$37)-COUNTIF('Bisyou_DRE'!$F$31:$F$37,"&gt;"&amp;((D$3/(1-'Bisyou_DRE'!$C$10))/12))+1)*(D$3/(1-'Bisyou_DRE'!$C$10))/D$3</f>
        <v/>
      </c>
      <c r="E12" s="6">
        <f>'Bisyou_DRE'!$C$5-'Bisyou_DRE'!$C$6-'Bisyou_DRE'!$C$7-'Bisyou_DRE'!$C$8/E$3-INDEX('Bisyou_DRE'!$G$31:$G$37,COUNT('Bisyou_DRE'!$F$31:$F$37)-COUNTIF('Bisyou_DRE'!$F$31:$F$37,"&gt;"&amp;((E$3/(1-'Bisyou_DRE'!$C$10))/12))+1)*(E$3/(1-'Bisyou_DRE'!$C$10))/E$3</f>
        <v/>
      </c>
      <c r="F12" s="6">
        <f>'Bisyou_DRE'!$C$5-'Bisyou_DRE'!$C$6-'Bisyou_DRE'!$C$7-'Bisyou_DRE'!$C$8/F$3-INDEX('Bisyou_DRE'!$G$31:$G$37,COUNT('Bisyou_DRE'!$F$31:$F$37)-COUNTIF('Bisyou_DRE'!$F$31:$F$37,"&gt;"&amp;((F$3/(1-'Bisyou_DRE'!$C$10))/12))+1)*(F$3/(1-'Bisyou_DRE'!$C$10))/F$3</f>
        <v/>
      </c>
      <c r="G12" s="6">
        <f>'Bisyou_DRE'!$C$5-'Bisyou_DRE'!$C$6-'Bisyou_DRE'!$C$7-'Bisyou_DRE'!$C$8/G$3-INDEX('Bisyou_DRE'!$G$31:$G$37,COUNT('Bisyou_DRE'!$F$31:$F$37)-COUNTIF('Bisyou_DRE'!$F$31:$F$37,"&gt;"&amp;((G$3/(1-'Bisyou_DRE'!$C$10))/12))+1)*(G$3/(1-'Bisyou_DRE'!$C$10))/G$3</f>
        <v/>
      </c>
      <c r="H12" s="6">
        <f>'Bisyou_DRE'!$C$5-'Bisyou_DRE'!$C$6-'Bisyou_DRE'!$C$7-'Bisyou_DRE'!$C$8/H$3-INDEX('Bisyou_DRE'!$G$31:$G$37,COUNT('Bisyou_DRE'!$F$31:$F$37)-COUNTIF('Bisyou_DRE'!$F$31:$F$37,"&gt;"&amp;((H$3/(1-'Bisyou_DRE'!$C$10))/12))+1)*(H$3/(1-'Bisyou_DRE'!$C$10))/H$3</f>
        <v/>
      </c>
    </row>
    <row r="14">
      <c r="A14" t="inlineStr">
        <is>
          <t>Green=accretive, red=dilutive (applied by Excel on open). Change marketing/SG&amp;A on the Bisyou tab and the whole grid moves.</t>
        </is>
      </c>
    </row>
  </sheetData>
  <conditionalFormatting sqref="B4:H9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2026-06-15T21:30:14Z</dcterms:created>
  <dcterms:modified xmlns:dcterms="http://purl.org/dc/terms/" xmlns:xsi="http://www.w3.org/2001/XMLSchema-instance" xsi:type="dcterms:W3CDTF">2026-06-15T21:30:14Z</dcterms:modified>
</cp:coreProperties>
</file>
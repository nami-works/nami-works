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Histórico" sheetId="3" state="visible" r:id="rId3"/>
    <sheet xmlns:r="http://schemas.openxmlformats.org/officeDocument/2006/relationships" name="Estoqu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R$&quot;\ #,##0"/>
    <numFmt numFmtId="165" formatCode="mm/yyyy"/>
    <numFmt numFmtId="166" formatCode="&quot;R$&quot; #,##0"/>
    <numFmt numFmtId="167" formatCode="yyyy-mm-dd h:mm:ss"/>
    <numFmt numFmtId="168" formatCode="DD/MM/YYYY"/>
    <numFmt numFmtId="169" formatCode="MM/YYYY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8"/>
    </font>
    <font>
      <name val="Calibri"/>
      <color rgb="FF000000"/>
      <sz val="8"/>
    </font>
    <font>
      <name val="Calibri"/>
      <b val="1"/>
      <color rgb="FF595959"/>
      <sz val="8"/>
    </font>
    <font>
      <name val="Calibri"/>
      <b val="1"/>
      <color rgb="FF000000"/>
      <sz val="8"/>
    </font>
    <font>
      <name val="Calibri"/>
      <i val="1"/>
      <color rgb="FF9B9B9B"/>
      <sz val="8"/>
    </font>
    <font>
      <name val="Calibri"/>
      <color rgb="FF595959"/>
      <sz val="8"/>
    </font>
  </fonts>
  <fills count="9">
    <fill>
      <patternFill/>
    </fill>
    <fill>
      <patternFill patternType="gray125"/>
    </fill>
    <fill>
      <patternFill patternType="solid">
        <fgColor rgb="FFDF3630"/>
      </patternFill>
    </fill>
    <fill>
      <patternFill patternType="solid">
        <fgColor rgb="FFF4F3F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8EFF8"/>
      </patternFill>
    </fill>
    <fill>
      <patternFill patternType="solid">
        <fgColor rgb="FFF7F7F7"/>
      </patternFill>
    </fill>
    <fill>
      <patternFill patternType="solid">
        <fgColor rgb="FFE8E8E8"/>
      </patternFill>
    </fill>
  </fills>
  <borders count="6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/>
      <right/>
      <top/>
      <bottom style="medium">
        <color rgb="FFDF3630"/>
      </bottom>
      <diagonal/>
    </border>
    <border>
      <left/>
      <right/>
      <top/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bottom style="thin">
        <color rgb="FFD8D8D8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Continuous" vertical="center"/>
    </xf>
    <xf numFmtId="0" fontId="0" fillId="5" borderId="2" applyAlignment="1" pivotButton="0" quotePrefix="0" xfId="0">
      <alignment horizontal="centerContinuous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Continuous" vertical="center"/>
    </xf>
    <xf numFmtId="0" fontId="0" fillId="6" borderId="1" applyAlignment="1" pivotButton="0" quotePrefix="0" xfId="0">
      <alignment horizontal="centerContinuous" vertical="center"/>
    </xf>
    <xf numFmtId="3" fontId="4" fillId="6" borderId="1" applyAlignment="1" pivotButton="0" quotePrefix="0" xfId="0">
      <alignment horizontal="centerContinuous" vertical="center"/>
    </xf>
    <xf numFmtId="9" fontId="4" fillId="6" borderId="1" applyAlignment="1" pivotButton="0" quotePrefix="0" xfId="0">
      <alignment horizontal="centerContinuous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7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7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9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9" fontId="2" fillId="4" borderId="1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Continuous" vertical="center"/>
    </xf>
    <xf numFmtId="0" fontId="0" fillId="7" borderId="2" applyAlignment="1" pivotButton="0" quotePrefix="0" xfId="0">
      <alignment horizontal="centerContinuous" vertical="center"/>
    </xf>
    <xf numFmtId="14" fontId="2" fillId="5" borderId="2" applyAlignment="1" pivotButton="0" quotePrefix="0" xfId="0">
      <alignment horizontal="centerContinuous" vertical="center"/>
    </xf>
    <xf numFmtId="0" fontId="2" fillId="5" borderId="2" applyAlignment="1" pivotButton="0" quotePrefix="0" xfId="0">
      <alignment horizontal="centerContinuous" vertical="center"/>
    </xf>
    <xf numFmtId="0" fontId="6" fillId="0" borderId="0" pivotButton="0" quotePrefix="0" xfId="0"/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0" fontId="4" fillId="8" borderId="4" applyAlignment="1" pivotButton="0" quotePrefix="0" xfId="0">
      <alignment horizontal="left" vertical="center"/>
    </xf>
    <xf numFmtId="0" fontId="0" fillId="8" borderId="4" pivotButton="0" quotePrefix="0" xfId="0"/>
    <xf numFmtId="3" fontId="4" fillId="8" borderId="4" applyAlignment="1" pivotButton="0" quotePrefix="0" xfId="0">
      <alignment horizontal="right" vertical="center"/>
    </xf>
    <xf numFmtId="9" fontId="4" fillId="8" borderId="4" applyAlignment="1" pivotButton="0" quotePrefix="0" xfId="0">
      <alignment horizontal="right" vertical="center"/>
    </xf>
    <xf numFmtId="164" fontId="4" fillId="8" borderId="4" applyAlignment="1" pivotButton="0" quotePrefix="0" xfId="0">
      <alignment horizontal="right" vertical="center"/>
    </xf>
    <xf numFmtId="164" fontId="4" fillId="5" borderId="0" applyAlignment="1" pivotButton="0" quotePrefix="0" xfId="0">
      <alignment horizontal="left" vertical="center"/>
    </xf>
    <xf numFmtId="9" fontId="4" fillId="5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1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166" fontId="2" fillId="3" borderId="5" applyAlignment="1" pivotButton="0" quotePrefix="0" xfId="0">
      <alignment horizontal="right" vertical="center"/>
    </xf>
    <xf numFmtId="0" fontId="2" fillId="3" borderId="5" applyAlignment="1" pivotButton="0" quotePrefix="0" xfId="0">
      <alignment horizontal="right" vertical="center"/>
    </xf>
    <xf numFmtId="0" fontId="2" fillId="4" borderId="5" applyAlignment="1" pivotButton="0" quotePrefix="0" xfId="0">
      <alignment horizontal="left" vertical="center"/>
    </xf>
    <xf numFmtId="166" fontId="2" fillId="4" borderId="5" applyAlignment="1" pivotButton="0" quotePrefix="0" xfId="0">
      <alignment horizontal="right" vertical="center"/>
    </xf>
    <xf numFmtId="0" fontId="2" fillId="4" borderId="5" applyAlignment="1" pivotButton="0" quotePrefix="0" xfId="0">
      <alignment horizontal="right" vertical="center"/>
    </xf>
    <xf numFmtId="168" fontId="2" fillId="3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3" fontId="2" fillId="3" borderId="5" applyAlignment="1" pivotButton="0" quotePrefix="0" xfId="0">
      <alignment horizontal="right" vertical="center"/>
    </xf>
    <xf numFmtId="9" fontId="2" fillId="3" borderId="5" applyAlignment="1" pivotButton="0" quotePrefix="0" xfId="0">
      <alignment horizontal="right" vertical="center"/>
    </xf>
    <xf numFmtId="169" fontId="2" fillId="3" borderId="5" applyAlignment="1" pivotButton="0" quotePrefix="0" xfId="0">
      <alignment horizontal="center" vertical="center"/>
    </xf>
    <xf numFmtId="168" fontId="2" fillId="4" borderId="5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3" fontId="2" fillId="4" borderId="5" applyAlignment="1" pivotButton="0" quotePrefix="0" xfId="0">
      <alignment horizontal="right" vertical="center"/>
    </xf>
    <xf numFmtId="9" fontId="2" fillId="4" borderId="5" applyAlignment="1" pivotButton="0" quotePrefix="0" xfId="0">
      <alignment horizontal="right" vertical="center"/>
    </xf>
    <xf numFmtId="169" fontId="2" fillId="4" borderId="5" applyAlignment="1" pivotButton="0" quotePrefix="0" xfId="0">
      <alignment horizontal="center" vertical="center"/>
    </xf>
  </cellXfs>
  <cellStyles count="1">
    <cellStyle name="Normal" xfId="0" builtinId="0"/>
  </cellStyles>
  <dxfs count="6">
    <dxf>
      <font>
        <name val="Calibri"/>
        <b val="1"/>
        <color rgb="FF1E4FBE"/>
        <sz val="8"/>
      </font>
    </dxf>
    <dxf>
      <font>
        <name val="Calibri"/>
        <b val="1"/>
        <color rgb="FFB83010"/>
        <sz val="8"/>
      </font>
    </dxf>
    <dxf>
      <font>
        <name val="Calibri"/>
        <b val="1"/>
        <color rgb="FF1F7A3E"/>
        <sz val="8"/>
      </font>
    </dxf>
    <dxf>
      <font>
        <name val="Calibri"/>
        <b val="1"/>
        <color rgb="FF1F7A3E"/>
        <sz val="8"/>
      </font>
    </dxf>
    <dxf>
      <font>
        <name val="Calibri"/>
        <b val="1"/>
        <color rgb="FFB83010"/>
        <sz val="8"/>
      </font>
    </dxf>
    <dxf>
      <font>
        <name val="Calibri"/>
        <b val="1"/>
        <color rgb="FFB83010"/>
        <sz val="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1"/>
        <ser>
          <idx val="0"/>
          <order val="0"/>
          <tx>
            <strRef>
              <f>Dashboard!$D$13</f>
              <strCache>
                <ptCount val="1"/>
                <pt idx="0">
                  <v>Receita (R$)</v>
                </pt>
              </strCache>
            </strRef>
          </tx>
          <spPr>
            <a:solidFill xmlns:a="http://schemas.openxmlformats.org/drawingml/2006/main">
              <a:srgbClr val="DF363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Dashboard!$B$14:$B$25</f>
              <strCache>
                <ptCount val="12"/>
                <pt idx="0">
                  <v>jan/26</v>
                </pt>
                <pt idx="1">
                  <v>fev/26</v>
                </pt>
                <pt idx="2">
                  <v>mar/26</v>
                </pt>
                <pt idx="3">
                  <v>abr/26</v>
                </pt>
                <pt idx="4">
                  <v>mai/26</v>
                </pt>
                <pt idx="5">
                  <v>jun/26</v>
                </pt>
                <pt idx="6">
                  <v>jul/26</v>
                </pt>
                <pt idx="7">
                  <v>ago/26</v>
                </pt>
                <pt idx="8">
                  <v>set/26</v>
                </pt>
                <pt idx="9">
                  <v>out/26</v>
                </pt>
                <pt idx="10">
                  <v>nov/26</v>
                </pt>
                <pt idx="11">
                  <v>dez/26</v>
                </pt>
              </strCache>
            </strRef>
          </cat>
          <val>
            <numRef>
              <f>Dashboard!$D$14:$D$25</f>
              <numCache>
                <formatCode>"R$"\ #,##0</formatCode>
                <ptCount val="12"/>
                <pt idx="0">
                  <v>0</v>
                </pt>
                <pt idx="1">
                  <v>292230</v>
                </pt>
                <pt idx="2">
                  <v>347170</v>
                </pt>
                <pt idx="3">
                  <v>27435</v>
                </pt>
                <pt idx="4">
                  <v>247980</v>
                </pt>
                <pt idx="5">
                  <v>0</v>
                </pt>
                <pt idx="6">
                  <v>0</v>
                </pt>
                <pt idx="7">
                  <v>630000</v>
                </pt>
                <pt idx="8">
                  <v>0</v>
                </pt>
                <pt idx="9">
                  <v>371110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&quot;R$&quot;\ #,##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152400</colOff>
      <row>5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DF3630"/>
    <outlinePr summaryBelow="1" summaryRight="1"/>
    <pageSetUpPr/>
  </sheetPr>
  <dimension ref="B2:P64"/>
  <sheetViews>
    <sheetView showGridLines="0" tabSelected="1" workbookViewId="0">
      <pane xSplit="1" ySplit="4" topLeftCell="B14" activePane="bottomRight" state="frozen"/>
      <selection pane="topRight" activeCell="A1" sqref="A1"/>
      <selection pane="bottomLeft" activeCell="A1" sqref="A1"/>
      <selection pane="bottomRight" activeCell="K30" sqref="K30"/>
    </sheetView>
  </sheetViews>
  <sheetFormatPr baseColWidth="8" defaultRowHeight="10.5" customHeight="1"/>
  <cols>
    <col width="2.42578125" customWidth="1" min="1" max="1"/>
    <col width="8" customWidth="1" min="2" max="2"/>
    <col width="28" customWidth="1" min="3" max="3"/>
    <col width="10" customWidth="1" min="4" max="4"/>
    <col width="12" customWidth="1" min="5" max="5"/>
    <col width="10" customWidth="1" min="6" max="7"/>
    <col width="9" customWidth="1" min="8" max="9"/>
    <col width="14" customWidth="1" min="10" max="13"/>
    <col width="13" customWidth="1" min="14" max="15"/>
    <col width="24" customWidth="1" min="16" max="16"/>
  </cols>
  <sheetData>
    <row r="2" ht="18" customHeight="1">
      <c r="B2" s="1" t="inlineStr">
        <is>
          <t>GE Beauty — B2B Box · Dashboard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 ht="20.1" customHeight="1">
      <c r="B4" s="3" t="inlineStr">
        <is>
          <t>Lista de clientes:</t>
        </is>
      </c>
      <c r="D4" s="4" t="inlineStr">
        <is>
          <t>Todos</t>
        </is>
      </c>
      <c r="E4" s="5" t="n"/>
      <c r="F4" s="5" t="n"/>
      <c r="G4" s="5" t="n"/>
      <c r="I4" s="6" t="inlineStr">
        <is>
          <t>← selecione o cliente para filtrar todo o dashboard</t>
        </is>
      </c>
    </row>
    <row r="6" ht="15" customHeight="1">
      <c r="B6" s="7" t="inlineStr">
        <is>
          <t>RECEITA TOTAL (R$)</t>
        </is>
      </c>
    </row>
    <row r="7" ht="15" customHeight="1">
      <c r="B7" s="8">
        <f>IF($D$4="Todos",SUM(Histórico!$O$4:$O$503),SUMIF(Histórico!$B$4:$B$503,$D$4,Histórico!$O$4:$O$503))</f>
        <v/>
      </c>
      <c r="C7" s="9" t="n"/>
      <c r="D7" s="9" t="n"/>
      <c r="E7" s="9" t="n"/>
    </row>
    <row r="8" ht="15" customHeight="1">
      <c r="B8" s="7" t="inlineStr">
        <is>
          <t>Pedidos fechados</t>
        </is>
      </c>
      <c r="C8" s="10">
        <f>IFERROR(IF($D$4="Todos",SUMPRODUCT(IFERROR((Histórico!$F$4:$F$503&lt;&gt;"")/COUNTIFS(Histórico!$F$4:$F$503,Histórico!$F$4:$F$503),0)),SUMPRODUCT(IFERROR((Histórico!$F$4:$F$503&lt;&gt;"")/COUNTIFS(Histórico!$F$4:$F$503,Histórico!$F$4:$F$503,Histórico!$B$4:$B$503,$D$4),0))),0)</f>
        <v/>
      </c>
      <c r="E8" s="7" t="inlineStr">
        <is>
          <t>Margem gerada (R$)</t>
        </is>
      </c>
      <c r="F8" s="8">
        <f>SUMPRODUCT(IF($D$4="Todos",1,1*(Histórico!$B$4:$B$503=$D$4))*IF(ISNUMBER(Histórico!$M$4:$M$503),Histórico!$M$4:$M$503,0)*Histórico!$O$4:$O$503)</f>
        <v/>
      </c>
    </row>
    <row r="9" ht="15" customHeight="1">
      <c r="B9" s="7" t="inlineStr">
        <is>
          <t>SKUs distintos</t>
        </is>
      </c>
      <c r="C9" s="10">
        <f>IFERROR(IF($D$4="Todos",SUMPRODUCT(IFERROR((Histórico!$G$4:$G$503&lt;&gt;"")/COUNTIFS(Histórico!$G$4:$G$503,Histórico!$G$4:$G$503),0)),SUMPRODUCT(IFERROR((Histórico!$G$4:$G$503&lt;&gt;"")/COUNTIFS(Histórico!$G$4:$G$503,Histórico!$G$4:$G$503,Histórico!$B$4:$B$503,$D$4),0))),0)</f>
        <v/>
      </c>
      <c r="E9" s="7" t="inlineStr">
        <is>
          <t>Volume total (un.)</t>
        </is>
      </c>
      <c r="F9" s="10">
        <f>IF($D$4="Todos",SUM(Histórico!$I$4:$I$503),SUMIF(Histórico!$B$4:$B$503,$D$4,Histórico!$I$4:$I$503))</f>
        <v/>
      </c>
    </row>
    <row r="10" ht="15" customHeight="1">
      <c r="B10" s="7" t="inlineStr">
        <is>
          <t>Desc% médio pond.</t>
        </is>
      </c>
      <c r="C10" s="11">
        <f>IFERROR(IF($D$4="Todos",SUMPRODUCT(IF(ISNUMBER(Histórico!$L$4:$L$503),Histórico!$L$4:$L$503,0)*Histórico!$O$4:$O$503)/SUM(Histórico!$O$4:$O$503),SUMPRODUCT((Histórico!$B$4:$B$503=$D$4)*IF(ISNUMBER(Histórico!$L$4:$L$503),Histórico!$L$4:$L$503,0)*Histórico!$O$4:$O$503)/SUMIF(Histórico!$B$4:$B$503,$D$4,Histórico!$O$4:$O$503)),"")</f>
        <v/>
      </c>
    </row>
    <row r="13" ht="15" customHeight="1">
      <c r="B13" s="12" t="inlineStr">
        <is>
          <t>Mês</t>
        </is>
      </c>
      <c r="C13" s="12" t="inlineStr">
        <is>
          <t>Data</t>
        </is>
      </c>
      <c r="D13" s="12" t="inlineStr">
        <is>
          <t>Receita (R$)</t>
        </is>
      </c>
    </row>
    <row r="14" ht="15" customHeight="1">
      <c r="B14" s="13" t="inlineStr">
        <is>
          <t>jan/26</t>
        </is>
      </c>
      <c r="C14" s="14" t="n">
        <v>46023</v>
      </c>
      <c r="D14" s="15">
        <f>IF($D$4="Todos",SUMIF(Histórico!$N$4:$N$503,$C14,Histórico!$O$4:$O$503),SUMIFS(Histórico!$O$4:$O$503,Histórico!$N$4:$N$503,$C14,Histórico!$B$4:$B$503,$D$4))</f>
        <v/>
      </c>
    </row>
    <row r="15" ht="15" customHeight="1">
      <c r="B15" s="16" t="inlineStr">
        <is>
          <t>fev/26</t>
        </is>
      </c>
      <c r="C15" s="17" t="n">
        <v>46054</v>
      </c>
      <c r="D15" s="18">
        <f>IF($D$4="Todos",SUMIF(Histórico!$N$4:$N$503,$C15,Histórico!$O$4:$O$503),SUMIFS(Histórico!$O$4:$O$503,Histórico!$N$4:$N$503,$C15,Histórico!$B$4:$B$503,$D$4))</f>
        <v/>
      </c>
    </row>
    <row r="16" ht="15" customHeight="1">
      <c r="B16" s="13" t="inlineStr">
        <is>
          <t>mar/26</t>
        </is>
      </c>
      <c r="C16" s="14" t="n">
        <v>46082</v>
      </c>
      <c r="D16" s="15">
        <f>IF($D$4="Todos",SUMIF(Histórico!$N$4:$N$503,$C16,Histórico!$O$4:$O$503),SUMIFS(Histórico!$O$4:$O$503,Histórico!$N$4:$N$503,$C16,Histórico!$B$4:$B$503,$D$4))</f>
        <v/>
      </c>
    </row>
    <row r="17" ht="15" customHeight="1">
      <c r="B17" s="16" t="inlineStr">
        <is>
          <t>abr/26</t>
        </is>
      </c>
      <c r="C17" s="17" t="n">
        <v>46113</v>
      </c>
      <c r="D17" s="18">
        <f>IF($D$4="Todos",SUMIF(Histórico!$N$4:$N$503,$C17,Histórico!$O$4:$O$503),SUMIFS(Histórico!$O$4:$O$503,Histórico!$N$4:$N$503,$C17,Histórico!$B$4:$B$503,$D$4))</f>
        <v/>
      </c>
    </row>
    <row r="18" ht="15" customHeight="1">
      <c r="B18" s="13" t="inlineStr">
        <is>
          <t>mai/26</t>
        </is>
      </c>
      <c r="C18" s="14" t="n">
        <v>46143</v>
      </c>
      <c r="D18" s="15">
        <f>IF($D$4="Todos",SUMIF(Histórico!$N$4:$N$503,$C18,Histórico!$O$4:$O$503),SUMIFS(Histórico!$O$4:$O$503,Histórico!$N$4:$N$503,$C18,Histórico!$B$4:$B$503,$D$4))</f>
        <v/>
      </c>
    </row>
    <row r="19" ht="15" customHeight="1">
      <c r="B19" s="16" t="inlineStr">
        <is>
          <t>jun/26</t>
        </is>
      </c>
      <c r="C19" s="17" t="n">
        <v>46174</v>
      </c>
      <c r="D19" s="18">
        <f>IF($D$4="Todos",SUMIF(Histórico!$N$4:$N$503,$C19,Histórico!$O$4:$O$503),SUMIFS(Histórico!$O$4:$O$503,Histórico!$N$4:$N$503,$C19,Histórico!$B$4:$B$503,$D$4))</f>
        <v/>
      </c>
    </row>
    <row r="20" ht="15" customHeight="1">
      <c r="B20" s="13" t="inlineStr">
        <is>
          <t>jul/26</t>
        </is>
      </c>
      <c r="C20" s="14" t="n">
        <v>46204</v>
      </c>
      <c r="D20" s="15">
        <f>IF($D$4="Todos",SUMIF(Histórico!$N$4:$N$503,$C20,Histórico!$O$4:$O$503),SUMIFS(Histórico!$O$4:$O$503,Histórico!$N$4:$N$503,$C20,Histórico!$B$4:$B$503,$D$4))</f>
        <v/>
      </c>
    </row>
    <row r="21" ht="15" customHeight="1">
      <c r="B21" s="16" t="inlineStr">
        <is>
          <t>ago/26</t>
        </is>
      </c>
      <c r="C21" s="17" t="n">
        <v>46235</v>
      </c>
      <c r="D21" s="18">
        <f>IF($D$4="Todos",SUMIF(Histórico!$N$4:$N$503,$C21,Histórico!$O$4:$O$503),SUMIFS(Histórico!$O$4:$O$503,Histórico!$N$4:$N$503,$C21,Histórico!$B$4:$B$503,$D$4))</f>
        <v/>
      </c>
    </row>
    <row r="22" ht="15" customHeight="1">
      <c r="B22" s="13" t="inlineStr">
        <is>
          <t>set/26</t>
        </is>
      </c>
      <c r="C22" s="14" t="n">
        <v>46266</v>
      </c>
      <c r="D22" s="15">
        <f>IF($D$4="Todos",SUMIF(Histórico!$N$4:$N$503,$C22,Histórico!$O$4:$O$503),SUMIFS(Histórico!$O$4:$O$503,Histórico!$N$4:$N$503,$C22,Histórico!$B$4:$B$503,$D$4))</f>
        <v/>
      </c>
    </row>
    <row r="23" ht="15" customHeight="1">
      <c r="B23" s="16" t="inlineStr">
        <is>
          <t>out/26</t>
        </is>
      </c>
      <c r="C23" s="17" t="n">
        <v>46296</v>
      </c>
      <c r="D23" s="18">
        <f>IF($D$4="Todos",SUMIF(Histórico!$N$4:$N$503,$C23,Histórico!$O$4:$O$503),SUMIFS(Histórico!$O$4:$O$503,Histórico!$N$4:$N$503,$C23,Histórico!$B$4:$B$503,$D$4))</f>
        <v/>
      </c>
    </row>
    <row r="24" ht="15" customHeight="1">
      <c r="B24" s="13" t="inlineStr">
        <is>
          <t>nov/26</t>
        </is>
      </c>
      <c r="C24" s="14" t="n">
        <v>46327</v>
      </c>
      <c r="D24" s="15">
        <f>IF($D$4="Todos",SUMIF(Histórico!$N$4:$N$503,$C24,Histórico!$O$4:$O$503),SUMIFS(Histórico!$O$4:$O$503,Histórico!$N$4:$N$503,$C24,Histórico!$B$4:$B$503,$D$4))</f>
        <v/>
      </c>
    </row>
    <row r="25" ht="15" customHeight="1">
      <c r="B25" s="16" t="inlineStr">
        <is>
          <t>dez/26</t>
        </is>
      </c>
      <c r="C25" s="17" t="n">
        <v>46357</v>
      </c>
      <c r="D25" s="18">
        <f>IF($D$4="Todos",SUMIF(Histórico!$N$4:$N$503,$C25,Histórico!$O$4:$O$503),SUMIFS(Histórico!$O$4:$O$503,Histórico!$N$4:$N$503,$C25,Histórico!$B$4:$B$503,$D$4))</f>
        <v/>
      </c>
    </row>
    <row r="29" ht="18" customHeight="1">
      <c r="B29" s="1" t="inlineStr">
        <is>
          <t>LEDGER — HISTÓRICO</t>
        </is>
      </c>
      <c r="C29" s="2" t="n"/>
      <c r="D29" s="2" t="n"/>
      <c r="E29" s="2" t="n"/>
      <c r="F29" s="2" t="n"/>
      <c r="G29" s="2" t="n"/>
      <c r="H29" s="2" t="n"/>
      <c r="I29" s="2" t="n"/>
    </row>
    <row r="30" ht="26.1" customHeight="1">
      <c r="B30" s="19" t="inlineStr">
        <is>
          <t>SKU</t>
        </is>
      </c>
      <c r="C30" s="19" t="inlineStr">
        <is>
          <t>Produto</t>
        </is>
      </c>
      <c r="D30" s="19" t="inlineStr">
        <is>
          <t>Qtd (geral)</t>
        </is>
      </c>
      <c r="E30" s="19" t="inlineStr">
        <is>
          <t>Min% (geral)</t>
        </is>
      </c>
      <c r="F30" s="19" t="inlineStr">
        <is>
          <t>Max% (geral)</t>
        </is>
      </c>
      <c r="G30" s="19" t="inlineStr">
        <is>
          <t>Qtd (cliente)</t>
        </is>
      </c>
      <c r="H30" s="19" t="inlineStr">
        <is>
          <t>Min% (cliente)</t>
        </is>
      </c>
      <c r="I30" s="19" t="inlineStr">
        <is>
          <t>Max% (cliente)</t>
        </is>
      </c>
    </row>
    <row r="31" ht="15" customHeight="1">
      <c r="B31" s="20" t="inlineStr">
        <is>
          <t>GEB 008</t>
        </is>
      </c>
      <c r="C31" s="20">
        <f>IFERROR(INDEX(COGS!$C$4:$C$20,MATCH($B31,COGS!$B$4:$B$20,0)),"?")</f>
        <v/>
      </c>
      <c r="D31" s="21">
        <f>COUNTIFS(Histórico!$G$4:$G$503,$B31)</f>
        <v/>
      </c>
      <c r="E31" s="22">
        <f>IFERROR(IF(D31=0,"—",_xludf.MINIFS(Histórico!$L$4:$L$503,Histórico!$G$4:$G$503,$B31)),"—")</f>
        <v/>
      </c>
      <c r="F31" s="22">
        <f>IFERROR(IF(D31=0,"—",_xludf.MAXIFS(Histórico!$L$4:$L$503,Histórico!$G$4:$G$503,$B31)),"—")</f>
        <v/>
      </c>
      <c r="G31" s="21">
        <f>COUNTIFS(Histórico!$G$4:$G$503,$B31,Histórico!$B$4:$B$503,$D$4)</f>
        <v/>
      </c>
      <c r="H31" s="22">
        <f>IFERROR(IF(G31=0,"—",_xludf.MINIFS(Histórico!$L$4:$L$503,Histórico!$G$4:$G$503,$B31,Histórico!$B$4:$B$503,$D$4)),"—")</f>
        <v/>
      </c>
      <c r="I31" s="22">
        <f>IFERROR(IF(G31=0,"—",_xludf.MAXIFS(Histórico!$L$4:$L$503,Histórico!$G$4:$G$503,$B31,Histórico!$B$4:$B$503,$D$4)),"—")</f>
        <v/>
      </c>
    </row>
    <row r="32" ht="15" customHeight="1">
      <c r="B32" s="23" t="inlineStr">
        <is>
          <t>GEB 019</t>
        </is>
      </c>
      <c r="C32" s="23">
        <f>IFERROR(INDEX(COGS!$C$4:$C$20,MATCH($B32,COGS!$B$4:$B$20,0)),"?")</f>
        <v/>
      </c>
      <c r="D32" s="24">
        <f>COUNTIFS(Histórico!$G$4:$G$503,$B32)</f>
        <v/>
      </c>
      <c r="E32" s="25">
        <f>IFERROR(IF(D32=0,"—",_xludf.MINIFS(Histórico!$L$4:$L$503,Histórico!$G$4:$G$503,$B32)),"—")</f>
        <v/>
      </c>
      <c r="F32" s="25">
        <f>IFERROR(IF(D32=0,"—",_xludf.MAXIFS(Histórico!$L$4:$L$503,Histórico!$G$4:$G$503,$B32)),"—")</f>
        <v/>
      </c>
      <c r="G32" s="24">
        <f>COUNTIFS(Histórico!$G$4:$G$503,$B32,Histórico!$B$4:$B$503,$D$4)</f>
        <v/>
      </c>
      <c r="H32" s="25">
        <f>IFERROR(IF(G32=0,"—",_xludf.MINIFS(Histórico!$L$4:$L$503,Histórico!$G$4:$G$503,$B32,Histórico!$B$4:$B$503,$D$4)),"—")</f>
        <v/>
      </c>
      <c r="I32" s="25">
        <f>IFERROR(IF(G32=0,"—",_xludf.MAXIFS(Histórico!$L$4:$L$503,Histórico!$G$4:$G$503,$B32,Histórico!$B$4:$B$503,$D$4)),"—")</f>
        <v/>
      </c>
    </row>
    <row r="33" ht="15" customHeight="1">
      <c r="B33" s="20" t="inlineStr">
        <is>
          <t>GEB 023</t>
        </is>
      </c>
      <c r="C33" s="20">
        <f>IFERROR(INDEX(COGS!$C$4:$C$20,MATCH($B33,COGS!$B$4:$B$20,0)),"?")</f>
        <v/>
      </c>
      <c r="D33" s="21">
        <f>COUNTIFS(Histórico!$G$4:$G$503,$B33)</f>
        <v/>
      </c>
      <c r="E33" s="22">
        <f>IFERROR(IF(D33=0,"—",_xludf.MINIFS(Histórico!$L$4:$L$503,Histórico!$G$4:$G$503,$B33)),"—")</f>
        <v/>
      </c>
      <c r="F33" s="22">
        <f>IFERROR(IF(D33=0,"—",_xludf.MAXIFS(Histórico!$L$4:$L$503,Histórico!$G$4:$G$503,$B33)),"—")</f>
        <v/>
      </c>
      <c r="G33" s="21">
        <f>COUNTIFS(Histórico!$G$4:$G$503,$B33,Histórico!$B$4:$B$503,$D$4)</f>
        <v/>
      </c>
      <c r="H33" s="22">
        <f>IFERROR(IF(G33=0,"—",_xludf.MINIFS(Histórico!$L$4:$L$503,Histórico!$G$4:$G$503,$B33,Histórico!$B$4:$B$503,$D$4)),"—")</f>
        <v/>
      </c>
      <c r="I33" s="22">
        <f>IFERROR(IF(G33=0,"—",_xludf.MAXIFS(Histórico!$L$4:$L$503,Histórico!$G$4:$G$503,$B33,Histórico!$B$4:$B$503,$D$4)),"—")</f>
        <v/>
      </c>
    </row>
    <row r="34" ht="15" customHeight="1">
      <c r="B34" s="23" t="inlineStr">
        <is>
          <t>GEB 020</t>
        </is>
      </c>
      <c r="C34" s="23">
        <f>IFERROR(INDEX(COGS!$C$4:$C$20,MATCH($B34,COGS!$B$4:$B$20,0)),"?")</f>
        <v/>
      </c>
      <c r="D34" s="24">
        <f>COUNTIFS(Histórico!$G$4:$G$503,$B34)</f>
        <v/>
      </c>
      <c r="E34" s="25">
        <f>IFERROR(IF(D34=0,"—",_xludf.MINIFS(Histórico!$L$4:$L$503,Histórico!$G$4:$G$503,$B34)),"—")</f>
        <v/>
      </c>
      <c r="F34" s="25">
        <f>IFERROR(IF(D34=0,"—",_xludf.MAXIFS(Histórico!$L$4:$L$503,Histórico!$G$4:$G$503,$B34)),"—")</f>
        <v/>
      </c>
      <c r="G34" s="24">
        <f>COUNTIFS(Histórico!$G$4:$G$503,$B34,Histórico!$B$4:$B$503,$D$4)</f>
        <v/>
      </c>
      <c r="H34" s="25">
        <f>IFERROR(IF(G34=0,"—",_xludf.MINIFS(Histórico!$L$4:$L$503,Histórico!$G$4:$G$503,$B34,Histórico!$B$4:$B$503,$D$4)),"—")</f>
        <v/>
      </c>
      <c r="I34" s="25">
        <f>IFERROR(IF(G34=0,"—",_xludf.MAXIFS(Histórico!$L$4:$L$503,Histórico!$G$4:$G$503,$B34,Histórico!$B$4:$B$503,$D$4)),"—")</f>
        <v/>
      </c>
    </row>
    <row r="35" ht="15" customHeight="1">
      <c r="B35" s="20" t="inlineStr">
        <is>
          <t>GEB 003</t>
        </is>
      </c>
      <c r="C35" s="20">
        <f>IFERROR(INDEX(COGS!$C$4:$C$20,MATCH($B35,COGS!$B$4:$B$20,0)),"?")</f>
        <v/>
      </c>
      <c r="D35" s="21">
        <f>COUNTIFS(Histórico!$G$4:$G$503,$B35)</f>
        <v/>
      </c>
      <c r="E35" s="22">
        <f>IFERROR(IF(D35=0,"—",_xludf.MINIFS(Histórico!$L$4:$L$503,Histórico!$G$4:$G$503,$B35)),"—")</f>
        <v/>
      </c>
      <c r="F35" s="22">
        <f>IFERROR(IF(D35=0,"—",_xludf.MAXIFS(Histórico!$L$4:$L$503,Histórico!$G$4:$G$503,$B35)),"—")</f>
        <v/>
      </c>
      <c r="G35" s="21">
        <f>COUNTIFS(Histórico!$G$4:$G$503,$B35,Histórico!$B$4:$B$503,$D$4)</f>
        <v/>
      </c>
      <c r="H35" s="22">
        <f>IFERROR(IF(G35=0,"—",_xludf.MINIFS(Histórico!$L$4:$L$503,Histórico!$G$4:$G$503,$B35,Histórico!$B$4:$B$503,$D$4)),"—")</f>
        <v/>
      </c>
      <c r="I35" s="22">
        <f>IFERROR(IF(G35=0,"—",_xludf.MAXIFS(Histórico!$L$4:$L$503,Histórico!$G$4:$G$503,$B35,Histórico!$B$4:$B$503,$D$4)),"—")</f>
        <v/>
      </c>
    </row>
    <row r="36" ht="15" customHeight="1">
      <c r="B36" s="23" t="inlineStr">
        <is>
          <t>GEB 002</t>
        </is>
      </c>
      <c r="C36" s="23">
        <f>IFERROR(INDEX(COGS!$C$4:$C$20,MATCH($B36,COGS!$B$4:$B$20,0)),"?")</f>
        <v/>
      </c>
      <c r="D36" s="24">
        <f>COUNTIFS(Histórico!$G$4:$G$503,$B36)</f>
        <v/>
      </c>
      <c r="E36" s="25">
        <f>IFERROR(IF(D36=0,"—",_xludf.MINIFS(Histórico!$L$4:$L$503,Histórico!$G$4:$G$503,$B36)),"—")</f>
        <v/>
      </c>
      <c r="F36" s="25">
        <f>IFERROR(IF(D36=0,"—",_xludf.MAXIFS(Histórico!$L$4:$L$503,Histórico!$G$4:$G$503,$B36)),"—")</f>
        <v/>
      </c>
      <c r="G36" s="24">
        <f>COUNTIFS(Histórico!$G$4:$G$503,$B36,Histórico!$B$4:$B$503,$D$4)</f>
        <v/>
      </c>
      <c r="H36" s="25">
        <f>IFERROR(IF(G36=0,"—",_xludf.MINIFS(Histórico!$L$4:$L$503,Histórico!$G$4:$G$503,$B36,Histórico!$B$4:$B$503,$D$4)),"—")</f>
        <v/>
      </c>
      <c r="I36" s="25">
        <f>IFERROR(IF(G36=0,"—",_xludf.MAXIFS(Histórico!$L$4:$L$503,Histórico!$G$4:$G$503,$B36,Histórico!$B$4:$B$503,$D$4)),"—")</f>
        <v/>
      </c>
    </row>
    <row r="37" ht="15" customHeight="1">
      <c r="B37" s="20" t="inlineStr">
        <is>
          <t>GEB 013</t>
        </is>
      </c>
      <c r="C37" s="20">
        <f>IFERROR(INDEX(COGS!$C$4:$C$20,MATCH($B37,COGS!$B$4:$B$20,0)),"?")</f>
        <v/>
      </c>
      <c r="D37" s="21">
        <f>COUNTIFS(Histórico!$G$4:$G$503,$B37)</f>
        <v/>
      </c>
      <c r="E37" s="22">
        <f>IFERROR(IF(D37=0,"—",_xludf.MINIFS(Histórico!$L$4:$L$503,Histórico!$G$4:$G$503,$B37)),"—")</f>
        <v/>
      </c>
      <c r="F37" s="22">
        <f>IFERROR(IF(D37=0,"—",_xludf.MAXIFS(Histórico!$L$4:$L$503,Histórico!$G$4:$G$503,$B37)),"—")</f>
        <v/>
      </c>
      <c r="G37" s="21">
        <f>COUNTIFS(Histórico!$G$4:$G$503,$B37,Histórico!$B$4:$B$503,$D$4)</f>
        <v/>
      </c>
      <c r="H37" s="22">
        <f>IFERROR(IF(G37=0,"—",_xludf.MINIFS(Histórico!$L$4:$L$503,Histórico!$G$4:$G$503,$B37,Histórico!$B$4:$B$503,$D$4)),"—")</f>
        <v/>
      </c>
      <c r="I37" s="22">
        <f>IFERROR(IF(G37=0,"—",_xludf.MAXIFS(Histórico!$L$4:$L$503,Histórico!$G$4:$G$503,$B37,Histórico!$B$4:$B$503,$D$4)),"—")</f>
        <v/>
      </c>
    </row>
    <row r="38" ht="15" customHeight="1">
      <c r="B38" s="23" t="inlineStr">
        <is>
          <t>GEB 010</t>
        </is>
      </c>
      <c r="C38" s="23">
        <f>IFERROR(INDEX(COGS!$C$4:$C$20,MATCH($B38,COGS!$B$4:$B$20,0)),"?")</f>
        <v/>
      </c>
      <c r="D38" s="24">
        <f>COUNTIFS(Histórico!$G$4:$G$503,$B38)</f>
        <v/>
      </c>
      <c r="E38" s="25">
        <f>IFERROR(IF(D38=0,"—",_xludf.MINIFS(Histórico!$L$4:$L$503,Histórico!$G$4:$G$503,$B38)),"—")</f>
        <v/>
      </c>
      <c r="F38" s="25">
        <f>IFERROR(IF(D38=0,"—",_xludf.MAXIFS(Histórico!$L$4:$L$503,Histórico!$G$4:$G$503,$B38)),"—")</f>
        <v/>
      </c>
      <c r="G38" s="24">
        <f>COUNTIFS(Histórico!$G$4:$G$503,$B38,Histórico!$B$4:$B$503,$D$4)</f>
        <v/>
      </c>
      <c r="H38" s="25">
        <f>IFERROR(IF(G38=0,"—",_xludf.MINIFS(Histórico!$L$4:$L$503,Histórico!$G$4:$G$503,$B38,Histórico!$B$4:$B$503,$D$4)),"—")</f>
        <v/>
      </c>
      <c r="I38" s="25">
        <f>IFERROR(IF(G38=0,"—",_xludf.MAXIFS(Histórico!$L$4:$L$503,Histórico!$G$4:$G$503,$B38,Histórico!$B$4:$B$503,$D$4)),"—")</f>
        <v/>
      </c>
    </row>
    <row r="39" ht="15" customHeight="1">
      <c r="B39" s="20" t="inlineStr">
        <is>
          <t>GEB 021</t>
        </is>
      </c>
      <c r="C39" s="20">
        <f>IFERROR(INDEX(COGS!$C$4:$C$20,MATCH($B39,COGS!$B$4:$B$20,0)),"?")</f>
        <v/>
      </c>
      <c r="D39" s="21">
        <f>COUNTIFS(Histórico!$G$4:$G$503,$B39)</f>
        <v/>
      </c>
      <c r="E39" s="22">
        <f>IFERROR(IF(D39=0,"—",_xludf.MINIFS(Histórico!$L$4:$L$503,Histórico!$G$4:$G$503,$B39)),"—")</f>
        <v/>
      </c>
      <c r="F39" s="22">
        <f>IFERROR(IF(D39=0,"—",_xludf.MAXIFS(Histórico!$L$4:$L$503,Histórico!$G$4:$G$503,$B39)),"—")</f>
        <v/>
      </c>
      <c r="G39" s="21">
        <f>COUNTIFS(Histórico!$G$4:$G$503,$B39,Histórico!$B$4:$B$503,$D$4)</f>
        <v/>
      </c>
      <c r="H39" s="22">
        <f>IFERROR(IF(G39=0,"—",_xludf.MINIFS(Histórico!$L$4:$L$503,Histórico!$G$4:$G$503,$B39,Histórico!$B$4:$B$503,$D$4)),"—")</f>
        <v/>
      </c>
      <c r="I39" s="22">
        <f>IFERROR(IF(G39=0,"—",_xludf.MAXIFS(Histórico!$L$4:$L$503,Histórico!$G$4:$G$503,$B39,Histórico!$B$4:$B$503,$D$4)),"—")</f>
        <v/>
      </c>
    </row>
    <row r="40" ht="15" customHeight="1">
      <c r="B40" s="23" t="inlineStr">
        <is>
          <t>GEB 022</t>
        </is>
      </c>
      <c r="C40" s="23">
        <f>IFERROR(INDEX(COGS!$C$4:$C$20,MATCH($B40,COGS!$B$4:$B$20,0)),"?")</f>
        <v/>
      </c>
      <c r="D40" s="24">
        <f>COUNTIFS(Histórico!$G$4:$G$503,$B40)</f>
        <v/>
      </c>
      <c r="E40" s="25">
        <f>IFERROR(IF(D40=0,"—",_xludf.MINIFS(Histórico!$L$4:$L$503,Histórico!$G$4:$G$503,$B40)),"—")</f>
        <v/>
      </c>
      <c r="F40" s="25">
        <f>IFERROR(IF(D40=0,"—",_xludf.MAXIFS(Histórico!$L$4:$L$503,Histórico!$G$4:$G$503,$B40)),"—")</f>
        <v/>
      </c>
      <c r="G40" s="24">
        <f>COUNTIFS(Histórico!$G$4:$G$503,$B40,Histórico!$B$4:$B$503,$D$4)</f>
        <v/>
      </c>
      <c r="H40" s="25">
        <f>IFERROR(IF(G40=0,"—",_xludf.MINIFS(Histórico!$L$4:$L$503,Histórico!$G$4:$G$503,$B40,Histórico!$B$4:$B$503,$D$4)),"—")</f>
        <v/>
      </c>
      <c r="I40" s="25">
        <f>IFERROR(IF(G40=0,"—",_xludf.MAXIFS(Histórico!$L$4:$L$503,Histórico!$G$4:$G$503,$B40,Histórico!$B$4:$B$503,$D$4)),"—")</f>
        <v/>
      </c>
    </row>
    <row r="43" ht="18" customHeight="1">
      <c r="B43" s="1" t="inlineStr">
        <is>
          <t>PROPOSTA EM CONSTRUÇÃO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 ht="18" customHeight="1">
      <c r="B44" s="3" t="inlineStr">
        <is>
          <t>Operador:</t>
        </is>
      </c>
      <c r="C44" s="26">
        <f>$D$4</f>
        <v/>
      </c>
      <c r="D44" s="27" t="n"/>
      <c r="E44" s="27" t="n"/>
      <c r="F44" s="3" t="inlineStr">
        <is>
          <t>Data proposta:</t>
        </is>
      </c>
      <c r="G44" s="28" t="n"/>
      <c r="H44" s="5" t="n"/>
      <c r="I44" s="3" t="inlineStr">
        <is>
          <t>Prazo:</t>
        </is>
      </c>
      <c r="J44" s="29" t="n"/>
      <c r="K44" s="30" t="inlineStr">
        <is>
          <t>dias</t>
        </is>
      </c>
    </row>
    <row r="46" ht="27.95" customHeight="1">
      <c r="B46" s="19" t="inlineStr">
        <is>
          <t>SKU</t>
        </is>
      </c>
      <c r="C46" s="19" t="inlineStr">
        <is>
          <t>Produto</t>
        </is>
      </c>
      <c r="D46" s="19" t="inlineStr">
        <is>
          <t>Volume</t>
        </is>
      </c>
      <c r="E46" s="19" t="inlineStr">
        <is>
          <t>Preço unit.</t>
        </is>
      </c>
      <c r="F46" s="19" t="inlineStr">
        <is>
          <t>COGS ES</t>
        </is>
      </c>
      <c r="G46" s="19" t="inlineStr">
        <is>
          <t>Retail</t>
        </is>
      </c>
      <c r="H46" s="19" t="inlineStr">
        <is>
          <t>Desc%</t>
        </is>
      </c>
      <c r="I46" s="19" t="inlineStr">
        <is>
          <t>GM%</t>
        </is>
      </c>
      <c r="J46" s="19" t="inlineStr">
        <is>
          <t>Receita</t>
        </is>
      </c>
      <c r="K46" s="19" t="inlineStr">
        <is>
          <t>Margem</t>
        </is>
      </c>
      <c r="L46" s="19" t="inlineStr">
        <is>
          <t>Hist. min%
(cliente)</t>
        </is>
      </c>
      <c r="M46" s="19" t="inlineStr">
        <is>
          <t>Hist. max%
(cliente)</t>
        </is>
      </c>
      <c r="N46" s="19" t="inlineStr">
        <is>
          <t>Hist. min%
(geral)</t>
        </is>
      </c>
      <c r="O46" s="19" t="inlineStr">
        <is>
          <t>Hist. max%
(geral)</t>
        </is>
      </c>
      <c r="P46" s="19" t="inlineStr">
        <is>
          <t>Flag</t>
        </is>
      </c>
    </row>
    <row r="47" ht="15" customHeight="1">
      <c r="B47" s="31" t="n"/>
      <c r="C47" s="23">
        <f>IFERROR(INDEX(COGS!$C$4:$C$20,MATCH($B47,COGS!$B$4:$B$20,0)),"")</f>
        <v/>
      </c>
      <c r="D47" s="32" t="n"/>
      <c r="E47" s="33" t="n"/>
      <c r="F47" s="18">
        <f>IFERROR(INDEX(COGS!$D$4:$D$20,MATCH($B47,COGS!$B$4:$B$20,0)),"")</f>
        <v/>
      </c>
      <c r="G47" s="18">
        <f>IFERROR(INDEX(COGS!$F$4:$F$20,MATCH($B47,COGS!$B$4:$B$20,0)),"")</f>
        <v/>
      </c>
      <c r="H47" s="25">
        <f>IF(OR($B47="",$E47="",$G47=""),"",(G47-E47)/G47)</f>
        <v/>
      </c>
      <c r="I47" s="25">
        <f>IF(OR($B47="",$E47="",$F47=""),"",(E47-F47)/E47)</f>
        <v/>
      </c>
      <c r="J47" s="18">
        <f>IF(OR($B47="",$D47="",$E47=""),"",D47*E47)</f>
        <v/>
      </c>
      <c r="K47" s="18">
        <f>IF(OR($B47="",$D47="",$E47="",$F47=""),"",D47*(E47-F47))</f>
        <v/>
      </c>
      <c r="L47" s="25">
        <f>IFERROR(IF(COUNTIFS(Histórico!$G$4:$G$503,$B47,Histórico!$B$4:$B$503,$D$4)=0,"—",_xludf.MINIFS(Histórico!$L$4:$L$503,Histórico!$G$4:$G$503,$B47,Histórico!$B$4:$B$503,$D$4)),"—")</f>
        <v/>
      </c>
      <c r="M47" s="25">
        <f>IFERROR(IF(COUNTIFS(Histórico!$G$4:$G$503,$B47,Histórico!$B$4:$B$503,$D$4)=0,"—",_xludf.MAXIFS(Histórico!$L$4:$L$503,Histórico!$G$4:$G$503,$B47,Histórico!$B$4:$B$503,$D$4)),"—")</f>
        <v/>
      </c>
      <c r="N47" s="25">
        <f>IFERROR(IF(COUNTIFS(Histórico!$G$4:$G$503,$B47)=0,"—",_xludf.MINIFS(Histórico!$L$4:$L$503,Histórico!$G$4:$G$503,$B47)),"—")</f>
        <v/>
      </c>
      <c r="O47" s="25">
        <f>IFERROR(IF(COUNTIFS(Histórico!$G$4:$G$503,$B47)=0,"—",_xludf.MAXIFS(Histórico!$L$4:$L$503,Histórico!$G$4:$G$503,$B47)),"—")</f>
        <v/>
      </c>
      <c r="P47" s="23">
        <f>IF($B47="","",IF($H47="","",IF($L47="—","novo para cliente",IF($H47&lt;$L47,"+ melhor que o histórico",IF($H47&gt;$M47,"! acima do max histórico","~ no range histórico")))))</f>
        <v/>
      </c>
    </row>
    <row r="48" ht="15" customHeight="1">
      <c r="B48" s="31" t="n"/>
      <c r="C48" s="20">
        <f>IFERROR(INDEX(COGS!$C$4:$C$20,MATCH($B48,COGS!$B$4:$B$20,0)),"")</f>
        <v/>
      </c>
      <c r="D48" s="32" t="n"/>
      <c r="E48" s="33" t="n"/>
      <c r="F48" s="15">
        <f>IFERROR(INDEX(COGS!$D$4:$D$20,MATCH($B48,COGS!$B$4:$B$20,0)),"")</f>
        <v/>
      </c>
      <c r="G48" s="15">
        <f>IFERROR(INDEX(COGS!$F$4:$F$20,MATCH($B48,COGS!$B$4:$B$20,0)),"")</f>
        <v/>
      </c>
      <c r="H48" s="22">
        <f>IF(OR($B48="",$E48="",$G48=""),"",(G48-E48)/G48)</f>
        <v/>
      </c>
      <c r="I48" s="22">
        <f>IF(OR($B48="",$E48="",$F48=""),"",(E48-F48)/E48)</f>
        <v/>
      </c>
      <c r="J48" s="15">
        <f>IF(OR($B48="",$D48="",$E48=""),"",D48*E48)</f>
        <v/>
      </c>
      <c r="K48" s="15">
        <f>IF(OR($B48="",$D48="",$E48="",$F48=""),"",D48*(E48-F48))</f>
        <v/>
      </c>
      <c r="L48" s="22">
        <f>IFERROR(IF(COUNTIFS(Histórico!$G$4:$G$503,$B48,Histórico!$B$4:$B$503,$D$4)=0,"—",_xludf.MINIFS(Histórico!$L$4:$L$503,Histórico!$G$4:$G$503,$B48,Histórico!$B$4:$B$503,$D$4)),"—")</f>
        <v/>
      </c>
      <c r="M48" s="22">
        <f>IFERROR(IF(COUNTIFS(Histórico!$G$4:$G$503,$B48,Histórico!$B$4:$B$503,$D$4)=0,"—",_xludf.MAXIFS(Histórico!$L$4:$L$503,Histórico!$G$4:$G$503,$B48,Histórico!$B$4:$B$503,$D$4)),"—")</f>
        <v/>
      </c>
      <c r="N48" s="22">
        <f>IFERROR(IF(COUNTIFS(Histórico!$G$4:$G$503,$B48)=0,"—",_xludf.MINIFS(Histórico!$L$4:$L$503,Histórico!$G$4:$G$503,$B48)),"—")</f>
        <v/>
      </c>
      <c r="O48" s="22">
        <f>IFERROR(IF(COUNTIFS(Histórico!$G$4:$G$503,$B48)=0,"—",_xludf.MAXIFS(Histórico!$L$4:$L$503,Histórico!$G$4:$G$503,$B48)),"—")</f>
        <v/>
      </c>
      <c r="P48" s="20">
        <f>IF($B48="","",IF($H48="","",IF($L48="—","novo para cliente",IF($H48&lt;$L48,"+ melhor que o histórico",IF($H48&gt;$M48,"! acima do max histórico","~ no range histórico")))))</f>
        <v/>
      </c>
    </row>
    <row r="49" ht="15" customHeight="1">
      <c r="B49" s="31" t="n"/>
      <c r="C49" s="23">
        <f>IFERROR(INDEX(COGS!$C$4:$C$20,MATCH($B49,COGS!$B$4:$B$20,0)),"")</f>
        <v/>
      </c>
      <c r="D49" s="32" t="n"/>
      <c r="E49" s="33" t="n"/>
      <c r="F49" s="18">
        <f>IFERROR(INDEX(COGS!$D$4:$D$20,MATCH($B49,COGS!$B$4:$B$20,0)),"")</f>
        <v/>
      </c>
      <c r="G49" s="18">
        <f>IFERROR(INDEX(COGS!$F$4:$F$20,MATCH($B49,COGS!$B$4:$B$20,0)),"")</f>
        <v/>
      </c>
      <c r="H49" s="25">
        <f>IF(OR($B49="",$E49="",$G49=""),"",(G49-E49)/G49)</f>
        <v/>
      </c>
      <c r="I49" s="25">
        <f>IF(OR($B49="",$E49="",$F49=""),"",(E49-F49)/E49)</f>
        <v/>
      </c>
      <c r="J49" s="18">
        <f>IF(OR($B49="",$D49="",$E49=""),"",D49*E49)</f>
        <v/>
      </c>
      <c r="K49" s="18">
        <f>IF(OR($B49="",$D49="",$E49="",$F49=""),"",D49*(E49-F49))</f>
        <v/>
      </c>
      <c r="L49" s="25">
        <f>IFERROR(IF(COUNTIFS(Histórico!$G$4:$G$503,$B49,Histórico!$B$4:$B$503,$D$4)=0,"—",_xludf.MINIFS(Histórico!$L$4:$L$503,Histórico!$G$4:$G$503,$B49,Histórico!$B$4:$B$503,$D$4)),"—")</f>
        <v/>
      </c>
      <c r="M49" s="25">
        <f>IFERROR(IF(COUNTIFS(Histórico!$G$4:$G$503,$B49,Histórico!$B$4:$B$503,$D$4)=0,"—",_xludf.MAXIFS(Histórico!$L$4:$L$503,Histórico!$G$4:$G$503,$B49,Histórico!$B$4:$B$503,$D$4)),"—")</f>
        <v/>
      </c>
      <c r="N49" s="25">
        <f>IFERROR(IF(COUNTIFS(Histórico!$G$4:$G$503,$B49)=0,"—",_xludf.MINIFS(Histórico!$L$4:$L$503,Histórico!$G$4:$G$503,$B49)),"—")</f>
        <v/>
      </c>
      <c r="O49" s="25">
        <f>IFERROR(IF(COUNTIFS(Histórico!$G$4:$G$503,$B49)=0,"—",_xludf.MAXIFS(Histórico!$L$4:$L$503,Histórico!$G$4:$G$503,$B49)),"—")</f>
        <v/>
      </c>
      <c r="P49" s="23">
        <f>IF($B49="","",IF($H49="","",IF($L49="—","novo para cliente",IF($H49&lt;$L49,"+ melhor que o histórico",IF($H49&gt;$M49,"! acima do max histórico","~ no range histórico")))))</f>
        <v/>
      </c>
    </row>
    <row r="50" ht="15" customHeight="1">
      <c r="B50" s="31" t="n"/>
      <c r="C50" s="20">
        <f>IFERROR(INDEX(COGS!$C$4:$C$20,MATCH($B50,COGS!$B$4:$B$20,0)),"")</f>
        <v/>
      </c>
      <c r="D50" s="32" t="n"/>
      <c r="E50" s="33" t="n"/>
      <c r="F50" s="15">
        <f>IFERROR(INDEX(COGS!$D$4:$D$20,MATCH($B50,COGS!$B$4:$B$20,0)),"")</f>
        <v/>
      </c>
      <c r="G50" s="15">
        <f>IFERROR(INDEX(COGS!$F$4:$F$20,MATCH($B50,COGS!$B$4:$B$20,0)),"")</f>
        <v/>
      </c>
      <c r="H50" s="22">
        <f>IF(OR($B50="",$E50="",$G50=""),"",(G50-E50)/G50)</f>
        <v/>
      </c>
      <c r="I50" s="22">
        <f>IF(OR($B50="",$E50="",$F50=""),"",(E50-F50)/E50)</f>
        <v/>
      </c>
      <c r="J50" s="15">
        <f>IF(OR($B50="",$D50="",$E50=""),"",D50*E50)</f>
        <v/>
      </c>
      <c r="K50" s="15">
        <f>IF(OR($B50="",$D50="",$E50="",$F50=""),"",D50*(E50-F50))</f>
        <v/>
      </c>
      <c r="L50" s="22">
        <f>IFERROR(IF(COUNTIFS(Histórico!$G$4:$G$503,$B50,Histórico!$B$4:$B$503,$D$4)=0,"—",_xludf.MINIFS(Histórico!$L$4:$L$503,Histórico!$G$4:$G$503,$B50,Histórico!$B$4:$B$503,$D$4)),"—")</f>
        <v/>
      </c>
      <c r="M50" s="22">
        <f>IFERROR(IF(COUNTIFS(Histórico!$G$4:$G$503,$B50,Histórico!$B$4:$B$503,$D$4)=0,"—",_xludf.MAXIFS(Histórico!$L$4:$L$503,Histórico!$G$4:$G$503,$B50,Histórico!$B$4:$B$503,$D$4)),"—")</f>
        <v/>
      </c>
      <c r="N50" s="22">
        <f>IFERROR(IF(COUNTIFS(Histórico!$G$4:$G$503,$B50)=0,"—",_xludf.MINIFS(Histórico!$L$4:$L$503,Histórico!$G$4:$G$503,$B50)),"—")</f>
        <v/>
      </c>
      <c r="O50" s="22">
        <f>IFERROR(IF(COUNTIFS(Histórico!$G$4:$G$503,$B50)=0,"—",_xludf.MAXIFS(Histórico!$L$4:$L$503,Histórico!$G$4:$G$503,$B50)),"—")</f>
        <v/>
      </c>
      <c r="P50" s="20">
        <f>IF($B50="","",IF($H50="","",IF($L50="—","novo para cliente",IF($H50&lt;$L50,"+ melhor que o histórico",IF($H50&gt;$M50,"! acima do max histórico","~ no range histórico")))))</f>
        <v/>
      </c>
    </row>
    <row r="51" ht="15" customHeight="1">
      <c r="B51" s="31" t="n"/>
      <c r="C51" s="23">
        <f>IFERROR(INDEX(COGS!$C$4:$C$20,MATCH($B51,COGS!$B$4:$B$20,0)),"")</f>
        <v/>
      </c>
      <c r="D51" s="32" t="n"/>
      <c r="E51" s="33" t="n"/>
      <c r="F51" s="18">
        <f>IFERROR(INDEX(COGS!$D$4:$D$20,MATCH($B51,COGS!$B$4:$B$20,0)),"")</f>
        <v/>
      </c>
      <c r="G51" s="18">
        <f>IFERROR(INDEX(COGS!$F$4:$F$20,MATCH($B51,COGS!$B$4:$B$20,0)),"")</f>
        <v/>
      </c>
      <c r="H51" s="25">
        <f>IF(OR($B51="",$E51="",$G51=""),"",(G51-E51)/G51)</f>
        <v/>
      </c>
      <c r="I51" s="25">
        <f>IF(OR($B51="",$E51="",$F51=""),"",(E51-F51)/E51)</f>
        <v/>
      </c>
      <c r="J51" s="18">
        <f>IF(OR($B51="",$D51="",$E51=""),"",D51*E51)</f>
        <v/>
      </c>
      <c r="K51" s="18">
        <f>IF(OR($B51="",$D51="",$E51="",$F51=""),"",D51*(E51-F51))</f>
        <v/>
      </c>
      <c r="L51" s="25">
        <f>IFERROR(IF(COUNTIFS(Histórico!$G$4:$G$503,$B51,Histórico!$B$4:$B$503,$D$4)=0,"—",_xludf.MINIFS(Histórico!$L$4:$L$503,Histórico!$G$4:$G$503,$B51,Histórico!$B$4:$B$503,$D$4)),"—")</f>
        <v/>
      </c>
      <c r="M51" s="25">
        <f>IFERROR(IF(COUNTIFS(Histórico!$G$4:$G$503,$B51,Histórico!$B$4:$B$503,$D$4)=0,"—",_xludf.MAXIFS(Histórico!$L$4:$L$503,Histórico!$G$4:$G$503,$B51,Histórico!$B$4:$B$503,$D$4)),"—")</f>
        <v/>
      </c>
      <c r="N51" s="25">
        <f>IFERROR(IF(COUNTIFS(Histórico!$G$4:$G$503,$B51)=0,"—",_xludf.MINIFS(Histórico!$L$4:$L$503,Histórico!$G$4:$G$503,$B51)),"—")</f>
        <v/>
      </c>
      <c r="O51" s="25">
        <f>IFERROR(IF(COUNTIFS(Histórico!$G$4:$G$503,$B51)=0,"—",_xludf.MAXIFS(Histórico!$L$4:$L$503,Histórico!$G$4:$G$503,$B51)),"—")</f>
        <v/>
      </c>
      <c r="P51" s="23">
        <f>IF($B51="","",IF($H51="","",IF($L51="—","novo para cliente",IF($H51&lt;$L51,"+ melhor que o histórico",IF($H51&gt;$M51,"! acima do max histórico","~ no range histórico")))))</f>
        <v/>
      </c>
    </row>
    <row r="52" ht="15" customHeight="1">
      <c r="B52" s="31" t="n"/>
      <c r="C52" s="20">
        <f>IFERROR(INDEX(COGS!$C$4:$C$20,MATCH($B52,COGS!$B$4:$B$20,0)),"")</f>
        <v/>
      </c>
      <c r="D52" s="32" t="n"/>
      <c r="E52" s="33" t="n"/>
      <c r="F52" s="15">
        <f>IFERROR(INDEX(COGS!$D$4:$D$20,MATCH($B52,COGS!$B$4:$B$20,0)),"")</f>
        <v/>
      </c>
      <c r="G52" s="15">
        <f>IFERROR(INDEX(COGS!$F$4:$F$20,MATCH($B52,COGS!$B$4:$B$20,0)),"")</f>
        <v/>
      </c>
      <c r="H52" s="22">
        <f>IF(OR($B52="",$E52="",$G52=""),"",(G52-E52)/G52)</f>
        <v/>
      </c>
      <c r="I52" s="22">
        <f>IF(OR($B52="",$E52="",$F52=""),"",(E52-F52)/E52)</f>
        <v/>
      </c>
      <c r="J52" s="15">
        <f>IF(OR($B52="",$D52="",$E52=""),"",D52*E52)</f>
        <v/>
      </c>
      <c r="K52" s="15">
        <f>IF(OR($B52="",$D52="",$E52="",$F52=""),"",D52*(E52-F52))</f>
        <v/>
      </c>
      <c r="L52" s="22">
        <f>IFERROR(IF(COUNTIFS(Histórico!$G$4:$G$503,$B52,Histórico!$B$4:$B$503,$D$4)=0,"—",_xludf.MINIFS(Histórico!$L$4:$L$503,Histórico!$G$4:$G$503,$B52,Histórico!$B$4:$B$503,$D$4)),"—")</f>
        <v/>
      </c>
      <c r="M52" s="22">
        <f>IFERROR(IF(COUNTIFS(Histórico!$G$4:$G$503,$B52,Histórico!$B$4:$B$503,$D$4)=0,"—",_xludf.MAXIFS(Histórico!$L$4:$L$503,Histórico!$G$4:$G$503,$B52,Histórico!$B$4:$B$503,$D$4)),"—")</f>
        <v/>
      </c>
      <c r="N52" s="22">
        <f>IFERROR(IF(COUNTIFS(Histórico!$G$4:$G$503,$B52)=0,"—",_xludf.MINIFS(Histórico!$L$4:$L$503,Histórico!$G$4:$G$503,$B52)),"—")</f>
        <v/>
      </c>
      <c r="O52" s="22">
        <f>IFERROR(IF(COUNTIFS(Histórico!$G$4:$G$503,$B52)=0,"—",_xludf.MAXIFS(Histórico!$L$4:$L$503,Histórico!$G$4:$G$503,$B52)),"—")</f>
        <v/>
      </c>
      <c r="P52" s="20">
        <f>IF($B52="","",IF($H52="","",IF($L52="—","novo para cliente",IF($H52&lt;$L52,"+ melhor que o histórico",IF($H52&gt;$M52,"! acima do max histórico","~ no range histórico")))))</f>
        <v/>
      </c>
    </row>
    <row r="53" ht="15" customHeight="1">
      <c r="B53" s="31" t="n"/>
      <c r="C53" s="23">
        <f>IFERROR(INDEX(COGS!$C$4:$C$20,MATCH($B53,COGS!$B$4:$B$20,0)),"")</f>
        <v/>
      </c>
      <c r="D53" s="32" t="n"/>
      <c r="E53" s="33" t="n"/>
      <c r="F53" s="18">
        <f>IFERROR(INDEX(COGS!$D$4:$D$20,MATCH($B53,COGS!$B$4:$B$20,0)),"")</f>
        <v/>
      </c>
      <c r="G53" s="18">
        <f>IFERROR(INDEX(COGS!$F$4:$F$20,MATCH($B53,COGS!$B$4:$B$20,0)),"")</f>
        <v/>
      </c>
      <c r="H53" s="25">
        <f>IF(OR($B53="",$E53="",$G53=""),"",(G53-E53)/G53)</f>
        <v/>
      </c>
      <c r="I53" s="25">
        <f>IF(OR($B53="",$E53="",$F53=""),"",(E53-F53)/E53)</f>
        <v/>
      </c>
      <c r="J53" s="18">
        <f>IF(OR($B53="",$D53="",$E53=""),"",D53*E53)</f>
        <v/>
      </c>
      <c r="K53" s="18">
        <f>IF(OR($B53="",$D53="",$E53="",$F53=""),"",D53*(E53-F53))</f>
        <v/>
      </c>
      <c r="L53" s="25">
        <f>IFERROR(IF(COUNTIFS(Histórico!$G$4:$G$503,$B53,Histórico!$B$4:$B$503,$D$4)=0,"—",_xludf.MINIFS(Histórico!$L$4:$L$503,Histórico!$G$4:$G$503,$B53,Histórico!$B$4:$B$503,$D$4)),"—")</f>
        <v/>
      </c>
      <c r="M53" s="25">
        <f>IFERROR(IF(COUNTIFS(Histórico!$G$4:$G$503,$B53,Histórico!$B$4:$B$503,$D$4)=0,"—",_xludf.MAXIFS(Histórico!$L$4:$L$503,Histórico!$G$4:$G$503,$B53,Histórico!$B$4:$B$503,$D$4)),"—")</f>
        <v/>
      </c>
      <c r="N53" s="25">
        <f>IFERROR(IF(COUNTIFS(Histórico!$G$4:$G$503,$B53)=0,"—",_xludf.MINIFS(Histórico!$L$4:$L$503,Histórico!$G$4:$G$503,$B53)),"—")</f>
        <v/>
      </c>
      <c r="O53" s="25">
        <f>IFERROR(IF(COUNTIFS(Histórico!$G$4:$G$503,$B53)=0,"—",_xludf.MAXIFS(Histórico!$L$4:$L$503,Histórico!$G$4:$G$503,$B53)),"—")</f>
        <v/>
      </c>
      <c r="P53" s="23">
        <f>IF($B53="","",IF($H53="","",IF($L53="—","novo para cliente",IF($H53&lt;$L53,"+ melhor que o histórico",IF($H53&gt;$M53,"! acima do max histórico","~ no range histórico")))))</f>
        <v/>
      </c>
    </row>
    <row r="54" ht="15" customHeight="1">
      <c r="B54" s="31" t="n"/>
      <c r="C54" s="20">
        <f>IFERROR(INDEX(COGS!$C$4:$C$20,MATCH($B54,COGS!$B$4:$B$20,0)),"")</f>
        <v/>
      </c>
      <c r="D54" s="32" t="n"/>
      <c r="E54" s="33" t="n"/>
      <c r="F54" s="15">
        <f>IFERROR(INDEX(COGS!$D$4:$D$20,MATCH($B54,COGS!$B$4:$B$20,0)),"")</f>
        <v/>
      </c>
      <c r="G54" s="15">
        <f>IFERROR(INDEX(COGS!$F$4:$F$20,MATCH($B54,COGS!$B$4:$B$20,0)),"")</f>
        <v/>
      </c>
      <c r="H54" s="22">
        <f>IF(OR($B54="",$E54="",$G54=""),"",(G54-E54)/G54)</f>
        <v/>
      </c>
      <c r="I54" s="22">
        <f>IF(OR($B54="",$E54="",$F54=""),"",(E54-F54)/E54)</f>
        <v/>
      </c>
      <c r="J54" s="15">
        <f>IF(OR($B54="",$D54="",$E54=""),"",D54*E54)</f>
        <v/>
      </c>
      <c r="K54" s="15">
        <f>IF(OR($B54="",$D54="",$E54="",$F54=""),"",D54*(E54-F54))</f>
        <v/>
      </c>
      <c r="L54" s="22">
        <f>IFERROR(IF(COUNTIFS(Histórico!$G$4:$G$503,$B54,Histórico!$B$4:$B$503,$D$4)=0,"—",_xludf.MINIFS(Histórico!$L$4:$L$503,Histórico!$G$4:$G$503,$B54,Histórico!$B$4:$B$503,$D$4)),"—")</f>
        <v/>
      </c>
      <c r="M54" s="22">
        <f>IFERROR(IF(COUNTIFS(Histórico!$G$4:$G$503,$B54,Histórico!$B$4:$B$503,$D$4)=0,"—",_xludf.MAXIFS(Histórico!$L$4:$L$503,Histórico!$G$4:$G$503,$B54,Histórico!$B$4:$B$503,$D$4)),"—")</f>
        <v/>
      </c>
      <c r="N54" s="22">
        <f>IFERROR(IF(COUNTIFS(Histórico!$G$4:$G$503,$B54)=0,"—",_xludf.MINIFS(Histórico!$L$4:$L$503,Histórico!$G$4:$G$503,$B54)),"—")</f>
        <v/>
      </c>
      <c r="O54" s="22">
        <f>IFERROR(IF(COUNTIFS(Histórico!$G$4:$G$503,$B54)=0,"—",_xludf.MAXIFS(Histórico!$L$4:$L$503,Histórico!$G$4:$G$503,$B54)),"—")</f>
        <v/>
      </c>
      <c r="P54" s="20">
        <f>IF($B54="","",IF($H54="","",IF($L54="—","novo para cliente",IF($H54&lt;$L54,"+ melhor que o histórico",IF($H54&gt;$M54,"! acima do max histórico","~ no range histórico")))))</f>
        <v/>
      </c>
    </row>
    <row r="55" ht="15" customHeight="1">
      <c r="B55" s="31" t="n"/>
      <c r="C55" s="23">
        <f>IFERROR(INDEX(COGS!$C$4:$C$20,MATCH($B55,COGS!$B$4:$B$20,0)),"")</f>
        <v/>
      </c>
      <c r="D55" s="32" t="n"/>
      <c r="E55" s="33" t="n"/>
      <c r="F55" s="18">
        <f>IFERROR(INDEX(COGS!$D$4:$D$20,MATCH($B55,COGS!$B$4:$B$20,0)),"")</f>
        <v/>
      </c>
      <c r="G55" s="18">
        <f>IFERROR(INDEX(COGS!$F$4:$F$20,MATCH($B55,COGS!$B$4:$B$20,0)),"")</f>
        <v/>
      </c>
      <c r="H55" s="25">
        <f>IF(OR($B55="",$E55="",$G55=""),"",(G55-E55)/G55)</f>
        <v/>
      </c>
      <c r="I55" s="25">
        <f>IF(OR($B55="",$E55="",$F55=""),"",(E55-F55)/E55)</f>
        <v/>
      </c>
      <c r="J55" s="18">
        <f>IF(OR($B55="",$D55="",$E55=""),"",D55*E55)</f>
        <v/>
      </c>
      <c r="K55" s="18">
        <f>IF(OR($B55="",$D55="",$E55="",$F55=""),"",D55*(E55-F55))</f>
        <v/>
      </c>
      <c r="L55" s="25">
        <f>IFERROR(IF(COUNTIFS(Histórico!$G$4:$G$503,$B55,Histórico!$B$4:$B$503,$D$4)=0,"—",_xludf.MINIFS(Histórico!$L$4:$L$503,Histórico!$G$4:$G$503,$B55,Histórico!$B$4:$B$503,$D$4)),"—")</f>
        <v/>
      </c>
      <c r="M55" s="25">
        <f>IFERROR(IF(COUNTIFS(Histórico!$G$4:$G$503,$B55,Histórico!$B$4:$B$503,$D$4)=0,"—",_xludf.MAXIFS(Histórico!$L$4:$L$503,Histórico!$G$4:$G$503,$B55,Histórico!$B$4:$B$503,$D$4)),"—")</f>
        <v/>
      </c>
      <c r="N55" s="25">
        <f>IFERROR(IF(COUNTIFS(Histórico!$G$4:$G$503,$B55)=0,"—",_xludf.MINIFS(Histórico!$L$4:$L$503,Histórico!$G$4:$G$503,$B55)),"—")</f>
        <v/>
      </c>
      <c r="O55" s="25">
        <f>IFERROR(IF(COUNTIFS(Histórico!$G$4:$G$503,$B55)=0,"—",_xludf.MAXIFS(Histórico!$L$4:$L$503,Histórico!$G$4:$G$503,$B55)),"—")</f>
        <v/>
      </c>
      <c r="P55" s="23">
        <f>IF($B55="","",IF($H55="","",IF($L55="—","novo para cliente",IF($H55&lt;$L55,"+ melhor que o histórico",IF($H55&gt;$M55,"! acima do max histórico","~ no range histórico")))))</f>
        <v/>
      </c>
    </row>
    <row r="56" ht="15" customHeight="1">
      <c r="B56" s="31" t="n"/>
      <c r="C56" s="20">
        <f>IFERROR(INDEX(COGS!$C$4:$C$20,MATCH($B56,COGS!$B$4:$B$20,0)),"")</f>
        <v/>
      </c>
      <c r="D56" s="32" t="n"/>
      <c r="E56" s="33" t="n"/>
      <c r="F56" s="15">
        <f>IFERROR(INDEX(COGS!$D$4:$D$20,MATCH($B56,COGS!$B$4:$B$20,0)),"")</f>
        <v/>
      </c>
      <c r="G56" s="15">
        <f>IFERROR(INDEX(COGS!$F$4:$F$20,MATCH($B56,COGS!$B$4:$B$20,0)),"")</f>
        <v/>
      </c>
      <c r="H56" s="22">
        <f>IF(OR($B56="",$E56="",$G56=""),"",(G56-E56)/G56)</f>
        <v/>
      </c>
      <c r="I56" s="22">
        <f>IF(OR($B56="",$E56="",$F56=""),"",(E56-F56)/E56)</f>
        <v/>
      </c>
      <c r="J56" s="15">
        <f>IF(OR($B56="",$D56="",$E56=""),"",D56*E56)</f>
        <v/>
      </c>
      <c r="K56" s="15">
        <f>IF(OR($B56="",$D56="",$E56="",$F56=""),"",D56*(E56-F56))</f>
        <v/>
      </c>
      <c r="L56" s="22">
        <f>IFERROR(IF(COUNTIFS(Histórico!$G$4:$G$503,$B56,Histórico!$B$4:$B$503,$D$4)=0,"—",_xludf.MINIFS(Histórico!$L$4:$L$503,Histórico!$G$4:$G$503,$B56,Histórico!$B$4:$B$503,$D$4)),"—")</f>
        <v/>
      </c>
      <c r="M56" s="22">
        <f>IFERROR(IF(COUNTIFS(Histórico!$G$4:$G$503,$B56,Histórico!$B$4:$B$503,$D$4)=0,"—",_xludf.MAXIFS(Histórico!$L$4:$L$503,Histórico!$G$4:$G$503,$B56,Histórico!$B$4:$B$503,$D$4)),"—")</f>
        <v/>
      </c>
      <c r="N56" s="22">
        <f>IFERROR(IF(COUNTIFS(Histórico!$G$4:$G$503,$B56)=0,"—",_xludf.MINIFS(Histórico!$L$4:$L$503,Histórico!$G$4:$G$503,$B56)),"—")</f>
        <v/>
      </c>
      <c r="O56" s="22">
        <f>IFERROR(IF(COUNTIFS(Histórico!$G$4:$G$503,$B56)=0,"—",_xludf.MAXIFS(Histórico!$L$4:$L$503,Histórico!$G$4:$G$503,$B56)),"—")</f>
        <v/>
      </c>
      <c r="P56" s="20">
        <f>IF($B56="","",IF($H56="","",IF($L56="—","novo para cliente",IF($H56&lt;$L56,"+ melhor que o histórico",IF($H56&gt;$M56,"! acima do max histórico","~ no range histórico")))))</f>
        <v/>
      </c>
    </row>
    <row r="57" ht="15" customHeight="1">
      <c r="B57" s="31" t="n"/>
      <c r="C57" s="23">
        <f>IFERROR(INDEX(COGS!$C$4:$C$20,MATCH($B57,COGS!$B$4:$B$20,0)),"")</f>
        <v/>
      </c>
      <c r="D57" s="32" t="n"/>
      <c r="E57" s="33" t="n"/>
      <c r="F57" s="18">
        <f>IFERROR(INDEX(COGS!$D$4:$D$20,MATCH($B57,COGS!$B$4:$B$20,0)),"")</f>
        <v/>
      </c>
      <c r="G57" s="18">
        <f>IFERROR(INDEX(COGS!$F$4:$F$20,MATCH($B57,COGS!$B$4:$B$20,0)),"")</f>
        <v/>
      </c>
      <c r="H57" s="25">
        <f>IF(OR($B57="",$E57="",$G57=""),"",(G57-E57)/G57)</f>
        <v/>
      </c>
      <c r="I57" s="25">
        <f>IF(OR($B57="",$E57="",$F57=""),"",(E57-F57)/E57)</f>
        <v/>
      </c>
      <c r="J57" s="18">
        <f>IF(OR($B57="",$D57="",$E57=""),"",D57*E57)</f>
        <v/>
      </c>
      <c r="K57" s="18">
        <f>IF(OR($B57="",$D57="",$E57="",$F57=""),"",D57*(E57-F57))</f>
        <v/>
      </c>
      <c r="L57" s="25">
        <f>IFERROR(IF(COUNTIFS(Histórico!$G$4:$G$503,$B57,Histórico!$B$4:$B$503,$D$4)=0,"—",_xludf.MINIFS(Histórico!$L$4:$L$503,Histórico!$G$4:$G$503,$B57,Histórico!$B$4:$B$503,$D$4)),"—")</f>
        <v/>
      </c>
      <c r="M57" s="25">
        <f>IFERROR(IF(COUNTIFS(Histórico!$G$4:$G$503,$B57,Histórico!$B$4:$B$503,$D$4)=0,"—",_xludf.MAXIFS(Histórico!$L$4:$L$503,Histórico!$G$4:$G$503,$B57,Histórico!$B$4:$B$503,$D$4)),"—")</f>
        <v/>
      </c>
      <c r="N57" s="25">
        <f>IFERROR(IF(COUNTIFS(Histórico!$G$4:$G$503,$B57)=0,"—",_xludf.MINIFS(Histórico!$L$4:$L$503,Histórico!$G$4:$G$503,$B57)),"—")</f>
        <v/>
      </c>
      <c r="O57" s="25">
        <f>IFERROR(IF(COUNTIFS(Histórico!$G$4:$G$503,$B57)=0,"—",_xludf.MAXIFS(Histórico!$L$4:$L$503,Histórico!$G$4:$G$503,$B57)),"—")</f>
        <v/>
      </c>
      <c r="P57" s="23">
        <f>IF($B57="","",IF($H57="","",IF($L57="—","novo para cliente",IF($H57&lt;$L57,"+ melhor que o histórico",IF($H57&gt;$M57,"! acima do max histórico","~ no range histórico")))))</f>
        <v/>
      </c>
    </row>
    <row r="58" ht="15" customHeight="1">
      <c r="B58" s="31" t="n"/>
      <c r="C58" s="20">
        <f>IFERROR(INDEX(COGS!$C$4:$C$20,MATCH($B58,COGS!$B$4:$B$20,0)),"")</f>
        <v/>
      </c>
      <c r="D58" s="32" t="n"/>
      <c r="E58" s="33" t="n"/>
      <c r="F58" s="15">
        <f>IFERROR(INDEX(COGS!$D$4:$D$20,MATCH($B58,COGS!$B$4:$B$20,0)),"")</f>
        <v/>
      </c>
      <c r="G58" s="15">
        <f>IFERROR(INDEX(COGS!$F$4:$F$20,MATCH($B58,COGS!$B$4:$B$20,0)),"")</f>
        <v/>
      </c>
      <c r="H58" s="22">
        <f>IF(OR($B58="",$E58="",$G58=""),"",(G58-E58)/G58)</f>
        <v/>
      </c>
      <c r="I58" s="22">
        <f>IF(OR($B58="",$E58="",$F58=""),"",(E58-F58)/E58)</f>
        <v/>
      </c>
      <c r="J58" s="15">
        <f>IF(OR($B58="",$D58="",$E58=""),"",D58*E58)</f>
        <v/>
      </c>
      <c r="K58" s="15">
        <f>IF(OR($B58="",$D58="",$E58="",$F58=""),"",D58*(E58-F58))</f>
        <v/>
      </c>
      <c r="L58" s="22">
        <f>IFERROR(IF(COUNTIFS(Histórico!$G$4:$G$503,$B58,Histórico!$B$4:$B$503,$D$4)=0,"—",_xludf.MINIFS(Histórico!$L$4:$L$503,Histórico!$G$4:$G$503,$B58,Histórico!$B$4:$B$503,$D$4)),"—")</f>
        <v/>
      </c>
      <c r="M58" s="22">
        <f>IFERROR(IF(COUNTIFS(Histórico!$G$4:$G$503,$B58,Histórico!$B$4:$B$503,$D$4)=0,"—",_xludf.MAXIFS(Histórico!$L$4:$L$503,Histórico!$G$4:$G$503,$B58,Histórico!$B$4:$B$503,$D$4)),"—")</f>
        <v/>
      </c>
      <c r="N58" s="22">
        <f>IFERROR(IF(COUNTIFS(Histórico!$G$4:$G$503,$B58)=0,"—",_xludf.MINIFS(Histórico!$L$4:$L$503,Histórico!$G$4:$G$503,$B58)),"—")</f>
        <v/>
      </c>
      <c r="O58" s="22">
        <f>IFERROR(IF(COUNTIFS(Histórico!$G$4:$G$503,$B58)=0,"—",_xludf.MAXIFS(Histórico!$L$4:$L$503,Histórico!$G$4:$G$503,$B58)),"—")</f>
        <v/>
      </c>
      <c r="P58" s="20">
        <f>IF($B58="","",IF($H58="","",IF($L58="—","novo para cliente",IF($H58&lt;$L58,"+ melhor que o histórico",IF($H58&gt;$M58,"! acima do max histórico","~ no range histórico")))))</f>
        <v/>
      </c>
    </row>
    <row r="59" ht="15" customHeight="1">
      <c r="B59" s="31" t="n"/>
      <c r="C59" s="23">
        <f>IFERROR(INDEX(COGS!$C$4:$C$20,MATCH($B59,COGS!$B$4:$B$20,0)),"")</f>
        <v/>
      </c>
      <c r="D59" s="32" t="n"/>
      <c r="E59" s="33" t="n"/>
      <c r="F59" s="18">
        <f>IFERROR(INDEX(COGS!$D$4:$D$20,MATCH($B59,COGS!$B$4:$B$20,0)),"")</f>
        <v/>
      </c>
      <c r="G59" s="18">
        <f>IFERROR(INDEX(COGS!$F$4:$F$20,MATCH($B59,COGS!$B$4:$B$20,0)),"")</f>
        <v/>
      </c>
      <c r="H59" s="25">
        <f>IF(OR($B59="",$E59="",$G59=""),"",(G59-E59)/G59)</f>
        <v/>
      </c>
      <c r="I59" s="25">
        <f>IF(OR($B59="",$E59="",$F59=""),"",(E59-F59)/E59)</f>
        <v/>
      </c>
      <c r="J59" s="18">
        <f>IF(OR($B59="",$D59="",$E59=""),"",D59*E59)</f>
        <v/>
      </c>
      <c r="K59" s="18">
        <f>IF(OR($B59="",$D59="",$E59="",$F59=""),"",D59*(E59-F59))</f>
        <v/>
      </c>
      <c r="L59" s="25">
        <f>IFERROR(IF(COUNTIFS(Histórico!$G$4:$G$503,$B59,Histórico!$B$4:$B$503,$D$4)=0,"—",_xludf.MINIFS(Histórico!$L$4:$L$503,Histórico!$G$4:$G$503,$B59,Histórico!$B$4:$B$503,$D$4)),"—")</f>
        <v/>
      </c>
      <c r="M59" s="25">
        <f>IFERROR(IF(COUNTIFS(Histórico!$G$4:$G$503,$B59,Histórico!$B$4:$B$503,$D$4)=0,"—",_xludf.MAXIFS(Histórico!$L$4:$L$503,Histórico!$G$4:$G$503,$B59,Histórico!$B$4:$B$503,$D$4)),"—")</f>
        <v/>
      </c>
      <c r="N59" s="25">
        <f>IFERROR(IF(COUNTIFS(Histórico!$G$4:$G$503,$B59)=0,"—",_xludf.MINIFS(Histórico!$L$4:$L$503,Histórico!$G$4:$G$503,$B59)),"—")</f>
        <v/>
      </c>
      <c r="O59" s="25">
        <f>IFERROR(IF(COUNTIFS(Histórico!$G$4:$G$503,$B59)=0,"—",_xludf.MAXIFS(Histórico!$L$4:$L$503,Histórico!$G$4:$G$503,$B59)),"—")</f>
        <v/>
      </c>
      <c r="P59" s="23">
        <f>IF($B59="","",IF($H59="","",IF($L59="—","novo para cliente",IF($H59&lt;$L59,"+ melhor que o histórico",IF($H59&gt;$M59,"! acima do max histórico","~ no range histórico")))))</f>
        <v/>
      </c>
    </row>
    <row r="60" ht="15" customHeight="1">
      <c r="B60" s="31" t="n"/>
      <c r="C60" s="20">
        <f>IFERROR(INDEX(COGS!$C$4:$C$20,MATCH($B60,COGS!$B$4:$B$20,0)),"")</f>
        <v/>
      </c>
      <c r="D60" s="32" t="n"/>
      <c r="E60" s="33" t="n"/>
      <c r="F60" s="15">
        <f>IFERROR(INDEX(COGS!$D$4:$D$20,MATCH($B60,COGS!$B$4:$B$20,0)),"")</f>
        <v/>
      </c>
      <c r="G60" s="15">
        <f>IFERROR(INDEX(COGS!$F$4:$F$20,MATCH($B60,COGS!$B$4:$B$20,0)),"")</f>
        <v/>
      </c>
      <c r="H60" s="22">
        <f>IF(OR($B60="",$E60="",$G60=""),"",(G60-E60)/G60)</f>
        <v/>
      </c>
      <c r="I60" s="22">
        <f>IF(OR($B60="",$E60="",$F60=""),"",(E60-F60)/E60)</f>
        <v/>
      </c>
      <c r="J60" s="15">
        <f>IF(OR($B60="",$D60="",$E60=""),"",D60*E60)</f>
        <v/>
      </c>
      <c r="K60" s="15">
        <f>IF(OR($B60="",$D60="",$E60="",$F60=""),"",D60*(E60-F60))</f>
        <v/>
      </c>
      <c r="L60" s="22">
        <f>IFERROR(IF(COUNTIFS(Histórico!$G$4:$G$503,$B60,Histórico!$B$4:$B$503,$D$4)=0,"—",_xludf.MINIFS(Histórico!$L$4:$L$503,Histórico!$G$4:$G$503,$B60,Histórico!$B$4:$B$503,$D$4)),"—")</f>
        <v/>
      </c>
      <c r="M60" s="22">
        <f>IFERROR(IF(COUNTIFS(Histórico!$G$4:$G$503,$B60,Histórico!$B$4:$B$503,$D$4)=0,"—",_xludf.MAXIFS(Histórico!$L$4:$L$503,Histórico!$G$4:$G$503,$B60,Histórico!$B$4:$B$503,$D$4)),"—")</f>
        <v/>
      </c>
      <c r="N60" s="22">
        <f>IFERROR(IF(COUNTIFS(Histórico!$G$4:$G$503,$B60)=0,"—",_xludf.MINIFS(Histórico!$L$4:$L$503,Histórico!$G$4:$G$503,$B60)),"—")</f>
        <v/>
      </c>
      <c r="O60" s="22">
        <f>IFERROR(IF(COUNTIFS(Histórico!$G$4:$G$503,$B60)=0,"—",_xludf.MAXIFS(Histórico!$L$4:$L$503,Histórico!$G$4:$G$503,$B60)),"—")</f>
        <v/>
      </c>
      <c r="P60" s="20">
        <f>IF($B60="","",IF($H60="","",IF($L60="—","novo para cliente",IF($H60&lt;$L60,"+ melhor que o histórico",IF($H60&gt;$M60,"! acima do max histórico","~ no range histórico")))))</f>
        <v/>
      </c>
    </row>
    <row r="61" ht="15" customHeight="1">
      <c r="B61" s="31" t="n"/>
      <c r="C61" s="23">
        <f>IFERROR(INDEX(COGS!$C$4:$C$20,MATCH($B61,COGS!$B$4:$B$20,0)),"")</f>
        <v/>
      </c>
      <c r="D61" s="32" t="n"/>
      <c r="E61" s="33" t="n"/>
      <c r="F61" s="18">
        <f>IFERROR(INDEX(COGS!$D$4:$D$20,MATCH($B61,COGS!$B$4:$B$20,0)),"")</f>
        <v/>
      </c>
      <c r="G61" s="18">
        <f>IFERROR(INDEX(COGS!$F$4:$F$20,MATCH($B61,COGS!$B$4:$B$20,0)),"")</f>
        <v/>
      </c>
      <c r="H61" s="25">
        <f>IF(OR($B61="",$E61="",$G61=""),"",(G61-E61)/G61)</f>
        <v/>
      </c>
      <c r="I61" s="25">
        <f>IF(OR($B61="",$E61="",$F61=""),"",(E61-F61)/E61)</f>
        <v/>
      </c>
      <c r="J61" s="18">
        <f>IF(OR($B61="",$D61="",$E61=""),"",D61*E61)</f>
        <v/>
      </c>
      <c r="K61" s="18">
        <f>IF(OR($B61="",$D61="",$E61="",$F61=""),"",D61*(E61-F61))</f>
        <v/>
      </c>
      <c r="L61" s="25">
        <f>IFERROR(IF(COUNTIFS(Histórico!$G$4:$G$503,$B61,Histórico!$B$4:$B$503,$D$4)=0,"—",_xludf.MINIFS(Histórico!$L$4:$L$503,Histórico!$G$4:$G$503,$B61,Histórico!$B$4:$B$503,$D$4)),"—")</f>
        <v/>
      </c>
      <c r="M61" s="25">
        <f>IFERROR(IF(COUNTIFS(Histórico!$G$4:$G$503,$B61,Histórico!$B$4:$B$503,$D$4)=0,"—",_xludf.MAXIFS(Histórico!$L$4:$L$503,Histórico!$G$4:$G$503,$B61,Histórico!$B$4:$B$503,$D$4)),"—")</f>
        <v/>
      </c>
      <c r="N61" s="25">
        <f>IFERROR(IF(COUNTIFS(Histórico!$G$4:$G$503,$B61)=0,"—",_xludf.MINIFS(Histórico!$L$4:$L$503,Histórico!$G$4:$G$503,$B61)),"—")</f>
        <v/>
      </c>
      <c r="O61" s="25">
        <f>IFERROR(IF(COUNTIFS(Histórico!$G$4:$G$503,$B61)=0,"—",_xludf.MAXIFS(Histórico!$L$4:$L$503,Histórico!$G$4:$G$503,$B61)),"—")</f>
        <v/>
      </c>
      <c r="P61" s="23">
        <f>IF($B61="","",IF($H61="","",IF($L61="—","novo para cliente",IF($H61&lt;$L61,"+ melhor que o histórico",IF($H61&gt;$M61,"! acima do max histórico","~ no range histórico")))))</f>
        <v/>
      </c>
    </row>
    <row r="62" ht="15" customHeight="1">
      <c r="B62" s="34" t="inlineStr">
        <is>
          <t>TOTAL</t>
        </is>
      </c>
      <c r="C62" s="35" t="n"/>
      <c r="D62" s="36">
        <f>SUMPRODUCT(($B47:$B61&lt;&gt;"")*D47:D61)</f>
        <v/>
      </c>
      <c r="E62" s="35" t="n"/>
      <c r="F62" s="35" t="n"/>
      <c r="G62" s="35" t="n"/>
      <c r="H62" s="37">
        <f>IFERROR(SUMPRODUCT((J47:J61&lt;&gt;"")*H47:H61*J47:J61)/SUM(IF(ISNUMBER(J47:J61),J47:J61,0)),"")</f>
        <v/>
      </c>
      <c r="I62" s="37">
        <f>IFERROR(SUM(K47:K61)/SUM(IF(ISNUMBER(J47:J61),J47:J61,0)),"")</f>
        <v/>
      </c>
      <c r="J62" s="38">
        <f>IFERROR(SUM(J47:J61),"")</f>
        <v/>
      </c>
      <c r="K62" s="38">
        <f>IFERROR(SUM(K47:K61),"")</f>
        <v/>
      </c>
      <c r="L62" s="35" t="n"/>
      <c r="M62" s="35" t="n"/>
      <c r="N62" s="35" t="n"/>
      <c r="O62" s="35" t="n"/>
      <c r="P62" s="35" t="n"/>
    </row>
    <row r="64" ht="15" customHeight="1">
      <c r="B64" s="3" t="inlineStr">
        <is>
          <t>Receita total</t>
        </is>
      </c>
      <c r="C64" s="39">
        <f>J62</f>
        <v/>
      </c>
      <c r="E64" s="3" t="inlineStr">
        <is>
          <t>Margem total</t>
        </is>
      </c>
      <c r="F64" s="39">
        <f>K62</f>
        <v/>
      </c>
      <c r="H64" s="3" t="inlineStr">
        <is>
          <t>GM% médio</t>
        </is>
      </c>
      <c r="I64" s="40">
        <f>I62</f>
        <v/>
      </c>
      <c r="K64" s="3" t="inlineStr">
        <is>
          <t>Desc% médio pond.</t>
        </is>
      </c>
      <c r="L64" s="40">
        <f>H62</f>
        <v/>
      </c>
    </row>
  </sheetData>
  <conditionalFormatting sqref="H47:H61">
    <cfRule type="expression" priority="1" dxfId="1">
      <formula>AND(ISNUMBER(H47),H47&gt;0.85)</formula>
    </cfRule>
  </conditionalFormatting>
  <conditionalFormatting sqref="I47:I61">
    <cfRule type="expression" priority="2" dxfId="1">
      <formula>AND(ISNUMBER(I47),I47&lt;0.1)</formula>
    </cfRule>
    <cfRule type="expression" priority="3" dxfId="2">
      <formula>AND(ISNUMBER(I47),I47&gt;0.25)</formula>
    </cfRule>
  </conditionalFormatting>
  <conditionalFormatting sqref="P47:P61">
    <cfRule type="expression" priority="4" dxfId="2">
      <formula>ISNUMBER(FIND("+",P47))</formula>
    </cfRule>
    <cfRule type="expression" priority="5" dxfId="1">
      <formula>ISNUMBER(FIND("!",P47))</formula>
    </cfRule>
    <cfRule type="expression" priority="6" dxfId="0">
      <formula>ISNUMBER(FIND("novo",P47))</formula>
    </cfRule>
  </conditionalFormatting>
  <dataValidations disablePrompts="1" count="1">
    <dataValidation sqref="D4" showDropDown="0" showInputMessage="0" showErrorMessage="0" allowBlank="0" type="list">
      <formula1>"Todos,B4A,Magenta,UAU Box"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95959"/>
    <outlinePr summaryBelow="1" summaryRight="1"/>
    <pageSetUpPr/>
  </sheetPr>
  <dimension ref="B2:G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0.5" customHeight="1"/>
  <cols>
    <col width="2.5" customWidth="1" min="1" max="1"/>
    <col width="10" customWidth="1" min="2" max="2"/>
    <col width="34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2" ht="18" customHeight="1">
      <c r="B2" s="48" t="inlineStr">
        <is>
          <t>GE Beauty — B2B · Base COGS</t>
        </is>
      </c>
      <c r="C2" s="49" t="n"/>
      <c r="D2" s="49" t="n"/>
      <c r="E2" s="49" t="n"/>
      <c r="F2" s="49" t="n"/>
      <c r="G2" s="49" t="n"/>
    </row>
    <row r="3" ht="26" customHeight="1">
      <c r="B3" s="41" t="inlineStr">
        <is>
          <t>SKU</t>
        </is>
      </c>
      <c r="C3" s="41" t="inlineStr">
        <is>
          <t>Produto</t>
        </is>
      </c>
      <c r="D3" s="41" t="inlineStr">
        <is>
          <t>COGS ES</t>
        </is>
      </c>
      <c r="E3" s="41" t="inlineStr">
        <is>
          <t>COGS SP</t>
        </is>
      </c>
      <c r="F3" s="41" t="inlineStr">
        <is>
          <t>Retail</t>
        </is>
      </c>
      <c r="G3" s="41" t="inlineStr">
        <is>
          <t>Fonte</t>
        </is>
      </c>
    </row>
    <row r="4">
      <c r="B4" s="50" t="inlineStr">
        <is>
          <t>GEB 001</t>
        </is>
      </c>
      <c r="C4" s="50" t="inlineStr">
        <is>
          <t>Shampoo sem sulfato GE Beauty 250ml</t>
        </is>
      </c>
      <c r="D4" s="51" t="n">
        <v>17.33</v>
      </c>
      <c r="E4" s="51" t="n">
        <v>18.52</v>
      </c>
      <c r="F4" s="51" t="n">
        <v>95</v>
      </c>
      <c r="G4" s="52" t="inlineStr">
        <is>
          <t>Shopify</t>
        </is>
      </c>
    </row>
    <row r="5">
      <c r="B5" s="53" t="inlineStr">
        <is>
          <t>GEB 002</t>
        </is>
      </c>
      <c r="C5" s="53" t="inlineStr">
        <is>
          <t>Máscara Condicionadora GE Beauty 200ml</t>
        </is>
      </c>
      <c r="D5" s="54" t="n">
        <v>10.64</v>
      </c>
      <c r="E5" s="54" t="n">
        <v>11.37</v>
      </c>
      <c r="F5" s="54" t="n">
        <v>95</v>
      </c>
      <c r="G5" s="55" t="inlineStr">
        <is>
          <t>Shopify</t>
        </is>
      </c>
    </row>
    <row r="6">
      <c r="B6" s="50" t="inlineStr">
        <is>
          <t>GEB 003</t>
        </is>
      </c>
      <c r="C6" s="50" t="inlineStr">
        <is>
          <t>Leave-in com proteção térmica GE Beauty 150ml</t>
        </is>
      </c>
      <c r="D6" s="51" t="n">
        <v>8.35</v>
      </c>
      <c r="E6" s="51" t="n">
        <v>8.720000000000001</v>
      </c>
      <c r="F6" s="51" t="n">
        <v>99</v>
      </c>
      <c r="G6" s="52" t="inlineStr">
        <is>
          <t>Shopify</t>
        </is>
      </c>
    </row>
    <row r="7">
      <c r="B7" s="53" t="inlineStr">
        <is>
          <t>GEB 008</t>
        </is>
      </c>
      <c r="C7" s="53" t="inlineStr">
        <is>
          <t>Shampoo a Seco GE Beauty 150ml</t>
        </is>
      </c>
      <c r="D7" s="54" t="n">
        <v>12.14</v>
      </c>
      <c r="E7" s="54" t="n">
        <v>12.14</v>
      </c>
      <c r="F7" s="54" t="n">
        <v>69</v>
      </c>
      <c r="G7" s="55" t="inlineStr">
        <is>
          <t>Shopify</t>
        </is>
      </c>
    </row>
    <row r="8">
      <c r="B8" s="50" t="inlineStr">
        <is>
          <t>GEB 010</t>
        </is>
      </c>
      <c r="C8" s="50" t="inlineStr">
        <is>
          <t>Mascara Condicionadora GE Beauty 50ml</t>
        </is>
      </c>
      <c r="D8" s="51" t="n">
        <v>5.11</v>
      </c>
      <c r="E8" s="51" t="n">
        <v>5.81</v>
      </c>
      <c r="F8" s="51" t="n">
        <v>40</v>
      </c>
      <c r="G8" s="52" t="inlineStr">
        <is>
          <t>Shopify</t>
        </is>
      </c>
    </row>
    <row r="9">
      <c r="B9" s="53" t="inlineStr">
        <is>
          <t>GEB 013</t>
        </is>
      </c>
      <c r="C9" s="53" t="inlineStr">
        <is>
          <t>Shampoo GE Beauty 60 ml</t>
        </is>
      </c>
      <c r="D9" s="54" t="n">
        <v>6.49</v>
      </c>
      <c r="E9" s="54" t="n">
        <v>6.85</v>
      </c>
      <c r="F9" s="54" t="n">
        <v>40</v>
      </c>
      <c r="G9" s="55" t="inlineStr">
        <is>
          <t>Shopify</t>
        </is>
      </c>
    </row>
    <row r="10">
      <c r="B10" s="50" t="inlineStr">
        <is>
          <t>GEB 022</t>
        </is>
      </c>
      <c r="C10" s="50" t="inlineStr">
        <is>
          <t>Booster Antifrizz GE Beauty 15ml</t>
        </is>
      </c>
      <c r="D10" s="51" t="n">
        <v>9.24</v>
      </c>
      <c r="E10" s="51" t="n">
        <v>9.859999999999999</v>
      </c>
      <c r="F10" s="51" t="n">
        <v>79</v>
      </c>
      <c r="G10" s="52" t="inlineStr">
        <is>
          <t>Shopify</t>
        </is>
      </c>
    </row>
    <row r="11">
      <c r="B11" s="53" t="inlineStr">
        <is>
          <t>GEB 029</t>
        </is>
      </c>
      <c r="C11" s="53" t="inlineStr">
        <is>
          <t>Melon Mood Mini Body &amp; Hair Mist</t>
        </is>
      </c>
      <c r="D11" s="54" t="n">
        <v>16.7</v>
      </c>
      <c r="E11" s="54" t="n">
        <v>17.2</v>
      </c>
      <c r="F11" s="54" t="n">
        <v>79</v>
      </c>
      <c r="G11" s="55" t="inlineStr">
        <is>
          <t>Shopify</t>
        </is>
      </c>
    </row>
    <row r="12">
      <c r="B12" s="50" t="inlineStr">
        <is>
          <t>GEB 101</t>
        </is>
      </c>
      <c r="C12" s="50" t="inlineStr">
        <is>
          <t>Primer Cachos Definidos GE Beauty 250ml</t>
        </is>
      </c>
      <c r="D12" s="51" t="n">
        <v>15.73</v>
      </c>
      <c r="E12" s="51" t="n">
        <v>16.01</v>
      </c>
      <c r="F12" s="51" t="n">
        <v>149</v>
      </c>
      <c r="G12" s="52" t="inlineStr">
        <is>
          <t>Shopify</t>
        </is>
      </c>
    </row>
    <row r="13">
      <c r="B13" s="53" t="inlineStr">
        <is>
          <t>GEB 121</t>
        </is>
      </c>
      <c r="C13" s="53" t="inlineStr">
        <is>
          <t>MÁSCARA RECONSTRUTORA MAYDAY GE Beauty (200ml)</t>
        </is>
      </c>
      <c r="D13" s="54" t="n">
        <v>29.88</v>
      </c>
      <c r="E13" s="54" t="n">
        <v>30.38</v>
      </c>
      <c r="F13" s="54" t="n">
        <v>111</v>
      </c>
      <c r="G13" s="55" t="inlineStr">
        <is>
          <t>Shopify</t>
        </is>
      </c>
    </row>
    <row r="14">
      <c r="B14" s="50" t="inlineStr">
        <is>
          <t>GEB 019</t>
        </is>
      </c>
      <c r="C14" s="50" t="inlineStr">
        <is>
          <t>Booster Fortificante GE Beauty 15ml</t>
        </is>
      </c>
      <c r="D14" s="52" t="n"/>
      <c r="E14" s="52" t="n"/>
      <c r="F14" s="51" t="n">
        <v>75</v>
      </c>
      <c r="G14" s="52" t="inlineStr">
        <is>
          <t>Shopify</t>
        </is>
      </c>
    </row>
    <row r="15">
      <c r="B15" s="53" t="inlineStr">
        <is>
          <t>GEB 020</t>
        </is>
      </c>
      <c r="C15" s="53" t="inlineStr">
        <is>
          <t>Booster Hidratante GE Beauty 15ml</t>
        </is>
      </c>
      <c r="D15" s="55" t="n"/>
      <c r="E15" s="55" t="n"/>
      <c r="F15" s="54" t="n">
        <v>69</v>
      </c>
      <c r="G15" s="55" t="inlineStr">
        <is>
          <t>Shopify</t>
        </is>
      </c>
    </row>
    <row r="16">
      <c r="B16" s="50" t="inlineStr">
        <is>
          <t>GEB 021</t>
        </is>
      </c>
      <c r="C16" s="50" t="inlineStr">
        <is>
          <t>Booster Definição GE Beauty 15ml</t>
        </is>
      </c>
      <c r="D16" s="52" t="n"/>
      <c r="E16" s="52" t="n"/>
      <c r="F16" s="51" t="n">
        <v>69</v>
      </c>
      <c r="G16" s="52" t="inlineStr">
        <is>
          <t>Shopify</t>
        </is>
      </c>
    </row>
    <row r="17">
      <c r="B17" s="53" t="inlineStr">
        <is>
          <t>GEB 023</t>
        </is>
      </c>
      <c r="C17" s="53" t="inlineStr">
        <is>
          <t>Booster Antioxidante GE Beauty 15ml</t>
        </is>
      </c>
      <c r="D17" s="55" t="n"/>
      <c r="E17" s="55" t="n"/>
      <c r="F17" s="54" t="n">
        <v>75</v>
      </c>
      <c r="G17" s="55" t="inlineStr">
        <is>
          <t>Shopify</t>
        </is>
      </c>
    </row>
    <row r="18">
      <c r="B18" s="50" t="inlineStr">
        <is>
          <t>GEB 024</t>
        </is>
      </c>
      <c r="C18" s="50" t="inlineStr">
        <is>
          <t>Body Hair Mist Melon Mood GE Beauty 200ml</t>
        </is>
      </c>
      <c r="D18" s="51" t="n">
        <v>20.68</v>
      </c>
      <c r="E18" s="51" t="n">
        <v>21.18</v>
      </c>
      <c r="F18" s="51" t="n">
        <v>129</v>
      </c>
      <c r="G18" s="52" t="inlineStr">
        <is>
          <t>Shopify</t>
        </is>
      </c>
    </row>
    <row r="19">
      <c r="B19" s="53" t="inlineStr">
        <is>
          <t>GEB 102</t>
        </is>
      </c>
      <c r="C19" s="53" t="inlineStr">
        <is>
          <t>Primer Liso Intacto GE Beauty 150ml</t>
        </is>
      </c>
      <c r="D19" s="55" t="n"/>
      <c r="E19" s="55" t="n"/>
      <c r="F19" s="54" t="n">
        <v>139</v>
      </c>
      <c r="G19" s="55" t="inlineStr">
        <is>
          <t>Shopify</t>
        </is>
      </c>
    </row>
    <row r="20">
      <c r="B20" s="50" t="inlineStr">
        <is>
          <t>GEB 120</t>
        </is>
      </c>
      <c r="C20" s="50" t="inlineStr">
        <is>
          <t>Leave-in Pluma GE Beauty 200ml</t>
        </is>
      </c>
      <c r="D20" s="52" t="n"/>
      <c r="E20" s="52" t="n"/>
      <c r="F20" s="51" t="n">
        <v>149</v>
      </c>
      <c r="G20" s="52" t="inlineStr">
        <is>
          <t>Shopify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95959"/>
    <outlinePr summaryBelow="1" summaryRight="1"/>
    <pageSetUpPr/>
  </sheetPr>
  <dimension ref="B2:P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0.5" customHeight="1"/>
  <cols>
    <col width="2.5" customWidth="1" min="1" max="1"/>
    <col width="14" customWidth="1" min="2" max="2"/>
    <col width="12" customWidth="1" min="3" max="3"/>
    <col width="10" customWidth="1" min="4" max="4"/>
    <col width="12" customWidth="1" min="5" max="5"/>
    <col width="16" customWidth="1" min="6" max="6"/>
    <col width="10" customWidth="1" min="7" max="7"/>
    <col width="30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2" customWidth="1" min="14" max="14"/>
    <col width="14" customWidth="1" min="15" max="15"/>
    <col width="12" customWidth="1" min="16" max="16"/>
  </cols>
  <sheetData>
    <row r="2" ht="18" customHeight="1">
      <c r="B2" s="48" t="inlineStr">
        <is>
          <t>GE Beauty — B2B · Histórico de Deals</t>
        </is>
      </c>
      <c r="C2" s="49" t="n"/>
      <c r="D2" s="49" t="n"/>
      <c r="E2" s="49" t="n"/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</row>
    <row r="3" ht="26" customHeight="1">
      <c r="B3" s="41" t="inlineStr">
        <is>
          <t>Operador</t>
        </is>
      </c>
      <c r="C3" s="41" t="inlineStr">
        <is>
          <t>Data</t>
        </is>
      </c>
      <c r="D3" s="41" t="inlineStr">
        <is>
          <t>NF</t>
        </is>
      </c>
      <c r="E3" s="41" t="inlineStr">
        <is>
          <t>Status</t>
        </is>
      </c>
      <c r="F3" s="41" t="inlineStr">
        <is>
          <t>ID_Deal</t>
        </is>
      </c>
      <c r="G3" s="41" t="inlineStr">
        <is>
          <t>SKU</t>
        </is>
      </c>
      <c r="H3" s="41" t="inlineStr">
        <is>
          <t>Produto</t>
        </is>
      </c>
      <c r="I3" s="41" t="inlineStr">
        <is>
          <t>Volume</t>
        </is>
      </c>
      <c r="J3" s="41" t="inlineStr">
        <is>
          <t>Preco</t>
        </is>
      </c>
      <c r="K3" s="41" t="inlineStr">
        <is>
          <t>Retail_hist</t>
        </is>
      </c>
      <c r="L3" s="41" t="inlineStr">
        <is>
          <t>Desconto_pct</t>
        </is>
      </c>
      <c r="M3" s="41" t="inlineStr">
        <is>
          <t>GM_pct</t>
        </is>
      </c>
      <c r="N3" s="41" t="inlineStr">
        <is>
          <t>Mês</t>
        </is>
      </c>
      <c r="O3" s="41" t="inlineStr">
        <is>
          <t>Receita</t>
        </is>
      </c>
      <c r="P3" s="41" t="inlineStr">
        <is>
          <t>Último preço</t>
        </is>
      </c>
    </row>
    <row r="4">
      <c r="B4" s="50" t="inlineStr">
        <is>
          <t>B4A</t>
        </is>
      </c>
      <c r="C4" s="56" t="n">
        <v>45933</v>
      </c>
      <c r="D4" s="57" t="inlineStr">
        <is>
          <t>00076502</t>
        </is>
      </c>
      <c r="E4" s="57" t="inlineStr">
        <is>
          <t>completed</t>
        </is>
      </c>
      <c r="F4" s="50" t="inlineStr">
        <is>
          <t>b4a_2025-10-03_nf00076502</t>
        </is>
      </c>
      <c r="G4" s="50" t="inlineStr">
        <is>
          <t>GEB 008</t>
        </is>
      </c>
      <c r="H4" s="50" t="inlineStr">
        <is>
          <t>Shampoo a Seco GE Beauty 150ml</t>
        </is>
      </c>
      <c r="I4" s="58" t="n">
        <v>300</v>
      </c>
      <c r="J4" s="51" t="n">
        <v>15</v>
      </c>
      <c r="K4" s="51" t="n"/>
      <c r="L4" s="59">
        <f>IFERROR(IF(K4=0,"",((K4-J4)/K4)),"")</f>
        <v/>
      </c>
      <c r="M4" s="59">
        <f>IFERROR((J4-INDEX(COGS!$D$4:$D$20,MATCH($G4,COGS!$B$4:$B$20,0)))/J4,"")</f>
        <v/>
      </c>
      <c r="N4" s="60">
        <f>EOMONTH(C4,-1)+1</f>
        <v/>
      </c>
      <c r="O4" s="51">
        <f>J4*I4</f>
        <v/>
      </c>
      <c r="P4" s="51">
        <f>IFERROR(INDEX($J$4:$J$503,MATCH(MAXIFS($C$4:$C$503,$G$4:$G$503,$G4,$B$4:$B$503,$B4),$C$4:$C$503,0)),"—")</f>
        <v/>
      </c>
    </row>
    <row r="5">
      <c r="B5" s="53" t="inlineStr">
        <is>
          <t>UAU Box</t>
        </is>
      </c>
      <c r="C5" s="61" t="n">
        <v>45967</v>
      </c>
      <c r="D5" s="62" t="inlineStr">
        <is>
          <t>00077620</t>
        </is>
      </c>
      <c r="E5" s="62" t="inlineStr">
        <is>
          <t>completed</t>
        </is>
      </c>
      <c r="F5" s="53" t="inlineStr">
        <is>
          <t>uaubox_2025-11-06_nf00077620</t>
        </is>
      </c>
      <c r="G5" s="53" t="inlineStr">
        <is>
          <t>GEB 019</t>
        </is>
      </c>
      <c r="H5" s="53" t="inlineStr">
        <is>
          <t>Booster Fortificante GE Beauty 15ml</t>
        </is>
      </c>
      <c r="I5" s="63" t="n">
        <v>1250</v>
      </c>
      <c r="J5" s="54" t="n">
        <v>16.37</v>
      </c>
      <c r="K5" s="54" t="n"/>
      <c r="L5" s="64">
        <f>IFERROR(IF(K5=0,"",((K5-J5)/K5)),"")</f>
        <v/>
      </c>
      <c r="M5" s="64">
        <f>IFERROR((J5-INDEX(COGS!$D$4:$D$20,MATCH($G5,COGS!$B$4:$B$20,0)))/J5,"")</f>
        <v/>
      </c>
      <c r="N5" s="65">
        <f>EOMONTH(C5,-1)+1</f>
        <v/>
      </c>
      <c r="O5" s="54">
        <f>J5*I5</f>
        <v/>
      </c>
      <c r="P5" s="54">
        <f>IFERROR(INDEX($J$4:$J$503,MATCH(MAXIFS($C$4:$C$503,$G$4:$G$503,$G5,$B$4:$B$503,$B5),$C$4:$C$503,0)),"—")</f>
        <v/>
      </c>
    </row>
    <row r="6">
      <c r="B6" s="50" t="inlineStr">
        <is>
          <t>UAU Box</t>
        </is>
      </c>
      <c r="C6" s="56" t="n">
        <v>45967</v>
      </c>
      <c r="D6" s="57" t="inlineStr">
        <is>
          <t>00077620</t>
        </is>
      </c>
      <c r="E6" s="57" t="inlineStr">
        <is>
          <t>completed</t>
        </is>
      </c>
      <c r="F6" s="50" t="inlineStr">
        <is>
          <t>uaubox_2025-11-06_nf00077620</t>
        </is>
      </c>
      <c r="G6" s="50" t="inlineStr">
        <is>
          <t>GEB 023</t>
        </is>
      </c>
      <c r="H6" s="50" t="inlineStr">
        <is>
          <t>Booster Antioxidante GE Beauty 15ml</t>
        </is>
      </c>
      <c r="I6" s="58" t="n">
        <v>1250</v>
      </c>
      <c r="J6" s="51" t="n">
        <v>18.32</v>
      </c>
      <c r="K6" s="51" t="n"/>
      <c r="L6" s="59">
        <f>IFERROR(IF(K6=0,"",((K6-J6)/K6)),"")</f>
        <v/>
      </c>
      <c r="M6" s="59">
        <f>IFERROR((J6-INDEX(COGS!$D$4:$D$20,MATCH($G6,COGS!$B$4:$B$20,0)))/J6,"")</f>
        <v/>
      </c>
      <c r="N6" s="60">
        <f>EOMONTH(C6,-1)+1</f>
        <v/>
      </c>
      <c r="O6" s="51">
        <f>J6*I6</f>
        <v/>
      </c>
      <c r="P6" s="51">
        <f>IFERROR(INDEX($J$4:$J$503,MATCH(MAXIFS($C$4:$C$503,$G$4:$G$503,$G6,$B$4:$B$503,$B6),$C$4:$C$503,0)),"—")</f>
        <v/>
      </c>
    </row>
    <row r="7">
      <c r="B7" s="53" t="inlineStr">
        <is>
          <t>UAU Box</t>
        </is>
      </c>
      <c r="C7" s="61" t="n">
        <v>46062</v>
      </c>
      <c r="D7" s="62" t="inlineStr">
        <is>
          <t>84.166</t>
        </is>
      </c>
      <c r="E7" s="62" t="inlineStr">
        <is>
          <t>completed</t>
        </is>
      </c>
      <c r="F7" s="53" t="inlineStr">
        <is>
          <t>uaubox-2026-02</t>
        </is>
      </c>
      <c r="G7" s="53" t="inlineStr">
        <is>
          <t>GEB 008</t>
        </is>
      </c>
      <c r="H7" s="53" t="inlineStr">
        <is>
          <t>Shampoo a Seco GE Beauty 150ml</t>
        </is>
      </c>
      <c r="I7" s="63" t="n">
        <v>17000</v>
      </c>
      <c r="J7" s="54" t="n">
        <v>17.19</v>
      </c>
      <c r="K7" s="54" t="n">
        <v>58.65</v>
      </c>
      <c r="L7" s="64">
        <f>IFERROR(IF(K7=0,"",((K7-J7)/K7)),"")</f>
        <v/>
      </c>
      <c r="M7" s="64">
        <f>IFERROR((J7-INDEX(COGS!$D$4:$D$20,MATCH($G7,COGS!$B$4:$B$20,0)))/J7,"")</f>
        <v/>
      </c>
      <c r="N7" s="65">
        <f>EOMONTH(C7,-1)+1</f>
        <v/>
      </c>
      <c r="O7" s="54">
        <f>J7*I7</f>
        <v/>
      </c>
      <c r="P7" s="54">
        <f>IFERROR(INDEX($J$4:$J$503,MATCH(MAXIFS($C$4:$C$503,$G$4:$G$503,$G7,$B$4:$B$503,$B7),$C$4:$C$503,0)),"—")</f>
        <v/>
      </c>
    </row>
    <row r="8">
      <c r="B8" s="50" t="inlineStr">
        <is>
          <t>UAU Box</t>
        </is>
      </c>
      <c r="C8" s="56" t="n">
        <v>46112</v>
      </c>
      <c r="D8" s="57" t="inlineStr">
        <is>
          <t>00001921</t>
        </is>
      </c>
      <c r="E8" s="57" t="inlineStr">
        <is>
          <t>completed</t>
        </is>
      </c>
      <c r="F8" s="50" t="inlineStr">
        <is>
          <t>uaubox_2026-03-31_nf00001921</t>
        </is>
      </c>
      <c r="G8" s="50" t="inlineStr">
        <is>
          <t>GEB 020</t>
        </is>
      </c>
      <c r="H8" s="50" t="inlineStr">
        <is>
          <t>Booster Hidratante GE Beauty 15ml</t>
        </is>
      </c>
      <c r="I8" s="58" t="n">
        <v>17000</v>
      </c>
      <c r="J8" s="51" t="n">
        <v>18.29</v>
      </c>
      <c r="K8" s="51" t="n"/>
      <c r="L8" s="59">
        <f>IFERROR(IF(K8=0,"",((K8-J8)/K8)),"")</f>
        <v/>
      </c>
      <c r="M8" s="59">
        <f>IFERROR((J8-INDEX(COGS!$D$4:$D$20,MATCH($G8,COGS!$B$4:$B$20,0)))/J8,"")</f>
        <v/>
      </c>
      <c r="N8" s="60">
        <f>EOMONTH(C8,-1)+1</f>
        <v/>
      </c>
      <c r="O8" s="51">
        <f>J8*I8</f>
        <v/>
      </c>
      <c r="P8" s="51">
        <f>IFERROR(INDEX($J$4:$J$503,MATCH(MAXIFS($C$4:$C$503,$G$4:$G$503,$G8,$B$4:$B$503,$B8),$C$4:$C$503,0)),"—")</f>
        <v/>
      </c>
    </row>
    <row r="9">
      <c r="B9" s="53" t="inlineStr">
        <is>
          <t>Magenta</t>
        </is>
      </c>
      <c r="C9" s="61" t="n">
        <v>46112</v>
      </c>
      <c r="D9" s="62" t="inlineStr">
        <is>
          <t>00001928</t>
        </is>
      </c>
      <c r="E9" s="62" t="inlineStr">
        <is>
          <t>completed</t>
        </is>
      </c>
      <c r="F9" s="53" t="inlineStr">
        <is>
          <t>magenta_2026-03-31_nf00001928</t>
        </is>
      </c>
      <c r="G9" s="53" t="inlineStr">
        <is>
          <t>GEB 003</t>
        </is>
      </c>
      <c r="H9" s="53" t="inlineStr">
        <is>
          <t>Leave-in com proteção térmica GE Beauty 150ml</t>
        </is>
      </c>
      <c r="I9" s="63" t="n">
        <v>2000</v>
      </c>
      <c r="J9" s="54" t="n">
        <v>13.5</v>
      </c>
      <c r="K9" s="54" t="n"/>
      <c r="L9" s="64">
        <f>IFERROR(IF(K9=0,"",((K9-J9)/K9)),"")</f>
        <v/>
      </c>
      <c r="M9" s="64">
        <f>IFERROR((J9-INDEX(COGS!$D$4:$D$20,MATCH($G9,COGS!$B$4:$B$20,0)))/J9,"")</f>
        <v/>
      </c>
      <c r="N9" s="65">
        <f>EOMONTH(C9,-1)+1</f>
        <v/>
      </c>
      <c r="O9" s="54">
        <f>J9*I9</f>
        <v/>
      </c>
      <c r="P9" s="54">
        <f>IFERROR(INDEX($J$4:$J$503,MATCH(MAXIFS($C$4:$C$503,$G$4:$G$503,$G9,$B$4:$B$503,$B9),$C$4:$C$503,0)),"—")</f>
        <v/>
      </c>
    </row>
    <row r="10">
      <c r="B10" s="50" t="inlineStr">
        <is>
          <t>Magenta</t>
        </is>
      </c>
      <c r="C10" s="56" t="n">
        <v>46112</v>
      </c>
      <c r="D10" s="57" t="inlineStr">
        <is>
          <t>00001928</t>
        </is>
      </c>
      <c r="E10" s="57" t="inlineStr">
        <is>
          <t>completed</t>
        </is>
      </c>
      <c r="F10" s="50" t="inlineStr">
        <is>
          <t>magenta_2026-03-31_nf00001928</t>
        </is>
      </c>
      <c r="G10" s="50" t="inlineStr">
        <is>
          <t>GEB 002</t>
        </is>
      </c>
      <c r="H10" s="50" t="inlineStr">
        <is>
          <t>Máscara Condicionadora GE Beauty 200ml</t>
        </is>
      </c>
      <c r="I10" s="58" t="n">
        <v>560</v>
      </c>
      <c r="J10" s="51" t="n">
        <v>16.5</v>
      </c>
      <c r="K10" s="51" t="n"/>
      <c r="L10" s="59">
        <f>IFERROR(IF(K10=0,"",((K10-J10)/K10)),"")</f>
        <v/>
      </c>
      <c r="M10" s="59">
        <f>IFERROR((J10-INDEX(COGS!$D$4:$D$20,MATCH($G10,COGS!$B$4:$B$20,0)))/J10,"")</f>
        <v/>
      </c>
      <c r="N10" s="60">
        <f>EOMONTH(C10,-1)+1</f>
        <v/>
      </c>
      <c r="O10" s="51">
        <f>J10*I10</f>
        <v/>
      </c>
      <c r="P10" s="51">
        <f>IFERROR(INDEX($J$4:$J$503,MATCH(MAXIFS($C$4:$C$503,$G$4:$G$503,$G10,$B$4:$B$503,$B10),$C$4:$C$503,0)),"—")</f>
        <v/>
      </c>
    </row>
    <row r="11">
      <c r="B11" s="53" t="inlineStr">
        <is>
          <t>UAU Box</t>
        </is>
      </c>
      <c r="C11" s="61" t="n">
        <v>46129</v>
      </c>
      <c r="D11" s="62" t="inlineStr">
        <is>
          <t>00002174</t>
        </is>
      </c>
      <c r="E11" s="62" t="inlineStr">
        <is>
          <t>completed</t>
        </is>
      </c>
      <c r="F11" s="53" t="inlineStr">
        <is>
          <t>uaubox_2026-04-17_nf00002174</t>
        </is>
      </c>
      <c r="G11" s="53" t="inlineStr">
        <is>
          <t>GEB 020</t>
        </is>
      </c>
      <c r="H11" s="53" t="inlineStr">
        <is>
          <t>Booster Hidratante GE Beauty 15ml</t>
        </is>
      </c>
      <c r="I11" s="63" t="n">
        <v>1500</v>
      </c>
      <c r="J11" s="54" t="n">
        <v>18.29</v>
      </c>
      <c r="K11" s="54" t="n"/>
      <c r="L11" s="64">
        <f>IFERROR(IF(K11=0,"",((K11-J11)/K11)),"")</f>
        <v/>
      </c>
      <c r="M11" s="64">
        <f>IFERROR((J11-INDEX(COGS!$D$4:$D$20,MATCH($G11,COGS!$B$4:$B$20,0)))/J11,"")</f>
        <v/>
      </c>
      <c r="N11" s="65">
        <f>EOMONTH(C11,-1)+1</f>
        <v/>
      </c>
      <c r="O11" s="54">
        <f>J11*I11</f>
        <v/>
      </c>
      <c r="P11" s="54">
        <f>IFERROR(INDEX($J$4:$J$503,MATCH(MAXIFS($C$4:$C$503,$G$4:$G$503,$G11,$B$4:$B$503,$B11),$C$4:$C$503,0)),"—")</f>
        <v/>
      </c>
    </row>
    <row r="12">
      <c r="B12" s="50" t="inlineStr">
        <is>
          <t>Magenta</t>
        </is>
      </c>
      <c r="C12" s="56" t="n">
        <v>46169</v>
      </c>
      <c r="D12" s="57" t="inlineStr">
        <is>
          <t>00002682</t>
        </is>
      </c>
      <c r="E12" s="57" t="inlineStr">
        <is>
          <t>completed</t>
        </is>
      </c>
      <c r="F12" s="50" t="inlineStr">
        <is>
          <t>magenta_2026-05-27_nf00002682</t>
        </is>
      </c>
      <c r="G12" s="50" t="inlineStr">
        <is>
          <t>GEB 003</t>
        </is>
      </c>
      <c r="H12" s="50" t="inlineStr">
        <is>
          <t>Leave-in com proteção térmica GE Beauty 150ml</t>
        </is>
      </c>
      <c r="I12" s="58" t="n">
        <v>1000</v>
      </c>
      <c r="J12" s="51" t="n">
        <v>18.81</v>
      </c>
      <c r="K12" s="51" t="n"/>
      <c r="L12" s="59">
        <f>IFERROR(IF(K12=0,"",((K12-J12)/K12)),"")</f>
        <v/>
      </c>
      <c r="M12" s="59">
        <f>IFERROR((J12-INDEX(COGS!$D$4:$D$20,MATCH($G12,COGS!$B$4:$B$20,0)))/J12,"")</f>
        <v/>
      </c>
      <c r="N12" s="60">
        <f>EOMONTH(C12,-1)+1</f>
        <v/>
      </c>
      <c r="O12" s="51">
        <f>J12*I12</f>
        <v/>
      </c>
      <c r="P12" s="51">
        <f>IFERROR(INDEX($J$4:$J$503,MATCH(MAXIFS($C$4:$C$503,$G$4:$G$503,$G12,$B$4:$B$503,$B12),$C$4:$C$503,0)),"—")</f>
        <v/>
      </c>
    </row>
    <row r="13">
      <c r="B13" s="53" t="inlineStr">
        <is>
          <t>Magenta</t>
        </is>
      </c>
      <c r="C13" s="61" t="n">
        <v>46169</v>
      </c>
      <c r="D13" s="62" t="inlineStr">
        <is>
          <t>00002682</t>
        </is>
      </c>
      <c r="E13" s="62" t="inlineStr">
        <is>
          <t>completed</t>
        </is>
      </c>
      <c r="F13" s="53" t="inlineStr">
        <is>
          <t>magenta_2026-05-27_nf00002682</t>
        </is>
      </c>
      <c r="G13" s="53" t="inlineStr">
        <is>
          <t>GEB 002</t>
        </is>
      </c>
      <c r="H13" s="53" t="inlineStr">
        <is>
          <t>Máscara Condicionadora GE Beauty 200ml</t>
        </is>
      </c>
      <c r="I13" s="63" t="n">
        <v>1000</v>
      </c>
      <c r="J13" s="54" t="n">
        <v>19.17</v>
      </c>
      <c r="K13" s="54" t="n"/>
      <c r="L13" s="64">
        <f>IFERROR(IF(K13=0,"",((K13-J13)/K13)),"")</f>
        <v/>
      </c>
      <c r="M13" s="64">
        <f>IFERROR((J13-INDEX(COGS!$D$4:$D$20,MATCH($G13,COGS!$B$4:$B$20,0)))/J13,"")</f>
        <v/>
      </c>
      <c r="N13" s="65">
        <f>EOMONTH(C13,-1)+1</f>
        <v/>
      </c>
      <c r="O13" s="54">
        <f>J13*I13</f>
        <v/>
      </c>
      <c r="P13" s="54">
        <f>IFERROR(INDEX($J$4:$J$503,MATCH(MAXIFS($C$4:$C$503,$G$4:$G$503,$G13,$B$4:$B$503,$B13),$C$4:$C$503,0)),"—")</f>
        <v/>
      </c>
    </row>
    <row r="14">
      <c r="B14" s="50" t="inlineStr">
        <is>
          <t>B4A</t>
        </is>
      </c>
      <c r="C14" s="56" t="n">
        <v>46171</v>
      </c>
      <c r="D14" s="57" t="inlineStr">
        <is>
          <t>00002701</t>
        </is>
      </c>
      <c r="E14" s="57" t="inlineStr">
        <is>
          <t>completed</t>
        </is>
      </c>
      <c r="F14" s="50" t="inlineStr">
        <is>
          <t>b4a_2026-05-29_nf00002701</t>
        </is>
      </c>
      <c r="G14" s="50" t="inlineStr">
        <is>
          <t>GEB 013</t>
        </is>
      </c>
      <c r="H14" s="50" t="inlineStr">
        <is>
          <t>Shampoo GE Beauty 60 ml</t>
        </is>
      </c>
      <c r="I14" s="58" t="n">
        <v>15000</v>
      </c>
      <c r="J14" s="51" t="n">
        <v>7</v>
      </c>
      <c r="K14" s="51" t="n"/>
      <c r="L14" s="59">
        <f>IFERROR(IF(K14=0,"",((K14-J14)/K14)),"")</f>
        <v/>
      </c>
      <c r="M14" s="59">
        <f>IFERROR((J14-INDEX(COGS!$D$4:$D$20,MATCH($G14,COGS!$B$4:$B$20,0)))/J14,"")</f>
        <v/>
      </c>
      <c r="N14" s="60">
        <f>EOMONTH(C14,-1)+1</f>
        <v/>
      </c>
      <c r="O14" s="51">
        <f>J14*I14</f>
        <v/>
      </c>
      <c r="P14" s="51">
        <f>IFERROR(INDEX($J$4:$J$503,MATCH(MAXIFS($C$4:$C$503,$G$4:$G$503,$G14,$B$4:$B$503,$B14),$C$4:$C$503,0)),"—")</f>
        <v/>
      </c>
    </row>
    <row r="15">
      <c r="B15" s="53" t="inlineStr">
        <is>
          <t>B4A</t>
        </is>
      </c>
      <c r="C15" s="61" t="n">
        <v>46171</v>
      </c>
      <c r="D15" s="62" t="inlineStr">
        <is>
          <t>00002702</t>
        </is>
      </c>
      <c r="E15" s="62" t="inlineStr">
        <is>
          <t>completed</t>
        </is>
      </c>
      <c r="F15" s="53" t="inlineStr">
        <is>
          <t>b4a_2026-05-29_nf00002702</t>
        </is>
      </c>
      <c r="G15" s="53" t="inlineStr">
        <is>
          <t>GEB 010</t>
        </is>
      </c>
      <c r="H15" s="53" t="inlineStr">
        <is>
          <t>Mascara Condicionadora GE Beauty 50ml</t>
        </is>
      </c>
      <c r="I15" s="63" t="n">
        <v>15000</v>
      </c>
      <c r="J15" s="54" t="n">
        <v>7</v>
      </c>
      <c r="K15" s="54" t="n"/>
      <c r="L15" s="64">
        <f>IFERROR(IF(K15=0,"",((K15-J15)/K15)),"")</f>
        <v/>
      </c>
      <c r="M15" s="64">
        <f>IFERROR((J15-INDEX(COGS!$D$4:$D$20,MATCH($G15,COGS!$B$4:$B$20,0)))/J15,"")</f>
        <v/>
      </c>
      <c r="N15" s="65">
        <f>EOMONTH(C15,-1)+1</f>
        <v/>
      </c>
      <c r="O15" s="54">
        <f>J15*I15</f>
        <v/>
      </c>
      <c r="P15" s="54">
        <f>IFERROR(INDEX($J$4:$J$503,MATCH(MAXIFS($C$4:$C$503,$G$4:$G$503,$G15,$B$4:$B$503,$B15),$C$4:$C$503,0)),"—")</f>
        <v/>
      </c>
    </row>
    <row r="16">
      <c r="B16" s="50" t="inlineStr">
        <is>
          <t>UAU Box</t>
        </is>
      </c>
      <c r="C16" s="56" t="n">
        <v>46310</v>
      </c>
      <c r="D16" s="57" t="n"/>
      <c r="E16" s="57" t="inlineStr">
        <is>
          <t>contracted</t>
        </is>
      </c>
      <c r="F16" s="50" t="inlineStr">
        <is>
          <t>uaubox_2026-11_contracted</t>
        </is>
      </c>
      <c r="G16" s="50" t="inlineStr">
        <is>
          <t>GEB 021</t>
        </is>
      </c>
      <c r="H16" s="50" t="inlineStr">
        <is>
          <t>Booster Definição GE Beauty 15ml</t>
        </is>
      </c>
      <c r="I16" s="58" t="n">
        <v>17000</v>
      </c>
      <c r="J16" s="51" t="n">
        <v>21.83</v>
      </c>
      <c r="K16" s="51" t="n"/>
      <c r="L16" s="59">
        <f>IFERROR(IF(K16=0,"",((K16-J16)/K16)),"")</f>
        <v/>
      </c>
      <c r="M16" s="59">
        <f>IFERROR((J16-INDEX(COGS!$D$4:$D$20,MATCH($G16,COGS!$B$4:$B$20,0)))/J16,"")</f>
        <v/>
      </c>
      <c r="N16" s="60">
        <f>EOMONTH(C16,-1)+1</f>
        <v/>
      </c>
      <c r="O16" s="51">
        <f>J16*I16</f>
        <v/>
      </c>
      <c r="P16" s="51">
        <f>IFERROR(INDEX($J$4:$J$503,MATCH(MAXIFS($C$4:$C$503,$G$4:$G$503,$G16,$B$4:$B$503,$B16),$C$4:$C$503,0)),"—")</f>
        <v/>
      </c>
    </row>
    <row r="17">
      <c r="B17" s="53" t="inlineStr">
        <is>
          <t>B4A</t>
        </is>
      </c>
      <c r="C17" s="61" t="n">
        <v>46235</v>
      </c>
      <c r="D17" s="62" t="n"/>
      <c r="E17" s="62" t="inlineStr">
        <is>
          <t>completed</t>
        </is>
      </c>
      <c r="F17" s="53" t="inlineStr">
        <is>
          <t>b4a-2026-ago-out</t>
        </is>
      </c>
      <c r="G17" s="53" t="inlineStr">
        <is>
          <t>GEB 003</t>
        </is>
      </c>
      <c r="H17" s="53" t="inlineStr">
        <is>
          <t>Leave-in com proteção térmica GE Beauty 150ml</t>
        </is>
      </c>
      <c r="I17" s="63" t="n">
        <v>15000</v>
      </c>
      <c r="J17" s="54" t="n">
        <v>12</v>
      </c>
      <c r="K17" s="54" t="n">
        <v>84.15000000000001</v>
      </c>
      <c r="L17" s="64">
        <f>IFERROR(IF(K17=0,"",((K17-J17)/K17)),"")</f>
        <v/>
      </c>
      <c r="M17" s="64">
        <f>IFERROR((J17-INDEX(COGS!$D$4:$D$20,MATCH($G17,COGS!$B$4:$B$20,0)))/J17,"")</f>
        <v/>
      </c>
      <c r="N17" s="65">
        <f>EOMONTH(C17,-1)+1</f>
        <v/>
      </c>
      <c r="O17" s="54">
        <f>J17*I17</f>
        <v/>
      </c>
      <c r="P17" s="54">
        <f>IFERROR(INDEX($J$4:$J$503,MATCH(MAXIFS($C$4:$C$503,$G$4:$G$503,$G17,$B$4:$B$503,$B17),$C$4:$C$503,0)),"—")</f>
        <v/>
      </c>
    </row>
    <row r="18">
      <c r="B18" s="50" t="inlineStr">
        <is>
          <t>B4A</t>
        </is>
      </c>
      <c r="C18" s="56" t="n">
        <v>46235</v>
      </c>
      <c r="D18" s="57" t="n"/>
      <c r="E18" s="57" t="inlineStr">
        <is>
          <t>completed</t>
        </is>
      </c>
      <c r="F18" s="50" t="inlineStr">
        <is>
          <t>b4a-2026-ago-out</t>
        </is>
      </c>
      <c r="G18" s="50" t="inlineStr">
        <is>
          <t>GEB 008</t>
        </is>
      </c>
      <c r="H18" s="50" t="inlineStr">
        <is>
          <t>Shampoo a Seco GE Beauty 150ml</t>
        </is>
      </c>
      <c r="I18" s="58" t="n">
        <v>15000</v>
      </c>
      <c r="J18" s="51" t="n">
        <v>14</v>
      </c>
      <c r="K18" s="51" t="n">
        <v>58.65</v>
      </c>
      <c r="L18" s="59">
        <f>IFERROR(IF(K18=0,"",((K18-J18)/K18)),"")</f>
        <v/>
      </c>
      <c r="M18" s="59">
        <f>IFERROR((J18-INDEX(COGS!$D$4:$D$20,MATCH($G18,COGS!$B$4:$B$20,0)))/J18,"")</f>
        <v/>
      </c>
      <c r="N18" s="60">
        <f>EOMONTH(C18,-1)+1</f>
        <v/>
      </c>
      <c r="O18" s="51">
        <f>J18*I18</f>
        <v/>
      </c>
      <c r="P18" s="51">
        <f>IFERROR(INDEX($J$4:$J$503,MATCH(MAXIFS($C$4:$C$503,$G$4:$G$503,$G18,$B$4:$B$503,$B18),$C$4:$C$503,0)),"—")</f>
        <v/>
      </c>
    </row>
    <row r="19">
      <c r="B19" s="53" t="inlineStr">
        <is>
          <t>B4A</t>
        </is>
      </c>
      <c r="C19" s="61" t="n">
        <v>46235</v>
      </c>
      <c r="D19" s="62" t="n"/>
      <c r="E19" s="62" t="inlineStr">
        <is>
          <t>completed</t>
        </is>
      </c>
      <c r="F19" s="53" t="inlineStr">
        <is>
          <t>b4a-2026-ago-out</t>
        </is>
      </c>
      <c r="G19" s="53" t="inlineStr">
        <is>
          <t>GEB 022</t>
        </is>
      </c>
      <c r="H19" s="53" t="inlineStr">
        <is>
          <t>Booster Antifrizz GE Beauty 15ml</t>
        </is>
      </c>
      <c r="I19" s="63" t="n">
        <v>20000</v>
      </c>
      <c r="J19" s="54" t="n">
        <v>12</v>
      </c>
      <c r="K19" s="54" t="n">
        <v>67.15000000000001</v>
      </c>
      <c r="L19" s="64">
        <f>IFERROR(IF(K19=0,"",((K19-J19)/K19)),"")</f>
        <v/>
      </c>
      <c r="M19" s="64">
        <f>IFERROR((J19-INDEX(COGS!$D$4:$D$20,MATCH($G19,COGS!$B$4:$B$20,0)))/J19,"")</f>
        <v/>
      </c>
      <c r="N19" s="65">
        <f>EOMONTH(C19,-1)+1</f>
        <v/>
      </c>
      <c r="O19" s="54">
        <f>J19*I19</f>
        <v/>
      </c>
      <c r="P19" s="54">
        <f>IFERROR(INDEX($J$4:$J$503,MATCH(MAXIFS($C$4:$C$503,$G$4:$G$503,$G19,$B$4:$B$503,$B19),$C$4:$C$503,0)),"—")</f>
        <v/>
      </c>
    </row>
    <row r="20">
      <c r="B20" s="50" t="inlineStr">
        <is>
          <t>UAU Box</t>
        </is>
      </c>
      <c r="C20" s="56" t="n">
        <v>46205</v>
      </c>
      <c r="D20" s="57" t="n"/>
      <c r="E20" s="57" t="inlineStr">
        <is>
          <t>sent</t>
        </is>
      </c>
      <c r="F20" s="50" t="inlineStr">
        <is>
          <t>uaubox_proposta_2026-07-02</t>
        </is>
      </c>
      <c r="G20" s="50" t="inlineStr">
        <is>
          <t>GEB 024</t>
        </is>
      </c>
      <c r="H20" s="50" t="inlineStr">
        <is>
          <t>Body Hair Mist Melon Mood GE Beauty 200ml</t>
        </is>
      </c>
      <c r="I20" s="58" t="n">
        <v>20000</v>
      </c>
      <c r="J20" s="51" t="n">
        <v>45.15</v>
      </c>
      <c r="K20" s="51" t="n">
        <v>129</v>
      </c>
      <c r="L20" s="59">
        <f>IFERROR(IF(K20=0,"",((K20-J20)/K20)),"")</f>
        <v/>
      </c>
      <c r="M20" s="59">
        <f>IFERROR((J20-INDEX(COGS!$D$4:$D$20,MATCH($G20,COGS!$B$4:$B$20,0)))/J20,"")</f>
        <v/>
      </c>
      <c r="N20" s="60">
        <f>EOMONTH(C20,-1)+1</f>
        <v/>
      </c>
      <c r="O20" s="51">
        <f>J20*I20</f>
        <v/>
      </c>
      <c r="P20" s="51">
        <f>IFERROR(INDEX($J$4:$J$503,MATCH(MAXIFS($C$4:$C$503,$G$4:$G$503,$G20,$B$4:$B$503,$B20),$C$4:$C$503,0)),"—")</f>
        <v/>
      </c>
    </row>
    <row r="21">
      <c r="B21" s="53" t="inlineStr">
        <is>
          <t>UAU Box</t>
        </is>
      </c>
      <c r="C21" s="61" t="n">
        <v>46205</v>
      </c>
      <c r="D21" s="62" t="n"/>
      <c r="E21" s="62" t="inlineStr">
        <is>
          <t>sent</t>
        </is>
      </c>
      <c r="F21" s="53" t="inlineStr">
        <is>
          <t>uaubox_proposta_2026-07-02</t>
        </is>
      </c>
      <c r="G21" s="53" t="inlineStr">
        <is>
          <t>GEB 001</t>
        </is>
      </c>
      <c r="H21" s="53" t="inlineStr">
        <is>
          <t>Shampoo sem sulfato GE Beauty 250ml</t>
        </is>
      </c>
      <c r="I21" s="63" t="n">
        <v>20000</v>
      </c>
      <c r="J21" s="54" t="n">
        <v>33.25</v>
      </c>
      <c r="K21" s="54" t="n">
        <v>95</v>
      </c>
      <c r="L21" s="64">
        <f>IFERROR(IF(K21=0,"",((K21-J21)/K21)),"")</f>
        <v/>
      </c>
      <c r="M21" s="64">
        <f>IFERROR((J21-INDEX(COGS!$D$4:$D$20,MATCH($G21,COGS!$B$4:$B$20,0)))/J21,"")</f>
        <v/>
      </c>
      <c r="N21" s="65">
        <f>EOMONTH(C21,-1)+1</f>
        <v/>
      </c>
      <c r="O21" s="54">
        <f>J21*I21</f>
        <v/>
      </c>
      <c r="P21" s="54">
        <f>IFERROR(INDEX($J$4:$J$503,MATCH(MAXIFS($C$4:$C$503,$G$4:$G$503,$G21,$B$4:$B$503,$B21),$C$4:$C$503,0)),"—")</f>
        <v/>
      </c>
    </row>
    <row r="22">
      <c r="B22" s="50" t="inlineStr">
        <is>
          <t>UAU Box</t>
        </is>
      </c>
      <c r="C22" s="56" t="n">
        <v>46205</v>
      </c>
      <c r="D22" s="57" t="n"/>
      <c r="E22" s="57" t="inlineStr">
        <is>
          <t>sent</t>
        </is>
      </c>
      <c r="F22" s="50" t="inlineStr">
        <is>
          <t>uaubox_proposta_2026-07-02</t>
        </is>
      </c>
      <c r="G22" s="50" t="inlineStr">
        <is>
          <t>GEB 002</t>
        </is>
      </c>
      <c r="H22" s="50" t="inlineStr">
        <is>
          <t>Máscara Condicionadora GE Beauty 200ml</t>
        </is>
      </c>
      <c r="I22" s="58" t="n">
        <v>20000</v>
      </c>
      <c r="J22" s="51" t="n">
        <v>33.25</v>
      </c>
      <c r="K22" s="51" t="n">
        <v>95</v>
      </c>
      <c r="L22" s="59">
        <f>IFERROR(IF(K22=0,"",((K22-J22)/K22)),"")</f>
        <v/>
      </c>
      <c r="M22" s="59">
        <f>IFERROR((J22-INDEX(COGS!$D$4:$D$20,MATCH($G22,COGS!$B$4:$B$20,0)))/J22,"")</f>
        <v/>
      </c>
      <c r="N22" s="60">
        <f>EOMONTH(C22,-1)+1</f>
        <v/>
      </c>
      <c r="O22" s="51">
        <f>J22*I22</f>
        <v/>
      </c>
      <c r="P22" s="51">
        <f>IFERROR(INDEX($J$4:$J$503,MATCH(MAXIFS($C$4:$C$503,$G$4:$G$503,$G22,$B$4:$B$503,$B22),$C$4:$C$503,0)),"—")</f>
        <v/>
      </c>
    </row>
    <row r="23">
      <c r="B23" s="53" t="inlineStr">
        <is>
          <t>UAU Box</t>
        </is>
      </c>
      <c r="C23" s="61" t="n">
        <v>46205</v>
      </c>
      <c r="D23" s="62" t="n"/>
      <c r="E23" s="62" t="inlineStr">
        <is>
          <t>sent</t>
        </is>
      </c>
      <c r="F23" s="53" t="inlineStr">
        <is>
          <t>uaubox_proposta_2026-07-02</t>
        </is>
      </c>
      <c r="G23" s="53" t="inlineStr">
        <is>
          <t>GEB 121</t>
        </is>
      </c>
      <c r="H23" s="53" t="inlineStr">
        <is>
          <t>MÁSCARA RECONSTRUTORA MAYDAY GE Beauty (200ml)</t>
        </is>
      </c>
      <c r="I23" s="63" t="n">
        <v>20000</v>
      </c>
      <c r="J23" s="54" t="n">
        <v>48.65</v>
      </c>
      <c r="K23" s="54" t="n">
        <v>139</v>
      </c>
      <c r="L23" s="64">
        <f>IFERROR(IF(K23=0,"",((K23-J23)/K23)),"")</f>
        <v/>
      </c>
      <c r="M23" s="64">
        <f>IFERROR((J23-INDEX(COGS!$D$4:$D$20,MATCH($G23,COGS!$B$4:$B$20,0)))/J23,"")</f>
        <v/>
      </c>
      <c r="N23" s="65">
        <f>EOMONTH(C23,-1)+1</f>
        <v/>
      </c>
      <c r="O23" s="54">
        <f>J23*I23</f>
        <v/>
      </c>
      <c r="P23" s="54">
        <f>IFERROR(INDEX($J$4:$J$503,MATCH(MAXIFS($C$4:$C$503,$G$4:$G$503,$G23,$B$4:$B$503,$B23),$C$4:$C$503,0)),"—")</f>
        <v/>
      </c>
    </row>
    <row r="24">
      <c r="B24" s="50" t="inlineStr">
        <is>
          <t>UAU Box</t>
        </is>
      </c>
      <c r="C24" s="56" t="n">
        <v>46205</v>
      </c>
      <c r="D24" s="57" t="n"/>
      <c r="E24" s="57" t="inlineStr">
        <is>
          <t>sent</t>
        </is>
      </c>
      <c r="F24" s="50" t="inlineStr">
        <is>
          <t>uaubox_proposta_2026-07-02</t>
        </is>
      </c>
      <c r="G24" s="50" t="inlineStr">
        <is>
          <t>GEB 003</t>
        </is>
      </c>
      <c r="H24" s="50" t="inlineStr">
        <is>
          <t>Leave-in com proteção térmica GE Beauty 150ml</t>
        </is>
      </c>
      <c r="I24" s="58" t="n">
        <v>20000</v>
      </c>
      <c r="J24" s="51" t="n">
        <v>34.65</v>
      </c>
      <c r="K24" s="51" t="n">
        <v>99</v>
      </c>
      <c r="L24" s="59">
        <f>IFERROR(IF(K24=0,"",((K24-J24)/K24)),"")</f>
        <v/>
      </c>
      <c r="M24" s="59">
        <f>IFERROR((J24-INDEX(COGS!$D$4:$D$20,MATCH($G24,COGS!$B$4:$B$20,0)))/J24,"")</f>
        <v/>
      </c>
      <c r="N24" s="60">
        <f>EOMONTH(C24,-1)+1</f>
        <v/>
      </c>
      <c r="O24" s="51">
        <f>J24*I24</f>
        <v/>
      </c>
      <c r="P24" s="51">
        <f>IFERROR(INDEX($J$4:$J$503,MATCH(MAXIFS($C$4:$C$503,$G$4:$G$503,$G24,$B$4:$B$503,$B24),$C$4:$C$503,0)),"—")</f>
        <v/>
      </c>
    </row>
    <row r="25">
      <c r="B25" s="53" t="inlineStr">
        <is>
          <t>Magenta</t>
        </is>
      </c>
      <c r="C25" s="61" t="n">
        <v>46204</v>
      </c>
      <c r="D25" s="62" t="n"/>
      <c r="E25" s="62" t="inlineStr">
        <is>
          <t>sent</t>
        </is>
      </c>
      <c r="F25" s="53" t="inlineStr">
        <is>
          <t>magenta_proposta_2026-07-01</t>
        </is>
      </c>
      <c r="G25" s="53" t="inlineStr">
        <is>
          <t>GEB 024</t>
        </is>
      </c>
      <c r="H25" s="53" t="inlineStr">
        <is>
          <t>Body Hair Mist Melon Mood GE Beauty 200ml</t>
        </is>
      </c>
      <c r="I25" s="63" t="n">
        <v>5000</v>
      </c>
      <c r="J25" s="54" t="n">
        <v>28.5</v>
      </c>
      <c r="K25" s="54" t="n">
        <v>129</v>
      </c>
      <c r="L25" s="64">
        <f>IFERROR(IF(K25=0,"",((K25-J25)/K25)),"")</f>
        <v/>
      </c>
      <c r="M25" s="64">
        <f>IFERROR((J25-INDEX(COGS!$D$4:$D$20,MATCH($G25,COGS!$B$4:$B$20,0)))/J25,"")</f>
        <v/>
      </c>
      <c r="N25" s="65">
        <f>EOMONTH(C25,-1)+1</f>
        <v/>
      </c>
      <c r="O25" s="54">
        <f>J25*I25</f>
        <v/>
      </c>
      <c r="P25" s="54">
        <f>IFERROR(INDEX($J$4:$J$503,MATCH(MAXIFS($C$4:$C$503,$G$4:$G$503,$G25,$B$4:$B$503,$B25),$C$4:$C$503,0)),"—")</f>
        <v/>
      </c>
    </row>
    <row r="26">
      <c r="B26" s="50" t="inlineStr">
        <is>
          <t>Magenta</t>
        </is>
      </c>
      <c r="C26" s="56" t="n">
        <v>46204</v>
      </c>
      <c r="D26" s="57" t="n"/>
      <c r="E26" s="57" t="inlineStr">
        <is>
          <t>sent</t>
        </is>
      </c>
      <c r="F26" s="50" t="inlineStr">
        <is>
          <t>magenta_proposta_2026-07-01</t>
        </is>
      </c>
      <c r="G26" s="50" t="inlineStr">
        <is>
          <t>GEB 102</t>
        </is>
      </c>
      <c r="H26" s="50" t="inlineStr">
        <is>
          <t>Primer Liso Intacto GE Beauty 150ml</t>
        </is>
      </c>
      <c r="I26" s="58" t="n">
        <v>4000</v>
      </c>
      <c r="J26" s="51" t="n">
        <v>31</v>
      </c>
      <c r="K26" s="51" t="n">
        <v>118.15</v>
      </c>
      <c r="L26" s="59">
        <f>IFERROR(IF(K26=0,"",((K26-J26)/K26)),"")</f>
        <v/>
      </c>
      <c r="M26" s="59">
        <f>IFERROR((J26-INDEX(COGS!$D$4:$D$20,MATCH($G26,COGS!$B$4:$B$20,0)))/J26,"")</f>
        <v/>
      </c>
      <c r="N26" s="60">
        <f>EOMONTH(C26,-1)+1</f>
        <v/>
      </c>
      <c r="O26" s="51">
        <f>J26*I26</f>
        <v/>
      </c>
      <c r="P26" s="51">
        <f>IFERROR(INDEX($J$4:$J$503,MATCH(MAXIFS($C$4:$C$503,$G$4:$G$503,$G26,$B$4:$B$503,$B26),$C$4:$C$503,0)),"—")</f>
        <v/>
      </c>
    </row>
    <row r="27">
      <c r="B27" s="53" t="inlineStr">
        <is>
          <t>Magenta</t>
        </is>
      </c>
      <c r="C27" s="61" t="n">
        <v>46204</v>
      </c>
      <c r="D27" s="62" t="n"/>
      <c r="E27" s="62" t="inlineStr">
        <is>
          <t>sent</t>
        </is>
      </c>
      <c r="F27" s="53" t="inlineStr">
        <is>
          <t>magenta_proposta_2026-07-01</t>
        </is>
      </c>
      <c r="G27" s="53" t="inlineStr">
        <is>
          <t>GEB 029</t>
        </is>
      </c>
      <c r="H27" s="53" t="inlineStr">
        <is>
          <t>Melon Mood Mini Body &amp; Hair Mist</t>
        </is>
      </c>
      <c r="I27" s="63" t="n">
        <v>4000</v>
      </c>
      <c r="J27" s="54" t="n">
        <v>23.45</v>
      </c>
      <c r="K27" s="54" t="n">
        <v>79</v>
      </c>
      <c r="L27" s="64">
        <f>IFERROR(IF(K27=0,"",((K27-J27)/K27)),"")</f>
        <v/>
      </c>
      <c r="M27" s="64">
        <f>IFERROR((J27-INDEX(COGS!$D$4:$D$20,MATCH($G27,COGS!$B$4:$B$20,0)))/J27,"")</f>
        <v/>
      </c>
      <c r="N27" s="65">
        <f>EOMONTH(C27,-1)+1</f>
        <v/>
      </c>
      <c r="O27" s="54">
        <f>J27*I27</f>
        <v/>
      </c>
      <c r="P27" s="54">
        <f>IFERROR(INDEX($J$4:$J$503,MATCH(MAXIFS($C$4:$C$503,$G$4:$G$503,$G27,$B$4:$B$503,$B27),$C$4:$C$503,0)),"—")</f>
        <v/>
      </c>
    </row>
    <row r="28">
      <c r="B28" s="50" t="inlineStr">
        <is>
          <t>Magenta</t>
        </is>
      </c>
      <c r="C28" s="56" t="n">
        <v>46204</v>
      </c>
      <c r="D28" s="57" t="n"/>
      <c r="E28" s="57" t="inlineStr">
        <is>
          <t>sent</t>
        </is>
      </c>
      <c r="F28" s="50" t="inlineStr">
        <is>
          <t>magenta_proposta_2026-07-01</t>
        </is>
      </c>
      <c r="G28" s="50" t="inlineStr">
        <is>
          <t>GEB 023</t>
        </is>
      </c>
      <c r="H28" s="50" t="inlineStr">
        <is>
          <t>Booster Antioxidante GE Beauty 15ml</t>
        </is>
      </c>
      <c r="I28" s="58" t="n">
        <v>3000</v>
      </c>
      <c r="J28" s="51" t="n">
        <v>24.65</v>
      </c>
      <c r="K28" s="51" t="n">
        <v>63.75</v>
      </c>
      <c r="L28" s="59">
        <f>IFERROR(IF(K28=0,"",((K28-J28)/K28)),"")</f>
        <v/>
      </c>
      <c r="M28" s="59">
        <f>IFERROR((J28-INDEX(COGS!$D$4:$D$20,MATCH($G28,COGS!$B$4:$B$20,0)))/J28,"")</f>
        <v/>
      </c>
      <c r="N28" s="60">
        <f>EOMONTH(C28,-1)+1</f>
        <v/>
      </c>
      <c r="O28" s="51">
        <f>J28*I28</f>
        <v/>
      </c>
      <c r="P28" s="51">
        <f>IFERROR(INDEX($J$4:$J$503,MATCH(MAXIFS($C$4:$C$503,$G$4:$G$503,$G28,$B$4:$B$503,$B28),$C$4:$C$503,0)),"—")</f>
        <v/>
      </c>
    </row>
    <row r="29">
      <c r="B29" s="53" t="inlineStr">
        <is>
          <t>Magenta</t>
        </is>
      </c>
      <c r="C29" s="61" t="n">
        <v>46204</v>
      </c>
      <c r="D29" s="62" t="n"/>
      <c r="E29" s="62" t="inlineStr">
        <is>
          <t>sent</t>
        </is>
      </c>
      <c r="F29" s="53" t="inlineStr">
        <is>
          <t>magenta_proposta_2026-07-01</t>
        </is>
      </c>
      <c r="G29" s="53" t="inlineStr">
        <is>
          <t>GEB 011</t>
        </is>
      </c>
      <c r="H29" s="53" t="inlineStr">
        <is>
          <t>Leave-in GE Beauty 50ml</t>
        </is>
      </c>
      <c r="I29" s="63" t="n">
        <v>3000</v>
      </c>
      <c r="J29" s="54" t="n">
        <v>12</v>
      </c>
      <c r="K29" s="54" t="n"/>
      <c r="L29" s="64">
        <f>IFERROR(IF(K29=0,"",((K29-J29)/K29)),"")</f>
        <v/>
      </c>
      <c r="M29" s="64">
        <f>IFERROR((J29-INDEX(COGS!$D$4:$D$20,MATCH($G29,COGS!$B$4:$B$20,0)))/J29,"")</f>
        <v/>
      </c>
      <c r="N29" s="65">
        <f>EOMONTH(C29,-1)+1</f>
        <v/>
      </c>
      <c r="O29" s="54">
        <f>J29*I29</f>
        <v/>
      </c>
      <c r="P29" s="54">
        <f>IFERROR(INDEX($J$4:$J$503,MATCH(MAXIFS($C$4:$C$503,$G$4:$G$503,$G29,$B$4:$B$503,$B29),$C$4:$C$503,0)),"—")</f>
        <v/>
      </c>
    </row>
    <row r="30">
      <c r="B30" s="50" t="inlineStr">
        <is>
          <t>Magenta</t>
        </is>
      </c>
      <c r="C30" s="56" t="n">
        <v>46204</v>
      </c>
      <c r="D30" s="57" t="n"/>
      <c r="E30" s="57" t="inlineStr">
        <is>
          <t>sent</t>
        </is>
      </c>
      <c r="F30" s="50" t="inlineStr">
        <is>
          <t>magenta_proposta_2026-07-01</t>
        </is>
      </c>
      <c r="G30" s="50" t="inlineStr">
        <is>
          <t>GEB 013</t>
        </is>
      </c>
      <c r="H30" s="50" t="inlineStr">
        <is>
          <t>Shampoo GE Beauty 60 ml</t>
        </is>
      </c>
      <c r="I30" s="58" t="n">
        <v>3000</v>
      </c>
      <c r="J30" s="51" t="n">
        <v>11</v>
      </c>
      <c r="K30" s="51" t="n">
        <v>40</v>
      </c>
      <c r="L30" s="59">
        <f>IFERROR(IF(K30=0,"",((K30-J30)/K30)),"")</f>
        <v/>
      </c>
      <c r="M30" s="59">
        <f>IFERROR((J30-INDEX(COGS!$D$4:$D$20,MATCH($G30,COGS!$B$4:$B$20,0)))/J30,"")</f>
        <v/>
      </c>
      <c r="N30" s="60">
        <f>EOMONTH(C30,-1)+1</f>
        <v/>
      </c>
      <c r="O30" s="51">
        <f>J30*I30</f>
        <v/>
      </c>
      <c r="P30" s="51">
        <f>IFERROR(INDEX($J$4:$J$503,MATCH(MAXIFS($C$4:$C$503,$G$4:$G$503,$G30,$B$4:$B$503,$B30),$C$4:$C$503,0)),"—")</f>
        <v/>
      </c>
    </row>
    <row r="31">
      <c r="B31" s="53" t="inlineStr">
        <is>
          <t>Magenta</t>
        </is>
      </c>
      <c r="C31" s="61" t="n">
        <v>46204</v>
      </c>
      <c r="D31" s="62" t="n"/>
      <c r="E31" s="62" t="inlineStr">
        <is>
          <t>sent</t>
        </is>
      </c>
      <c r="F31" s="53" t="inlineStr">
        <is>
          <t>magenta_proposta_2026-07-01</t>
        </is>
      </c>
      <c r="G31" s="53" t="inlineStr">
        <is>
          <t>GEB 010</t>
        </is>
      </c>
      <c r="H31" s="53" t="inlineStr">
        <is>
          <t>Mascara Condicionadora GE Beauty 50ml</t>
        </is>
      </c>
      <c r="I31" s="63" t="n">
        <v>3000</v>
      </c>
      <c r="J31" s="54" t="n">
        <v>11</v>
      </c>
      <c r="K31" s="54" t="n">
        <v>40</v>
      </c>
      <c r="L31" s="64">
        <f>IFERROR(IF(K31=0,"",((K31-J31)/K31)),"")</f>
        <v/>
      </c>
      <c r="M31" s="64">
        <f>IFERROR((J31-INDEX(COGS!$D$4:$D$20,MATCH($G31,COGS!$B$4:$B$20,0)))/J31,"")</f>
        <v/>
      </c>
      <c r="N31" s="65">
        <f>EOMONTH(C31,-1)+1</f>
        <v/>
      </c>
      <c r="O31" s="54">
        <f>J31*I31</f>
        <v/>
      </c>
      <c r="P31" s="54">
        <f>IFERROR(INDEX($J$4:$J$503,MATCH(MAXIFS($C$4:$C$503,$G$4:$G$503,$G31,$B$4:$B$503,$B31),$C$4:$C$503,0)),"—")</f>
        <v/>
      </c>
    </row>
    <row r="32">
      <c r="B32" s="50" t="inlineStr">
        <is>
          <t>Magenta</t>
        </is>
      </c>
      <c r="C32" s="56" t="n">
        <v>46204</v>
      </c>
      <c r="D32" s="57" t="n"/>
      <c r="E32" s="57" t="inlineStr">
        <is>
          <t>sent</t>
        </is>
      </c>
      <c r="F32" s="50" t="inlineStr">
        <is>
          <t>magenta_proposta_2026-07-01</t>
        </is>
      </c>
      <c r="G32" s="50" t="inlineStr">
        <is>
          <t>GEB 022</t>
        </is>
      </c>
      <c r="H32" s="50" t="inlineStr">
        <is>
          <t>Booster Antifrizz GE Beauty 15ml</t>
        </is>
      </c>
      <c r="I32" s="58" t="n">
        <v>2000</v>
      </c>
      <c r="J32" s="51" t="n">
        <v>22.7</v>
      </c>
      <c r="K32" s="51" t="n">
        <v>67.15000000000001</v>
      </c>
      <c r="L32" s="59">
        <f>IFERROR(IF(K32=0,"",((K32-J32)/K32)),"")</f>
        <v/>
      </c>
      <c r="M32" s="59">
        <f>IFERROR((J32-INDEX(COGS!$D$4:$D$20,MATCH($G32,COGS!$B$4:$B$20,0)))/J32,"")</f>
        <v/>
      </c>
      <c r="N32" s="60">
        <f>EOMONTH(C32,-1)+1</f>
        <v/>
      </c>
      <c r="O32" s="51">
        <f>J32*I32</f>
        <v/>
      </c>
      <c r="P32" s="51">
        <f>IFERROR(INDEX($J$4:$J$503,MATCH(MAXIFS($C$4:$C$503,$G$4:$G$503,$G32,$B$4:$B$503,$B32),$C$4:$C$503,0)),"—")</f>
        <v/>
      </c>
    </row>
    <row r="33">
      <c r="B33" s="53" t="inlineStr">
        <is>
          <t>Magenta</t>
        </is>
      </c>
      <c r="C33" s="61" t="n">
        <v>46204</v>
      </c>
      <c r="D33" s="62" t="n"/>
      <c r="E33" s="62" t="inlineStr">
        <is>
          <t>sent</t>
        </is>
      </c>
      <c r="F33" s="53" t="inlineStr">
        <is>
          <t>magenta_proposta_2026-07-01</t>
        </is>
      </c>
      <c r="G33" s="53" t="inlineStr">
        <is>
          <t>GEB 008</t>
        </is>
      </c>
      <c r="H33" s="53" t="inlineStr">
        <is>
          <t>Shampoo a Seco GE Beauty 150ml</t>
        </is>
      </c>
      <c r="I33" s="63" t="n">
        <v>1000</v>
      </c>
      <c r="J33" s="54" t="n">
        <v>18</v>
      </c>
      <c r="K33" s="54" t="n">
        <v>58.65</v>
      </c>
      <c r="L33" s="64">
        <f>IFERROR(IF(K33=0,"",((K33-J33)/K33)),"")</f>
        <v/>
      </c>
      <c r="M33" s="64">
        <f>IFERROR((J33-INDEX(COGS!$D$4:$D$20,MATCH($G33,COGS!$B$4:$B$20,0)))/J33,"")</f>
        <v/>
      </c>
      <c r="N33" s="65">
        <f>EOMONTH(C33,-1)+1</f>
        <v/>
      </c>
      <c r="O33" s="54">
        <f>J33*I33</f>
        <v/>
      </c>
      <c r="P33" s="54">
        <f>IFERROR(INDEX($J$4:$J$503,MATCH(MAXIFS($C$4:$C$503,$G$4:$G$503,$G33,$B$4:$B$503,$B33),$C$4:$C$503,0)),"—")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95959"/>
    <outlinePr summaryBelow="1" summaryRight="1"/>
    <pageSetUpPr/>
  </sheetPr>
  <dimension ref="B2:F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0.5" customHeight="1"/>
  <cols>
    <col width="2.5" customWidth="1" min="1" max="1"/>
    <col width="10" customWidth="1" min="2" max="2"/>
    <col width="34" customWidth="1" min="3" max="3"/>
    <col width="14" customWidth="1" min="4" max="4"/>
    <col width="14" customWidth="1" min="5" max="5"/>
    <col width="14" customWidth="1" min="6" max="6"/>
  </cols>
  <sheetData>
    <row r="2" ht="18" customHeight="1">
      <c r="B2" s="48" t="inlineStr">
        <is>
          <t>GE Beauty — Estoque Omie  ·  02/07/2026 10:40</t>
        </is>
      </c>
      <c r="C2" s="49" t="n"/>
      <c r="D2" s="49" t="n"/>
      <c r="E2" s="49" t="n"/>
      <c r="F2" s="49" t="n"/>
    </row>
    <row r="3" ht="26" customHeight="1">
      <c r="B3" s="41" t="inlineStr">
        <is>
          <t>SKU</t>
        </is>
      </c>
      <c r="C3" s="41" t="inlineStr">
        <is>
          <t>Produto</t>
        </is>
      </c>
      <c r="D3" s="41" t="inlineStr">
        <is>
          <t>CD (un.)</t>
        </is>
      </c>
      <c r="E3" s="41" t="inlineStr">
        <is>
          <t>Lojas (un.)</t>
        </is>
      </c>
      <c r="F3" s="41" t="inlineStr">
        <is>
          <t>Total (un.)</t>
        </is>
      </c>
    </row>
    <row r="4">
      <c r="B4" s="50" t="inlineStr">
        <is>
          <t>GEB 001</t>
        </is>
      </c>
      <c r="C4" s="50" t="inlineStr">
        <is>
          <t>Shampoo sem sulfato GE Beauty 250ml</t>
        </is>
      </c>
      <c r="D4" s="58" t="n">
        <v>0</v>
      </c>
      <c r="E4" s="58" t="n">
        <v>0</v>
      </c>
      <c r="F4" s="58" t="n">
        <v>0</v>
      </c>
    </row>
    <row r="5">
      <c r="B5" s="53" t="inlineStr">
        <is>
          <t>GEB 002</t>
        </is>
      </c>
      <c r="C5" s="53" t="inlineStr">
        <is>
          <t>Máscara Condicionadora GE Beauty 200ml</t>
        </is>
      </c>
      <c r="D5" s="63" t="n">
        <v>0</v>
      </c>
      <c r="E5" s="63" t="n">
        <v>0</v>
      </c>
      <c r="F5" s="63" t="n">
        <v>0</v>
      </c>
    </row>
    <row r="6">
      <c r="B6" s="50" t="inlineStr">
        <is>
          <t>GEB 003</t>
        </is>
      </c>
      <c r="C6" s="50" t="inlineStr">
        <is>
          <t>Leave-in com proteção térmica GE Beauty 150ml</t>
        </is>
      </c>
      <c r="D6" s="58" t="n">
        <v>0</v>
      </c>
      <c r="E6" s="58" t="n">
        <v>0</v>
      </c>
      <c r="F6" s="58" t="n">
        <v>0</v>
      </c>
    </row>
    <row r="7">
      <c r="B7" s="53" t="inlineStr">
        <is>
          <t>GEB 008</t>
        </is>
      </c>
      <c r="C7" s="53" t="inlineStr">
        <is>
          <t>Shampoo a Seco GE Beauty 150ml</t>
        </is>
      </c>
      <c r="D7" s="63" t="n">
        <v>0</v>
      </c>
      <c r="E7" s="63" t="n">
        <v>0</v>
      </c>
      <c r="F7" s="63" t="n">
        <v>0</v>
      </c>
    </row>
    <row r="8">
      <c r="B8" s="50" t="inlineStr">
        <is>
          <t>GEB 010</t>
        </is>
      </c>
      <c r="C8" s="50" t="inlineStr">
        <is>
          <t>Mascara Condicionadora GE Beauty 50ml</t>
        </is>
      </c>
      <c r="D8" s="58" t="n">
        <v>0</v>
      </c>
      <c r="E8" s="58" t="n">
        <v>0</v>
      </c>
      <c r="F8" s="58" t="n">
        <v>0</v>
      </c>
    </row>
    <row r="9">
      <c r="B9" s="53" t="inlineStr">
        <is>
          <t>GEB 011</t>
        </is>
      </c>
      <c r="C9" s="53" t="inlineStr">
        <is>
          <t>Leave-in GE Beauty 50ml</t>
        </is>
      </c>
      <c r="D9" s="63" t="n">
        <v>0</v>
      </c>
      <c r="E9" s="63" t="n">
        <v>0</v>
      </c>
      <c r="F9" s="63" t="n">
        <v>0</v>
      </c>
    </row>
    <row r="10">
      <c r="B10" s="50" t="inlineStr">
        <is>
          <t>GEB 013</t>
        </is>
      </c>
      <c r="C10" s="50" t="inlineStr">
        <is>
          <t>Shampoo GE Beauty 60 ml</t>
        </is>
      </c>
      <c r="D10" s="58" t="n">
        <v>0</v>
      </c>
      <c r="E10" s="58" t="n">
        <v>0</v>
      </c>
      <c r="F10" s="58" t="n">
        <v>0</v>
      </c>
    </row>
    <row r="11">
      <c r="B11" s="53" t="inlineStr">
        <is>
          <t>GEB 019</t>
        </is>
      </c>
      <c r="C11" s="53" t="inlineStr">
        <is>
          <t>Booster Fortificante GE Beauty 15ml</t>
        </is>
      </c>
      <c r="D11" s="63" t="n">
        <v>0</v>
      </c>
      <c r="E11" s="63" t="n">
        <v>0</v>
      </c>
      <c r="F11" s="63" t="n">
        <v>0</v>
      </c>
    </row>
    <row r="12">
      <c r="B12" s="50" t="inlineStr">
        <is>
          <t>GEB 020</t>
        </is>
      </c>
      <c r="C12" s="50" t="inlineStr">
        <is>
          <t>Booster Hidratante GE Beauty 15ml</t>
        </is>
      </c>
      <c r="D12" s="58" t="n">
        <v>0</v>
      </c>
      <c r="E12" s="58" t="n">
        <v>0</v>
      </c>
      <c r="F12" s="58" t="n">
        <v>0</v>
      </c>
    </row>
    <row r="13">
      <c r="B13" s="53" t="inlineStr">
        <is>
          <t>GEB 021</t>
        </is>
      </c>
      <c r="C13" s="53" t="inlineStr">
        <is>
          <t>Booster Definição GE Beauty 15ml</t>
        </is>
      </c>
      <c r="D13" s="63" t="n">
        <v>0</v>
      </c>
      <c r="E13" s="63" t="n">
        <v>0</v>
      </c>
      <c r="F13" s="63" t="n">
        <v>0</v>
      </c>
    </row>
    <row r="14">
      <c r="B14" s="50" t="inlineStr">
        <is>
          <t>GEB 022</t>
        </is>
      </c>
      <c r="C14" s="50" t="inlineStr">
        <is>
          <t>Booster Antifrizz GE Beauty 15ml</t>
        </is>
      </c>
      <c r="D14" s="58" t="n">
        <v>0</v>
      </c>
      <c r="E14" s="58" t="n">
        <v>0</v>
      </c>
      <c r="F14" s="58" t="n">
        <v>0</v>
      </c>
    </row>
    <row r="15">
      <c r="B15" s="53" t="inlineStr">
        <is>
          <t>GEB 023</t>
        </is>
      </c>
      <c r="C15" s="53" t="inlineStr">
        <is>
          <t>Booster Antioxidante GE Beauty 15ml</t>
        </is>
      </c>
      <c r="D15" s="63" t="n">
        <v>0</v>
      </c>
      <c r="E15" s="63" t="n">
        <v>0</v>
      </c>
      <c r="F15" s="63" t="n">
        <v>0</v>
      </c>
    </row>
    <row r="16">
      <c r="B16" s="50" t="inlineStr">
        <is>
          <t>GEB 024</t>
        </is>
      </c>
      <c r="C16" s="50" t="inlineStr">
        <is>
          <t>Body Hair Mist Melon Mood GE Beauty 200ml</t>
        </is>
      </c>
      <c r="D16" s="58" t="n">
        <v>0</v>
      </c>
      <c r="E16" s="58" t="n">
        <v>0</v>
      </c>
      <c r="F16" s="58" t="n">
        <v>0</v>
      </c>
    </row>
    <row r="17">
      <c r="B17" s="53" t="inlineStr">
        <is>
          <t>GEB 029</t>
        </is>
      </c>
      <c r="C17" s="53" t="inlineStr">
        <is>
          <t>Melon Mood Mini Body &amp; Hair Mist</t>
        </is>
      </c>
      <c r="D17" s="63" t="n">
        <v>0</v>
      </c>
      <c r="E17" s="63" t="n">
        <v>0</v>
      </c>
      <c r="F17" s="63" t="n">
        <v>0</v>
      </c>
    </row>
    <row r="18">
      <c r="B18" s="50" t="inlineStr">
        <is>
          <t>GEB 031</t>
        </is>
      </c>
      <c r="C18" s="50" t="inlineStr">
        <is>
          <t>Body Hair Mist Santal Skin GE Beauty 200ml</t>
        </is>
      </c>
      <c r="D18" s="58" t="n">
        <v>0</v>
      </c>
      <c r="E18" s="58" t="n">
        <v>0</v>
      </c>
      <c r="F18" s="58" t="n">
        <v>0</v>
      </c>
    </row>
    <row r="19">
      <c r="B19" s="53" t="inlineStr">
        <is>
          <t>GEB 032</t>
        </is>
      </c>
      <c r="C19" s="53" t="inlineStr">
        <is>
          <t>Body Hair Mist Rose Ritual GE Beauty 200ml</t>
        </is>
      </c>
      <c r="D19" s="63" t="n">
        <v>0</v>
      </c>
      <c r="E19" s="63" t="n">
        <v>0</v>
      </c>
      <c r="F19" s="63" t="n">
        <v>0</v>
      </c>
    </row>
    <row r="20">
      <c r="B20" s="50" t="inlineStr">
        <is>
          <t>GEB 033</t>
        </is>
      </c>
      <c r="C20" s="50" t="inlineStr">
        <is>
          <t>Body Hair Mist Pear Fresh GE Beauty 200ml</t>
        </is>
      </c>
      <c r="D20" s="58" t="n">
        <v>0</v>
      </c>
      <c r="E20" s="58" t="n">
        <v>0</v>
      </c>
      <c r="F20" s="58" t="n">
        <v>0</v>
      </c>
    </row>
    <row r="21">
      <c r="B21" s="53" t="inlineStr">
        <is>
          <t>GEB 101</t>
        </is>
      </c>
      <c r="C21" s="53" t="inlineStr">
        <is>
          <t>Primer Cachos Definidos GE Beauty 250ml</t>
        </is>
      </c>
      <c r="D21" s="63" t="n">
        <v>0</v>
      </c>
      <c r="E21" s="63" t="n">
        <v>0</v>
      </c>
      <c r="F21" s="63" t="n">
        <v>0</v>
      </c>
    </row>
    <row r="22">
      <c r="B22" s="50" t="inlineStr">
        <is>
          <t>GEB 102</t>
        </is>
      </c>
      <c r="C22" s="50" t="inlineStr">
        <is>
          <t>Primer Liso Intacto GE Beauty 150ml</t>
        </is>
      </c>
      <c r="D22" s="58" t="n">
        <v>0</v>
      </c>
      <c r="E22" s="58" t="n">
        <v>0</v>
      </c>
      <c r="F22" s="58" t="n">
        <v>0</v>
      </c>
    </row>
    <row r="23">
      <c r="B23" s="53" t="inlineStr">
        <is>
          <t>GEB 120</t>
        </is>
      </c>
      <c r="C23" s="53" t="inlineStr">
        <is>
          <t>Leave-in Pluma GE Beauty 200ml</t>
        </is>
      </c>
      <c r="D23" s="63" t="n">
        <v>0</v>
      </c>
      <c r="E23" s="63" t="n">
        <v>0</v>
      </c>
      <c r="F23" s="63" t="n">
        <v>0</v>
      </c>
    </row>
    <row r="24">
      <c r="B24" s="50" t="inlineStr">
        <is>
          <t>GEB 121</t>
        </is>
      </c>
      <c r="C24" s="50" t="inlineStr">
        <is>
          <t>MÁSCARA RECONSTRUTORA MAYDAY GE Beauty (200ml)</t>
        </is>
      </c>
      <c r="D24" s="58" t="n">
        <v>0</v>
      </c>
      <c r="E24" s="58" t="n">
        <v>0</v>
      </c>
      <c r="F24" s="58" t="n">
        <v>0</v>
      </c>
    </row>
    <row r="25">
      <c r="B25" s="53" t="inlineStr">
        <is>
          <t>GEB 122</t>
        </is>
      </c>
      <c r="C25" s="53" t="inlineStr">
        <is>
          <t>SHAMPOO RECONSTRUTOR MAYDAY GE Beauty</t>
        </is>
      </c>
      <c r="D25" s="63" t="n">
        <v>0</v>
      </c>
      <c r="E25" s="63" t="n">
        <v>0</v>
      </c>
      <c r="F25" s="63" t="n">
        <v>0</v>
      </c>
    </row>
    <row r="26">
      <c r="B26" s="50" t="inlineStr">
        <is>
          <t>GEB 123</t>
        </is>
      </c>
      <c r="C26" s="50" t="inlineStr">
        <is>
          <t>CONDICIONADOR RECONSTRUTOR MAYDAY GE Beauty</t>
        </is>
      </c>
      <c r="D26" s="58" t="n">
        <v>0</v>
      </c>
      <c r="E26" s="58" t="n">
        <v>0</v>
      </c>
      <c r="F26" s="58" t="n">
        <v>0</v>
      </c>
    </row>
    <row r="27">
      <c r="B27" s="53" t="inlineStr">
        <is>
          <t>GEB 124</t>
        </is>
      </c>
      <c r="C27" s="53" t="inlineStr">
        <is>
          <t>LEAVE-IN RECONSTRUTOR MAYDAY GE Beauty</t>
        </is>
      </c>
      <c r="D27" s="63" t="n">
        <v>0</v>
      </c>
      <c r="E27" s="63" t="n">
        <v>0</v>
      </c>
      <c r="F27" s="63" t="n">
        <v>0</v>
      </c>
    </row>
    <row r="28">
      <c r="B28" s="50" t="inlineStr">
        <is>
          <t>GEB 125</t>
        </is>
      </c>
      <c r="C28" s="50" t="inlineStr">
        <is>
          <t>KIT RECONSTRUÇÃO MAYDAY</t>
        </is>
      </c>
      <c r="D28" s="58" t="n">
        <v>0</v>
      </c>
      <c r="E28" s="58" t="n">
        <v>0</v>
      </c>
      <c r="F28" s="58" t="n">
        <v>0</v>
      </c>
    </row>
    <row r="29">
      <c r="B29" s="53" t="inlineStr">
        <is>
          <t>GEB 126</t>
        </is>
      </c>
      <c r="C29" s="53" t="inlineStr">
        <is>
          <t>Sérum Reparador Noturno MayDay</t>
        </is>
      </c>
      <c r="D29" s="63" t="n">
        <v>0</v>
      </c>
      <c r="E29" s="63" t="n">
        <v>0</v>
      </c>
      <c r="F29" s="63" t="n">
        <v>0</v>
      </c>
    </row>
    <row r="30">
      <c r="B30" s="50" t="inlineStr">
        <is>
          <t>GEB 301</t>
        </is>
      </c>
      <c r="C30" s="50" t="inlineStr">
        <is>
          <t>SACHÊ SHAMPOO GE BEAUTY 15ml</t>
        </is>
      </c>
      <c r="D30" s="58" t="n">
        <v>0</v>
      </c>
      <c r="E30" s="58" t="n">
        <v>0</v>
      </c>
      <c r="F30" s="58" t="n">
        <v>0</v>
      </c>
    </row>
    <row r="31">
      <c r="B31" s="53" t="inlineStr">
        <is>
          <t>GEB 302</t>
        </is>
      </c>
      <c r="C31" s="53" t="inlineStr">
        <is>
          <t>SACHÊ MASCARA CONDICIONADORA GE BEAUTY 15ml</t>
        </is>
      </c>
      <c r="D31" s="63" t="n">
        <v>0</v>
      </c>
      <c r="E31" s="63" t="n">
        <v>0</v>
      </c>
      <c r="F31" s="63" t="n">
        <v>0</v>
      </c>
    </row>
    <row r="32">
      <c r="B32" s="50" t="inlineStr">
        <is>
          <t>GEB 303</t>
        </is>
      </c>
      <c r="C32" s="50" t="inlineStr">
        <is>
          <t>SACHÊ LEAVE-IN GE BEAUTY 15ml</t>
        </is>
      </c>
      <c r="D32" s="58" t="n">
        <v>0</v>
      </c>
      <c r="E32" s="58" t="n">
        <v>0</v>
      </c>
      <c r="F32" s="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2026-06-30T18:23:45Z</dcterms:created>
  <dcterms:modified xmlns:dcterms="http://purl.org/dc/terms/" xmlns:xsi="http://www.w3.org/2001/XMLSchema-instance" xsi:type="dcterms:W3CDTF">2026-07-02T13:40:24Z</dcterms:modified>
  <cp:lastModifiedBy>Lucas Guimarães</cp:lastModifiedBy>
</cp:coreProperties>
</file>
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chos_advocates" sheetId="2" state="visible" r:id="rId2"/>
    <sheet xmlns:r="http://schemas.openxmlformats.org/officeDocument/2006/relationships" name="cachos_refill" sheetId="3" state="visible" r:id="rId3"/>
    <sheet xmlns:r="http://schemas.openxmlformats.org/officeDocument/2006/relationships" name="liso_advocates" sheetId="4" state="visible" r:id="rId4"/>
    <sheet xmlns:r="http://schemas.openxmlformats.org/officeDocument/2006/relationships" name="liso_refi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Contacts</t>
        </is>
      </c>
      <c r="C1" t="inlineStr">
        <is>
          <t>No-name (generic msg)</t>
        </is>
      </c>
    </row>
    <row r="2">
      <c r="A2" t="inlineStr">
        <is>
          <t>cachos_advocates</t>
        </is>
      </c>
      <c r="B2" t="n">
        <v>354</v>
      </c>
      <c r="C2" t="n">
        <v>1</v>
      </c>
    </row>
    <row r="3">
      <c r="A3" t="inlineStr">
        <is>
          <t>cachos_refill</t>
        </is>
      </c>
      <c r="B3" t="n">
        <v>3006</v>
      </c>
      <c r="C3" t="n">
        <v>7</v>
      </c>
    </row>
    <row r="4">
      <c r="A4" t="inlineStr">
        <is>
          <t>liso_advocates</t>
        </is>
      </c>
      <c r="B4" t="n">
        <v>267</v>
      </c>
      <c r="C4" t="n">
        <v>1</v>
      </c>
    </row>
    <row r="5">
      <c r="A5" t="inlineStr">
        <is>
          <t>liso_refill</t>
        </is>
      </c>
      <c r="B5" t="n">
        <v>1714</v>
      </c>
      <c r="C5" t="n">
        <v>6</v>
      </c>
    </row>
    <row r="6">
      <c r="A6" t="inlineStr">
        <is>
          <t>TOTAL</t>
        </is>
      </c>
      <c r="B6" t="n">
        <v>5341</v>
      </c>
      <c r="C6" t="n">
        <v>15</v>
      </c>
    </row>
    <row r="8">
      <c r="A8" t="inlineStr">
        <is>
          <t>Dropped (no valid phone)</t>
        </is>
      </c>
      <c r="B8" t="n">
        <v>792</v>
      </c>
    </row>
    <row r="9">
      <c r="A9" t="inlineStr">
        <is>
          <t>Refill windows</t>
        </is>
      </c>
      <c r="B9" t="inlineStr">
        <is>
          <t>cachos 105-300d, liso 130-345d</t>
        </is>
      </c>
    </row>
    <row r="10">
      <c r="A10" t="inlineStr">
        <is>
          <t>Empirical median gap</t>
        </is>
      </c>
      <c r="B10" t="inlineStr">
        <is>
          <t>cachos 139d / liso 174d</t>
        </is>
      </c>
    </row>
    <row r="12">
      <c r="A12" t="inlineStr">
        <is>
          <t>Holdout split (~10%, deterministic by phone)</t>
        </is>
      </c>
    </row>
    <row r="13">
      <c r="A13" t="inlineStr">
        <is>
          <t>cachos_advocates</t>
        </is>
      </c>
      <c r="B13" t="inlineStr">
        <is>
          <t>SEND 330</t>
        </is>
      </c>
      <c r="C13" t="inlineStr">
        <is>
          <t>HOLDOUT 24</t>
        </is>
      </c>
    </row>
    <row r="14">
      <c r="A14" t="inlineStr">
        <is>
          <t>cachos_refill</t>
        </is>
      </c>
      <c r="B14" t="inlineStr">
        <is>
          <t>SEND 2689</t>
        </is>
      </c>
      <c r="C14" t="inlineStr">
        <is>
          <t>HOLDOUT 317</t>
        </is>
      </c>
    </row>
    <row r="15">
      <c r="A15" t="inlineStr">
        <is>
          <t>liso_advocates</t>
        </is>
      </c>
      <c r="B15" t="inlineStr">
        <is>
          <t>SEND 238</t>
        </is>
      </c>
      <c r="C15" t="inlineStr">
        <is>
          <t>HOLDOUT 29</t>
        </is>
      </c>
    </row>
    <row r="16">
      <c r="A16" t="inlineStr">
        <is>
          <t>liso_refill</t>
        </is>
      </c>
      <c r="B16" t="inlineStr">
        <is>
          <t>SEND 1541</t>
        </is>
      </c>
      <c r="C16" t="inlineStr">
        <is>
          <t>HOLDOUT 173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Phone</t>
        </is>
      </c>
      <c r="C1" t="inlineStr">
        <is>
          <t>Segment</t>
        </is>
      </c>
      <c r="D1" t="inlineStr">
        <is>
          <t>Product</t>
        </is>
      </c>
      <c r="E1" t="inlineStr">
        <is>
          <t>Times Bought</t>
        </is>
      </c>
      <c r="F1" t="inlineStr">
        <is>
          <t>Last Purchase</t>
        </is>
      </c>
      <c r="G1" t="inlineStr">
        <is>
          <t>Days Since</t>
        </is>
      </c>
      <c r="H1" t="inlineStr">
        <is>
          <t>Review Eligible</t>
        </is>
      </c>
      <c r="I1" t="inlineStr">
        <is>
          <t>Customer Page</t>
        </is>
      </c>
      <c r="J1" t="inlineStr">
        <is>
          <t>Review Link</t>
        </is>
      </c>
      <c r="K1" t="inlineStr">
        <is>
          <t>Holdout</t>
        </is>
      </c>
    </row>
    <row r="2">
      <c r="A2" t="inlineStr">
        <is>
          <t>Renata</t>
        </is>
      </c>
      <c r="B2" t="inlineStr">
        <is>
          <t>+5524992614565</t>
        </is>
      </c>
      <c r="C2" t="inlineStr">
        <is>
          <t>Advocate</t>
        </is>
      </c>
      <c r="D2" t="inlineStr">
        <is>
          <t>Primer Cachos</t>
        </is>
      </c>
      <c r="E2" t="n">
        <v>2</v>
      </c>
      <c r="F2" t="inlineStr">
        <is>
          <t>2025-05-04</t>
        </is>
      </c>
      <c r="G2" t="n">
        <v>426</v>
      </c>
      <c r="H2" t="inlineStr">
        <is>
          <t>Y</t>
        </is>
      </c>
      <c r="I2">
        <f>HYPERLINK("https://admin.shopify.com/store/ge-beauty-cosmeticos/customers/8112963420480","abrir")</f>
        <v/>
      </c>
      <c r="J2">
        <f>HYPERLINK("https://www.gebeauty.com.br/products/primer-cachos-definidos?ref=review","review")</f>
        <v/>
      </c>
      <c r="K2" t="inlineStr">
        <is>
          <t>SEND</t>
        </is>
      </c>
    </row>
    <row r="3">
      <c r="A3" t="inlineStr">
        <is>
          <t>Ludymilla</t>
        </is>
      </c>
      <c r="B3" t="inlineStr">
        <is>
          <t>+5511956502275</t>
        </is>
      </c>
      <c r="C3" t="inlineStr">
        <is>
          <t>Advocate</t>
        </is>
      </c>
      <c r="D3" t="inlineStr">
        <is>
          <t>Primer Cachos</t>
        </is>
      </c>
      <c r="E3" t="n">
        <v>2</v>
      </c>
      <c r="F3" t="inlineStr">
        <is>
          <t>2026-07-02</t>
        </is>
      </c>
      <c r="G3" t="n">
        <v>2</v>
      </c>
      <c r="H3" t="inlineStr">
        <is>
          <t>Y</t>
        </is>
      </c>
      <c r="I3">
        <f>HYPERLINK("https://admin.shopify.com/store/ge-beauty-cosmeticos/customers/8725036564800","abrir")</f>
        <v/>
      </c>
      <c r="J3">
        <f>HYPERLINK("https://www.gebeauty.com.br/products/primer-cachos-definidos?ref=review","review")</f>
        <v/>
      </c>
      <c r="K3" t="inlineStr">
        <is>
          <t>SEND</t>
        </is>
      </c>
    </row>
    <row r="4">
      <c r="A4" t="inlineStr">
        <is>
          <t>Ludimila</t>
        </is>
      </c>
      <c r="B4" t="inlineStr">
        <is>
          <t>+5561999887587</t>
        </is>
      </c>
      <c r="C4" t="inlineStr">
        <is>
          <t>Advocate</t>
        </is>
      </c>
      <c r="D4" t="inlineStr">
        <is>
          <t>Primer Cachos</t>
        </is>
      </c>
      <c r="E4" t="n">
        <v>2</v>
      </c>
      <c r="F4" t="inlineStr">
        <is>
          <t>2025-12-17</t>
        </is>
      </c>
      <c r="G4" t="n">
        <v>199</v>
      </c>
      <c r="H4" t="inlineStr">
        <is>
          <t>Y</t>
        </is>
      </c>
      <c r="I4">
        <f>HYPERLINK("https://admin.shopify.com/store/ge-beauty-cosmeticos/customers/8886905962816","abrir")</f>
        <v/>
      </c>
      <c r="J4">
        <f>HYPERLINK("https://www.gebeauty.com.br/products/primer-cachos-definidos?ref=review","review")</f>
        <v/>
      </c>
      <c r="K4" t="inlineStr">
        <is>
          <t>SEND</t>
        </is>
      </c>
    </row>
    <row r="5">
      <c r="A5" t="inlineStr">
        <is>
          <t>Renata</t>
        </is>
      </c>
      <c r="B5" t="inlineStr">
        <is>
          <t>+5561981231810</t>
        </is>
      </c>
      <c r="C5" t="inlineStr">
        <is>
          <t>Advocate</t>
        </is>
      </c>
      <c r="D5" t="inlineStr">
        <is>
          <t>Primer Cachos</t>
        </is>
      </c>
      <c r="E5" t="n">
        <v>2</v>
      </c>
      <c r="F5" t="inlineStr">
        <is>
          <t>2025-09-27</t>
        </is>
      </c>
      <c r="G5" t="n">
        <v>280</v>
      </c>
      <c r="H5" t="inlineStr">
        <is>
          <t>Y</t>
        </is>
      </c>
      <c r="I5">
        <f>HYPERLINK("https://admin.shopify.com/store/ge-beauty-cosmeticos/customers/7761869406528","abrir")</f>
        <v/>
      </c>
      <c r="J5">
        <f>HYPERLINK("https://www.gebeauty.com.br/products/primer-cachos-definidos?ref=review","review")</f>
        <v/>
      </c>
      <c r="K5" t="inlineStr">
        <is>
          <t>SEND</t>
        </is>
      </c>
    </row>
    <row r="6">
      <c r="A6" t="inlineStr">
        <is>
          <t>Milena</t>
        </is>
      </c>
      <c r="B6" t="inlineStr">
        <is>
          <t>+5562982348367</t>
        </is>
      </c>
      <c r="C6" t="inlineStr">
        <is>
          <t>Advocate</t>
        </is>
      </c>
      <c r="D6" t="inlineStr">
        <is>
          <t>Primer Cachos</t>
        </is>
      </c>
      <c r="E6" t="n">
        <v>2</v>
      </c>
      <c r="F6" t="inlineStr">
        <is>
          <t>2025-01-27</t>
        </is>
      </c>
      <c r="G6" t="n">
        <v>523</v>
      </c>
      <c r="H6" t="inlineStr">
        <is>
          <t>Y</t>
        </is>
      </c>
      <c r="I6">
        <f>HYPERLINK("https://admin.shopify.com/store/ge-beauty-cosmeticos/customers/7760944922944","abrir")</f>
        <v/>
      </c>
      <c r="J6">
        <f>HYPERLINK("https://www.gebeauty.com.br/products/primer-cachos-definidos?ref=review","review")</f>
        <v/>
      </c>
      <c r="K6" t="inlineStr">
        <is>
          <t>SEND</t>
        </is>
      </c>
    </row>
    <row r="7">
      <c r="A7" t="inlineStr">
        <is>
          <t>Andressa</t>
        </is>
      </c>
      <c r="B7" t="inlineStr">
        <is>
          <t>+5511987900812</t>
        </is>
      </c>
      <c r="C7" t="inlineStr">
        <is>
          <t>Advocate</t>
        </is>
      </c>
      <c r="D7" t="inlineStr">
        <is>
          <t>Primer Cachos</t>
        </is>
      </c>
      <c r="E7" t="n">
        <v>2</v>
      </c>
      <c r="F7" t="inlineStr">
        <is>
          <t>2025-08-28</t>
        </is>
      </c>
      <c r="G7" t="n">
        <v>310</v>
      </c>
      <c r="H7" t="inlineStr">
        <is>
          <t>Y</t>
        </is>
      </c>
      <c r="I7">
        <f>HYPERLINK("https://admin.shopify.com/store/ge-beauty-cosmeticos/customers/7762509529408","abrir")</f>
        <v/>
      </c>
      <c r="J7">
        <f>HYPERLINK("https://www.gebeauty.com.br/products/primer-cachos-definidos?ref=review","review")</f>
        <v/>
      </c>
      <c r="K7" t="inlineStr">
        <is>
          <t>SEND</t>
        </is>
      </c>
    </row>
    <row r="8">
      <c r="A8" t="inlineStr">
        <is>
          <t>Marina</t>
        </is>
      </c>
      <c r="B8" t="inlineStr">
        <is>
          <t>+5541984113161</t>
        </is>
      </c>
      <c r="C8" t="inlineStr">
        <is>
          <t>Advocate</t>
        </is>
      </c>
      <c r="D8" t="inlineStr">
        <is>
          <t>Primer Cachos</t>
        </is>
      </c>
      <c r="E8" t="n">
        <v>2</v>
      </c>
      <c r="F8" t="inlineStr">
        <is>
          <t>2025-02-04</t>
        </is>
      </c>
      <c r="G8" t="n">
        <v>515</v>
      </c>
      <c r="H8" t="inlineStr">
        <is>
          <t>Y</t>
        </is>
      </c>
      <c r="I8">
        <f>HYPERLINK("https://admin.shopify.com/store/ge-beauty-cosmeticos/customers/7761897587008","abrir")</f>
        <v/>
      </c>
      <c r="J8">
        <f>HYPERLINK("https://www.gebeauty.com.br/products/primer-cachos-definidos?ref=review","review")</f>
        <v/>
      </c>
      <c r="K8" t="inlineStr">
        <is>
          <t>SEND</t>
        </is>
      </c>
    </row>
    <row r="9">
      <c r="A9" t="inlineStr">
        <is>
          <t>Vanessa</t>
        </is>
      </c>
      <c r="B9" t="inlineStr">
        <is>
          <t>+5561995912852</t>
        </is>
      </c>
      <c r="C9" t="inlineStr">
        <is>
          <t>Advocate</t>
        </is>
      </c>
      <c r="D9" t="inlineStr">
        <is>
          <t>Primer Cachos</t>
        </is>
      </c>
      <c r="E9" t="n">
        <v>2</v>
      </c>
      <c r="F9" t="inlineStr">
        <is>
          <t>2026-05-06</t>
        </is>
      </c>
      <c r="G9" t="n">
        <v>59</v>
      </c>
      <c r="H9" t="inlineStr">
        <is>
          <t>Y</t>
        </is>
      </c>
      <c r="I9">
        <f>HYPERLINK("https://admin.shopify.com/store/ge-beauty-cosmeticos/customers/8274090524992","abrir")</f>
        <v/>
      </c>
      <c r="J9">
        <f>HYPERLINK("https://www.gebeauty.com.br/products/primer-cachos-definidos?ref=review","review")</f>
        <v/>
      </c>
      <c r="K9" t="inlineStr">
        <is>
          <t>SEND</t>
        </is>
      </c>
    </row>
    <row r="10">
      <c r="A10" t="inlineStr">
        <is>
          <t>Victoria</t>
        </is>
      </c>
      <c r="B10" t="inlineStr">
        <is>
          <t>+5585997813434</t>
        </is>
      </c>
      <c r="C10" t="inlineStr">
        <is>
          <t>Advocate</t>
        </is>
      </c>
      <c r="D10" t="inlineStr">
        <is>
          <t>Primer Cachos</t>
        </is>
      </c>
      <c r="E10" t="n">
        <v>2</v>
      </c>
      <c r="F10" t="inlineStr">
        <is>
          <t>2025-08-12</t>
        </is>
      </c>
      <c r="G10" t="n">
        <v>326</v>
      </c>
      <c r="H10" t="inlineStr">
        <is>
          <t>Y</t>
        </is>
      </c>
      <c r="I10">
        <f>HYPERLINK("https://admin.shopify.com/store/ge-beauty-cosmeticos/customers/8253907730752","abrir")</f>
        <v/>
      </c>
      <c r="J10">
        <f>HYPERLINK("https://www.gebeauty.com.br/products/primer-cachos-definidos?ref=review","review")</f>
        <v/>
      </c>
      <c r="K10" t="inlineStr">
        <is>
          <t>HOLDOUT</t>
        </is>
      </c>
    </row>
    <row r="11">
      <c r="A11" t="inlineStr">
        <is>
          <t>Raissa</t>
        </is>
      </c>
      <c r="B11" t="inlineStr">
        <is>
          <t>+5511964894676</t>
        </is>
      </c>
      <c r="C11" t="inlineStr">
        <is>
          <t>Advocate</t>
        </is>
      </c>
      <c r="D11" t="inlineStr">
        <is>
          <t>Primer Cachos</t>
        </is>
      </c>
      <c r="E11" t="n">
        <v>2</v>
      </c>
      <c r="F11" t="inlineStr">
        <is>
          <t>2025-06-30</t>
        </is>
      </c>
      <c r="G11" t="n">
        <v>369</v>
      </c>
      <c r="H11" t="inlineStr">
        <is>
          <t>Y</t>
        </is>
      </c>
      <c r="I11">
        <f>HYPERLINK("https://admin.shopify.com/store/ge-beauty-cosmeticos/customers/9037156319552","abrir")</f>
        <v/>
      </c>
      <c r="J11">
        <f>HYPERLINK("https://www.gebeauty.com.br/products/primer-cachos-definidos?ref=review","review")</f>
        <v/>
      </c>
      <c r="K11" t="inlineStr">
        <is>
          <t>HOLDOUT</t>
        </is>
      </c>
    </row>
    <row r="12">
      <c r="A12" t="inlineStr">
        <is>
          <t>Karoline</t>
        </is>
      </c>
      <c r="B12" t="inlineStr">
        <is>
          <t>+5547997811414</t>
        </is>
      </c>
      <c r="C12" t="inlineStr">
        <is>
          <t>Advocate</t>
        </is>
      </c>
      <c r="D12" t="inlineStr">
        <is>
          <t>Primer Cachos</t>
        </is>
      </c>
      <c r="E12" t="n">
        <v>3</v>
      </c>
      <c r="F12" t="inlineStr">
        <is>
          <t>2025-11-25</t>
        </is>
      </c>
      <c r="G12" t="n">
        <v>221</v>
      </c>
      <c r="H12" t="inlineStr">
        <is>
          <t>Y</t>
        </is>
      </c>
      <c r="I12">
        <f>HYPERLINK("https://admin.shopify.com/store/ge-beauty-cosmeticos/customers/8144964583744","abrir")</f>
        <v/>
      </c>
      <c r="J12">
        <f>HYPERLINK("https://www.gebeauty.com.br/products/primer-cachos-definidos?ref=review","review")</f>
        <v/>
      </c>
      <c r="K12" t="inlineStr">
        <is>
          <t>SEND</t>
        </is>
      </c>
    </row>
    <row r="13">
      <c r="A13" t="inlineStr">
        <is>
          <t>Silvia</t>
        </is>
      </c>
      <c r="B13" t="inlineStr">
        <is>
          <t>+5515997557962</t>
        </is>
      </c>
      <c r="C13" t="inlineStr">
        <is>
          <t>Advocate</t>
        </is>
      </c>
      <c r="D13" t="inlineStr">
        <is>
          <t>Primer Cachos</t>
        </is>
      </c>
      <c r="E13" t="n">
        <v>3</v>
      </c>
      <c r="F13" t="inlineStr">
        <is>
          <t>2025-11-29</t>
        </is>
      </c>
      <c r="G13" t="n">
        <v>217</v>
      </c>
      <c r="H13" t="inlineStr">
        <is>
          <t>Y</t>
        </is>
      </c>
      <c r="I13">
        <f>HYPERLINK("https://admin.shopify.com/store/ge-beauty-cosmeticos/customers/7761144283456","abrir")</f>
        <v/>
      </c>
      <c r="J13">
        <f>HYPERLINK("https://www.gebeauty.com.br/products/primer-cachos-definidos?ref=review","review")</f>
        <v/>
      </c>
      <c r="K13" t="inlineStr">
        <is>
          <t>SEND</t>
        </is>
      </c>
    </row>
    <row r="14">
      <c r="A14" t="inlineStr">
        <is>
          <t>Najla</t>
        </is>
      </c>
      <c r="B14" t="inlineStr">
        <is>
          <t>+5511993404420</t>
        </is>
      </c>
      <c r="C14" t="inlineStr">
        <is>
          <t>Advocate</t>
        </is>
      </c>
      <c r="D14" t="inlineStr">
        <is>
          <t>Primer Cachos</t>
        </is>
      </c>
      <c r="E14" t="n">
        <v>2</v>
      </c>
      <c r="F14" t="inlineStr">
        <is>
          <t>2025-11-24</t>
        </is>
      </c>
      <c r="G14" t="n">
        <v>222</v>
      </c>
      <c r="H14" t="inlineStr">
        <is>
          <t>Y</t>
        </is>
      </c>
      <c r="I14">
        <f>HYPERLINK("https://admin.shopify.com/store/ge-beauty-cosmeticos/customers/8229824725312","abrir")</f>
        <v/>
      </c>
      <c r="J14">
        <f>HYPERLINK("https://www.gebeauty.com.br/products/primer-cachos-definidos?ref=review","review")</f>
        <v/>
      </c>
      <c r="K14" t="inlineStr">
        <is>
          <t>SEND</t>
        </is>
      </c>
    </row>
    <row r="15">
      <c r="A15" t="inlineStr">
        <is>
          <t>Ingrid</t>
        </is>
      </c>
      <c r="B15" t="inlineStr">
        <is>
          <t>+5581988453732</t>
        </is>
      </c>
      <c r="C15" t="inlineStr">
        <is>
          <t>Advocate</t>
        </is>
      </c>
      <c r="D15" t="inlineStr">
        <is>
          <t>Primer Cachos</t>
        </is>
      </c>
      <c r="E15" t="n">
        <v>2</v>
      </c>
      <c r="F15" t="inlineStr">
        <is>
          <t>2025-11-22</t>
        </is>
      </c>
      <c r="G15" t="n">
        <v>224</v>
      </c>
      <c r="H15" t="inlineStr">
        <is>
          <t>Y</t>
        </is>
      </c>
      <c r="I15">
        <f>HYPERLINK("https://admin.shopify.com/store/ge-beauty-cosmeticos/customers/9060320379200","abrir")</f>
        <v/>
      </c>
      <c r="J15">
        <f>HYPERLINK("https://www.gebeauty.com.br/products/primer-cachos-definidos?ref=review","review")</f>
        <v/>
      </c>
      <c r="K15" t="inlineStr">
        <is>
          <t>SEND</t>
        </is>
      </c>
    </row>
    <row r="16">
      <c r="A16" t="inlineStr">
        <is>
          <t>Cléo</t>
        </is>
      </c>
      <c r="B16" t="inlineStr">
        <is>
          <t>+5521984411101</t>
        </is>
      </c>
      <c r="C16" t="inlineStr">
        <is>
          <t>Advocate</t>
        </is>
      </c>
      <c r="D16" t="inlineStr">
        <is>
          <t>Primer Cachos</t>
        </is>
      </c>
      <c r="E16" t="n">
        <v>2</v>
      </c>
      <c r="F16" t="inlineStr">
        <is>
          <t>2026-01-22</t>
        </is>
      </c>
      <c r="G16" t="n">
        <v>163</v>
      </c>
      <c r="H16" t="inlineStr">
        <is>
          <t>N</t>
        </is>
      </c>
      <c r="I16">
        <f>HYPERLINK("https://admin.shopify.com/store/ge-beauty-cosmeticos/customers/9060969939264","abrir")</f>
        <v/>
      </c>
      <c r="J16">
        <f>HYPERLINK("https://www.gebeauty.com.br/products/primer-cachos-definidos?ref=review","review")</f>
        <v/>
      </c>
      <c r="K16" t="inlineStr">
        <is>
          <t>SEND</t>
        </is>
      </c>
    </row>
    <row r="17">
      <c r="A17" t="inlineStr">
        <is>
          <t>Clarice</t>
        </is>
      </c>
      <c r="B17" t="inlineStr">
        <is>
          <t>+5571994126796</t>
        </is>
      </c>
      <c r="C17" t="inlineStr">
        <is>
          <t>Advocate</t>
        </is>
      </c>
      <c r="D17" t="inlineStr">
        <is>
          <t>Primer Cachos</t>
        </is>
      </c>
      <c r="E17" t="n">
        <v>2</v>
      </c>
      <c r="F17" t="inlineStr">
        <is>
          <t>2025-03-07</t>
        </is>
      </c>
      <c r="G17" t="n">
        <v>484</v>
      </c>
      <c r="H17" t="inlineStr">
        <is>
          <t>Y</t>
        </is>
      </c>
      <c r="I17">
        <f>HYPERLINK("https://admin.shopify.com/store/ge-beauty-cosmeticos/customers/8447509725504","abrir")</f>
        <v/>
      </c>
      <c r="J17">
        <f>HYPERLINK("https://www.gebeauty.com.br/products/primer-cachos-definidos?ref=review","review")</f>
        <v/>
      </c>
      <c r="K17" t="inlineStr">
        <is>
          <t>HOLDOUT</t>
        </is>
      </c>
    </row>
    <row r="18">
      <c r="A18" t="inlineStr">
        <is>
          <t>Larrissa</t>
        </is>
      </c>
      <c r="B18" t="inlineStr">
        <is>
          <t>+5511984909373</t>
        </is>
      </c>
      <c r="C18" t="inlineStr">
        <is>
          <t>Advocate</t>
        </is>
      </c>
      <c r="D18" t="inlineStr">
        <is>
          <t>Primer Cachos</t>
        </is>
      </c>
      <c r="E18" t="n">
        <v>2</v>
      </c>
      <c r="F18" t="inlineStr">
        <is>
          <t>2025-02-07</t>
        </is>
      </c>
      <c r="G18" t="n">
        <v>512</v>
      </c>
      <c r="H18" t="inlineStr">
        <is>
          <t>Y</t>
        </is>
      </c>
      <c r="I18">
        <f>HYPERLINK("https://admin.shopify.com/store/ge-beauty-cosmeticos/customers/8365284196672","abrir")</f>
        <v/>
      </c>
      <c r="J18">
        <f>HYPERLINK("https://www.gebeauty.com.br/products/primer-cachos-definidos?ref=review","review")</f>
        <v/>
      </c>
      <c r="K18" t="inlineStr">
        <is>
          <t>SEND</t>
        </is>
      </c>
    </row>
    <row r="19">
      <c r="A19" t="inlineStr">
        <is>
          <t>Evelyn</t>
        </is>
      </c>
      <c r="B19" t="inlineStr">
        <is>
          <t>+5586981825858</t>
        </is>
      </c>
      <c r="C19" t="inlineStr">
        <is>
          <t>Advocate</t>
        </is>
      </c>
      <c r="D19" t="inlineStr">
        <is>
          <t>Primer Cachos</t>
        </is>
      </c>
      <c r="E19" t="n">
        <v>2</v>
      </c>
      <c r="F19" t="inlineStr">
        <is>
          <t>2025-08-07</t>
        </is>
      </c>
      <c r="G19" t="n">
        <v>331</v>
      </c>
      <c r="H19" t="inlineStr">
        <is>
          <t>Y</t>
        </is>
      </c>
      <c r="I19">
        <f>HYPERLINK("https://admin.shopify.com/store/ge-beauty-cosmeticos/customers/7762406768960","abrir")</f>
        <v/>
      </c>
      <c r="J19">
        <f>HYPERLINK("https://www.gebeauty.com.br/products/primer-cachos-definidos?ref=review","review")</f>
        <v/>
      </c>
      <c r="K19" t="inlineStr">
        <is>
          <t>SEND</t>
        </is>
      </c>
    </row>
    <row r="20">
      <c r="A20" t="inlineStr">
        <is>
          <t>Patrícia</t>
        </is>
      </c>
      <c r="B20" t="inlineStr">
        <is>
          <t>+5521996675415</t>
        </is>
      </c>
      <c r="C20" t="inlineStr">
        <is>
          <t>Advocate</t>
        </is>
      </c>
      <c r="D20" t="inlineStr">
        <is>
          <t>Primer Cachos</t>
        </is>
      </c>
      <c r="E20" t="n">
        <v>4</v>
      </c>
      <c r="F20" t="inlineStr">
        <is>
          <t>2025-04-23</t>
        </is>
      </c>
      <c r="G20" t="n">
        <v>437</v>
      </c>
      <c r="H20" t="inlineStr">
        <is>
          <t>Y</t>
        </is>
      </c>
      <c r="I20">
        <f>HYPERLINK("https://admin.shopify.com/store/ge-beauty-cosmeticos/customers/7760399270208","abrir")</f>
        <v/>
      </c>
      <c r="J20">
        <f>HYPERLINK("https://www.gebeauty.com.br/products/primer-cachos-definidos?ref=review","review")</f>
        <v/>
      </c>
      <c r="K20" t="inlineStr">
        <is>
          <t>SEND</t>
        </is>
      </c>
    </row>
    <row r="21">
      <c r="A21" t="inlineStr">
        <is>
          <t>Lilian</t>
        </is>
      </c>
      <c r="B21" t="inlineStr">
        <is>
          <t>+5511974145563</t>
        </is>
      </c>
      <c r="C21" t="inlineStr">
        <is>
          <t>Advocate</t>
        </is>
      </c>
      <c r="D21" t="inlineStr">
        <is>
          <t>Primer Cachos</t>
        </is>
      </c>
      <c r="E21" t="n">
        <v>2</v>
      </c>
      <c r="F21" t="inlineStr">
        <is>
          <t>2025-02-08</t>
        </is>
      </c>
      <c r="G21" t="n">
        <v>511</v>
      </c>
      <c r="H21" t="inlineStr">
        <is>
          <t>Y</t>
        </is>
      </c>
      <c r="I21">
        <f>HYPERLINK("https://admin.shopify.com/store/ge-beauty-cosmeticos/customers/8944744169792","abrir")</f>
        <v/>
      </c>
      <c r="J21">
        <f>HYPERLINK("https://www.gebeauty.com.br/products/primer-cachos-definidos?ref=review","review")</f>
        <v/>
      </c>
      <c r="K21" t="inlineStr">
        <is>
          <t>SEND</t>
        </is>
      </c>
    </row>
    <row r="22">
      <c r="A22" t="inlineStr">
        <is>
          <t>Alvany</t>
        </is>
      </c>
      <c r="B22" t="inlineStr">
        <is>
          <t>+5511991915018</t>
        </is>
      </c>
      <c r="C22" t="inlineStr">
        <is>
          <t>Advocate</t>
        </is>
      </c>
      <c r="D22" t="inlineStr">
        <is>
          <t>Primer Cachos</t>
        </is>
      </c>
      <c r="E22" t="n">
        <v>4</v>
      </c>
      <c r="F22" t="inlineStr">
        <is>
          <t>2025-11-22</t>
        </is>
      </c>
      <c r="G22" t="n">
        <v>224</v>
      </c>
      <c r="H22" t="inlineStr">
        <is>
          <t>Y</t>
        </is>
      </c>
      <c r="I22">
        <f>HYPERLINK("https://admin.shopify.com/store/ge-beauty-cosmeticos/customers/7760460841280","abrir")</f>
        <v/>
      </c>
      <c r="J22">
        <f>HYPERLINK("https://www.gebeauty.com.br/products/primer-cachos-definidos?ref=review","review")</f>
        <v/>
      </c>
      <c r="K22" t="inlineStr">
        <is>
          <t>SEND</t>
        </is>
      </c>
    </row>
    <row r="23">
      <c r="A23" t="inlineStr">
        <is>
          <t>Priscila</t>
        </is>
      </c>
      <c r="B23" t="inlineStr">
        <is>
          <t>+5531997749003</t>
        </is>
      </c>
      <c r="C23" t="inlineStr">
        <is>
          <t>Advocate</t>
        </is>
      </c>
      <c r="D23" t="inlineStr">
        <is>
          <t>Primer Cachos</t>
        </is>
      </c>
      <c r="E23" t="n">
        <v>4</v>
      </c>
      <c r="F23" t="inlineStr">
        <is>
          <t>2025-06-22</t>
        </is>
      </c>
      <c r="G23" t="n">
        <v>377</v>
      </c>
      <c r="H23" t="inlineStr">
        <is>
          <t>Y</t>
        </is>
      </c>
      <c r="I23">
        <f>HYPERLINK("https://admin.shopify.com/store/ge-beauty-cosmeticos/customers/9063959986496","abrir")</f>
        <v/>
      </c>
      <c r="J23">
        <f>HYPERLINK("https://www.gebeauty.com.br/products/primer-cachos-definidos?ref=review","review")</f>
        <v/>
      </c>
      <c r="K23" t="inlineStr">
        <is>
          <t>SEND</t>
        </is>
      </c>
    </row>
    <row r="24">
      <c r="A24" t="inlineStr">
        <is>
          <t>Ana Karina</t>
        </is>
      </c>
      <c r="B24" t="inlineStr">
        <is>
          <t>+5551981234412</t>
        </is>
      </c>
      <c r="C24" t="inlineStr">
        <is>
          <t>Advocate</t>
        </is>
      </c>
      <c r="D24" t="inlineStr">
        <is>
          <t>Primer Cachos</t>
        </is>
      </c>
      <c r="E24" t="n">
        <v>2</v>
      </c>
      <c r="F24" t="inlineStr">
        <is>
          <t>2025-11-01</t>
        </is>
      </c>
      <c r="G24" t="n">
        <v>245</v>
      </c>
      <c r="H24" t="inlineStr">
        <is>
          <t>Y</t>
        </is>
      </c>
      <c r="I24">
        <f>HYPERLINK("https://admin.shopify.com/store/ge-beauty-cosmeticos/customers/8255315018048","abrir")</f>
        <v/>
      </c>
      <c r="J24">
        <f>HYPERLINK("https://www.gebeauty.com.br/products/primer-cachos-definidos?ref=review","review")</f>
        <v/>
      </c>
      <c r="K24" t="inlineStr">
        <is>
          <t>SEND</t>
        </is>
      </c>
    </row>
    <row r="25">
      <c r="A25" t="inlineStr">
        <is>
          <t>Cecilia</t>
        </is>
      </c>
      <c r="B25" t="inlineStr">
        <is>
          <t>+5521983058681</t>
        </is>
      </c>
      <c r="C25" t="inlineStr">
        <is>
          <t>Advocate</t>
        </is>
      </c>
      <c r="D25" t="inlineStr">
        <is>
          <t>Primer Cachos</t>
        </is>
      </c>
      <c r="E25" t="n">
        <v>2</v>
      </c>
      <c r="F25" t="inlineStr">
        <is>
          <t>2026-05-10</t>
        </is>
      </c>
      <c r="G25" t="n">
        <v>55</v>
      </c>
      <c r="H25" t="inlineStr">
        <is>
          <t>Y</t>
        </is>
      </c>
      <c r="I25">
        <f>HYPERLINK("https://admin.shopify.com/store/ge-beauty-cosmeticos/customers/7762297323840","abrir")</f>
        <v/>
      </c>
      <c r="J25">
        <f>HYPERLINK("https://www.gebeauty.com.br/products/primer-cachos-definidos?ref=review","review")</f>
        <v/>
      </c>
      <c r="K25" t="inlineStr">
        <is>
          <t>SEND</t>
        </is>
      </c>
    </row>
    <row r="26">
      <c r="A26" t="inlineStr">
        <is>
          <t>Camila</t>
        </is>
      </c>
      <c r="B26" t="inlineStr">
        <is>
          <t>+5566999790362</t>
        </is>
      </c>
      <c r="C26" t="inlineStr">
        <is>
          <t>Advocate</t>
        </is>
      </c>
      <c r="D26" t="inlineStr">
        <is>
          <t>Primer Cachos</t>
        </is>
      </c>
      <c r="E26" t="n">
        <v>2</v>
      </c>
      <c r="F26" t="inlineStr">
        <is>
          <t>2026-06-29</t>
        </is>
      </c>
      <c r="G26" t="n">
        <v>5</v>
      </c>
      <c r="H26" t="inlineStr">
        <is>
          <t>Y</t>
        </is>
      </c>
      <c r="I26">
        <f>HYPERLINK("https://admin.shopify.com/store/ge-beauty-cosmeticos/customers/9064892825920","abrir")</f>
        <v/>
      </c>
      <c r="J26">
        <f>HYPERLINK("https://www.gebeauty.com.br/products/primer-cachos-definidos?ref=review","review")</f>
        <v/>
      </c>
      <c r="K26" t="inlineStr">
        <is>
          <t>SEND</t>
        </is>
      </c>
    </row>
    <row r="27">
      <c r="A27" t="inlineStr">
        <is>
          <t>Julia</t>
        </is>
      </c>
      <c r="B27" t="inlineStr">
        <is>
          <t>+5521995671221</t>
        </is>
      </c>
      <c r="C27" t="inlineStr">
        <is>
          <t>Advocate</t>
        </is>
      </c>
      <c r="D27" t="inlineStr">
        <is>
          <t>Primer Cachos</t>
        </is>
      </c>
      <c r="E27" t="n">
        <v>3</v>
      </c>
      <c r="F27" t="inlineStr">
        <is>
          <t>2025-09-20</t>
        </is>
      </c>
      <c r="G27" t="n">
        <v>287</v>
      </c>
      <c r="H27" t="inlineStr">
        <is>
          <t>Y</t>
        </is>
      </c>
      <c r="I27">
        <f>HYPERLINK("https://admin.shopify.com/store/ge-beauty-cosmeticos/customers/7759163162944","abrir")</f>
        <v/>
      </c>
      <c r="J27">
        <f>HYPERLINK("https://www.gebeauty.com.br/products/primer-cachos-definidos?ref=review","review")</f>
        <v/>
      </c>
      <c r="K27" t="inlineStr">
        <is>
          <t>SEND</t>
        </is>
      </c>
    </row>
    <row r="28">
      <c r="A28" t="inlineStr">
        <is>
          <t>Elaise</t>
        </is>
      </c>
      <c r="B28" t="inlineStr">
        <is>
          <t>+5511954708447</t>
        </is>
      </c>
      <c r="C28" t="inlineStr">
        <is>
          <t>Advocate</t>
        </is>
      </c>
      <c r="D28" t="inlineStr">
        <is>
          <t>Primer Cachos</t>
        </is>
      </c>
      <c r="E28" t="n">
        <v>2</v>
      </c>
      <c r="F28" t="inlineStr">
        <is>
          <t>2025-10-01</t>
        </is>
      </c>
      <c r="G28" t="n">
        <v>276</v>
      </c>
      <c r="H28" t="inlineStr">
        <is>
          <t>Y</t>
        </is>
      </c>
      <c r="I28">
        <f>HYPERLINK("https://admin.shopify.com/store/ge-beauty-cosmeticos/customers/7760466837824","abrir")</f>
        <v/>
      </c>
      <c r="J28">
        <f>HYPERLINK("https://www.gebeauty.com.br/products/primer-cachos-definidos?ref=review","review")</f>
        <v/>
      </c>
      <c r="K28" t="inlineStr">
        <is>
          <t>SEND</t>
        </is>
      </c>
    </row>
    <row r="29">
      <c r="A29" t="inlineStr">
        <is>
          <t>Kassandra</t>
        </is>
      </c>
      <c r="B29" t="inlineStr">
        <is>
          <t>+5582996571313</t>
        </is>
      </c>
      <c r="C29" t="inlineStr">
        <is>
          <t>Advocate</t>
        </is>
      </c>
      <c r="D29" t="inlineStr">
        <is>
          <t>Primer Cachos</t>
        </is>
      </c>
      <c r="E29" t="n">
        <v>2</v>
      </c>
      <c r="F29" t="inlineStr">
        <is>
          <t>2025-11-23</t>
        </is>
      </c>
      <c r="G29" t="n">
        <v>223</v>
      </c>
      <c r="H29" t="inlineStr">
        <is>
          <t>Y</t>
        </is>
      </c>
      <c r="I29">
        <f>HYPERLINK("https://admin.shopify.com/store/ge-beauty-cosmeticos/customers/7761189568832","abrir")</f>
        <v/>
      </c>
      <c r="J29">
        <f>HYPERLINK("https://www.gebeauty.com.br/products/primer-cachos-definidos?ref=review","review")</f>
        <v/>
      </c>
      <c r="K29" t="inlineStr">
        <is>
          <t>SEND</t>
        </is>
      </c>
    </row>
    <row r="30">
      <c r="A30" t="inlineStr">
        <is>
          <t>Miriam</t>
        </is>
      </c>
      <c r="B30" t="inlineStr">
        <is>
          <t>+5511987183833</t>
        </is>
      </c>
      <c r="C30" t="inlineStr">
        <is>
          <t>Advocate</t>
        </is>
      </c>
      <c r="D30" t="inlineStr">
        <is>
          <t>Primer Cachos</t>
        </is>
      </c>
      <c r="E30" t="n">
        <v>2</v>
      </c>
      <c r="F30" t="inlineStr">
        <is>
          <t>2025-09-21</t>
        </is>
      </c>
      <c r="G30" t="n">
        <v>286</v>
      </c>
      <c r="H30" t="inlineStr">
        <is>
          <t>Y</t>
        </is>
      </c>
      <c r="I30">
        <f>HYPERLINK("https://admin.shopify.com/store/ge-beauty-cosmeticos/customers/7761183244608","abrir")</f>
        <v/>
      </c>
      <c r="J30">
        <f>HYPERLINK("https://www.gebeauty.com.br/products/primer-cachos-definidos?ref=review","review")</f>
        <v/>
      </c>
      <c r="K30" t="inlineStr">
        <is>
          <t>HOLDOUT</t>
        </is>
      </c>
    </row>
    <row r="31">
      <c r="A31" t="inlineStr">
        <is>
          <t>Romero</t>
        </is>
      </c>
      <c r="B31" t="inlineStr">
        <is>
          <t>+5581997042212</t>
        </is>
      </c>
      <c r="C31" t="inlineStr">
        <is>
          <t>Advocate</t>
        </is>
      </c>
      <c r="D31" t="inlineStr">
        <is>
          <t>Primer Cachos</t>
        </is>
      </c>
      <c r="E31" t="n">
        <v>4</v>
      </c>
      <c r="F31" t="inlineStr">
        <is>
          <t>2025-07-29</t>
        </is>
      </c>
      <c r="G31" t="n">
        <v>340</v>
      </c>
      <c r="H31" t="inlineStr">
        <is>
          <t>Y</t>
        </is>
      </c>
      <c r="I31">
        <f>HYPERLINK("https://admin.shopify.com/store/ge-beauty-cosmeticos/customers/8949192950080","abrir")</f>
        <v/>
      </c>
      <c r="J31">
        <f>HYPERLINK("https://www.gebeauty.com.br/products/primer-cachos-definidos?ref=review","review")</f>
        <v/>
      </c>
      <c r="K31" t="inlineStr">
        <is>
          <t>SEND</t>
        </is>
      </c>
    </row>
    <row r="32">
      <c r="A32" t="inlineStr">
        <is>
          <t>Marina</t>
        </is>
      </c>
      <c r="B32" t="inlineStr">
        <is>
          <t>+5519981555753</t>
        </is>
      </c>
      <c r="C32" t="inlineStr">
        <is>
          <t>Advocate</t>
        </is>
      </c>
      <c r="D32" t="inlineStr">
        <is>
          <t>Primer Cachos</t>
        </is>
      </c>
      <c r="E32" t="n">
        <v>2</v>
      </c>
      <c r="F32" t="inlineStr">
        <is>
          <t>2025-04-10</t>
        </is>
      </c>
      <c r="G32" t="n">
        <v>450</v>
      </c>
      <c r="H32" t="inlineStr">
        <is>
          <t>Y</t>
        </is>
      </c>
      <c r="I32">
        <f>HYPERLINK("https://admin.shopify.com/store/ge-beauty-cosmeticos/customers/7760399728960","abrir")</f>
        <v/>
      </c>
      <c r="J32">
        <f>HYPERLINK("https://www.gebeauty.com.br/products/primer-cachos-definidos?ref=review","review")</f>
        <v/>
      </c>
      <c r="K32" t="inlineStr">
        <is>
          <t>HOLDOUT</t>
        </is>
      </c>
    </row>
    <row r="33">
      <c r="A33" t="inlineStr">
        <is>
          <t>Daniele</t>
        </is>
      </c>
      <c r="B33" t="inlineStr">
        <is>
          <t>+5591984012350</t>
        </is>
      </c>
      <c r="C33" t="inlineStr">
        <is>
          <t>Advocate</t>
        </is>
      </c>
      <c r="D33" t="inlineStr">
        <is>
          <t>Primer Cachos</t>
        </is>
      </c>
      <c r="E33" t="n">
        <v>2</v>
      </c>
      <c r="F33" t="inlineStr">
        <is>
          <t>2025-07-10</t>
        </is>
      </c>
      <c r="G33" t="n">
        <v>359</v>
      </c>
      <c r="H33" t="inlineStr">
        <is>
          <t>Y</t>
        </is>
      </c>
      <c r="I33">
        <f>HYPERLINK("https://admin.shopify.com/store/ge-beauty-cosmeticos/customers/9065356362048","abrir")</f>
        <v/>
      </c>
      <c r="J33">
        <f>HYPERLINK("https://www.gebeauty.com.br/products/primer-cachos-definidos?ref=review","review")</f>
        <v/>
      </c>
      <c r="K33" t="inlineStr">
        <is>
          <t>HOLDOUT</t>
        </is>
      </c>
    </row>
    <row r="34">
      <c r="A34" t="inlineStr">
        <is>
          <t>Andrea</t>
        </is>
      </c>
      <c r="B34" t="inlineStr">
        <is>
          <t>+5531994728379</t>
        </is>
      </c>
      <c r="C34" t="inlineStr">
        <is>
          <t>Advocate</t>
        </is>
      </c>
      <c r="D34" t="inlineStr">
        <is>
          <t>Primer Cachos</t>
        </is>
      </c>
      <c r="E34" t="n">
        <v>3</v>
      </c>
      <c r="F34" t="inlineStr">
        <is>
          <t>2026-01-13</t>
        </is>
      </c>
      <c r="G34" t="n">
        <v>172</v>
      </c>
      <c r="H34" t="inlineStr">
        <is>
          <t>Y</t>
        </is>
      </c>
      <c r="I34">
        <f>HYPERLINK("https://admin.shopify.com/store/ge-beauty-cosmeticos/customers/9066048880960","abrir")</f>
        <v/>
      </c>
      <c r="J34">
        <f>HYPERLINK("https://www.gebeauty.com.br/products/primer-cachos-definidos?ref=review","review")</f>
        <v/>
      </c>
      <c r="K34" t="inlineStr">
        <is>
          <t>SEND</t>
        </is>
      </c>
    </row>
    <row r="35">
      <c r="A35" t="inlineStr">
        <is>
          <t>Nira</t>
        </is>
      </c>
      <c r="B35" t="inlineStr">
        <is>
          <t>+5521969666677</t>
        </is>
      </c>
      <c r="C35" t="inlineStr">
        <is>
          <t>Advocate</t>
        </is>
      </c>
      <c r="D35" t="inlineStr">
        <is>
          <t>Primer Cachos</t>
        </is>
      </c>
      <c r="E35" t="n">
        <v>2</v>
      </c>
      <c r="F35" t="inlineStr">
        <is>
          <t>2025-02-10</t>
        </is>
      </c>
      <c r="G35" t="n">
        <v>509</v>
      </c>
      <c r="H35" t="inlineStr">
        <is>
          <t>Y</t>
        </is>
      </c>
      <c r="I35">
        <f>HYPERLINK("https://admin.shopify.com/store/ge-beauty-cosmeticos/customers/7761508761920","abrir")</f>
        <v/>
      </c>
      <c r="J35">
        <f>HYPERLINK("https://www.gebeauty.com.br/products/primer-cachos-definidos?ref=review","review")</f>
        <v/>
      </c>
      <c r="K35" t="inlineStr">
        <is>
          <t>SEND</t>
        </is>
      </c>
    </row>
    <row r="36">
      <c r="A36" t="inlineStr">
        <is>
          <t>Glicia</t>
        </is>
      </c>
      <c r="B36" t="inlineStr">
        <is>
          <t>+5511980840830</t>
        </is>
      </c>
      <c r="C36" t="inlineStr">
        <is>
          <t>Advocate</t>
        </is>
      </c>
      <c r="D36" t="inlineStr">
        <is>
          <t>Primer Cachos</t>
        </is>
      </c>
      <c r="E36" t="n">
        <v>2</v>
      </c>
      <c r="F36" t="inlineStr">
        <is>
          <t>2026-01-20</t>
        </is>
      </c>
      <c r="G36" t="n">
        <v>165</v>
      </c>
      <c r="H36" t="inlineStr">
        <is>
          <t>Y</t>
        </is>
      </c>
      <c r="I36">
        <f>HYPERLINK("https://admin.shopify.com/store/ge-beauty-cosmeticos/customers/9077020983616","abrir")</f>
        <v/>
      </c>
      <c r="J36">
        <f>HYPERLINK("https://www.gebeauty.com.br/products/primer-cachos-definidos?ref=review","review")</f>
        <v/>
      </c>
      <c r="K36" t="inlineStr">
        <is>
          <t>SEND</t>
        </is>
      </c>
    </row>
    <row r="37">
      <c r="A37" t="inlineStr">
        <is>
          <t>Carolina</t>
        </is>
      </c>
      <c r="B37" t="inlineStr">
        <is>
          <t>+5511983335353</t>
        </is>
      </c>
      <c r="C37" t="inlineStr">
        <is>
          <t>Advocate</t>
        </is>
      </c>
      <c r="D37" t="inlineStr">
        <is>
          <t>Primer Cachos</t>
        </is>
      </c>
      <c r="E37" t="n">
        <v>2</v>
      </c>
      <c r="F37" t="inlineStr">
        <is>
          <t>2025-02-25</t>
        </is>
      </c>
      <c r="G37" t="n">
        <v>494</v>
      </c>
      <c r="H37" t="inlineStr">
        <is>
          <t>Y</t>
        </is>
      </c>
      <c r="I37">
        <f>HYPERLINK("https://admin.shopify.com/store/ge-beauty-cosmeticos/customers/9055413928256","abrir")</f>
        <v/>
      </c>
      <c r="J37">
        <f>HYPERLINK("https://www.gebeauty.com.br/products/primer-cachos-definidos?ref=review","review")</f>
        <v/>
      </c>
      <c r="K37" t="inlineStr">
        <is>
          <t>SEND</t>
        </is>
      </c>
    </row>
    <row r="38">
      <c r="A38" t="inlineStr">
        <is>
          <t>Cristiane</t>
        </is>
      </c>
      <c r="B38" t="inlineStr">
        <is>
          <t>+5511999000434</t>
        </is>
      </c>
      <c r="C38" t="inlineStr">
        <is>
          <t>Advocate</t>
        </is>
      </c>
      <c r="D38" t="inlineStr">
        <is>
          <t>Primer Cachos</t>
        </is>
      </c>
      <c r="E38" t="n">
        <v>2</v>
      </c>
      <c r="F38" t="inlineStr">
        <is>
          <t>2025-09-26</t>
        </is>
      </c>
      <c r="G38" t="n">
        <v>281</v>
      </c>
      <c r="H38" t="inlineStr">
        <is>
          <t>Y</t>
        </is>
      </c>
      <c r="I38">
        <f>HYPERLINK("https://admin.shopify.com/store/ge-beauty-cosmeticos/customers/9078652043584","abrir")</f>
        <v/>
      </c>
      <c r="J38">
        <f>HYPERLINK("https://www.gebeauty.com.br/products/primer-cachos-definidos?ref=review","review")</f>
        <v/>
      </c>
      <c r="K38" t="inlineStr">
        <is>
          <t>SEND</t>
        </is>
      </c>
    </row>
    <row r="39">
      <c r="A39" t="inlineStr">
        <is>
          <t>Maria</t>
        </is>
      </c>
      <c r="B39" t="inlineStr">
        <is>
          <t>+5521997243501</t>
        </is>
      </c>
      <c r="C39" t="inlineStr">
        <is>
          <t>Advocate</t>
        </is>
      </c>
      <c r="D39" t="inlineStr">
        <is>
          <t>Primer Cachos</t>
        </is>
      </c>
      <c r="E39" t="n">
        <v>6</v>
      </c>
      <c r="F39" t="inlineStr">
        <is>
          <t>2026-06-29</t>
        </is>
      </c>
      <c r="G39" t="n">
        <v>5</v>
      </c>
      <c r="H39" t="inlineStr">
        <is>
          <t>Y</t>
        </is>
      </c>
      <c r="I39">
        <f>HYPERLINK("https://admin.shopify.com/store/ge-beauty-cosmeticos/customers/9079315267904","abrir")</f>
        <v/>
      </c>
      <c r="J39">
        <f>HYPERLINK("https://www.gebeauty.com.br/products/primer-cachos-definidos?ref=review","review")</f>
        <v/>
      </c>
      <c r="K39" t="inlineStr">
        <is>
          <t>SEND</t>
        </is>
      </c>
    </row>
    <row r="40">
      <c r="A40" t="inlineStr">
        <is>
          <t>Marina</t>
        </is>
      </c>
      <c r="B40" t="inlineStr">
        <is>
          <t>+5511971672398</t>
        </is>
      </c>
      <c r="C40" t="inlineStr">
        <is>
          <t>Advocate</t>
        </is>
      </c>
      <c r="D40" t="inlineStr">
        <is>
          <t>Primer Cachos</t>
        </is>
      </c>
      <c r="E40" t="n">
        <v>3</v>
      </c>
      <c r="F40" t="inlineStr">
        <is>
          <t>2025-11-26</t>
        </is>
      </c>
      <c r="G40" t="n">
        <v>220</v>
      </c>
      <c r="H40" t="inlineStr">
        <is>
          <t>Y</t>
        </is>
      </c>
      <c r="I40">
        <f>HYPERLINK("https://admin.shopify.com/store/ge-beauty-cosmeticos/customers/7760401105216","abrir")</f>
        <v/>
      </c>
      <c r="J40">
        <f>HYPERLINK("https://www.gebeauty.com.br/products/primer-cachos-definidos?ref=review","review")</f>
        <v/>
      </c>
      <c r="K40" t="inlineStr">
        <is>
          <t>SEND</t>
        </is>
      </c>
    </row>
    <row r="41">
      <c r="A41" t="inlineStr">
        <is>
          <t>Anatana</t>
        </is>
      </c>
      <c r="B41" t="inlineStr">
        <is>
          <t>+5527998719230</t>
        </is>
      </c>
      <c r="C41" t="inlineStr">
        <is>
          <t>Advocate</t>
        </is>
      </c>
      <c r="D41" t="inlineStr">
        <is>
          <t>Primer Cachos</t>
        </is>
      </c>
      <c r="E41" t="n">
        <v>3</v>
      </c>
      <c r="F41" t="inlineStr">
        <is>
          <t>2025-12-12</t>
        </is>
      </c>
      <c r="G41" t="n">
        <v>204</v>
      </c>
      <c r="H41" t="inlineStr">
        <is>
          <t>Y</t>
        </is>
      </c>
      <c r="I41">
        <f>HYPERLINK("https://admin.shopify.com/store/ge-beauty-cosmeticos/customers/8271205564736","abrir")</f>
        <v/>
      </c>
      <c r="J41">
        <f>HYPERLINK("https://www.gebeauty.com.br/products/primer-cachos-definidos?ref=review","review")</f>
        <v/>
      </c>
      <c r="K41" t="inlineStr">
        <is>
          <t>SEND</t>
        </is>
      </c>
    </row>
    <row r="42">
      <c r="A42" t="inlineStr">
        <is>
          <t>Narlla</t>
        </is>
      </c>
      <c r="B42" t="inlineStr">
        <is>
          <t>+5531997279753</t>
        </is>
      </c>
      <c r="C42" t="inlineStr">
        <is>
          <t>Advocate</t>
        </is>
      </c>
      <c r="D42" t="inlineStr">
        <is>
          <t>Primer Cachos</t>
        </is>
      </c>
      <c r="E42" t="n">
        <v>4</v>
      </c>
      <c r="F42" t="inlineStr">
        <is>
          <t>2025-12-18</t>
        </is>
      </c>
      <c r="G42" t="n">
        <v>198</v>
      </c>
      <c r="H42" t="inlineStr">
        <is>
          <t>Y</t>
        </is>
      </c>
      <c r="I42">
        <f>HYPERLINK("https://admin.shopify.com/store/ge-beauty-cosmeticos/customers/7762507104576","abrir")</f>
        <v/>
      </c>
      <c r="J42">
        <f>HYPERLINK("https://www.gebeauty.com.br/products/primer-cachos-definidos?ref=review","review")</f>
        <v/>
      </c>
      <c r="K42" t="inlineStr">
        <is>
          <t>SEND</t>
        </is>
      </c>
    </row>
    <row r="43">
      <c r="A43" t="inlineStr">
        <is>
          <t>Elisabete</t>
        </is>
      </c>
      <c r="B43" t="inlineStr">
        <is>
          <t>+5551993639867</t>
        </is>
      </c>
      <c r="C43" t="inlineStr">
        <is>
          <t>Advocate</t>
        </is>
      </c>
      <c r="D43" t="inlineStr">
        <is>
          <t>Primer Cachos</t>
        </is>
      </c>
      <c r="E43" t="n">
        <v>3</v>
      </c>
      <c r="F43" t="inlineStr">
        <is>
          <t>2025-12-03</t>
        </is>
      </c>
      <c r="G43" t="n">
        <v>213</v>
      </c>
      <c r="H43" t="inlineStr">
        <is>
          <t>Y</t>
        </is>
      </c>
      <c r="I43">
        <f>HYPERLINK("https://admin.shopify.com/store/ge-beauty-cosmeticos/customers/9084214378816","abrir")</f>
        <v/>
      </c>
      <c r="J43">
        <f>HYPERLINK("https://www.gebeauty.com.br/products/primer-cachos-definidos?ref=review","review")</f>
        <v/>
      </c>
      <c r="K43" t="inlineStr">
        <is>
          <t>SEND</t>
        </is>
      </c>
    </row>
    <row r="44">
      <c r="A44" t="inlineStr">
        <is>
          <t>Joana</t>
        </is>
      </c>
      <c r="B44" t="inlineStr">
        <is>
          <t>+5521996180051</t>
        </is>
      </c>
      <c r="C44" t="inlineStr">
        <is>
          <t>Advocate</t>
        </is>
      </c>
      <c r="D44" t="inlineStr">
        <is>
          <t>Primer Cachos</t>
        </is>
      </c>
      <c r="E44" t="n">
        <v>2</v>
      </c>
      <c r="F44" t="inlineStr">
        <is>
          <t>2025-10-20</t>
        </is>
      </c>
      <c r="G44" t="n">
        <v>257</v>
      </c>
      <c r="H44" t="inlineStr">
        <is>
          <t>Y</t>
        </is>
      </c>
      <c r="I44">
        <f>HYPERLINK("https://admin.shopify.com/store/ge-beauty-cosmeticos/customers/9084235252032","abrir")</f>
        <v/>
      </c>
      <c r="J44">
        <f>HYPERLINK("https://www.gebeauty.com.br/products/primer-cachos-definidos?ref=review","review")</f>
        <v/>
      </c>
      <c r="K44" t="inlineStr">
        <is>
          <t>SEND</t>
        </is>
      </c>
    </row>
    <row r="45">
      <c r="A45" t="inlineStr">
        <is>
          <t>Denise</t>
        </is>
      </c>
      <c r="B45" t="inlineStr">
        <is>
          <t>+5511999324376</t>
        </is>
      </c>
      <c r="C45" t="inlineStr">
        <is>
          <t>Advocate</t>
        </is>
      </c>
      <c r="D45" t="inlineStr">
        <is>
          <t>Primer Cachos</t>
        </is>
      </c>
      <c r="E45" t="n">
        <v>2</v>
      </c>
      <c r="F45" t="inlineStr">
        <is>
          <t>2025-12-18</t>
        </is>
      </c>
      <c r="G45" t="n">
        <v>198</v>
      </c>
      <c r="H45" t="inlineStr">
        <is>
          <t>Y</t>
        </is>
      </c>
      <c r="I45">
        <f>HYPERLINK("https://admin.shopify.com/store/ge-beauty-cosmeticos/customers/9084631351616","abrir")</f>
        <v/>
      </c>
      <c r="J45">
        <f>HYPERLINK("https://www.gebeauty.com.br/products/primer-cachos-definidos?ref=review","review")</f>
        <v/>
      </c>
      <c r="K45" t="inlineStr">
        <is>
          <t>SEND</t>
        </is>
      </c>
    </row>
    <row r="46">
      <c r="A46" t="inlineStr">
        <is>
          <t>Litza de Mellk</t>
        </is>
      </c>
      <c r="B46" t="inlineStr">
        <is>
          <t>+5511958227432</t>
        </is>
      </c>
      <c r="C46" t="inlineStr">
        <is>
          <t>Advocate</t>
        </is>
      </c>
      <c r="D46" t="inlineStr">
        <is>
          <t>Primer Cachos</t>
        </is>
      </c>
      <c r="E46" t="n">
        <v>2</v>
      </c>
      <c r="F46" t="inlineStr">
        <is>
          <t>2025-03-29</t>
        </is>
      </c>
      <c r="G46" t="n">
        <v>462</v>
      </c>
      <c r="H46" t="inlineStr">
        <is>
          <t>Y</t>
        </is>
      </c>
      <c r="I46">
        <f>HYPERLINK("https://admin.shopify.com/store/ge-beauty-cosmeticos/customers/9085051273536","abrir")</f>
        <v/>
      </c>
      <c r="J46">
        <f>HYPERLINK("https://www.gebeauty.com.br/products/primer-cachos-definidos?ref=review","review")</f>
        <v/>
      </c>
      <c r="K46" t="inlineStr">
        <is>
          <t>SEND</t>
        </is>
      </c>
    </row>
    <row r="47">
      <c r="A47" t="inlineStr">
        <is>
          <t>Andréia</t>
        </is>
      </c>
      <c r="B47" t="inlineStr">
        <is>
          <t>+5511996325776</t>
        </is>
      </c>
      <c r="C47" t="inlineStr">
        <is>
          <t>Advocate</t>
        </is>
      </c>
      <c r="D47" t="inlineStr">
        <is>
          <t>Primer Cachos</t>
        </is>
      </c>
      <c r="E47" t="n">
        <v>2</v>
      </c>
      <c r="F47" t="inlineStr">
        <is>
          <t>2025-03-15</t>
        </is>
      </c>
      <c r="G47" t="n">
        <v>476</v>
      </c>
      <c r="H47" t="inlineStr">
        <is>
          <t>Y</t>
        </is>
      </c>
      <c r="I47">
        <f>HYPERLINK("https://admin.shopify.com/store/ge-beauty-cosmeticos/customers/8084763836736","abrir")</f>
        <v/>
      </c>
      <c r="J47">
        <f>HYPERLINK("https://www.gebeauty.com.br/products/primer-cachos-definidos?ref=review","review")</f>
        <v/>
      </c>
      <c r="K47" t="inlineStr">
        <is>
          <t>SEND</t>
        </is>
      </c>
    </row>
    <row r="48">
      <c r="A48" t="inlineStr">
        <is>
          <t>Karina</t>
        </is>
      </c>
      <c r="B48" t="inlineStr">
        <is>
          <t>+5548996348059</t>
        </is>
      </c>
      <c r="C48" t="inlineStr">
        <is>
          <t>Advocate</t>
        </is>
      </c>
      <c r="D48" t="inlineStr">
        <is>
          <t>Primer Cachos</t>
        </is>
      </c>
      <c r="E48" t="n">
        <v>2</v>
      </c>
      <c r="F48" t="inlineStr">
        <is>
          <t>2025-04-01</t>
        </is>
      </c>
      <c r="G48" t="n">
        <v>459</v>
      </c>
      <c r="H48" t="inlineStr">
        <is>
          <t>Y</t>
        </is>
      </c>
      <c r="I48">
        <f>HYPERLINK("https://admin.shopify.com/store/ge-beauty-cosmeticos/customers/8936495513920","abrir")</f>
        <v/>
      </c>
      <c r="J48">
        <f>HYPERLINK("https://www.gebeauty.com.br/products/primer-cachos-definidos?ref=review","review")</f>
        <v/>
      </c>
      <c r="K48" t="inlineStr">
        <is>
          <t>SEND</t>
        </is>
      </c>
    </row>
    <row r="49">
      <c r="A49" t="inlineStr">
        <is>
          <t>Tainá</t>
        </is>
      </c>
      <c r="B49" t="inlineStr">
        <is>
          <t>+5511930226549</t>
        </is>
      </c>
      <c r="C49" t="inlineStr">
        <is>
          <t>Advocate</t>
        </is>
      </c>
      <c r="D49" t="inlineStr">
        <is>
          <t>Primer Cachos</t>
        </is>
      </c>
      <c r="E49" t="n">
        <v>2</v>
      </c>
      <c r="F49" t="inlineStr">
        <is>
          <t>2025-11-29</t>
        </is>
      </c>
      <c r="G49" t="n">
        <v>217</v>
      </c>
      <c r="H49" t="inlineStr">
        <is>
          <t>Y</t>
        </is>
      </c>
      <c r="I49">
        <f>HYPERLINK("https://admin.shopify.com/store/ge-beauty-cosmeticos/customers/8130684485952","abrir")</f>
        <v/>
      </c>
      <c r="J49">
        <f>HYPERLINK("https://www.gebeauty.com.br/products/primer-cachos-definidos?ref=review","review")</f>
        <v/>
      </c>
      <c r="K49" t="inlineStr">
        <is>
          <t>SEND</t>
        </is>
      </c>
    </row>
    <row r="50">
      <c r="A50" t="inlineStr">
        <is>
          <t>Thassia</t>
        </is>
      </c>
      <c r="B50" t="inlineStr">
        <is>
          <t>+5541998411715</t>
        </is>
      </c>
      <c r="C50" t="inlineStr">
        <is>
          <t>Advocate</t>
        </is>
      </c>
      <c r="D50" t="inlineStr">
        <is>
          <t>Primer Cachos</t>
        </is>
      </c>
      <c r="E50" t="n">
        <v>2</v>
      </c>
      <c r="F50" t="inlineStr">
        <is>
          <t>2025-08-20</t>
        </is>
      </c>
      <c r="G50" t="n">
        <v>318</v>
      </c>
      <c r="H50" t="inlineStr">
        <is>
          <t>Y</t>
        </is>
      </c>
      <c r="I50">
        <f>HYPERLINK("https://admin.shopify.com/store/ge-beauty-cosmeticos/customers/7762447434048","abrir")</f>
        <v/>
      </c>
      <c r="J50">
        <f>HYPERLINK("https://www.gebeauty.com.br/products/primer-cachos-definidos?ref=review","review")</f>
        <v/>
      </c>
      <c r="K50" t="inlineStr">
        <is>
          <t>SEND</t>
        </is>
      </c>
    </row>
    <row r="51">
      <c r="A51" t="inlineStr">
        <is>
          <t>Yasmine</t>
        </is>
      </c>
      <c r="B51" t="inlineStr">
        <is>
          <t>+5511982521237</t>
        </is>
      </c>
      <c r="C51" t="inlineStr">
        <is>
          <t>Advocate</t>
        </is>
      </c>
      <c r="D51" t="inlineStr">
        <is>
          <t>Primer Cachos</t>
        </is>
      </c>
      <c r="E51" t="n">
        <v>2</v>
      </c>
      <c r="F51" t="inlineStr">
        <is>
          <t>2025-08-27</t>
        </is>
      </c>
      <c r="G51" t="n">
        <v>311</v>
      </c>
      <c r="H51" t="inlineStr">
        <is>
          <t>Y</t>
        </is>
      </c>
      <c r="I51">
        <f>HYPERLINK("https://admin.shopify.com/store/ge-beauty-cosmeticos/customers/7761864065344","abrir")</f>
        <v/>
      </c>
      <c r="J51">
        <f>HYPERLINK("https://www.gebeauty.com.br/products/primer-cachos-definidos?ref=review","review")</f>
        <v/>
      </c>
      <c r="K51" t="inlineStr">
        <is>
          <t>SEND</t>
        </is>
      </c>
    </row>
    <row r="52">
      <c r="A52" t="inlineStr">
        <is>
          <t>Alessandra</t>
        </is>
      </c>
      <c r="B52" t="inlineStr">
        <is>
          <t>+5531998843081</t>
        </is>
      </c>
      <c r="C52" t="inlineStr">
        <is>
          <t>Advocate</t>
        </is>
      </c>
      <c r="D52" t="inlineStr">
        <is>
          <t>Primer Cachos</t>
        </is>
      </c>
      <c r="E52" t="n">
        <v>2</v>
      </c>
      <c r="F52" t="inlineStr">
        <is>
          <t>2025-11-22</t>
        </is>
      </c>
      <c r="G52" t="n">
        <v>224</v>
      </c>
      <c r="H52" t="inlineStr">
        <is>
          <t>Y</t>
        </is>
      </c>
      <c r="I52">
        <f>HYPERLINK("https://admin.shopify.com/store/ge-beauty-cosmeticos/customers/7762481381696","abrir")</f>
        <v/>
      </c>
      <c r="J52">
        <f>HYPERLINK("https://www.gebeauty.com.br/products/primer-cachos-definidos?ref=review","review")</f>
        <v/>
      </c>
      <c r="K52" t="inlineStr">
        <is>
          <t>SEND</t>
        </is>
      </c>
    </row>
    <row r="53">
      <c r="A53" t="inlineStr">
        <is>
          <t>Larissa</t>
        </is>
      </c>
      <c r="B53" t="inlineStr">
        <is>
          <t>+5521996255463</t>
        </is>
      </c>
      <c r="C53" t="inlineStr">
        <is>
          <t>Advocate</t>
        </is>
      </c>
      <c r="D53" t="inlineStr">
        <is>
          <t>Primer Cachos</t>
        </is>
      </c>
      <c r="E53" t="n">
        <v>3</v>
      </c>
      <c r="F53" t="inlineStr">
        <is>
          <t>2025-10-31</t>
        </is>
      </c>
      <c r="G53" t="n">
        <v>246</v>
      </c>
      <c r="H53" t="inlineStr">
        <is>
          <t>Y</t>
        </is>
      </c>
      <c r="I53">
        <f>HYPERLINK("https://admin.shopify.com/store/ge-beauty-cosmeticos/customers/9095685013824","abrir")</f>
        <v/>
      </c>
      <c r="J53">
        <f>HYPERLINK("https://www.gebeauty.com.br/products/primer-cachos-definidos?ref=review","review")</f>
        <v/>
      </c>
      <c r="K53" t="inlineStr">
        <is>
          <t>SEND</t>
        </is>
      </c>
    </row>
    <row r="54">
      <c r="A54" t="inlineStr">
        <is>
          <t>Carolina</t>
        </is>
      </c>
      <c r="B54" t="inlineStr">
        <is>
          <t>+5511980404014</t>
        </is>
      </c>
      <c r="C54" t="inlineStr">
        <is>
          <t>Advocate</t>
        </is>
      </c>
      <c r="D54" t="inlineStr">
        <is>
          <t>Primer Cachos</t>
        </is>
      </c>
      <c r="E54" t="n">
        <v>8</v>
      </c>
      <c r="F54" t="inlineStr">
        <is>
          <t>2026-06-23</t>
        </is>
      </c>
      <c r="G54" t="n">
        <v>11</v>
      </c>
      <c r="H54" t="inlineStr">
        <is>
          <t>Y</t>
        </is>
      </c>
      <c r="I54">
        <f>HYPERLINK("https://admin.shopify.com/store/ge-beauty-cosmeticos/customers/7762664816960","abrir")</f>
        <v/>
      </c>
      <c r="J54">
        <f>HYPERLINK("https://www.gebeauty.com.br/products/primer-cachos-definidos?ref=review","review")</f>
        <v/>
      </c>
      <c r="K54" t="inlineStr">
        <is>
          <t>SEND</t>
        </is>
      </c>
    </row>
    <row r="55">
      <c r="A55" t="inlineStr">
        <is>
          <t>Jennifer</t>
        </is>
      </c>
      <c r="B55" t="inlineStr">
        <is>
          <t>+5511963517859</t>
        </is>
      </c>
      <c r="C55" t="inlineStr">
        <is>
          <t>Advocate</t>
        </is>
      </c>
      <c r="D55" t="inlineStr">
        <is>
          <t>Primer Cachos</t>
        </is>
      </c>
      <c r="E55" t="n">
        <v>2</v>
      </c>
      <c r="F55" t="inlineStr">
        <is>
          <t>2025-11-04</t>
        </is>
      </c>
      <c r="G55" t="n">
        <v>242</v>
      </c>
      <c r="H55" t="inlineStr">
        <is>
          <t>Y</t>
        </is>
      </c>
      <c r="I55">
        <f>HYPERLINK("https://admin.shopify.com/store/ge-beauty-cosmeticos/customers/9097139224896","abrir")</f>
        <v/>
      </c>
      <c r="J55">
        <f>HYPERLINK("https://www.gebeauty.com.br/products/primer-cachos-definidos?ref=review","review")</f>
        <v/>
      </c>
      <c r="K55" t="inlineStr">
        <is>
          <t>SEND</t>
        </is>
      </c>
    </row>
    <row r="56">
      <c r="A56" t="inlineStr">
        <is>
          <t>Fernanda</t>
        </is>
      </c>
      <c r="B56" t="inlineStr">
        <is>
          <t>+5511992231004</t>
        </is>
      </c>
      <c r="C56" t="inlineStr">
        <is>
          <t>Advocate</t>
        </is>
      </c>
      <c r="D56" t="inlineStr">
        <is>
          <t>Primer Cachos</t>
        </is>
      </c>
      <c r="E56" t="n">
        <v>2</v>
      </c>
      <c r="F56" t="inlineStr">
        <is>
          <t>2025-02-23</t>
        </is>
      </c>
      <c r="G56" t="n">
        <v>496</v>
      </c>
      <c r="H56" t="inlineStr">
        <is>
          <t>Y</t>
        </is>
      </c>
      <c r="I56">
        <f>HYPERLINK("https://admin.shopify.com/store/ge-beauty-cosmeticos/customers/8736590070080","abrir")</f>
        <v/>
      </c>
      <c r="J56">
        <f>HYPERLINK("https://www.gebeauty.com.br/products/primer-cachos-definidos?ref=review","review")</f>
        <v/>
      </c>
      <c r="K56" t="inlineStr">
        <is>
          <t>SEND</t>
        </is>
      </c>
    </row>
    <row r="57">
      <c r="A57" t="inlineStr">
        <is>
          <t>Cristina</t>
        </is>
      </c>
      <c r="B57" t="inlineStr">
        <is>
          <t>+5511988123003</t>
        </is>
      </c>
      <c r="C57" t="inlineStr">
        <is>
          <t>Advocate</t>
        </is>
      </c>
      <c r="D57" t="inlineStr">
        <is>
          <t>Primer Cachos</t>
        </is>
      </c>
      <c r="E57" t="n">
        <v>2</v>
      </c>
      <c r="F57" t="inlineStr">
        <is>
          <t>2025-11-18</t>
        </is>
      </c>
      <c r="G57" t="n">
        <v>228</v>
      </c>
      <c r="H57" t="inlineStr">
        <is>
          <t>Y</t>
        </is>
      </c>
      <c r="I57">
        <f>HYPERLINK("https://admin.shopify.com/store/ge-beauty-cosmeticos/customers/8868920983872","abrir")</f>
        <v/>
      </c>
      <c r="J57">
        <f>HYPERLINK("https://www.gebeauty.com.br/products/primer-cachos-definidos?ref=review","review")</f>
        <v/>
      </c>
      <c r="K57" t="inlineStr">
        <is>
          <t>HOLDOUT</t>
        </is>
      </c>
    </row>
    <row r="58">
      <c r="A58" t="inlineStr">
        <is>
          <t>Carolina</t>
        </is>
      </c>
      <c r="B58" t="inlineStr">
        <is>
          <t>+5521996010586</t>
        </is>
      </c>
      <c r="C58" t="inlineStr">
        <is>
          <t>Advocate</t>
        </is>
      </c>
      <c r="D58" t="inlineStr">
        <is>
          <t>Primer Cachos</t>
        </is>
      </c>
      <c r="E58" t="n">
        <v>2</v>
      </c>
      <c r="F58" t="inlineStr">
        <is>
          <t>2026-01-24</t>
        </is>
      </c>
      <c r="G58" t="n">
        <v>161</v>
      </c>
      <c r="H58" t="inlineStr">
        <is>
          <t>Y</t>
        </is>
      </c>
      <c r="I58">
        <f>HYPERLINK("https://admin.shopify.com/store/ge-beauty-cosmeticos/customers/8699761393984","abrir")</f>
        <v/>
      </c>
      <c r="J58">
        <f>HYPERLINK("https://www.gebeauty.com.br/products/primer-cachos-definidos?ref=review","review")</f>
        <v/>
      </c>
      <c r="K58" t="inlineStr">
        <is>
          <t>SEND</t>
        </is>
      </c>
    </row>
    <row r="59">
      <c r="A59" t="inlineStr">
        <is>
          <t>Cinthia</t>
        </is>
      </c>
      <c r="B59" t="inlineStr">
        <is>
          <t>+5532999699093</t>
        </is>
      </c>
      <c r="C59" t="inlineStr">
        <is>
          <t>Advocate</t>
        </is>
      </c>
      <c r="D59" t="inlineStr">
        <is>
          <t>Primer Cachos</t>
        </is>
      </c>
      <c r="E59" t="n">
        <v>3</v>
      </c>
      <c r="F59" t="inlineStr">
        <is>
          <t>2026-04-29</t>
        </is>
      </c>
      <c r="G59" t="n">
        <v>66</v>
      </c>
      <c r="H59" t="inlineStr">
        <is>
          <t>Y</t>
        </is>
      </c>
      <c r="I59">
        <f>HYPERLINK("https://admin.shopify.com/store/ge-beauty-cosmeticos/customers/7759891628352","abrir")</f>
        <v/>
      </c>
      <c r="J59">
        <f>HYPERLINK("https://www.gebeauty.com.br/products/primer-cachos-definidos?ref=review","review")</f>
        <v/>
      </c>
      <c r="K59" t="inlineStr">
        <is>
          <t>SEND</t>
        </is>
      </c>
    </row>
    <row r="60">
      <c r="A60" t="inlineStr">
        <is>
          <t>Gabrielle</t>
        </is>
      </c>
      <c r="B60" t="inlineStr">
        <is>
          <t>+5561994184696</t>
        </is>
      </c>
      <c r="C60" t="inlineStr">
        <is>
          <t>Advocate</t>
        </is>
      </c>
      <c r="D60" t="inlineStr">
        <is>
          <t>Primer Cachos</t>
        </is>
      </c>
      <c r="E60" t="n">
        <v>2</v>
      </c>
      <c r="F60" t="inlineStr">
        <is>
          <t>2026-05-27</t>
        </is>
      </c>
      <c r="G60" t="n">
        <v>38</v>
      </c>
      <c r="H60" t="inlineStr">
        <is>
          <t>Y</t>
        </is>
      </c>
      <c r="I60">
        <f>HYPERLINK("https://admin.shopify.com/store/ge-beauty-cosmeticos/customers/8744743108928","abrir")</f>
        <v/>
      </c>
      <c r="J60">
        <f>HYPERLINK("https://www.gebeauty.com.br/products/primer-cachos-definidos?ref=review","review")</f>
        <v/>
      </c>
      <c r="K60" t="inlineStr">
        <is>
          <t>SEND</t>
        </is>
      </c>
    </row>
    <row r="61">
      <c r="A61" t="inlineStr">
        <is>
          <t>Gabriela</t>
        </is>
      </c>
      <c r="B61" t="inlineStr">
        <is>
          <t>+5581998161444</t>
        </is>
      </c>
      <c r="C61" t="inlineStr">
        <is>
          <t>Advocate</t>
        </is>
      </c>
      <c r="D61" t="inlineStr">
        <is>
          <t>Primer Cachos</t>
        </is>
      </c>
      <c r="E61" t="n">
        <v>4</v>
      </c>
      <c r="F61" t="inlineStr">
        <is>
          <t>2026-01-06</t>
        </is>
      </c>
      <c r="G61" t="n">
        <v>179</v>
      </c>
      <c r="H61" t="inlineStr">
        <is>
          <t>Y</t>
        </is>
      </c>
      <c r="I61">
        <f>HYPERLINK("https://admin.shopify.com/store/ge-beauty-cosmeticos/customers/9103290499392","abrir")</f>
        <v/>
      </c>
      <c r="J61">
        <f>HYPERLINK("https://www.gebeauty.com.br/products/primer-cachos-definidos?ref=review","review")</f>
        <v/>
      </c>
      <c r="K61" t="inlineStr">
        <is>
          <t>SEND</t>
        </is>
      </c>
    </row>
    <row r="62">
      <c r="A62" t="inlineStr">
        <is>
          <t>Bruna</t>
        </is>
      </c>
      <c r="B62" t="inlineStr">
        <is>
          <t>+5585994335941</t>
        </is>
      </c>
      <c r="C62" t="inlineStr">
        <is>
          <t>Advocate</t>
        </is>
      </c>
      <c r="D62" t="inlineStr">
        <is>
          <t>Primer Cachos</t>
        </is>
      </c>
      <c r="E62" t="n">
        <v>2</v>
      </c>
      <c r="F62" t="inlineStr">
        <is>
          <t>2025-11-28</t>
        </is>
      </c>
      <c r="G62" t="n">
        <v>218</v>
      </c>
      <c r="H62" t="inlineStr">
        <is>
          <t>Y</t>
        </is>
      </c>
      <c r="I62">
        <f>HYPERLINK("https://admin.shopify.com/store/ge-beauty-cosmeticos/customers/7759870984512","abrir")</f>
        <v/>
      </c>
      <c r="J62">
        <f>HYPERLINK("https://www.gebeauty.com.br/products/primer-cachos-definidos?ref=review","review")</f>
        <v/>
      </c>
      <c r="K62" t="inlineStr">
        <is>
          <t>SEND</t>
        </is>
      </c>
    </row>
    <row r="63">
      <c r="A63" t="inlineStr">
        <is>
          <t>Mariana</t>
        </is>
      </c>
      <c r="B63" t="inlineStr">
        <is>
          <t>+5561992320625</t>
        </is>
      </c>
      <c r="C63" t="inlineStr">
        <is>
          <t>Advocate</t>
        </is>
      </c>
      <c r="D63" t="inlineStr">
        <is>
          <t>Primer Cachos</t>
        </is>
      </c>
      <c r="E63" t="n">
        <v>2</v>
      </c>
      <c r="F63" t="inlineStr">
        <is>
          <t>2025-05-18</t>
        </is>
      </c>
      <c r="G63" t="n">
        <v>412</v>
      </c>
      <c r="H63" t="inlineStr">
        <is>
          <t>Y</t>
        </is>
      </c>
      <c r="I63">
        <f>HYPERLINK("https://admin.shopify.com/store/ge-beauty-cosmeticos/customers/8210267734336","abrir")</f>
        <v/>
      </c>
      <c r="J63">
        <f>HYPERLINK("https://www.gebeauty.com.br/products/primer-cachos-definidos?ref=review","review")</f>
        <v/>
      </c>
      <c r="K63" t="inlineStr">
        <is>
          <t>SEND</t>
        </is>
      </c>
    </row>
    <row r="64">
      <c r="A64" t="inlineStr">
        <is>
          <t>Adriana</t>
        </is>
      </c>
      <c r="B64" t="inlineStr">
        <is>
          <t>+5511981226572</t>
        </is>
      </c>
      <c r="C64" t="inlineStr">
        <is>
          <t>Advocate</t>
        </is>
      </c>
      <c r="D64" t="inlineStr">
        <is>
          <t>Primer Cachos</t>
        </is>
      </c>
      <c r="E64" t="n">
        <v>2</v>
      </c>
      <c r="F64" t="inlineStr">
        <is>
          <t>2025-11-29</t>
        </is>
      </c>
      <c r="G64" t="n">
        <v>217</v>
      </c>
      <c r="H64" t="inlineStr">
        <is>
          <t>Y</t>
        </is>
      </c>
      <c r="I64">
        <f>HYPERLINK("https://admin.shopify.com/store/ge-beauty-cosmeticos/customers/9112257265984","abrir")</f>
        <v/>
      </c>
      <c r="J64">
        <f>HYPERLINK("https://www.gebeauty.com.br/products/primer-cachos-definidos?ref=review","review")</f>
        <v/>
      </c>
      <c r="K64" t="inlineStr">
        <is>
          <t>SEND</t>
        </is>
      </c>
    </row>
    <row r="65">
      <c r="A65" t="inlineStr">
        <is>
          <t>Jordana</t>
        </is>
      </c>
      <c r="B65" t="inlineStr">
        <is>
          <t>+5521995586762</t>
        </is>
      </c>
      <c r="C65" t="inlineStr">
        <is>
          <t>Advocate</t>
        </is>
      </c>
      <c r="D65" t="inlineStr">
        <is>
          <t>Primer Cachos</t>
        </is>
      </c>
      <c r="E65" t="n">
        <v>3</v>
      </c>
      <c r="F65" t="inlineStr">
        <is>
          <t>2025-12-16</t>
        </is>
      </c>
      <c r="G65" t="n">
        <v>200</v>
      </c>
      <c r="H65" t="inlineStr">
        <is>
          <t>Y</t>
        </is>
      </c>
      <c r="I65">
        <f>HYPERLINK("https://admin.shopify.com/store/ge-beauty-cosmeticos/customers/9114575896896","abrir")</f>
        <v/>
      </c>
      <c r="J65">
        <f>HYPERLINK("https://www.gebeauty.com.br/products/primer-cachos-definidos?ref=review","review")</f>
        <v/>
      </c>
      <c r="K65" t="inlineStr">
        <is>
          <t>SEND</t>
        </is>
      </c>
    </row>
    <row r="66">
      <c r="A66" t="inlineStr">
        <is>
          <t>Luana</t>
        </is>
      </c>
      <c r="B66" t="inlineStr">
        <is>
          <t>+5554996630889</t>
        </is>
      </c>
      <c r="C66" t="inlineStr">
        <is>
          <t>Advocate</t>
        </is>
      </c>
      <c r="D66" t="inlineStr">
        <is>
          <t>Primer Cachos</t>
        </is>
      </c>
      <c r="E66" t="n">
        <v>2</v>
      </c>
      <c r="F66" t="inlineStr">
        <is>
          <t>2025-11-24</t>
        </is>
      </c>
      <c r="G66" t="n">
        <v>222</v>
      </c>
      <c r="H66" t="inlineStr">
        <is>
          <t>Y</t>
        </is>
      </c>
      <c r="I66">
        <f>HYPERLINK("https://admin.shopify.com/store/ge-beauty-cosmeticos/customers/8084631388480","abrir")</f>
        <v/>
      </c>
      <c r="J66">
        <f>HYPERLINK("https://www.gebeauty.com.br/products/primer-cachos-definidos?ref=review","review")</f>
        <v/>
      </c>
      <c r="K66" t="inlineStr">
        <is>
          <t>SEND</t>
        </is>
      </c>
    </row>
    <row r="67">
      <c r="A67" t="inlineStr">
        <is>
          <t>Greice</t>
        </is>
      </c>
      <c r="B67" t="inlineStr">
        <is>
          <t>+5555999467649</t>
        </is>
      </c>
      <c r="C67" t="inlineStr">
        <is>
          <t>Advocate</t>
        </is>
      </c>
      <c r="D67" t="inlineStr">
        <is>
          <t>Primer Cachos</t>
        </is>
      </c>
      <c r="E67" t="n">
        <v>2</v>
      </c>
      <c r="F67" t="inlineStr">
        <is>
          <t>2026-02-11</t>
        </is>
      </c>
      <c r="G67" t="n">
        <v>143</v>
      </c>
      <c r="H67" t="inlineStr">
        <is>
          <t>Y</t>
        </is>
      </c>
      <c r="I67">
        <f>HYPERLINK("https://admin.shopify.com/store/ge-beauty-cosmeticos/customers/8552173732160","abrir")</f>
        <v/>
      </c>
      <c r="J67">
        <f>HYPERLINK("https://www.gebeauty.com.br/products/primer-cachos-definidos?ref=review","review")</f>
        <v/>
      </c>
      <c r="K67" t="inlineStr">
        <is>
          <t>SEND</t>
        </is>
      </c>
    </row>
    <row r="68">
      <c r="A68" t="inlineStr">
        <is>
          <t>Francisca</t>
        </is>
      </c>
      <c r="B68" t="inlineStr">
        <is>
          <t>+5545991581002</t>
        </is>
      </c>
      <c r="C68" t="inlineStr">
        <is>
          <t>Advocate</t>
        </is>
      </c>
      <c r="D68" t="inlineStr">
        <is>
          <t>Primer Cachos</t>
        </is>
      </c>
      <c r="E68" t="n">
        <v>2</v>
      </c>
      <c r="F68" t="inlineStr">
        <is>
          <t>2025-09-30</t>
        </is>
      </c>
      <c r="G68" t="n">
        <v>277</v>
      </c>
      <c r="H68" t="inlineStr">
        <is>
          <t>Y</t>
        </is>
      </c>
      <c r="I68">
        <f>HYPERLINK("https://admin.shopify.com/store/ge-beauty-cosmeticos/customers/8107430773056","abrir")</f>
        <v/>
      </c>
      <c r="J68">
        <f>HYPERLINK("https://www.gebeauty.com.br/products/primer-cachos-definidos?ref=review","review")</f>
        <v/>
      </c>
      <c r="K68" t="inlineStr">
        <is>
          <t>SEND</t>
        </is>
      </c>
    </row>
    <row r="69">
      <c r="A69" t="inlineStr">
        <is>
          <t>Mara</t>
        </is>
      </c>
      <c r="B69" t="inlineStr">
        <is>
          <t>+5512991976669</t>
        </is>
      </c>
      <c r="C69" t="inlineStr">
        <is>
          <t>Advocate</t>
        </is>
      </c>
      <c r="D69" t="inlineStr">
        <is>
          <t>Primer Cachos</t>
        </is>
      </c>
      <c r="E69" t="n">
        <v>2</v>
      </c>
      <c r="F69" t="inlineStr">
        <is>
          <t>2026-04-29</t>
        </is>
      </c>
      <c r="G69" t="n">
        <v>66</v>
      </c>
      <c r="H69" t="inlineStr">
        <is>
          <t>Y</t>
        </is>
      </c>
      <c r="I69">
        <f>HYPERLINK("https://admin.shopify.com/store/ge-beauty-cosmeticos/customers/7759422423360","abrir")</f>
        <v/>
      </c>
      <c r="J69">
        <f>HYPERLINK("https://www.gebeauty.com.br/products/primer-cachos-definidos?ref=review","review")</f>
        <v/>
      </c>
      <c r="K69" t="inlineStr">
        <is>
          <t>SEND</t>
        </is>
      </c>
    </row>
    <row r="70">
      <c r="A70" t="inlineStr">
        <is>
          <t>Nathália</t>
        </is>
      </c>
      <c r="B70" t="inlineStr">
        <is>
          <t>+5585987397267</t>
        </is>
      </c>
      <c r="C70" t="inlineStr">
        <is>
          <t>Advocate</t>
        </is>
      </c>
      <c r="D70" t="inlineStr">
        <is>
          <t>Primer Cachos</t>
        </is>
      </c>
      <c r="E70" t="n">
        <v>2</v>
      </c>
      <c r="F70" t="inlineStr">
        <is>
          <t>2025-12-21</t>
        </is>
      </c>
      <c r="G70" t="n">
        <v>195</v>
      </c>
      <c r="H70" t="inlineStr">
        <is>
          <t>Y</t>
        </is>
      </c>
      <c r="I70">
        <f>HYPERLINK("https://admin.shopify.com/store/ge-beauty-cosmeticos/customers/7762270716224","abrir")</f>
        <v/>
      </c>
      <c r="J70">
        <f>HYPERLINK("https://www.gebeauty.com.br/products/primer-cachos-definidos?ref=review","review")</f>
        <v/>
      </c>
      <c r="K70" t="inlineStr">
        <is>
          <t>SEND</t>
        </is>
      </c>
    </row>
    <row r="71">
      <c r="A71" t="inlineStr">
        <is>
          <t>Ana</t>
        </is>
      </c>
      <c r="B71" t="inlineStr">
        <is>
          <t>+5511951724931</t>
        </is>
      </c>
      <c r="C71" t="inlineStr">
        <is>
          <t>Advocate</t>
        </is>
      </c>
      <c r="D71" t="inlineStr">
        <is>
          <t>Primer Cachos</t>
        </is>
      </c>
      <c r="E71" t="n">
        <v>2</v>
      </c>
      <c r="F71" t="inlineStr">
        <is>
          <t>2025-11-29</t>
        </is>
      </c>
      <c r="G71" t="n">
        <v>217</v>
      </c>
      <c r="H71" t="inlineStr">
        <is>
          <t>Y</t>
        </is>
      </c>
      <c r="I71">
        <f>HYPERLINK("https://admin.shopify.com/store/ge-beauty-cosmeticos/customers/8431113011520","abrir")</f>
        <v/>
      </c>
      <c r="J71">
        <f>HYPERLINK("https://www.gebeauty.com.br/products/primer-cachos-definidos?ref=review","review")</f>
        <v/>
      </c>
      <c r="K71" t="inlineStr">
        <is>
          <t>SEND</t>
        </is>
      </c>
    </row>
    <row r="72">
      <c r="A72" t="inlineStr">
        <is>
          <t>Luiza</t>
        </is>
      </c>
      <c r="B72" t="inlineStr">
        <is>
          <t>+5513997134107</t>
        </is>
      </c>
      <c r="C72" t="inlineStr">
        <is>
          <t>Advocate</t>
        </is>
      </c>
      <c r="D72" t="inlineStr">
        <is>
          <t>Primer Cachos</t>
        </is>
      </c>
      <c r="E72" t="n">
        <v>3</v>
      </c>
      <c r="F72" t="inlineStr">
        <is>
          <t>2025-11-12</t>
        </is>
      </c>
      <c r="G72" t="n">
        <v>234</v>
      </c>
      <c r="H72" t="inlineStr">
        <is>
          <t>Y</t>
        </is>
      </c>
      <c r="I72">
        <f>HYPERLINK("https://admin.shopify.com/store/ge-beauty-cosmeticos/customers/7759137866048","abrir")</f>
        <v/>
      </c>
      <c r="J72">
        <f>HYPERLINK("https://www.gebeauty.com.br/products/primer-cachos-definidos?ref=review","review")</f>
        <v/>
      </c>
      <c r="K72" t="inlineStr">
        <is>
          <t>SEND</t>
        </is>
      </c>
    </row>
    <row r="73">
      <c r="A73" t="inlineStr">
        <is>
          <t>Cecilia</t>
        </is>
      </c>
      <c r="B73" t="inlineStr">
        <is>
          <t>+5575981285775</t>
        </is>
      </c>
      <c r="C73" t="inlineStr">
        <is>
          <t>Advocate</t>
        </is>
      </c>
      <c r="D73" t="inlineStr">
        <is>
          <t>Primer Cachos</t>
        </is>
      </c>
      <c r="E73" t="n">
        <v>2</v>
      </c>
      <c r="F73" t="inlineStr">
        <is>
          <t>2025-11-05</t>
        </is>
      </c>
      <c r="G73" t="n">
        <v>241</v>
      </c>
      <c r="H73" t="inlineStr">
        <is>
          <t>Y</t>
        </is>
      </c>
      <c r="I73">
        <f>HYPERLINK("https://admin.shopify.com/store/ge-beauty-cosmeticos/customers/8112839557440","abrir")</f>
        <v/>
      </c>
      <c r="J73">
        <f>HYPERLINK("https://www.gebeauty.com.br/products/primer-cachos-definidos?ref=review","review")</f>
        <v/>
      </c>
      <c r="K73" t="inlineStr">
        <is>
          <t>SEND</t>
        </is>
      </c>
    </row>
    <row r="74">
      <c r="A74" t="inlineStr">
        <is>
          <t>Kika</t>
        </is>
      </c>
      <c r="B74" t="inlineStr">
        <is>
          <t>+5511966662404</t>
        </is>
      </c>
      <c r="C74" t="inlineStr">
        <is>
          <t>Advocate</t>
        </is>
      </c>
      <c r="D74" t="inlineStr">
        <is>
          <t>Primer Cachos</t>
        </is>
      </c>
      <c r="E74" t="n">
        <v>2</v>
      </c>
      <c r="F74" t="inlineStr">
        <is>
          <t>2025-11-05</t>
        </is>
      </c>
      <c r="G74" t="n">
        <v>241</v>
      </c>
      <c r="H74" t="inlineStr">
        <is>
          <t>Y</t>
        </is>
      </c>
      <c r="I74">
        <f>HYPERLINK("https://admin.shopify.com/store/ge-beauty-cosmeticos/customers/7760219636032","abrir")</f>
        <v/>
      </c>
      <c r="J74">
        <f>HYPERLINK("https://www.gebeauty.com.br/products/primer-cachos-definidos?ref=review","review")</f>
        <v/>
      </c>
      <c r="K74" t="inlineStr">
        <is>
          <t>SEND</t>
        </is>
      </c>
    </row>
    <row r="75">
      <c r="A75" t="inlineStr">
        <is>
          <t>Marcia</t>
        </is>
      </c>
      <c r="B75" t="inlineStr">
        <is>
          <t>+5511981815467</t>
        </is>
      </c>
      <c r="C75" t="inlineStr">
        <is>
          <t>Advocate</t>
        </is>
      </c>
      <c r="D75" t="inlineStr">
        <is>
          <t>Primer Cachos</t>
        </is>
      </c>
      <c r="E75" t="n">
        <v>2</v>
      </c>
      <c r="F75" t="inlineStr">
        <is>
          <t>2025-03-09</t>
        </is>
      </c>
      <c r="G75" t="n">
        <v>482</v>
      </c>
      <c r="H75" t="inlineStr">
        <is>
          <t>Y</t>
        </is>
      </c>
      <c r="I75">
        <f>HYPERLINK("https://admin.shopify.com/store/ge-beauty-cosmeticos/customers/7762497798464","abrir")</f>
        <v/>
      </c>
      <c r="J75">
        <f>HYPERLINK("https://www.gebeauty.com.br/products/primer-cachos-definidos?ref=review","review")</f>
        <v/>
      </c>
      <c r="K75" t="inlineStr">
        <is>
          <t>SEND</t>
        </is>
      </c>
    </row>
    <row r="76">
      <c r="A76" t="inlineStr">
        <is>
          <t>Amanda</t>
        </is>
      </c>
      <c r="B76" t="inlineStr">
        <is>
          <t>+5532991141044</t>
        </is>
      </c>
      <c r="C76" t="inlineStr">
        <is>
          <t>Advocate</t>
        </is>
      </c>
      <c r="D76" t="inlineStr">
        <is>
          <t>Primer Cachos</t>
        </is>
      </c>
      <c r="E76" t="n">
        <v>2</v>
      </c>
      <c r="F76" t="inlineStr">
        <is>
          <t>2025-07-31</t>
        </is>
      </c>
      <c r="G76" t="n">
        <v>338</v>
      </c>
      <c r="H76" t="inlineStr">
        <is>
          <t>Y</t>
        </is>
      </c>
      <c r="I76">
        <f>HYPERLINK("https://admin.shopify.com/store/ge-beauty-cosmeticos/customers/7761913708864","abrir")</f>
        <v/>
      </c>
      <c r="J76">
        <f>HYPERLINK("https://www.gebeauty.com.br/products/primer-cachos-definidos?ref=review","review")</f>
        <v/>
      </c>
      <c r="K76" t="inlineStr">
        <is>
          <t>SEND</t>
        </is>
      </c>
    </row>
    <row r="77">
      <c r="A77" t="inlineStr">
        <is>
          <t>Mariana</t>
        </is>
      </c>
      <c r="B77" t="inlineStr">
        <is>
          <t>+5531992006956</t>
        </is>
      </c>
      <c r="C77" t="inlineStr">
        <is>
          <t>Advocate</t>
        </is>
      </c>
      <c r="D77" t="inlineStr">
        <is>
          <t>Primer Cachos</t>
        </is>
      </c>
      <c r="E77" t="n">
        <v>2</v>
      </c>
      <c r="F77" t="inlineStr">
        <is>
          <t>2025-08-26</t>
        </is>
      </c>
      <c r="G77" t="n">
        <v>312</v>
      </c>
      <c r="H77" t="inlineStr">
        <is>
          <t>Y</t>
        </is>
      </c>
      <c r="I77">
        <f>HYPERLINK("https://admin.shopify.com/store/ge-beauty-cosmeticos/customers/7762601935168","abrir")</f>
        <v/>
      </c>
      <c r="J77">
        <f>HYPERLINK("https://www.gebeauty.com.br/products/primer-cachos-definidos?ref=review","review")</f>
        <v/>
      </c>
      <c r="K77" t="inlineStr">
        <is>
          <t>SEND</t>
        </is>
      </c>
    </row>
    <row r="78">
      <c r="A78" t="inlineStr">
        <is>
          <t>Laís</t>
        </is>
      </c>
      <c r="B78" t="inlineStr">
        <is>
          <t>+5511987773447</t>
        </is>
      </c>
      <c r="C78" t="inlineStr">
        <is>
          <t>Advocate</t>
        </is>
      </c>
      <c r="D78" t="inlineStr">
        <is>
          <t>Primer Cachos</t>
        </is>
      </c>
      <c r="E78" t="n">
        <v>2</v>
      </c>
      <c r="F78" t="inlineStr">
        <is>
          <t>2025-11-28</t>
        </is>
      </c>
      <c r="G78" t="n">
        <v>218</v>
      </c>
      <c r="H78" t="inlineStr">
        <is>
          <t>Y</t>
        </is>
      </c>
      <c r="I78">
        <f>HYPERLINK("https://admin.shopify.com/store/ge-beauty-cosmeticos/customers/7761720312128","abrir")</f>
        <v/>
      </c>
      <c r="J78">
        <f>HYPERLINK("https://www.gebeauty.com.br/products/primer-cachos-definidos?ref=review","review")</f>
        <v/>
      </c>
      <c r="K78" t="inlineStr">
        <is>
          <t>SEND</t>
        </is>
      </c>
    </row>
    <row r="79">
      <c r="A79" t="inlineStr">
        <is>
          <t>Julia</t>
        </is>
      </c>
      <c r="B79" t="inlineStr">
        <is>
          <t>+5565999927619</t>
        </is>
      </c>
      <c r="C79" t="inlineStr">
        <is>
          <t>Advocate</t>
        </is>
      </c>
      <c r="D79" t="inlineStr">
        <is>
          <t>Primer Cachos</t>
        </is>
      </c>
      <c r="E79" t="n">
        <v>2</v>
      </c>
      <c r="F79" t="inlineStr">
        <is>
          <t>2025-10-01</t>
        </is>
      </c>
      <c r="G79" t="n">
        <v>276</v>
      </c>
      <c r="H79" t="inlineStr">
        <is>
          <t>Y</t>
        </is>
      </c>
      <c r="I79">
        <f>HYPERLINK("https://admin.shopify.com/store/ge-beauty-cosmeticos/customers/8918474260800","abrir")</f>
        <v/>
      </c>
      <c r="J79">
        <f>HYPERLINK("https://www.gebeauty.com.br/products/primer-cachos-definidos?ref=review","review")</f>
        <v/>
      </c>
      <c r="K79" t="inlineStr">
        <is>
          <t>SEND</t>
        </is>
      </c>
    </row>
    <row r="80">
      <c r="A80" t="inlineStr">
        <is>
          <t>Alice</t>
        </is>
      </c>
      <c r="B80" t="inlineStr">
        <is>
          <t>+5585991092201</t>
        </is>
      </c>
      <c r="C80" t="inlineStr">
        <is>
          <t>Advocate</t>
        </is>
      </c>
      <c r="D80" t="inlineStr">
        <is>
          <t>Primer Cachos</t>
        </is>
      </c>
      <c r="E80" t="n">
        <v>2</v>
      </c>
      <c r="F80" t="inlineStr">
        <is>
          <t>2025-06-26</t>
        </is>
      </c>
      <c r="G80" t="n">
        <v>373</v>
      </c>
      <c r="H80" t="inlineStr">
        <is>
          <t>Y</t>
        </is>
      </c>
      <c r="I80">
        <f>HYPERLINK("https://admin.shopify.com/store/ge-beauty-cosmeticos/customers/7760375316800","abrir")</f>
        <v/>
      </c>
      <c r="J80">
        <f>HYPERLINK("https://www.gebeauty.com.br/products/primer-cachos-definidos?ref=review","review")</f>
        <v/>
      </c>
      <c r="K80" t="inlineStr">
        <is>
          <t>SEND</t>
        </is>
      </c>
    </row>
    <row r="81">
      <c r="A81" t="inlineStr">
        <is>
          <t>Natalia</t>
        </is>
      </c>
      <c r="B81" t="inlineStr">
        <is>
          <t>+5585996767468</t>
        </is>
      </c>
      <c r="C81" t="inlineStr">
        <is>
          <t>Advocate</t>
        </is>
      </c>
      <c r="D81" t="inlineStr">
        <is>
          <t>Primer Cachos</t>
        </is>
      </c>
      <c r="E81" t="n">
        <v>2</v>
      </c>
      <c r="F81" t="inlineStr">
        <is>
          <t>2025-05-18</t>
        </is>
      </c>
      <c r="G81" t="n">
        <v>412</v>
      </c>
      <c r="H81" t="inlineStr">
        <is>
          <t>Y</t>
        </is>
      </c>
      <c r="I81">
        <f>HYPERLINK("https://admin.shopify.com/store/ge-beauty-cosmeticos/customers/7760191488320","abrir")</f>
        <v/>
      </c>
      <c r="J81">
        <f>HYPERLINK("https://www.gebeauty.com.br/products/primer-cachos-definidos?ref=review","review")</f>
        <v/>
      </c>
      <c r="K81" t="inlineStr">
        <is>
          <t>SEND</t>
        </is>
      </c>
    </row>
    <row r="82">
      <c r="A82" t="inlineStr">
        <is>
          <t>Vinicius</t>
        </is>
      </c>
      <c r="B82" t="inlineStr">
        <is>
          <t>+5511998254050</t>
        </is>
      </c>
      <c r="C82" t="inlineStr">
        <is>
          <t>Advocate</t>
        </is>
      </c>
      <c r="D82" t="inlineStr">
        <is>
          <t>Primer Cachos</t>
        </is>
      </c>
      <c r="E82" t="n">
        <v>2</v>
      </c>
      <c r="F82" t="inlineStr">
        <is>
          <t>2026-02-13</t>
        </is>
      </c>
      <c r="G82" t="n">
        <v>141</v>
      </c>
      <c r="H82" t="inlineStr">
        <is>
          <t>Y</t>
        </is>
      </c>
      <c r="I82">
        <f>HYPERLINK("https://admin.shopify.com/store/ge-beauty-cosmeticos/customers/9129377759552","abrir")</f>
        <v/>
      </c>
      <c r="J82">
        <f>HYPERLINK("https://www.gebeauty.com.br/products/primer-cachos-definidos?ref=review","review")</f>
        <v/>
      </c>
      <c r="K82" t="inlineStr">
        <is>
          <t>SEND</t>
        </is>
      </c>
    </row>
    <row r="83">
      <c r="A83" t="inlineStr">
        <is>
          <t>Ana</t>
        </is>
      </c>
      <c r="B83" t="inlineStr">
        <is>
          <t>+5581998043528</t>
        </is>
      </c>
      <c r="C83" t="inlineStr">
        <is>
          <t>Advocate</t>
        </is>
      </c>
      <c r="D83" t="inlineStr">
        <is>
          <t>Primer Cachos</t>
        </is>
      </c>
      <c r="E83" t="n">
        <v>2</v>
      </c>
      <c r="F83" t="inlineStr">
        <is>
          <t>2025-07-15</t>
        </is>
      </c>
      <c r="G83" t="n">
        <v>354</v>
      </c>
      <c r="H83" t="inlineStr">
        <is>
          <t>Y</t>
        </is>
      </c>
      <c r="I83">
        <f>HYPERLINK("https://admin.shopify.com/store/ge-beauty-cosmeticos/customers/7762369839424","abrir")</f>
        <v/>
      </c>
      <c r="J83">
        <f>HYPERLINK("https://www.gebeauty.com.br/products/primer-cachos-definidos?ref=review","review")</f>
        <v/>
      </c>
      <c r="K83" t="inlineStr">
        <is>
          <t>SEND</t>
        </is>
      </c>
    </row>
    <row r="84">
      <c r="A84" t="inlineStr">
        <is>
          <t>Isabela</t>
        </is>
      </c>
      <c r="B84" t="inlineStr">
        <is>
          <t>+5581996066580</t>
        </is>
      </c>
      <c r="C84" t="inlineStr">
        <is>
          <t>Advocate</t>
        </is>
      </c>
      <c r="D84" t="inlineStr">
        <is>
          <t>Primer Cachos</t>
        </is>
      </c>
      <c r="E84" t="n">
        <v>2</v>
      </c>
      <c r="F84" t="inlineStr">
        <is>
          <t>2025-11-30</t>
        </is>
      </c>
      <c r="G84" t="n">
        <v>216</v>
      </c>
      <c r="H84" t="inlineStr">
        <is>
          <t>Y</t>
        </is>
      </c>
      <c r="I84">
        <f>HYPERLINK("https://admin.shopify.com/store/ge-beauty-cosmeticos/customers/7760511074624","abrir")</f>
        <v/>
      </c>
      <c r="J84">
        <f>HYPERLINK("https://www.gebeauty.com.br/products/primer-cachos-definidos?ref=review","review")</f>
        <v/>
      </c>
      <c r="K84" t="inlineStr">
        <is>
          <t>SEND</t>
        </is>
      </c>
    </row>
    <row r="85">
      <c r="A85" t="inlineStr">
        <is>
          <t>Luisa</t>
        </is>
      </c>
      <c r="B85" t="inlineStr">
        <is>
          <t>+5543991619300</t>
        </is>
      </c>
      <c r="C85" t="inlineStr">
        <is>
          <t>Advocate</t>
        </is>
      </c>
      <c r="D85" t="inlineStr">
        <is>
          <t>Primer Cachos</t>
        </is>
      </c>
      <c r="E85" t="n">
        <v>3</v>
      </c>
      <c r="F85" t="inlineStr">
        <is>
          <t>2025-07-22</t>
        </is>
      </c>
      <c r="G85" t="n">
        <v>347</v>
      </c>
      <c r="H85" t="inlineStr">
        <is>
          <t>Y</t>
        </is>
      </c>
      <c r="I85">
        <f>HYPERLINK("https://admin.shopify.com/store/ge-beauty-cosmeticos/customers/8746659053888","abrir")</f>
        <v/>
      </c>
      <c r="J85">
        <f>HYPERLINK("https://www.gebeauty.com.br/products/primer-cachos-definidos?ref=review","review")</f>
        <v/>
      </c>
      <c r="K85" t="inlineStr">
        <is>
          <t>SEND</t>
        </is>
      </c>
    </row>
    <row r="86">
      <c r="A86" t="inlineStr">
        <is>
          <t>Priscila</t>
        </is>
      </c>
      <c r="B86" t="inlineStr">
        <is>
          <t>+5511991164412</t>
        </is>
      </c>
      <c r="C86" t="inlineStr">
        <is>
          <t>Advocate</t>
        </is>
      </c>
      <c r="D86" t="inlineStr">
        <is>
          <t>Primer Cachos</t>
        </is>
      </c>
      <c r="E86" t="n">
        <v>2</v>
      </c>
      <c r="F86" t="inlineStr">
        <is>
          <t>2026-05-06</t>
        </is>
      </c>
      <c r="G86" t="n">
        <v>59</v>
      </c>
      <c r="H86" t="inlineStr">
        <is>
          <t>Y</t>
        </is>
      </c>
      <c r="I86">
        <f>HYPERLINK("https://admin.shopify.com/store/ge-beauty-cosmeticos/customers/9133199786304","abrir")</f>
        <v/>
      </c>
      <c r="J86">
        <f>HYPERLINK("https://www.gebeauty.com.br/products/primer-cachos-definidos?ref=review","review")</f>
        <v/>
      </c>
      <c r="K86" t="inlineStr">
        <is>
          <t>SEND</t>
        </is>
      </c>
    </row>
    <row r="87">
      <c r="A87" t="inlineStr">
        <is>
          <t>Thais</t>
        </is>
      </c>
      <c r="B87" t="inlineStr">
        <is>
          <t>+5521994721714</t>
        </is>
      </c>
      <c r="C87" t="inlineStr">
        <is>
          <t>Advocate</t>
        </is>
      </c>
      <c r="D87" t="inlineStr">
        <is>
          <t>Primer Cachos</t>
        </is>
      </c>
      <c r="E87" t="n">
        <v>3</v>
      </c>
      <c r="F87" t="inlineStr">
        <is>
          <t>2026-04-23</t>
        </is>
      </c>
      <c r="G87" t="n">
        <v>72</v>
      </c>
      <c r="H87" t="inlineStr">
        <is>
          <t>Y</t>
        </is>
      </c>
      <c r="I87">
        <f>HYPERLINK("https://admin.shopify.com/store/ge-beauty-cosmeticos/customers/7761416388928","abrir")</f>
        <v/>
      </c>
      <c r="J87">
        <f>HYPERLINK("https://www.gebeauty.com.br/products/primer-cachos-definidos?ref=review","review")</f>
        <v/>
      </c>
      <c r="K87" t="inlineStr">
        <is>
          <t>SEND</t>
        </is>
      </c>
    </row>
    <row r="88">
      <c r="A88" t="inlineStr">
        <is>
          <t>Caroline</t>
        </is>
      </c>
      <c r="B88" t="inlineStr">
        <is>
          <t>+5549988650951</t>
        </is>
      </c>
      <c r="C88" t="inlineStr">
        <is>
          <t>Advocate</t>
        </is>
      </c>
      <c r="D88" t="inlineStr">
        <is>
          <t>Primer Cachos</t>
        </is>
      </c>
      <c r="E88" t="n">
        <v>2</v>
      </c>
      <c r="F88" t="inlineStr">
        <is>
          <t>2025-09-26</t>
        </is>
      </c>
      <c r="G88" t="n">
        <v>281</v>
      </c>
      <c r="H88" t="inlineStr">
        <is>
          <t>Y</t>
        </is>
      </c>
      <c r="I88">
        <f>HYPERLINK("https://admin.shopify.com/store/ge-beauty-cosmeticos/customers/9135142895936","abrir")</f>
        <v/>
      </c>
      <c r="J88">
        <f>HYPERLINK("https://www.gebeauty.com.br/products/primer-cachos-definidos?ref=review","review")</f>
        <v/>
      </c>
      <c r="K88" t="inlineStr">
        <is>
          <t>SEND</t>
        </is>
      </c>
    </row>
    <row r="89">
      <c r="A89" t="inlineStr">
        <is>
          <t>Janaina</t>
        </is>
      </c>
      <c r="B89" t="inlineStr">
        <is>
          <t>+5521993532746</t>
        </is>
      </c>
      <c r="C89" t="inlineStr">
        <is>
          <t>Advocate</t>
        </is>
      </c>
      <c r="D89" t="inlineStr">
        <is>
          <t>Primer Cachos</t>
        </is>
      </c>
      <c r="E89" t="n">
        <v>2</v>
      </c>
      <c r="F89" t="inlineStr">
        <is>
          <t>2025-06-02</t>
        </is>
      </c>
      <c r="G89" t="n">
        <v>397</v>
      </c>
      <c r="H89" t="inlineStr">
        <is>
          <t>Y</t>
        </is>
      </c>
      <c r="I89">
        <f>HYPERLINK("https://admin.shopify.com/store/ge-beauty-cosmeticos/customers/7761809506624","abrir")</f>
        <v/>
      </c>
      <c r="J89">
        <f>HYPERLINK("https://www.gebeauty.com.br/products/primer-cachos-definidos?ref=review","review")</f>
        <v/>
      </c>
      <c r="K89" t="inlineStr">
        <is>
          <t>SEND</t>
        </is>
      </c>
    </row>
    <row r="90">
      <c r="A90" t="inlineStr">
        <is>
          <t>Fernanda</t>
        </is>
      </c>
      <c r="B90" t="inlineStr">
        <is>
          <t>+5521997483281</t>
        </is>
      </c>
      <c r="C90" t="inlineStr">
        <is>
          <t>Advocate</t>
        </is>
      </c>
      <c r="D90" t="inlineStr">
        <is>
          <t>Primer Cachos</t>
        </is>
      </c>
      <c r="E90" t="n">
        <v>3</v>
      </c>
      <c r="F90" t="inlineStr">
        <is>
          <t>2025-12-01</t>
        </is>
      </c>
      <c r="G90" t="n">
        <v>215</v>
      </c>
      <c r="H90" t="inlineStr">
        <is>
          <t>Y</t>
        </is>
      </c>
      <c r="I90">
        <f>HYPERLINK("https://admin.shopify.com/store/ge-beauty-cosmeticos/customers/9132944294208","abrir")</f>
        <v/>
      </c>
      <c r="J90">
        <f>HYPERLINK("https://www.gebeauty.com.br/products/primer-cachos-definidos?ref=review","review")</f>
        <v/>
      </c>
      <c r="K90" t="inlineStr">
        <is>
          <t>SEND</t>
        </is>
      </c>
    </row>
    <row r="91">
      <c r="A91" t="inlineStr">
        <is>
          <t>Jessica</t>
        </is>
      </c>
      <c r="B91" t="inlineStr">
        <is>
          <t>+5581987126593</t>
        </is>
      </c>
      <c r="C91" t="inlineStr">
        <is>
          <t>Advocate</t>
        </is>
      </c>
      <c r="D91" t="inlineStr">
        <is>
          <t>Primer Cachos</t>
        </is>
      </c>
      <c r="E91" t="n">
        <v>4</v>
      </c>
      <c r="F91" t="inlineStr">
        <is>
          <t>2025-12-14</t>
        </is>
      </c>
      <c r="G91" t="n">
        <v>202</v>
      </c>
      <c r="H91" t="inlineStr">
        <is>
          <t>Y</t>
        </is>
      </c>
      <c r="I91">
        <f>HYPERLINK("https://admin.shopify.com/store/ge-beauty-cosmeticos/customers/7761573970240","abrir")</f>
        <v/>
      </c>
      <c r="J91">
        <f>HYPERLINK("https://www.gebeauty.com.br/products/primer-cachos-definidos?ref=review","review")</f>
        <v/>
      </c>
      <c r="K91" t="inlineStr">
        <is>
          <t>SEND</t>
        </is>
      </c>
    </row>
    <row r="92">
      <c r="A92" t="inlineStr">
        <is>
          <t>Isabella</t>
        </is>
      </c>
      <c r="B92" t="inlineStr">
        <is>
          <t>+5584991282241</t>
        </is>
      </c>
      <c r="C92" t="inlineStr">
        <is>
          <t>Advocate</t>
        </is>
      </c>
      <c r="D92" t="inlineStr">
        <is>
          <t>Primer Cachos</t>
        </is>
      </c>
      <c r="E92" t="n">
        <v>2</v>
      </c>
      <c r="F92" t="inlineStr">
        <is>
          <t>2025-11-23</t>
        </is>
      </c>
      <c r="G92" t="n">
        <v>223</v>
      </c>
      <c r="H92" t="inlineStr">
        <is>
          <t>Y</t>
        </is>
      </c>
      <c r="I92">
        <f>HYPERLINK("https://admin.shopify.com/store/ge-beauty-cosmeticos/customers/9140431454528","abrir")</f>
        <v/>
      </c>
      <c r="J92">
        <f>HYPERLINK("https://www.gebeauty.com.br/products/primer-cachos-definidos?ref=review","review")</f>
        <v/>
      </c>
      <c r="K92" t="inlineStr">
        <is>
          <t>HOLDOUT</t>
        </is>
      </c>
    </row>
    <row r="93">
      <c r="A93" t="inlineStr">
        <is>
          <t>Heloísa</t>
        </is>
      </c>
      <c r="B93" t="inlineStr">
        <is>
          <t>+5542999019189</t>
        </is>
      </c>
      <c r="C93" t="inlineStr">
        <is>
          <t>Advocate</t>
        </is>
      </c>
      <c r="D93" t="inlineStr">
        <is>
          <t>Primer Cachos</t>
        </is>
      </c>
      <c r="E93" t="n">
        <v>2</v>
      </c>
      <c r="F93" t="inlineStr">
        <is>
          <t>2026-07-04</t>
        </is>
      </c>
      <c r="G93" t="n">
        <v>0</v>
      </c>
      <c r="H93" t="inlineStr">
        <is>
          <t>Y</t>
        </is>
      </c>
      <c r="I93">
        <f>HYPERLINK("https://admin.shopify.com/store/ge-beauty-cosmeticos/customers/7759164440896","abrir")</f>
        <v/>
      </c>
      <c r="J93">
        <f>HYPERLINK("https://www.gebeauty.com.br/products/primer-cachos-definidos?ref=review","review")</f>
        <v/>
      </c>
      <c r="K93" t="inlineStr">
        <is>
          <t>SEND</t>
        </is>
      </c>
    </row>
    <row r="94">
      <c r="A94" t="inlineStr">
        <is>
          <t>Ana</t>
        </is>
      </c>
      <c r="B94" t="inlineStr">
        <is>
          <t>+5521992525964</t>
        </is>
      </c>
      <c r="C94" t="inlineStr">
        <is>
          <t>Advocate</t>
        </is>
      </c>
      <c r="D94" t="inlineStr">
        <is>
          <t>Primer Cachos</t>
        </is>
      </c>
      <c r="E94" t="n">
        <v>2</v>
      </c>
      <c r="F94" t="inlineStr">
        <is>
          <t>2026-06-30</t>
        </is>
      </c>
      <c r="G94" t="n">
        <v>4</v>
      </c>
      <c r="H94" t="inlineStr">
        <is>
          <t>Y</t>
        </is>
      </c>
      <c r="I94">
        <f>HYPERLINK("https://admin.shopify.com/store/ge-beauty-cosmeticos/customers/7760006512960","abrir")</f>
        <v/>
      </c>
      <c r="J94">
        <f>HYPERLINK("https://www.gebeauty.com.br/products/primer-cachos-definidos?ref=review","review")</f>
        <v/>
      </c>
      <c r="K94" t="inlineStr">
        <is>
          <t>SEND</t>
        </is>
      </c>
    </row>
    <row r="95">
      <c r="A95" t="inlineStr">
        <is>
          <t>Lauren</t>
        </is>
      </c>
      <c r="B95" t="inlineStr">
        <is>
          <t>+5551999736283</t>
        </is>
      </c>
      <c r="C95" t="inlineStr">
        <is>
          <t>Advocate</t>
        </is>
      </c>
      <c r="D95" t="inlineStr">
        <is>
          <t>Primer Cachos</t>
        </is>
      </c>
      <c r="E95" t="n">
        <v>2</v>
      </c>
      <c r="F95" t="inlineStr">
        <is>
          <t>2026-04-08</t>
        </is>
      </c>
      <c r="G95" t="n">
        <v>87</v>
      </c>
      <c r="H95" t="inlineStr">
        <is>
          <t>Y</t>
        </is>
      </c>
      <c r="I95">
        <f>HYPERLINK("https://admin.shopify.com/store/ge-beauty-cosmeticos/customers/7762121228608","abrir")</f>
        <v/>
      </c>
      <c r="J95">
        <f>HYPERLINK("https://www.gebeauty.com.br/products/primer-cachos-definidos?ref=review","review")</f>
        <v/>
      </c>
      <c r="K95" t="inlineStr">
        <is>
          <t>SEND</t>
        </is>
      </c>
    </row>
    <row r="96">
      <c r="A96" t="inlineStr">
        <is>
          <t>Meire</t>
        </is>
      </c>
      <c r="B96" t="inlineStr">
        <is>
          <t>+5547999734065</t>
        </is>
      </c>
      <c r="C96" t="inlineStr">
        <is>
          <t>Advocate</t>
        </is>
      </c>
      <c r="D96" t="inlineStr">
        <is>
          <t>Primer Cachos</t>
        </is>
      </c>
      <c r="E96" t="n">
        <v>2</v>
      </c>
      <c r="F96" t="inlineStr">
        <is>
          <t>2025-12-01</t>
        </is>
      </c>
      <c r="G96" t="n">
        <v>215</v>
      </c>
      <c r="H96" t="inlineStr">
        <is>
          <t>Y</t>
        </is>
      </c>
      <c r="I96">
        <f>HYPERLINK("https://admin.shopify.com/store/ge-beauty-cosmeticos/customers/9150551523648","abrir")</f>
        <v/>
      </c>
      <c r="J96">
        <f>HYPERLINK("https://www.gebeauty.com.br/products/primer-cachos-definidos?ref=review","review")</f>
        <v/>
      </c>
      <c r="K96" t="inlineStr">
        <is>
          <t>SEND</t>
        </is>
      </c>
    </row>
    <row r="97">
      <c r="A97" t="inlineStr">
        <is>
          <t>Luiza</t>
        </is>
      </c>
      <c r="B97" t="inlineStr">
        <is>
          <t>+5521996122606</t>
        </is>
      </c>
      <c r="C97" t="inlineStr">
        <is>
          <t>Advocate</t>
        </is>
      </c>
      <c r="D97" t="inlineStr">
        <is>
          <t>Primer Cachos</t>
        </is>
      </c>
      <c r="E97" t="n">
        <v>2</v>
      </c>
      <c r="F97" t="inlineStr">
        <is>
          <t>2025-07-16</t>
        </is>
      </c>
      <c r="G97" t="n">
        <v>353</v>
      </c>
      <c r="H97" t="inlineStr">
        <is>
          <t>Y</t>
        </is>
      </c>
      <c r="I97">
        <f>HYPERLINK("https://admin.shopify.com/store/ge-beauty-cosmeticos/customers/9151409389888","abrir")</f>
        <v/>
      </c>
      <c r="J97">
        <f>HYPERLINK("https://www.gebeauty.com.br/products/primer-cachos-definidos?ref=review","review")</f>
        <v/>
      </c>
      <c r="K97" t="inlineStr">
        <is>
          <t>SEND</t>
        </is>
      </c>
    </row>
    <row r="98">
      <c r="A98" t="inlineStr">
        <is>
          <t>Flavia</t>
        </is>
      </c>
      <c r="B98" t="inlineStr">
        <is>
          <t>+5511983869821</t>
        </is>
      </c>
      <c r="C98" t="inlineStr">
        <is>
          <t>Advocate</t>
        </is>
      </c>
      <c r="D98" t="inlineStr">
        <is>
          <t>Primer Cachos</t>
        </is>
      </c>
      <c r="E98" t="n">
        <v>4</v>
      </c>
      <c r="F98" t="inlineStr">
        <is>
          <t>2026-04-28</t>
        </is>
      </c>
      <c r="G98" t="n">
        <v>67</v>
      </c>
      <c r="H98" t="inlineStr">
        <is>
          <t>Y</t>
        </is>
      </c>
      <c r="I98">
        <f>HYPERLINK("https://admin.shopify.com/store/ge-beauty-cosmeticos/customers/7762204131648","abrir")</f>
        <v/>
      </c>
      <c r="J98">
        <f>HYPERLINK("https://www.gebeauty.com.br/products/primer-cachos-definidos?ref=review","review")</f>
        <v/>
      </c>
      <c r="K98" t="inlineStr">
        <is>
          <t>SEND</t>
        </is>
      </c>
    </row>
    <row r="99">
      <c r="A99" t="inlineStr">
        <is>
          <t>Rebeka</t>
        </is>
      </c>
      <c r="B99" t="inlineStr">
        <is>
          <t>+5543999375536</t>
        </is>
      </c>
      <c r="C99" t="inlineStr">
        <is>
          <t>Advocate</t>
        </is>
      </c>
      <c r="D99" t="inlineStr">
        <is>
          <t>Primer Cachos</t>
        </is>
      </c>
      <c r="E99" t="n">
        <v>2</v>
      </c>
      <c r="F99" t="inlineStr">
        <is>
          <t>2025-03-28</t>
        </is>
      </c>
      <c r="G99" t="n">
        <v>463</v>
      </c>
      <c r="H99" t="inlineStr">
        <is>
          <t>Y</t>
        </is>
      </c>
      <c r="I99">
        <f>HYPERLINK("https://admin.shopify.com/store/ge-beauty-cosmeticos/customers/8655602745664","abrir")</f>
        <v/>
      </c>
      <c r="J99">
        <f>HYPERLINK("https://www.gebeauty.com.br/products/primer-cachos-definidos?ref=review","review")</f>
        <v/>
      </c>
      <c r="K99" t="inlineStr">
        <is>
          <t>SEND</t>
        </is>
      </c>
    </row>
    <row r="100">
      <c r="A100" t="inlineStr">
        <is>
          <t>Joao</t>
        </is>
      </c>
      <c r="B100" t="inlineStr">
        <is>
          <t>+5519988251344</t>
        </is>
      </c>
      <c r="C100" t="inlineStr">
        <is>
          <t>Advocate</t>
        </is>
      </c>
      <c r="D100" t="inlineStr">
        <is>
          <t>Primer Cachos</t>
        </is>
      </c>
      <c r="E100" t="n">
        <v>3</v>
      </c>
      <c r="F100" t="inlineStr">
        <is>
          <t>2025-12-12</t>
        </is>
      </c>
      <c r="G100" t="n">
        <v>204</v>
      </c>
      <c r="H100" t="inlineStr">
        <is>
          <t>Y</t>
        </is>
      </c>
      <c r="I100">
        <f>HYPERLINK("https://admin.shopify.com/store/ge-beauty-cosmeticos/customers/9156211867968","abrir")</f>
        <v/>
      </c>
      <c r="J100">
        <f>HYPERLINK("https://www.gebeauty.com.br/products/primer-cachos-definidos?ref=review","review")</f>
        <v/>
      </c>
      <c r="K100" t="inlineStr">
        <is>
          <t>SEND</t>
        </is>
      </c>
    </row>
    <row r="101">
      <c r="A101" t="inlineStr">
        <is>
          <t>Tayana</t>
        </is>
      </c>
      <c r="B101" t="inlineStr">
        <is>
          <t>+5571996163630</t>
        </is>
      </c>
      <c r="C101" t="inlineStr">
        <is>
          <t>Advocate</t>
        </is>
      </c>
      <c r="D101" t="inlineStr">
        <is>
          <t>Primer Cachos</t>
        </is>
      </c>
      <c r="E101" t="n">
        <v>2</v>
      </c>
      <c r="F101" t="inlineStr">
        <is>
          <t>2026-01-20</t>
        </is>
      </c>
      <c r="G101" t="n">
        <v>165</v>
      </c>
      <c r="H101" t="inlineStr">
        <is>
          <t>Y</t>
        </is>
      </c>
      <c r="I101">
        <f>HYPERLINK("https://admin.shopify.com/store/ge-beauty-cosmeticos/customers/7762367054144","abrir")</f>
        <v/>
      </c>
      <c r="J101">
        <f>HYPERLINK("https://www.gebeauty.com.br/products/primer-cachos-definidos?ref=review","review")</f>
        <v/>
      </c>
      <c r="K101" t="inlineStr">
        <is>
          <t>HOLDOUT</t>
        </is>
      </c>
    </row>
    <row r="102">
      <c r="A102" t="inlineStr">
        <is>
          <t>Yara</t>
        </is>
      </c>
      <c r="B102" t="inlineStr">
        <is>
          <t>+5511992441266</t>
        </is>
      </c>
      <c r="C102" t="inlineStr">
        <is>
          <t>Advocate</t>
        </is>
      </c>
      <c r="D102" t="inlineStr">
        <is>
          <t>Primer Cachos</t>
        </is>
      </c>
      <c r="E102" t="n">
        <v>3</v>
      </c>
      <c r="F102" t="inlineStr">
        <is>
          <t>2026-01-07</t>
        </is>
      </c>
      <c r="G102" t="n">
        <v>178</v>
      </c>
      <c r="H102" t="inlineStr">
        <is>
          <t>Y</t>
        </is>
      </c>
      <c r="I102">
        <f>HYPERLINK("https://admin.shopify.com/store/ge-beauty-cosmeticos/customers/9158505824576","abrir")</f>
        <v/>
      </c>
      <c r="J102">
        <f>HYPERLINK("https://www.gebeauty.com.br/products/primer-cachos-definidos?ref=review","review")</f>
        <v/>
      </c>
      <c r="K102" t="inlineStr">
        <is>
          <t>SEND</t>
        </is>
      </c>
    </row>
    <row r="103">
      <c r="A103" t="inlineStr">
        <is>
          <t>Júlia</t>
        </is>
      </c>
      <c r="B103" t="inlineStr">
        <is>
          <t>+5516992517002</t>
        </is>
      </c>
      <c r="C103" t="inlineStr">
        <is>
          <t>Advocate</t>
        </is>
      </c>
      <c r="D103" t="inlineStr">
        <is>
          <t>Primer Cachos</t>
        </is>
      </c>
      <c r="E103" t="n">
        <v>2</v>
      </c>
      <c r="F103" t="inlineStr">
        <is>
          <t>2026-04-11</t>
        </is>
      </c>
      <c r="G103" t="n">
        <v>84</v>
      </c>
      <c r="H103" t="inlineStr">
        <is>
          <t>Y</t>
        </is>
      </c>
      <c r="I103">
        <f>HYPERLINK("https://admin.shopify.com/store/ge-beauty-cosmeticos/customers/7762350801216","abrir")</f>
        <v/>
      </c>
      <c r="J103">
        <f>HYPERLINK("https://www.gebeauty.com.br/products/primer-cachos-definidos?ref=review","review")</f>
        <v/>
      </c>
      <c r="K103" t="inlineStr">
        <is>
          <t>SEND</t>
        </is>
      </c>
    </row>
    <row r="104">
      <c r="A104" t="inlineStr">
        <is>
          <t>Ana</t>
        </is>
      </c>
      <c r="B104" t="inlineStr">
        <is>
          <t>+5519992407772</t>
        </is>
      </c>
      <c r="C104" t="inlineStr">
        <is>
          <t>Advocate</t>
        </is>
      </c>
      <c r="D104" t="inlineStr">
        <is>
          <t>Primer Cachos</t>
        </is>
      </c>
      <c r="E104" t="n">
        <v>2</v>
      </c>
      <c r="F104" t="inlineStr">
        <is>
          <t>2025-09-24</t>
        </is>
      </c>
      <c r="G104" t="n">
        <v>283</v>
      </c>
      <c r="H104" t="inlineStr">
        <is>
          <t>Y</t>
        </is>
      </c>
      <c r="I104">
        <f>HYPERLINK("https://admin.shopify.com/store/ge-beauty-cosmeticos/customers/9160159035712","abrir")</f>
        <v/>
      </c>
      <c r="J104">
        <f>HYPERLINK("https://www.gebeauty.com.br/products/primer-cachos-definidos?ref=review","review")</f>
        <v/>
      </c>
      <c r="K104" t="inlineStr">
        <is>
          <t>SEND</t>
        </is>
      </c>
    </row>
    <row r="105">
      <c r="A105" t="inlineStr">
        <is>
          <t>Julia</t>
        </is>
      </c>
      <c r="B105" t="inlineStr">
        <is>
          <t>+5532985252657</t>
        </is>
      </c>
      <c r="C105" t="inlineStr">
        <is>
          <t>Advocate</t>
        </is>
      </c>
      <c r="D105" t="inlineStr">
        <is>
          <t>Primer Cachos</t>
        </is>
      </c>
      <c r="E105" t="n">
        <v>2</v>
      </c>
      <c r="F105" t="inlineStr">
        <is>
          <t>2025-09-28</t>
        </is>
      </c>
      <c r="G105" t="n">
        <v>279</v>
      </c>
      <c r="H105" t="inlineStr">
        <is>
          <t>Y</t>
        </is>
      </c>
      <c r="I105">
        <f>HYPERLINK("https://admin.shopify.com/store/ge-beauty-cosmeticos/customers/9161214525760","abrir")</f>
        <v/>
      </c>
      <c r="J105">
        <f>HYPERLINK("https://www.gebeauty.com.br/products/primer-cachos-definidos?ref=review","review")</f>
        <v/>
      </c>
      <c r="K105" t="inlineStr">
        <is>
          <t>SEND</t>
        </is>
      </c>
    </row>
    <row r="106">
      <c r="A106" t="inlineStr">
        <is>
          <t>Juliana</t>
        </is>
      </c>
      <c r="B106" t="inlineStr">
        <is>
          <t>+5561982431102</t>
        </is>
      </c>
      <c r="C106" t="inlineStr">
        <is>
          <t>Advocate</t>
        </is>
      </c>
      <c r="D106" t="inlineStr">
        <is>
          <t>Primer Cachos</t>
        </is>
      </c>
      <c r="E106" t="n">
        <v>2</v>
      </c>
      <c r="F106" t="inlineStr">
        <is>
          <t>2025-09-08</t>
        </is>
      </c>
      <c r="G106" t="n">
        <v>299</v>
      </c>
      <c r="H106" t="inlineStr">
        <is>
          <t>Y</t>
        </is>
      </c>
      <c r="I106">
        <f>HYPERLINK("https://admin.shopify.com/store/ge-beauty-cosmeticos/customers/8981222261056","abrir")</f>
        <v/>
      </c>
      <c r="J106">
        <f>HYPERLINK("https://www.gebeauty.com.br/products/primer-cachos-definidos?ref=review","review")</f>
        <v/>
      </c>
      <c r="K106" t="inlineStr">
        <is>
          <t>SEND</t>
        </is>
      </c>
    </row>
    <row r="107">
      <c r="A107" t="inlineStr">
        <is>
          <t>Alzira</t>
        </is>
      </c>
      <c r="B107" t="inlineStr">
        <is>
          <t>+5511991687979</t>
        </is>
      </c>
      <c r="C107" t="inlineStr">
        <is>
          <t>Advocate</t>
        </is>
      </c>
      <c r="D107" t="inlineStr">
        <is>
          <t>Primer Cachos</t>
        </is>
      </c>
      <c r="E107" t="n">
        <v>5</v>
      </c>
      <c r="F107" t="inlineStr">
        <is>
          <t>2026-03-19</t>
        </is>
      </c>
      <c r="G107" t="n">
        <v>107</v>
      </c>
      <c r="H107" t="inlineStr">
        <is>
          <t>Y</t>
        </is>
      </c>
      <c r="I107">
        <f>HYPERLINK("https://admin.shopify.com/store/ge-beauty-cosmeticos/customers/7762641322304","abrir")</f>
        <v/>
      </c>
      <c r="J107">
        <f>HYPERLINK("https://www.gebeauty.com.br/products/primer-cachos-definidos?ref=review","review")</f>
        <v/>
      </c>
      <c r="K107" t="inlineStr">
        <is>
          <t>SEND</t>
        </is>
      </c>
    </row>
    <row r="108">
      <c r="A108" t="inlineStr">
        <is>
          <t>Renata</t>
        </is>
      </c>
      <c r="B108" t="inlineStr">
        <is>
          <t>+5511995441155</t>
        </is>
      </c>
      <c r="C108" t="inlineStr">
        <is>
          <t>Advocate</t>
        </is>
      </c>
      <c r="D108" t="inlineStr">
        <is>
          <t>Primer Cachos</t>
        </is>
      </c>
      <c r="E108" t="n">
        <v>2</v>
      </c>
      <c r="F108" t="inlineStr">
        <is>
          <t>2025-04-02</t>
        </is>
      </c>
      <c r="G108" t="n">
        <v>458</v>
      </c>
      <c r="H108" t="inlineStr">
        <is>
          <t>Y</t>
        </is>
      </c>
      <c r="I108">
        <f>HYPERLINK("https://admin.shopify.com/store/ge-beauty-cosmeticos/customers/8272024437056","abrir")</f>
        <v/>
      </c>
      <c r="J108">
        <f>HYPERLINK("https://www.gebeauty.com.br/products/primer-cachos-definidos?ref=review","review")</f>
        <v/>
      </c>
      <c r="K108" t="inlineStr">
        <is>
          <t>SEND</t>
        </is>
      </c>
    </row>
    <row r="109">
      <c r="A109" t="inlineStr">
        <is>
          <t>Fabiola</t>
        </is>
      </c>
      <c r="B109" t="inlineStr">
        <is>
          <t>+5521995726647</t>
        </is>
      </c>
      <c r="C109" t="inlineStr">
        <is>
          <t>Advocate</t>
        </is>
      </c>
      <c r="D109" t="inlineStr">
        <is>
          <t>Primer Cachos</t>
        </is>
      </c>
      <c r="E109" t="n">
        <v>2</v>
      </c>
      <c r="F109" t="inlineStr">
        <is>
          <t>2025-04-02</t>
        </is>
      </c>
      <c r="G109" t="n">
        <v>458</v>
      </c>
      <c r="H109" t="inlineStr">
        <is>
          <t>Y</t>
        </is>
      </c>
      <c r="I109">
        <f>HYPERLINK("https://admin.shopify.com/store/ge-beauty-cosmeticos/customers/8358212632896","abrir")</f>
        <v/>
      </c>
      <c r="J109">
        <f>HYPERLINK("https://www.gebeauty.com.br/products/primer-cachos-definidos?ref=review","review")</f>
        <v/>
      </c>
      <c r="K109" t="inlineStr">
        <is>
          <t>SEND</t>
        </is>
      </c>
    </row>
    <row r="110">
      <c r="A110" t="inlineStr">
        <is>
          <t>Rafaela</t>
        </is>
      </c>
      <c r="B110" t="inlineStr">
        <is>
          <t>+5519981219560</t>
        </is>
      </c>
      <c r="C110" t="inlineStr">
        <is>
          <t>Advocate</t>
        </is>
      </c>
      <c r="D110" t="inlineStr">
        <is>
          <t>Primer Cachos</t>
        </is>
      </c>
      <c r="E110" t="n">
        <v>3</v>
      </c>
      <c r="F110" t="inlineStr">
        <is>
          <t>2026-04-13</t>
        </is>
      </c>
      <c r="G110" t="n">
        <v>82</v>
      </c>
      <c r="H110" t="inlineStr">
        <is>
          <t>Y</t>
        </is>
      </c>
      <c r="I110">
        <f>HYPERLINK("https://admin.shopify.com/store/ge-beauty-cosmeticos/customers/7762122834240","abrir")</f>
        <v/>
      </c>
      <c r="J110">
        <f>HYPERLINK("https://www.gebeauty.com.br/products/primer-cachos-definidos?ref=review","review")</f>
        <v/>
      </c>
      <c r="K110" t="inlineStr">
        <is>
          <t>SEND</t>
        </is>
      </c>
    </row>
    <row r="111">
      <c r="A111" t="inlineStr">
        <is>
          <t>Julia</t>
        </is>
      </c>
      <c r="B111" t="inlineStr">
        <is>
          <t>+5511996689867</t>
        </is>
      </c>
      <c r="C111" t="inlineStr">
        <is>
          <t>Advocate</t>
        </is>
      </c>
      <c r="D111" t="inlineStr">
        <is>
          <t>Primer Cachos</t>
        </is>
      </c>
      <c r="E111" t="n">
        <v>4</v>
      </c>
      <c r="F111" t="inlineStr">
        <is>
          <t>2025-12-29</t>
        </is>
      </c>
      <c r="G111" t="n">
        <v>187</v>
      </c>
      <c r="H111" t="inlineStr">
        <is>
          <t>Y</t>
        </is>
      </c>
      <c r="I111">
        <f>HYPERLINK("https://admin.shopify.com/store/ge-beauty-cosmeticos/customers/7760147448128","abrir")</f>
        <v/>
      </c>
      <c r="J111">
        <f>HYPERLINK("https://www.gebeauty.com.br/products/primer-cachos-definidos?ref=review","review")</f>
        <v/>
      </c>
      <c r="K111" t="inlineStr">
        <is>
          <t>SEND</t>
        </is>
      </c>
    </row>
    <row r="112">
      <c r="A112" t="inlineStr">
        <is>
          <t>Luciana</t>
        </is>
      </c>
      <c r="B112" t="inlineStr">
        <is>
          <t>+5579988099119</t>
        </is>
      </c>
      <c r="C112" t="inlineStr">
        <is>
          <t>Advocate</t>
        </is>
      </c>
      <c r="D112" t="inlineStr">
        <is>
          <t>Primer Cachos</t>
        </is>
      </c>
      <c r="E112" t="n">
        <v>2</v>
      </c>
      <c r="F112" t="inlineStr">
        <is>
          <t>2025-06-20</t>
        </is>
      </c>
      <c r="G112" t="n">
        <v>379</v>
      </c>
      <c r="H112" t="inlineStr">
        <is>
          <t>Y</t>
        </is>
      </c>
      <c r="I112">
        <f>HYPERLINK("https://admin.shopify.com/store/ge-beauty-cosmeticos/customers/8295354728768","abrir")</f>
        <v/>
      </c>
      <c r="J112">
        <f>HYPERLINK("https://www.gebeauty.com.br/products/primer-cachos-definidos?ref=review","review")</f>
        <v/>
      </c>
      <c r="K112" t="inlineStr">
        <is>
          <t>SEND</t>
        </is>
      </c>
    </row>
    <row r="113">
      <c r="A113" t="inlineStr">
        <is>
          <t>Paula</t>
        </is>
      </c>
      <c r="B113" t="inlineStr">
        <is>
          <t>+5519294201946</t>
        </is>
      </c>
      <c r="C113" t="inlineStr">
        <is>
          <t>Advocate</t>
        </is>
      </c>
      <c r="D113" t="inlineStr">
        <is>
          <t>Primer Cachos</t>
        </is>
      </c>
      <c r="E113" t="n">
        <v>2</v>
      </c>
      <c r="F113" t="inlineStr">
        <is>
          <t>2025-11-04</t>
        </is>
      </c>
      <c r="G113" t="n">
        <v>242</v>
      </c>
      <c r="H113" t="inlineStr">
        <is>
          <t>Y</t>
        </is>
      </c>
      <c r="I113">
        <f>HYPERLINK("https://admin.shopify.com/store/ge-beauty-cosmeticos/customers/9171890569536","abrir")</f>
        <v/>
      </c>
      <c r="J113">
        <f>HYPERLINK("https://www.gebeauty.com.br/products/primer-cachos-definidos?ref=review","review")</f>
        <v/>
      </c>
      <c r="K113" t="inlineStr">
        <is>
          <t>SEND</t>
        </is>
      </c>
    </row>
    <row r="114">
      <c r="A114" t="inlineStr">
        <is>
          <t>Marcelle</t>
        </is>
      </c>
      <c r="B114" t="inlineStr">
        <is>
          <t>+5581996314664</t>
        </is>
      </c>
      <c r="C114" t="inlineStr">
        <is>
          <t>Advocate</t>
        </is>
      </c>
      <c r="D114" t="inlineStr">
        <is>
          <t>Primer Cachos</t>
        </is>
      </c>
      <c r="E114" t="n">
        <v>2</v>
      </c>
      <c r="F114" t="inlineStr">
        <is>
          <t>2025-05-31</t>
        </is>
      </c>
      <c r="G114" t="n">
        <v>399</v>
      </c>
      <c r="H114" t="inlineStr">
        <is>
          <t>Y</t>
        </is>
      </c>
      <c r="I114">
        <f>HYPERLINK("https://admin.shopify.com/store/ge-beauty-cosmeticos/customers/7760229007680","abrir")</f>
        <v/>
      </c>
      <c r="J114">
        <f>HYPERLINK("https://www.gebeauty.com.br/products/primer-cachos-definidos?ref=review","review")</f>
        <v/>
      </c>
      <c r="K114" t="inlineStr">
        <is>
          <t>SEND</t>
        </is>
      </c>
    </row>
    <row r="115">
      <c r="A115" t="inlineStr">
        <is>
          <t>Maria</t>
        </is>
      </c>
      <c r="B115" t="inlineStr">
        <is>
          <t>+5581999293272</t>
        </is>
      </c>
      <c r="C115" t="inlineStr">
        <is>
          <t>Advocate</t>
        </is>
      </c>
      <c r="D115" t="inlineStr">
        <is>
          <t>Primer Cachos</t>
        </is>
      </c>
      <c r="E115" t="n">
        <v>2</v>
      </c>
      <c r="F115" t="inlineStr">
        <is>
          <t>2025-11-13</t>
        </is>
      </c>
      <c r="G115" t="n">
        <v>233</v>
      </c>
      <c r="H115" t="inlineStr">
        <is>
          <t>Y</t>
        </is>
      </c>
      <c r="I115">
        <f>HYPERLINK("https://admin.shopify.com/store/ge-beauty-cosmeticos/customers/7761812783424","abrir")</f>
        <v/>
      </c>
      <c r="J115">
        <f>HYPERLINK("https://www.gebeauty.com.br/products/primer-cachos-definidos?ref=review","review")</f>
        <v/>
      </c>
      <c r="K115" t="inlineStr">
        <is>
          <t>SEND</t>
        </is>
      </c>
    </row>
    <row r="116">
      <c r="A116" t="inlineStr">
        <is>
          <t>Carina</t>
        </is>
      </c>
      <c r="B116" t="inlineStr">
        <is>
          <t>+5561996635232</t>
        </is>
      </c>
      <c r="C116" t="inlineStr">
        <is>
          <t>Advocate</t>
        </is>
      </c>
      <c r="D116" t="inlineStr">
        <is>
          <t>Primer Cachos</t>
        </is>
      </c>
      <c r="E116" t="n">
        <v>3</v>
      </c>
      <c r="F116" t="inlineStr">
        <is>
          <t>2026-07-02</t>
        </is>
      </c>
      <c r="G116" t="n">
        <v>2</v>
      </c>
      <c r="H116" t="inlineStr">
        <is>
          <t>Y</t>
        </is>
      </c>
      <c r="I116">
        <f>HYPERLINK("https://admin.shopify.com/store/ge-beauty-cosmeticos/customers/9159239172416","abrir")</f>
        <v/>
      </c>
      <c r="J116">
        <f>HYPERLINK("https://www.gebeauty.com.br/products/primer-cachos-definidos?ref=review","review")</f>
        <v/>
      </c>
      <c r="K116" t="inlineStr">
        <is>
          <t>SEND</t>
        </is>
      </c>
    </row>
    <row r="117">
      <c r="A117" t="inlineStr">
        <is>
          <t>Tatiana</t>
        </is>
      </c>
      <c r="B117" t="inlineStr">
        <is>
          <t>+551156310731</t>
        </is>
      </c>
      <c r="C117" t="inlineStr">
        <is>
          <t>Advocate</t>
        </is>
      </c>
      <c r="D117" t="inlineStr">
        <is>
          <t>Primer Cachos</t>
        </is>
      </c>
      <c r="E117" t="n">
        <v>2</v>
      </c>
      <c r="F117" t="inlineStr">
        <is>
          <t>2025-06-15</t>
        </is>
      </c>
      <c r="G117" t="n">
        <v>384</v>
      </c>
      <c r="H117" t="inlineStr">
        <is>
          <t>Y</t>
        </is>
      </c>
      <c r="I117">
        <f>HYPERLINK("https://admin.shopify.com/store/ge-beauty-cosmeticos/customers/7759181709632","abrir")</f>
        <v/>
      </c>
      <c r="J117">
        <f>HYPERLINK("https://www.gebeauty.com.br/products/primer-cachos-definidos?ref=review","review")</f>
        <v/>
      </c>
      <c r="K117" t="inlineStr">
        <is>
          <t>SEND</t>
        </is>
      </c>
    </row>
    <row r="118">
      <c r="A118" t="inlineStr">
        <is>
          <t>Camila</t>
        </is>
      </c>
      <c r="B118" t="inlineStr">
        <is>
          <t>+5514157979410</t>
        </is>
      </c>
      <c r="C118" t="inlineStr">
        <is>
          <t>Advocate</t>
        </is>
      </c>
      <c r="D118" t="inlineStr">
        <is>
          <t>Primer Cachos</t>
        </is>
      </c>
      <c r="E118" t="n">
        <v>2</v>
      </c>
      <c r="F118" t="inlineStr">
        <is>
          <t>2026-03-19</t>
        </is>
      </c>
      <c r="G118" t="n">
        <v>107</v>
      </c>
      <c r="H118" t="inlineStr">
        <is>
          <t>Y</t>
        </is>
      </c>
      <c r="I118">
        <f>HYPERLINK("https://admin.shopify.com/store/ge-beauty-cosmeticos/customers/7759854862656","abrir")</f>
        <v/>
      </c>
      <c r="J118">
        <f>HYPERLINK("https://www.gebeauty.com.br/products/primer-cachos-definidos?ref=review","review")</f>
        <v/>
      </c>
      <c r="K118" t="inlineStr">
        <is>
          <t>SEND</t>
        </is>
      </c>
    </row>
    <row r="119">
      <c r="A119" t="inlineStr">
        <is>
          <t>Vera Lucia</t>
        </is>
      </c>
      <c r="B119" t="inlineStr">
        <is>
          <t>+5547999228916</t>
        </is>
      </c>
      <c r="C119" t="inlineStr">
        <is>
          <t>Advocate</t>
        </is>
      </c>
      <c r="D119" t="inlineStr">
        <is>
          <t>Primer Cachos</t>
        </is>
      </c>
      <c r="E119" t="n">
        <v>2</v>
      </c>
      <c r="F119" t="inlineStr">
        <is>
          <t>2025-10-26</t>
        </is>
      </c>
      <c r="G119" t="n">
        <v>251</v>
      </c>
      <c r="H119" t="inlineStr">
        <is>
          <t>Y</t>
        </is>
      </c>
      <c r="I119">
        <f>HYPERLINK("https://admin.shopify.com/store/ge-beauty-cosmeticos/customers/8823662674240","abrir")</f>
        <v/>
      </c>
      <c r="J119">
        <f>HYPERLINK("https://www.gebeauty.com.br/products/primer-cachos-definidos?ref=review","review")</f>
        <v/>
      </c>
      <c r="K119" t="inlineStr">
        <is>
          <t>SEND</t>
        </is>
      </c>
    </row>
    <row r="120">
      <c r="A120" t="inlineStr">
        <is>
          <t>Álvaro</t>
        </is>
      </c>
      <c r="B120" t="inlineStr">
        <is>
          <t>+5541768164114</t>
        </is>
      </c>
      <c r="C120" t="inlineStr">
        <is>
          <t>Advocate</t>
        </is>
      </c>
      <c r="D120" t="inlineStr">
        <is>
          <t>Primer Cachos</t>
        </is>
      </c>
      <c r="E120" t="n">
        <v>2</v>
      </c>
      <c r="F120" t="inlineStr">
        <is>
          <t>2025-05-20</t>
        </is>
      </c>
      <c r="G120" t="n">
        <v>410</v>
      </c>
      <c r="H120" t="inlineStr">
        <is>
          <t>Y</t>
        </is>
      </c>
      <c r="I120">
        <f>HYPERLINK("https://admin.shopify.com/store/ge-beauty-cosmeticos/customers/7761616372032","abrir")</f>
        <v/>
      </c>
      <c r="J120">
        <f>HYPERLINK("https://www.gebeauty.com.br/products/primer-cachos-definidos?ref=review","review")</f>
        <v/>
      </c>
      <c r="K120" t="inlineStr">
        <is>
          <t>SEND</t>
        </is>
      </c>
    </row>
    <row r="121">
      <c r="A121" t="inlineStr">
        <is>
          <t>Clície</t>
        </is>
      </c>
      <c r="B121" t="inlineStr">
        <is>
          <t>+5561984809617</t>
        </is>
      </c>
      <c r="C121" t="inlineStr">
        <is>
          <t>Advocate</t>
        </is>
      </c>
      <c r="D121" t="inlineStr">
        <is>
          <t>Primer Cachos</t>
        </is>
      </c>
      <c r="E121" t="n">
        <v>2</v>
      </c>
      <c r="F121" t="inlineStr">
        <is>
          <t>2025-09-18</t>
        </is>
      </c>
      <c r="G121" t="n">
        <v>289</v>
      </c>
      <c r="H121" t="inlineStr">
        <is>
          <t>Y</t>
        </is>
      </c>
      <c r="I121">
        <f>HYPERLINK("https://admin.shopify.com/store/ge-beauty-cosmeticos/customers/7762031280448","abrir")</f>
        <v/>
      </c>
      <c r="J121">
        <f>HYPERLINK("https://www.gebeauty.com.br/products/primer-cachos-definidos?ref=review","review")</f>
        <v/>
      </c>
      <c r="K121" t="inlineStr">
        <is>
          <t>SEND</t>
        </is>
      </c>
    </row>
    <row r="122">
      <c r="A122" t="inlineStr">
        <is>
          <t>Aline</t>
        </is>
      </c>
      <c r="B122" t="inlineStr">
        <is>
          <t>+5519983305571</t>
        </is>
      </c>
      <c r="C122" t="inlineStr">
        <is>
          <t>Advocate</t>
        </is>
      </c>
      <c r="D122" t="inlineStr">
        <is>
          <t>Primer Cachos</t>
        </is>
      </c>
      <c r="E122" t="n">
        <v>2</v>
      </c>
      <c r="F122" t="inlineStr">
        <is>
          <t>2025-11-30</t>
        </is>
      </c>
      <c r="G122" t="n">
        <v>216</v>
      </c>
      <c r="H122" t="inlineStr">
        <is>
          <t>N</t>
        </is>
      </c>
      <c r="I122">
        <f>HYPERLINK("https://admin.shopify.com/store/ge-beauty-cosmeticos/customers/7760989454656","abrir")</f>
        <v/>
      </c>
      <c r="J122">
        <f>HYPERLINK("https://www.gebeauty.com.br/products/primer-cachos-definidos?ref=review","review")</f>
        <v/>
      </c>
      <c r="K122" t="inlineStr">
        <is>
          <t>SEND</t>
        </is>
      </c>
    </row>
    <row r="123">
      <c r="A123" t="inlineStr">
        <is>
          <t>Daniella</t>
        </is>
      </c>
      <c r="B123" t="inlineStr">
        <is>
          <t>+5521981465229</t>
        </is>
      </c>
      <c r="C123" t="inlineStr">
        <is>
          <t>Advocate</t>
        </is>
      </c>
      <c r="D123" t="inlineStr">
        <is>
          <t>Primer Cachos</t>
        </is>
      </c>
      <c r="E123" t="n">
        <v>2</v>
      </c>
      <c r="F123" t="inlineStr">
        <is>
          <t>2025-11-29</t>
        </is>
      </c>
      <c r="G123" t="n">
        <v>217</v>
      </c>
      <c r="H123" t="inlineStr">
        <is>
          <t>Y</t>
        </is>
      </c>
      <c r="I123">
        <f>HYPERLINK("https://admin.shopify.com/store/ge-beauty-cosmeticos/customers/9198618378560","abrir")</f>
        <v/>
      </c>
      <c r="J123">
        <f>HYPERLINK("https://www.gebeauty.com.br/products/primer-cachos-definidos?ref=review","review")</f>
        <v/>
      </c>
      <c r="K123" t="inlineStr">
        <is>
          <t>SEND</t>
        </is>
      </c>
    </row>
    <row r="124">
      <c r="A124" t="inlineStr">
        <is>
          <t>Luciana</t>
        </is>
      </c>
      <c r="B124" t="inlineStr">
        <is>
          <t>+5516174586931</t>
        </is>
      </c>
      <c r="C124" t="inlineStr">
        <is>
          <t>Advocate</t>
        </is>
      </c>
      <c r="D124" t="inlineStr">
        <is>
          <t>Primer Cachos</t>
        </is>
      </c>
      <c r="E124" t="n">
        <v>2</v>
      </c>
      <c r="F124" t="inlineStr">
        <is>
          <t>2025-09-04</t>
        </is>
      </c>
      <c r="G124" t="n">
        <v>303</v>
      </c>
      <c r="H124" t="inlineStr">
        <is>
          <t>Y</t>
        </is>
      </c>
      <c r="I124">
        <f>HYPERLINK("https://admin.shopify.com/store/ge-beauty-cosmeticos/customers/9200164667712","abrir")</f>
        <v/>
      </c>
      <c r="J124">
        <f>HYPERLINK("https://www.gebeauty.com.br/products/primer-cachos-definidos?ref=review","review")</f>
        <v/>
      </c>
      <c r="K124" t="inlineStr">
        <is>
          <t>SEND</t>
        </is>
      </c>
    </row>
    <row r="125">
      <c r="A125" t="inlineStr">
        <is>
          <t>Natalia</t>
        </is>
      </c>
      <c r="B125" t="inlineStr">
        <is>
          <t>+5541991547172</t>
        </is>
      </c>
      <c r="C125" t="inlineStr">
        <is>
          <t>Advocate</t>
        </is>
      </c>
      <c r="D125" t="inlineStr">
        <is>
          <t>Primer Cachos</t>
        </is>
      </c>
      <c r="E125" t="n">
        <v>2</v>
      </c>
      <c r="F125" t="inlineStr">
        <is>
          <t>2025-04-22</t>
        </is>
      </c>
      <c r="G125" t="n">
        <v>438</v>
      </c>
      <c r="H125" t="inlineStr">
        <is>
          <t>Y</t>
        </is>
      </c>
      <c r="I125">
        <f>HYPERLINK("https://admin.shopify.com/store/ge-beauty-cosmeticos/customers/7759781265728","abrir")</f>
        <v/>
      </c>
      <c r="J125">
        <f>HYPERLINK("https://www.gebeauty.com.br/products/primer-cachos-definidos?ref=review","review")</f>
        <v/>
      </c>
      <c r="K125" t="inlineStr">
        <is>
          <t>SEND</t>
        </is>
      </c>
    </row>
    <row r="126">
      <c r="A126" t="inlineStr">
        <is>
          <t>Maria</t>
        </is>
      </c>
      <c r="B126" t="inlineStr">
        <is>
          <t>+5534996658503</t>
        </is>
      </c>
      <c r="C126" t="inlineStr">
        <is>
          <t>Advocate</t>
        </is>
      </c>
      <c r="D126" t="inlineStr">
        <is>
          <t>Primer Cachos</t>
        </is>
      </c>
      <c r="E126" t="n">
        <v>2</v>
      </c>
      <c r="F126" t="inlineStr">
        <is>
          <t>2025-10-21</t>
        </is>
      </c>
      <c r="G126" t="n">
        <v>256</v>
      </c>
      <c r="H126" t="inlineStr">
        <is>
          <t>Y</t>
        </is>
      </c>
      <c r="I126">
        <f>HYPERLINK("https://admin.shopify.com/store/ge-beauty-cosmeticos/customers/9206065168704","abrir")</f>
        <v/>
      </c>
      <c r="J126">
        <f>HYPERLINK("https://www.gebeauty.com.br/products/primer-cachos-definidos?ref=review","review")</f>
        <v/>
      </c>
      <c r="K126" t="inlineStr">
        <is>
          <t>SEND</t>
        </is>
      </c>
    </row>
    <row r="127">
      <c r="A127" t="inlineStr">
        <is>
          <t>Natália</t>
        </is>
      </c>
      <c r="B127" t="inlineStr">
        <is>
          <t>+5584996591506</t>
        </is>
      </c>
      <c r="C127" t="inlineStr">
        <is>
          <t>Advocate</t>
        </is>
      </c>
      <c r="D127" t="inlineStr">
        <is>
          <t>Primer Cachos</t>
        </is>
      </c>
      <c r="E127" t="n">
        <v>2</v>
      </c>
      <c r="F127" t="inlineStr">
        <is>
          <t>2025-04-29</t>
        </is>
      </c>
      <c r="G127" t="n">
        <v>431</v>
      </c>
      <c r="H127" t="inlineStr">
        <is>
          <t>Y</t>
        </is>
      </c>
      <c r="I127">
        <f>HYPERLINK("https://admin.shopify.com/store/ge-beauty-cosmeticos/customers/8791888855360","abrir")</f>
        <v/>
      </c>
      <c r="J127">
        <f>HYPERLINK("https://www.gebeauty.com.br/products/primer-cachos-definidos?ref=review","review")</f>
        <v/>
      </c>
      <c r="K127" t="inlineStr">
        <is>
          <t>SEND</t>
        </is>
      </c>
    </row>
    <row r="128">
      <c r="A128" t="inlineStr">
        <is>
          <t>Caroline</t>
        </is>
      </c>
      <c r="B128" t="inlineStr">
        <is>
          <t>+5511981897085</t>
        </is>
      </c>
      <c r="C128" t="inlineStr">
        <is>
          <t>Advocate</t>
        </is>
      </c>
      <c r="D128" t="inlineStr">
        <is>
          <t>Primer Cachos</t>
        </is>
      </c>
      <c r="E128" t="n">
        <v>2</v>
      </c>
      <c r="F128" t="inlineStr">
        <is>
          <t>2025-09-29</t>
        </is>
      </c>
      <c r="G128" t="n">
        <v>278</v>
      </c>
      <c r="H128" t="inlineStr">
        <is>
          <t>Y</t>
        </is>
      </c>
      <c r="I128">
        <f>HYPERLINK("https://admin.shopify.com/store/ge-beauty-cosmeticos/customers/8495969141056","abrir")</f>
        <v/>
      </c>
      <c r="J128">
        <f>HYPERLINK("https://www.gebeauty.com.br/products/primer-cachos-definidos?ref=review","review")</f>
        <v/>
      </c>
      <c r="K128" t="inlineStr">
        <is>
          <t>SEND</t>
        </is>
      </c>
    </row>
    <row r="129">
      <c r="A129" t="inlineStr">
        <is>
          <t>Mauricia</t>
        </is>
      </c>
      <c r="B129" t="inlineStr">
        <is>
          <t>+5531991959212</t>
        </is>
      </c>
      <c r="C129" t="inlineStr">
        <is>
          <t>Advocate</t>
        </is>
      </c>
      <c r="D129" t="inlineStr">
        <is>
          <t>Primer Cachos</t>
        </is>
      </c>
      <c r="E129" t="n">
        <v>2</v>
      </c>
      <c r="F129" t="inlineStr">
        <is>
          <t>2026-04-24</t>
        </is>
      </c>
      <c r="G129" t="n">
        <v>71</v>
      </c>
      <c r="H129" t="inlineStr">
        <is>
          <t>Y</t>
        </is>
      </c>
      <c r="I129">
        <f>HYPERLINK("https://admin.shopify.com/store/ge-beauty-cosmeticos/customers/9222071255360","abrir")</f>
        <v/>
      </c>
      <c r="J129">
        <f>HYPERLINK("https://www.gebeauty.com.br/products/primer-cachos-definidos?ref=review","review")</f>
        <v/>
      </c>
      <c r="K129" t="inlineStr">
        <is>
          <t>HOLDOUT</t>
        </is>
      </c>
    </row>
    <row r="130">
      <c r="A130" t="inlineStr">
        <is>
          <t>Vivian</t>
        </is>
      </c>
      <c r="B130" t="inlineStr">
        <is>
          <t>+5511999548087</t>
        </is>
      </c>
      <c r="C130" t="inlineStr">
        <is>
          <t>Advocate</t>
        </is>
      </c>
      <c r="D130" t="inlineStr">
        <is>
          <t>Primer Cachos</t>
        </is>
      </c>
      <c r="E130" t="n">
        <v>2</v>
      </c>
      <c r="F130" t="inlineStr">
        <is>
          <t>2025-11-28</t>
        </is>
      </c>
      <c r="G130" t="n">
        <v>218</v>
      </c>
      <c r="H130" t="inlineStr">
        <is>
          <t>Y</t>
        </is>
      </c>
      <c r="I130">
        <f>HYPERLINK("https://admin.shopify.com/store/ge-beauty-cosmeticos/customers/7761668735296","abrir")</f>
        <v/>
      </c>
      <c r="J130">
        <f>HYPERLINK("https://www.gebeauty.com.br/products/primer-cachos-definidos?ref=review","review")</f>
        <v/>
      </c>
      <c r="K130" t="inlineStr">
        <is>
          <t>SEND</t>
        </is>
      </c>
    </row>
    <row r="131">
      <c r="A131" t="inlineStr">
        <is>
          <t>Jéssica</t>
        </is>
      </c>
      <c r="B131" t="inlineStr">
        <is>
          <t>+5511974610160</t>
        </is>
      </c>
      <c r="C131" t="inlineStr">
        <is>
          <t>Advocate</t>
        </is>
      </c>
      <c r="D131" t="inlineStr">
        <is>
          <t>Primer Cachos</t>
        </is>
      </c>
      <c r="E131" t="n">
        <v>2</v>
      </c>
      <c r="F131" t="inlineStr">
        <is>
          <t>2026-04-30</t>
        </is>
      </c>
      <c r="G131" t="n">
        <v>65</v>
      </c>
      <c r="H131" t="inlineStr">
        <is>
          <t>Y</t>
        </is>
      </c>
      <c r="I131">
        <f>HYPERLINK("https://admin.shopify.com/store/ge-beauty-cosmeticos/customers/7761968759104","abrir")</f>
        <v/>
      </c>
      <c r="J131">
        <f>HYPERLINK("https://www.gebeauty.com.br/products/primer-cachos-definidos?ref=review","review")</f>
        <v/>
      </c>
      <c r="K131" t="inlineStr">
        <is>
          <t>SEND</t>
        </is>
      </c>
    </row>
    <row r="132">
      <c r="A132" t="inlineStr">
        <is>
          <t>Maria Flávia</t>
        </is>
      </c>
      <c r="B132" t="inlineStr">
        <is>
          <t>+5519982289528</t>
        </is>
      </c>
      <c r="C132" t="inlineStr">
        <is>
          <t>Advocate</t>
        </is>
      </c>
      <c r="D132" t="inlineStr">
        <is>
          <t>Primer Cachos</t>
        </is>
      </c>
      <c r="E132" t="n">
        <v>2</v>
      </c>
      <c r="F132" t="inlineStr">
        <is>
          <t>2025-08-29</t>
        </is>
      </c>
      <c r="G132" t="n">
        <v>309</v>
      </c>
      <c r="H132" t="inlineStr">
        <is>
          <t>Y</t>
        </is>
      </c>
      <c r="I132">
        <f>HYPERLINK("https://admin.shopify.com/store/ge-beauty-cosmeticos/customers/9226899521856","abrir")</f>
        <v/>
      </c>
      <c r="J132">
        <f>HYPERLINK("https://www.gebeauty.com.br/products/primer-cachos-definidos?ref=review","review")</f>
        <v/>
      </c>
      <c r="K132" t="inlineStr">
        <is>
          <t>SEND</t>
        </is>
      </c>
    </row>
    <row r="133">
      <c r="A133" t="inlineStr">
        <is>
          <t>Adriana</t>
        </is>
      </c>
      <c r="B133" t="inlineStr">
        <is>
          <t>+5511971111507</t>
        </is>
      </c>
      <c r="C133" t="inlineStr">
        <is>
          <t>Advocate</t>
        </is>
      </c>
      <c r="D133" t="inlineStr">
        <is>
          <t>Primer Cachos</t>
        </is>
      </c>
      <c r="E133" t="n">
        <v>3</v>
      </c>
      <c r="F133" t="inlineStr">
        <is>
          <t>2025-12-27</t>
        </is>
      </c>
      <c r="G133" t="n">
        <v>189</v>
      </c>
      <c r="H133" t="inlineStr">
        <is>
          <t>Y</t>
        </is>
      </c>
      <c r="I133">
        <f>HYPERLINK("https://admin.shopify.com/store/ge-beauty-cosmeticos/customers/7759276933440","abrir")</f>
        <v/>
      </c>
      <c r="J133">
        <f>HYPERLINK("https://www.gebeauty.com.br/products/primer-cachos-definidos?ref=review","review")</f>
        <v/>
      </c>
      <c r="K133" t="inlineStr">
        <is>
          <t>SEND</t>
        </is>
      </c>
    </row>
    <row r="134">
      <c r="A134" t="inlineStr">
        <is>
          <t>Thaís</t>
        </is>
      </c>
      <c r="B134" t="inlineStr">
        <is>
          <t>+5516991730353</t>
        </is>
      </c>
      <c r="C134" t="inlineStr">
        <is>
          <t>Advocate</t>
        </is>
      </c>
      <c r="D134" t="inlineStr">
        <is>
          <t>Primer Cachos</t>
        </is>
      </c>
      <c r="E134" t="n">
        <v>2</v>
      </c>
      <c r="F134" t="inlineStr">
        <is>
          <t>2026-05-29</t>
        </is>
      </c>
      <c r="G134" t="n">
        <v>36</v>
      </c>
      <c r="H134" t="inlineStr">
        <is>
          <t>Y</t>
        </is>
      </c>
      <c r="I134">
        <f>HYPERLINK("https://admin.shopify.com/store/ge-beauty-cosmeticos/customers/7760224026944","abrir")</f>
        <v/>
      </c>
      <c r="J134">
        <f>HYPERLINK("https://www.gebeauty.com.br/products/primer-cachos-definidos?ref=review","review")</f>
        <v/>
      </c>
      <c r="K134" t="inlineStr">
        <is>
          <t>HOLDOUT</t>
        </is>
      </c>
    </row>
    <row r="135">
      <c r="A135" t="inlineStr">
        <is>
          <t>Amanda</t>
        </is>
      </c>
      <c r="B135" t="inlineStr">
        <is>
          <t>+5511982070535</t>
        </is>
      </c>
      <c r="C135" t="inlineStr">
        <is>
          <t>Advocate</t>
        </is>
      </c>
      <c r="D135" t="inlineStr">
        <is>
          <t>Primer Cachos</t>
        </is>
      </c>
      <c r="E135" t="n">
        <v>2</v>
      </c>
      <c r="F135" t="inlineStr">
        <is>
          <t>2025-10-17</t>
        </is>
      </c>
      <c r="G135" t="n">
        <v>260</v>
      </c>
      <c r="H135" t="inlineStr">
        <is>
          <t>Y</t>
        </is>
      </c>
      <c r="I135">
        <f>HYPERLINK("https://admin.shopify.com/store/ge-beauty-cosmeticos/customers/7761197695296","abrir")</f>
        <v/>
      </c>
      <c r="J135">
        <f>HYPERLINK("https://www.gebeauty.com.br/products/primer-cachos-definidos?ref=review","review")</f>
        <v/>
      </c>
      <c r="K135" t="inlineStr">
        <is>
          <t>HOLDOUT</t>
        </is>
      </c>
    </row>
    <row r="136">
      <c r="A136" t="inlineStr">
        <is>
          <t>Dayse</t>
        </is>
      </c>
      <c r="B136" t="inlineStr">
        <is>
          <t>+5531983993069</t>
        </is>
      </c>
      <c r="C136" t="inlineStr">
        <is>
          <t>Advocate</t>
        </is>
      </c>
      <c r="D136" t="inlineStr">
        <is>
          <t>Primer Cachos</t>
        </is>
      </c>
      <c r="E136" t="n">
        <v>2</v>
      </c>
      <c r="F136" t="inlineStr">
        <is>
          <t>2025-05-12</t>
        </is>
      </c>
      <c r="G136" t="n">
        <v>418</v>
      </c>
      <c r="H136" t="inlineStr">
        <is>
          <t>Y</t>
        </is>
      </c>
      <c r="I136">
        <f>HYPERLINK("https://admin.shopify.com/store/ge-beauty-cosmeticos/customers/7760985358656","abrir")</f>
        <v/>
      </c>
      <c r="J136">
        <f>HYPERLINK("https://www.gebeauty.com.br/products/primer-cachos-definidos?ref=review","review")</f>
        <v/>
      </c>
      <c r="K136" t="inlineStr">
        <is>
          <t>SEND</t>
        </is>
      </c>
    </row>
    <row r="137">
      <c r="A137" t="inlineStr">
        <is>
          <t>Renata</t>
        </is>
      </c>
      <c r="B137" t="inlineStr">
        <is>
          <t>+5511972289267</t>
        </is>
      </c>
      <c r="C137" t="inlineStr">
        <is>
          <t>Advocate</t>
        </is>
      </c>
      <c r="D137" t="inlineStr">
        <is>
          <t>Primer Cachos</t>
        </is>
      </c>
      <c r="E137" t="n">
        <v>3</v>
      </c>
      <c r="F137" t="inlineStr">
        <is>
          <t>2025-11-28</t>
        </is>
      </c>
      <c r="G137" t="n">
        <v>218</v>
      </c>
      <c r="H137" t="inlineStr">
        <is>
          <t>Y</t>
        </is>
      </c>
      <c r="I137">
        <f>HYPERLINK("https://admin.shopify.com/store/ge-beauty-cosmeticos/customers/8655878259008","abrir")</f>
        <v/>
      </c>
      <c r="J137">
        <f>HYPERLINK("https://www.gebeauty.com.br/products/primer-cachos-definidos?ref=review","review")</f>
        <v/>
      </c>
      <c r="K137" t="inlineStr">
        <is>
          <t>SEND</t>
        </is>
      </c>
    </row>
    <row r="138">
      <c r="A138" t="inlineStr">
        <is>
          <t>Renata</t>
        </is>
      </c>
      <c r="B138" t="inlineStr">
        <is>
          <t>+5511999049820</t>
        </is>
      </c>
      <c r="C138" t="inlineStr">
        <is>
          <t>Advocate</t>
        </is>
      </c>
      <c r="D138" t="inlineStr">
        <is>
          <t>Primer Cachos</t>
        </is>
      </c>
      <c r="E138" t="n">
        <v>2</v>
      </c>
      <c r="F138" t="inlineStr">
        <is>
          <t>2025-06-08</t>
        </is>
      </c>
      <c r="G138" t="n">
        <v>391</v>
      </c>
      <c r="H138" t="inlineStr">
        <is>
          <t>Y</t>
        </is>
      </c>
      <c r="I138">
        <f>HYPERLINK("https://admin.shopify.com/store/ge-beauty-cosmeticos/customers/7760367845696","abrir")</f>
        <v/>
      </c>
      <c r="J138">
        <f>HYPERLINK("https://www.gebeauty.com.br/products/primer-cachos-definidos?ref=review","review")</f>
        <v/>
      </c>
      <c r="K138" t="inlineStr">
        <is>
          <t>HOLDOUT</t>
        </is>
      </c>
    </row>
    <row r="139">
      <c r="A139" t="inlineStr">
        <is>
          <t>Alcides</t>
        </is>
      </c>
      <c r="B139" t="inlineStr">
        <is>
          <t>+5511976395081</t>
        </is>
      </c>
      <c r="C139" t="inlineStr">
        <is>
          <t>Advocate</t>
        </is>
      </c>
      <c r="D139" t="inlineStr">
        <is>
          <t>Primer Cachos</t>
        </is>
      </c>
      <c r="E139" t="n">
        <v>3</v>
      </c>
      <c r="F139" t="inlineStr">
        <is>
          <t>2026-05-28</t>
        </is>
      </c>
      <c r="G139" t="n">
        <v>37</v>
      </c>
      <c r="H139" t="inlineStr">
        <is>
          <t>Y</t>
        </is>
      </c>
      <c r="I139">
        <f>HYPERLINK("https://admin.shopify.com/store/ge-beauty-cosmeticos/customers/7759433597248","abrir")</f>
        <v/>
      </c>
      <c r="J139">
        <f>HYPERLINK("https://www.gebeauty.com.br/products/primer-cachos-definidos?ref=review","review")</f>
        <v/>
      </c>
      <c r="K139" t="inlineStr">
        <is>
          <t>SEND</t>
        </is>
      </c>
    </row>
    <row r="140">
      <c r="A140" t="inlineStr">
        <is>
          <t>Milena</t>
        </is>
      </c>
      <c r="B140" t="inlineStr">
        <is>
          <t>+5521975825064</t>
        </is>
      </c>
      <c r="C140" t="inlineStr">
        <is>
          <t>Advocate</t>
        </is>
      </c>
      <c r="D140" t="inlineStr">
        <is>
          <t>Primer Cachos</t>
        </is>
      </c>
      <c r="E140" t="n">
        <v>4</v>
      </c>
      <c r="F140" t="inlineStr">
        <is>
          <t>2025-10-09</t>
        </is>
      </c>
      <c r="G140" t="n">
        <v>268</v>
      </c>
      <c r="H140" t="inlineStr">
        <is>
          <t>Y</t>
        </is>
      </c>
      <c r="I140">
        <f>HYPERLINK("https://admin.shopify.com/store/ge-beauty-cosmeticos/customers/9013292597568","abrir")</f>
        <v/>
      </c>
      <c r="J140">
        <f>HYPERLINK("https://www.gebeauty.com.br/products/primer-cachos-definidos?ref=review","review")</f>
        <v/>
      </c>
      <c r="K140" t="inlineStr">
        <is>
          <t>SEND</t>
        </is>
      </c>
    </row>
    <row r="141">
      <c r="A141" t="inlineStr">
        <is>
          <t>Gretchen</t>
        </is>
      </c>
      <c r="B141" t="inlineStr">
        <is>
          <t>+5511989088224</t>
        </is>
      </c>
      <c r="C141" t="inlineStr">
        <is>
          <t>Advocate</t>
        </is>
      </c>
      <c r="D141" t="inlineStr">
        <is>
          <t>Primer Cachos</t>
        </is>
      </c>
      <c r="E141" t="n">
        <v>3</v>
      </c>
      <c r="F141" t="inlineStr">
        <is>
          <t>2026-04-29</t>
        </is>
      </c>
      <c r="G141" t="n">
        <v>66</v>
      </c>
      <c r="H141" t="inlineStr">
        <is>
          <t>Y</t>
        </is>
      </c>
      <c r="I141">
        <f>HYPERLINK("https://admin.shopify.com/store/ge-beauty-cosmeticos/customers/8352807780672","abrir")</f>
        <v/>
      </c>
      <c r="J141">
        <f>HYPERLINK("https://www.gebeauty.com.br/products/primer-cachos-definidos?ref=review","review")</f>
        <v/>
      </c>
      <c r="K141" t="inlineStr">
        <is>
          <t>SEND</t>
        </is>
      </c>
    </row>
    <row r="142">
      <c r="A142" t="inlineStr">
        <is>
          <t>Catarina</t>
        </is>
      </c>
      <c r="B142" t="inlineStr">
        <is>
          <t>+5511981485480</t>
        </is>
      </c>
      <c r="C142" t="inlineStr">
        <is>
          <t>Advocate</t>
        </is>
      </c>
      <c r="D142" t="inlineStr">
        <is>
          <t>Primer Cachos</t>
        </is>
      </c>
      <c r="E142" t="n">
        <v>2</v>
      </c>
      <c r="F142" t="inlineStr">
        <is>
          <t>2025-05-20</t>
        </is>
      </c>
      <c r="G142" t="n">
        <v>410</v>
      </c>
      <c r="H142" t="inlineStr">
        <is>
          <t>Y</t>
        </is>
      </c>
      <c r="I142">
        <f>HYPERLINK("https://admin.shopify.com/store/ge-beauty-cosmeticos/customers/7761757536576","abrir")</f>
        <v/>
      </c>
      <c r="J142">
        <f>HYPERLINK("https://www.gebeauty.com.br/products/primer-cachos-definidos?ref=review","review")</f>
        <v/>
      </c>
      <c r="K142" t="inlineStr">
        <is>
          <t>SEND</t>
        </is>
      </c>
    </row>
    <row r="143">
      <c r="A143" t="inlineStr">
        <is>
          <t>Luciana</t>
        </is>
      </c>
      <c r="B143" t="inlineStr">
        <is>
          <t>+5531997970650</t>
        </is>
      </c>
      <c r="C143" t="inlineStr">
        <is>
          <t>Advocate</t>
        </is>
      </c>
      <c r="D143" t="inlineStr">
        <is>
          <t>Primer Cachos</t>
        </is>
      </c>
      <c r="E143" t="n">
        <v>2</v>
      </c>
      <c r="F143" t="inlineStr">
        <is>
          <t>2026-05-16</t>
        </is>
      </c>
      <c r="G143" t="n">
        <v>49</v>
      </c>
      <c r="H143" t="inlineStr">
        <is>
          <t>Y</t>
        </is>
      </c>
      <c r="I143">
        <f>HYPERLINK("https://admin.shopify.com/store/ge-beauty-cosmeticos/customers/7762075451712","abrir")</f>
        <v/>
      </c>
      <c r="J143">
        <f>HYPERLINK("https://www.gebeauty.com.br/products/primer-cachos-definidos?ref=review","review")</f>
        <v/>
      </c>
      <c r="K143" t="inlineStr">
        <is>
          <t>SEND</t>
        </is>
      </c>
    </row>
    <row r="144">
      <c r="A144" t="inlineStr">
        <is>
          <t>Amanda</t>
        </is>
      </c>
      <c r="B144" t="inlineStr">
        <is>
          <t>+5548996137070</t>
        </is>
      </c>
      <c r="C144" t="inlineStr">
        <is>
          <t>Advocate</t>
        </is>
      </c>
      <c r="D144" t="inlineStr">
        <is>
          <t>Primer Cachos</t>
        </is>
      </c>
      <c r="E144" t="n">
        <v>2</v>
      </c>
      <c r="F144" t="inlineStr">
        <is>
          <t>2026-04-24</t>
        </is>
      </c>
      <c r="G144" t="n">
        <v>71</v>
      </c>
      <c r="H144" t="inlineStr">
        <is>
          <t>Y</t>
        </is>
      </c>
      <c r="I144">
        <f>HYPERLINK("https://admin.shopify.com/store/ge-beauty-cosmeticos/customers/9296564814144","abrir")</f>
        <v/>
      </c>
      <c r="J144">
        <f>HYPERLINK("https://www.gebeauty.com.br/products/primer-cachos-definidos?ref=review","review")</f>
        <v/>
      </c>
      <c r="K144" t="inlineStr">
        <is>
          <t>SEND</t>
        </is>
      </c>
    </row>
    <row r="145">
      <c r="A145" t="inlineStr">
        <is>
          <t>Tatiana</t>
        </is>
      </c>
      <c r="B145" t="inlineStr">
        <is>
          <t>+5511963158787</t>
        </is>
      </c>
      <c r="C145" t="inlineStr">
        <is>
          <t>Advocate</t>
        </is>
      </c>
      <c r="D145" t="inlineStr">
        <is>
          <t>Primer Cachos</t>
        </is>
      </c>
      <c r="E145" t="n">
        <v>3</v>
      </c>
      <c r="F145" t="inlineStr">
        <is>
          <t>2025-11-26</t>
        </is>
      </c>
      <c r="G145" t="n">
        <v>220</v>
      </c>
      <c r="H145" t="inlineStr">
        <is>
          <t>Y</t>
        </is>
      </c>
      <c r="I145">
        <f>HYPERLINK("https://admin.shopify.com/store/ge-beauty-cosmeticos/customers/7760885907776","abrir")</f>
        <v/>
      </c>
      <c r="J145">
        <f>HYPERLINK("https://www.gebeauty.com.br/products/primer-cachos-definidos?ref=review","review")</f>
        <v/>
      </c>
      <c r="K145" t="inlineStr">
        <is>
          <t>SEND</t>
        </is>
      </c>
    </row>
    <row r="146">
      <c r="A146" t="inlineStr">
        <is>
          <t>Isabela</t>
        </is>
      </c>
      <c r="B146" t="inlineStr">
        <is>
          <t>+5511999134051</t>
        </is>
      </c>
      <c r="C146" t="inlineStr">
        <is>
          <t>Advocate</t>
        </is>
      </c>
      <c r="D146" t="inlineStr">
        <is>
          <t>Primer Cachos</t>
        </is>
      </c>
      <c r="E146" t="n">
        <v>2</v>
      </c>
      <c r="F146" t="inlineStr">
        <is>
          <t>2025-09-30</t>
        </is>
      </c>
      <c r="G146" t="n">
        <v>277</v>
      </c>
      <c r="H146" t="inlineStr">
        <is>
          <t>Y</t>
        </is>
      </c>
      <c r="I146">
        <f>HYPERLINK("https://admin.shopify.com/store/ge-beauty-cosmeticos/customers/7760749330752","abrir")</f>
        <v/>
      </c>
      <c r="J146">
        <f>HYPERLINK("https://www.gebeauty.com.br/products/primer-cachos-definidos?ref=review","review")</f>
        <v/>
      </c>
      <c r="K146" t="inlineStr">
        <is>
          <t>SEND</t>
        </is>
      </c>
    </row>
    <row r="147">
      <c r="A147" t="inlineStr">
        <is>
          <t>Patricia</t>
        </is>
      </c>
      <c r="B147" t="inlineStr">
        <is>
          <t>+5561999653325</t>
        </is>
      </c>
      <c r="C147" t="inlineStr">
        <is>
          <t>Advocate</t>
        </is>
      </c>
      <c r="D147" t="inlineStr">
        <is>
          <t>Primer Cachos</t>
        </is>
      </c>
      <c r="E147" t="n">
        <v>2</v>
      </c>
      <c r="F147" t="inlineStr">
        <is>
          <t>2026-02-12</t>
        </is>
      </c>
      <c r="G147" t="n">
        <v>142</v>
      </c>
      <c r="H147" t="inlineStr">
        <is>
          <t>Y</t>
        </is>
      </c>
      <c r="I147">
        <f>HYPERLINK("https://admin.shopify.com/store/ge-beauty-cosmeticos/customers/7760053109056","abrir")</f>
        <v/>
      </c>
      <c r="J147">
        <f>HYPERLINK("https://www.gebeauty.com.br/products/primer-cachos-definidos?ref=review","review")</f>
        <v/>
      </c>
      <c r="K147" t="inlineStr">
        <is>
          <t>SEND</t>
        </is>
      </c>
    </row>
    <row r="148">
      <c r="A148" t="inlineStr">
        <is>
          <t>Ana</t>
        </is>
      </c>
      <c r="B148" t="inlineStr">
        <is>
          <t>+5511977400071</t>
        </is>
      </c>
      <c r="C148" t="inlineStr">
        <is>
          <t>Advocate</t>
        </is>
      </c>
      <c r="D148" t="inlineStr">
        <is>
          <t>Primer Cachos</t>
        </is>
      </c>
      <c r="E148" t="n">
        <v>2</v>
      </c>
      <c r="F148" t="inlineStr">
        <is>
          <t>2025-06-05</t>
        </is>
      </c>
      <c r="G148" t="n">
        <v>394</v>
      </c>
      <c r="H148" t="inlineStr">
        <is>
          <t>Y</t>
        </is>
      </c>
      <c r="I148">
        <f>HYPERLINK("https://admin.shopify.com/store/ge-beauty-cosmeticos/customers/7761621287232","abrir")</f>
        <v/>
      </c>
      <c r="J148">
        <f>HYPERLINK("https://www.gebeauty.com.br/products/primer-cachos-definidos?ref=review","review")</f>
        <v/>
      </c>
      <c r="K148" t="inlineStr">
        <is>
          <t>SEND</t>
        </is>
      </c>
    </row>
    <row r="149">
      <c r="A149" t="inlineStr">
        <is>
          <t>Aline</t>
        </is>
      </c>
      <c r="B149" t="inlineStr">
        <is>
          <t>+5571992167957</t>
        </is>
      </c>
      <c r="C149" t="inlineStr">
        <is>
          <t>Advocate</t>
        </is>
      </c>
      <c r="D149" t="inlineStr">
        <is>
          <t>Primer Cachos</t>
        </is>
      </c>
      <c r="E149" t="n">
        <v>2</v>
      </c>
      <c r="F149" t="inlineStr">
        <is>
          <t>2025-10-01</t>
        </is>
      </c>
      <c r="G149" t="n">
        <v>276</v>
      </c>
      <c r="H149" t="inlineStr">
        <is>
          <t>Y</t>
        </is>
      </c>
      <c r="I149">
        <f>HYPERLINK("https://admin.shopify.com/store/ge-beauty-cosmeticos/customers/9171789054272","abrir")</f>
        <v/>
      </c>
      <c r="J149">
        <f>HYPERLINK("https://www.gebeauty.com.br/products/primer-cachos-definidos?ref=review","review")</f>
        <v/>
      </c>
      <c r="K149" t="inlineStr">
        <is>
          <t>SEND</t>
        </is>
      </c>
    </row>
    <row r="150">
      <c r="A150" t="inlineStr">
        <is>
          <t>Annelene</t>
        </is>
      </c>
      <c r="B150" t="inlineStr">
        <is>
          <t>+5511985003965</t>
        </is>
      </c>
      <c r="C150" t="inlineStr">
        <is>
          <t>Advocate</t>
        </is>
      </c>
      <c r="D150" t="inlineStr">
        <is>
          <t>Primer Cachos</t>
        </is>
      </c>
      <c r="E150" t="n">
        <v>2</v>
      </c>
      <c r="F150" t="inlineStr">
        <is>
          <t>2025-09-26</t>
        </is>
      </c>
      <c r="G150" t="n">
        <v>281</v>
      </c>
      <c r="H150" t="inlineStr">
        <is>
          <t>Y</t>
        </is>
      </c>
      <c r="I150">
        <f>HYPERLINK("https://admin.shopify.com/store/ge-beauty-cosmeticos/customers/7761550278976","abrir")</f>
        <v/>
      </c>
      <c r="J150">
        <f>HYPERLINK("https://www.gebeauty.com.br/products/primer-cachos-definidos?ref=review","review")</f>
        <v/>
      </c>
      <c r="K150" t="inlineStr">
        <is>
          <t>SEND</t>
        </is>
      </c>
    </row>
    <row r="151">
      <c r="A151" t="inlineStr">
        <is>
          <t>Yamara</t>
        </is>
      </c>
      <c r="B151" t="inlineStr">
        <is>
          <t>+5561991189038</t>
        </is>
      </c>
      <c r="C151" t="inlineStr">
        <is>
          <t>Advocate</t>
        </is>
      </c>
      <c r="D151" t="inlineStr">
        <is>
          <t>Primer Cachos</t>
        </is>
      </c>
      <c r="E151" t="n">
        <v>2</v>
      </c>
      <c r="F151" t="inlineStr">
        <is>
          <t>2026-05-16</t>
        </is>
      </c>
      <c r="G151" t="n">
        <v>49</v>
      </c>
      <c r="H151" t="inlineStr">
        <is>
          <t>Y</t>
        </is>
      </c>
      <c r="I151">
        <f>HYPERLINK("https://admin.shopify.com/store/ge-beauty-cosmeticos/customers/9330466783552","abrir")</f>
        <v/>
      </c>
      <c r="J151">
        <f>HYPERLINK("https://www.gebeauty.com.br/products/primer-cachos-definidos?ref=review","review")</f>
        <v/>
      </c>
      <c r="K151" t="inlineStr">
        <is>
          <t>SEND</t>
        </is>
      </c>
    </row>
    <row r="152">
      <c r="A152" t="inlineStr">
        <is>
          <t>Carmen</t>
        </is>
      </c>
      <c r="B152" t="inlineStr">
        <is>
          <t>+5586988629497</t>
        </is>
      </c>
      <c r="C152" t="inlineStr">
        <is>
          <t>Advocate</t>
        </is>
      </c>
      <c r="D152" t="inlineStr">
        <is>
          <t>Primer Cachos</t>
        </is>
      </c>
      <c r="E152" t="n">
        <v>2</v>
      </c>
      <c r="F152" t="inlineStr">
        <is>
          <t>2025-11-25</t>
        </is>
      </c>
      <c r="G152" t="n">
        <v>221</v>
      </c>
      <c r="H152" t="inlineStr">
        <is>
          <t>Y</t>
        </is>
      </c>
      <c r="I152">
        <f>HYPERLINK("https://admin.shopify.com/store/ge-beauty-cosmeticos/customers/9331864928576","abrir")</f>
        <v/>
      </c>
      <c r="J152">
        <f>HYPERLINK("https://www.gebeauty.com.br/products/primer-cachos-definidos?ref=review","review")</f>
        <v/>
      </c>
      <c r="K152" t="inlineStr">
        <is>
          <t>SEND</t>
        </is>
      </c>
    </row>
    <row r="153">
      <c r="A153" t="inlineStr">
        <is>
          <t>Mariana</t>
        </is>
      </c>
      <c r="B153" t="inlineStr">
        <is>
          <t>+5516992494396</t>
        </is>
      </c>
      <c r="C153" t="inlineStr">
        <is>
          <t>Advocate</t>
        </is>
      </c>
      <c r="D153" t="inlineStr">
        <is>
          <t>Primer Cachos</t>
        </is>
      </c>
      <c r="E153" t="n">
        <v>2</v>
      </c>
      <c r="F153" t="inlineStr">
        <is>
          <t>2025-06-16</t>
        </is>
      </c>
      <c r="G153" t="n">
        <v>383</v>
      </c>
      <c r="H153" t="inlineStr">
        <is>
          <t>Y</t>
        </is>
      </c>
      <c r="I153">
        <f>HYPERLINK("https://admin.shopify.com/store/ge-beauty-cosmeticos/customers/7759285027136","abrir")</f>
        <v/>
      </c>
      <c r="J153">
        <f>HYPERLINK("https://www.gebeauty.com.br/products/primer-cachos-definidos?ref=review","review")</f>
        <v/>
      </c>
      <c r="K153" t="inlineStr">
        <is>
          <t>SEND</t>
        </is>
      </c>
    </row>
    <row r="154">
      <c r="A154" t="inlineStr">
        <is>
          <t>Gabriele</t>
        </is>
      </c>
      <c r="B154" t="inlineStr">
        <is>
          <t>+5585998657066</t>
        </is>
      </c>
      <c r="C154" t="inlineStr">
        <is>
          <t>Advocate</t>
        </is>
      </c>
      <c r="D154" t="inlineStr">
        <is>
          <t>Primer Cachos</t>
        </is>
      </c>
      <c r="E154" t="n">
        <v>2</v>
      </c>
      <c r="F154" t="inlineStr">
        <is>
          <t>2025-09-03</t>
        </is>
      </c>
      <c r="G154" t="n">
        <v>304</v>
      </c>
      <c r="H154" t="inlineStr">
        <is>
          <t>Y</t>
        </is>
      </c>
      <c r="I154">
        <f>HYPERLINK("https://admin.shopify.com/store/ge-beauty-cosmeticos/customers/9151472369984","abrir")</f>
        <v/>
      </c>
      <c r="J154">
        <f>HYPERLINK("https://www.gebeauty.com.br/products/primer-cachos-definidos?ref=review","review")</f>
        <v/>
      </c>
      <c r="K154" t="inlineStr">
        <is>
          <t>SEND</t>
        </is>
      </c>
    </row>
    <row r="155">
      <c r="A155" t="inlineStr">
        <is>
          <t>Flora</t>
        </is>
      </c>
      <c r="B155" t="inlineStr">
        <is>
          <t>+5581998093154</t>
        </is>
      </c>
      <c r="C155" t="inlineStr">
        <is>
          <t>Advocate</t>
        </is>
      </c>
      <c r="D155" t="inlineStr">
        <is>
          <t>Primer Cachos</t>
        </is>
      </c>
      <c r="E155" t="n">
        <v>2</v>
      </c>
      <c r="F155" t="inlineStr">
        <is>
          <t>2026-05-01</t>
        </is>
      </c>
      <c r="G155" t="n">
        <v>64</v>
      </c>
      <c r="H155" t="inlineStr">
        <is>
          <t>Y</t>
        </is>
      </c>
      <c r="I155">
        <f>HYPERLINK("https://admin.shopify.com/store/ge-beauty-cosmeticos/customers/7761982292288","abrir")</f>
        <v/>
      </c>
      <c r="J155">
        <f>HYPERLINK("https://www.gebeauty.com.br/products/primer-cachos-definidos?ref=review","review")</f>
        <v/>
      </c>
      <c r="K155" t="inlineStr">
        <is>
          <t>SEND</t>
        </is>
      </c>
    </row>
    <row r="156">
      <c r="A156" t="inlineStr">
        <is>
          <t>Dayane</t>
        </is>
      </c>
      <c r="B156" t="inlineStr">
        <is>
          <t>+5521980380399</t>
        </is>
      </c>
      <c r="C156" t="inlineStr">
        <is>
          <t>Advocate</t>
        </is>
      </c>
      <c r="D156" t="inlineStr">
        <is>
          <t>Primer Cachos</t>
        </is>
      </c>
      <c r="E156" t="n">
        <v>3</v>
      </c>
      <c r="F156" t="inlineStr">
        <is>
          <t>2026-04-13</t>
        </is>
      </c>
      <c r="G156" t="n">
        <v>82</v>
      </c>
      <c r="H156" t="inlineStr">
        <is>
          <t>Y</t>
        </is>
      </c>
      <c r="I156">
        <f>HYPERLINK("https://admin.shopify.com/store/ge-beauty-cosmeticos/customers/8546226438464","abrir")</f>
        <v/>
      </c>
      <c r="J156">
        <f>HYPERLINK("https://www.gebeauty.com.br/products/primer-cachos-definidos?ref=review","review")</f>
        <v/>
      </c>
      <c r="K156" t="inlineStr">
        <is>
          <t>SEND</t>
        </is>
      </c>
    </row>
    <row r="157">
      <c r="A157" t="inlineStr">
        <is>
          <t>Thaissa</t>
        </is>
      </c>
      <c r="B157" t="inlineStr">
        <is>
          <t>+5521994870115</t>
        </is>
      </c>
      <c r="C157" t="inlineStr">
        <is>
          <t>Advocate</t>
        </is>
      </c>
      <c r="D157" t="inlineStr">
        <is>
          <t>Primer Cachos</t>
        </is>
      </c>
      <c r="E157" t="n">
        <v>2</v>
      </c>
      <c r="F157" t="inlineStr">
        <is>
          <t>2025-11-20</t>
        </is>
      </c>
      <c r="G157" t="n">
        <v>226</v>
      </c>
      <c r="H157" t="inlineStr">
        <is>
          <t>Y</t>
        </is>
      </c>
      <c r="I157">
        <f>HYPERLINK("https://admin.shopify.com/store/ge-beauty-cosmeticos/customers/9391071560000","abrir")</f>
        <v/>
      </c>
      <c r="J157">
        <f>HYPERLINK("https://www.gebeauty.com.br/products/primer-cachos-definidos?ref=review","review")</f>
        <v/>
      </c>
      <c r="K157" t="inlineStr">
        <is>
          <t>SEND</t>
        </is>
      </c>
    </row>
    <row r="158">
      <c r="A158" t="inlineStr">
        <is>
          <t>Maria</t>
        </is>
      </c>
      <c r="B158" t="inlineStr">
        <is>
          <t>+5527988090024</t>
        </is>
      </c>
      <c r="C158" t="inlineStr">
        <is>
          <t>Advocate</t>
        </is>
      </c>
      <c r="D158" t="inlineStr">
        <is>
          <t>Primer Cachos</t>
        </is>
      </c>
      <c r="E158" t="n">
        <v>2</v>
      </c>
      <c r="F158" t="inlineStr">
        <is>
          <t>2026-04-29</t>
        </is>
      </c>
      <c r="G158" t="n">
        <v>66</v>
      </c>
      <c r="H158" t="inlineStr">
        <is>
          <t>Y</t>
        </is>
      </c>
      <c r="I158">
        <f>HYPERLINK("https://admin.shopify.com/store/ge-beauty-cosmeticos/customers/9391414903104","abrir")</f>
        <v/>
      </c>
      <c r="J158">
        <f>HYPERLINK("https://www.gebeauty.com.br/products/primer-cachos-definidos?ref=review","review")</f>
        <v/>
      </c>
      <c r="K158" t="inlineStr">
        <is>
          <t>SEND</t>
        </is>
      </c>
    </row>
    <row r="159">
      <c r="A159" t="inlineStr">
        <is>
          <t>Camila</t>
        </is>
      </c>
      <c r="B159" t="inlineStr">
        <is>
          <t>+5511999331980</t>
        </is>
      </c>
      <c r="C159" t="inlineStr">
        <is>
          <t>Advocate</t>
        </is>
      </c>
      <c r="D159" t="inlineStr">
        <is>
          <t>Primer Cachos</t>
        </is>
      </c>
      <c r="E159" t="n">
        <v>2</v>
      </c>
      <c r="F159" t="inlineStr">
        <is>
          <t>2025-11-26</t>
        </is>
      </c>
      <c r="G159" t="n">
        <v>220</v>
      </c>
      <c r="H159" t="inlineStr">
        <is>
          <t>Y</t>
        </is>
      </c>
      <c r="I159">
        <f>HYPERLINK("https://admin.shopify.com/store/ge-beauty-cosmeticos/customers/9392707862848","abrir")</f>
        <v/>
      </c>
      <c r="J159">
        <f>HYPERLINK("https://www.gebeauty.com.br/products/primer-cachos-definidos?ref=review","review")</f>
        <v/>
      </c>
      <c r="K159" t="inlineStr">
        <is>
          <t>HOLDOUT</t>
        </is>
      </c>
    </row>
    <row r="160">
      <c r="A160" t="inlineStr">
        <is>
          <t>Denise</t>
        </is>
      </c>
      <c r="B160" t="inlineStr">
        <is>
          <t>+5519997867211</t>
        </is>
      </c>
      <c r="C160" t="inlineStr">
        <is>
          <t>Advocate</t>
        </is>
      </c>
      <c r="D160" t="inlineStr">
        <is>
          <t>Primer Cachos</t>
        </is>
      </c>
      <c r="E160" t="n">
        <v>2</v>
      </c>
      <c r="F160" t="inlineStr">
        <is>
          <t>2025-07-14</t>
        </is>
      </c>
      <c r="G160" t="n">
        <v>355</v>
      </c>
      <c r="H160" t="inlineStr">
        <is>
          <t>Y</t>
        </is>
      </c>
      <c r="I160">
        <f>HYPERLINK("https://admin.shopify.com/store/ge-beauty-cosmeticos/customers/9393322164544","abrir")</f>
        <v/>
      </c>
      <c r="J160">
        <f>HYPERLINK("https://www.gebeauty.com.br/products/primer-cachos-definidos?ref=review","review")</f>
        <v/>
      </c>
      <c r="K160" t="inlineStr">
        <is>
          <t>SEND</t>
        </is>
      </c>
    </row>
    <row r="161">
      <c r="A161" t="inlineStr">
        <is>
          <t>Giovanna</t>
        </is>
      </c>
      <c r="B161" t="inlineStr">
        <is>
          <t>+5511941649992</t>
        </is>
      </c>
      <c r="C161" t="inlineStr">
        <is>
          <t>Advocate</t>
        </is>
      </c>
      <c r="D161" t="inlineStr">
        <is>
          <t>Primer Cachos</t>
        </is>
      </c>
      <c r="E161" t="n">
        <v>3</v>
      </c>
      <c r="F161" t="inlineStr">
        <is>
          <t>2026-04-21</t>
        </is>
      </c>
      <c r="G161" t="n">
        <v>74</v>
      </c>
      <c r="H161" t="inlineStr">
        <is>
          <t>Y</t>
        </is>
      </c>
      <c r="I161">
        <f>HYPERLINK("https://admin.shopify.com/store/ge-beauty-cosmeticos/customers/9394956697920","abrir")</f>
        <v/>
      </c>
      <c r="J161">
        <f>HYPERLINK("https://www.gebeauty.com.br/products/primer-cachos-definidos?ref=review","review")</f>
        <v/>
      </c>
      <c r="K161" t="inlineStr">
        <is>
          <t>SEND</t>
        </is>
      </c>
    </row>
    <row r="162">
      <c r="A162" t="inlineStr">
        <is>
          <t>Karla</t>
        </is>
      </c>
      <c r="B162" t="inlineStr">
        <is>
          <t>+5511996946275</t>
        </is>
      </c>
      <c r="C162" t="inlineStr">
        <is>
          <t>Advocate</t>
        </is>
      </c>
      <c r="D162" t="inlineStr">
        <is>
          <t>Primer Cachos</t>
        </is>
      </c>
      <c r="E162" t="n">
        <v>2</v>
      </c>
      <c r="F162" t="inlineStr">
        <is>
          <t>2026-04-26</t>
        </is>
      </c>
      <c r="G162" t="n">
        <v>69</v>
      </c>
      <c r="H162" t="inlineStr">
        <is>
          <t>Y</t>
        </is>
      </c>
      <c r="I162">
        <f>HYPERLINK("https://admin.shopify.com/store/ge-beauty-cosmeticos/customers/8258488271168","abrir")</f>
        <v/>
      </c>
      <c r="J162">
        <f>HYPERLINK("https://www.gebeauty.com.br/products/primer-cachos-definidos?ref=review","review")</f>
        <v/>
      </c>
      <c r="K162" t="inlineStr">
        <is>
          <t>SEND</t>
        </is>
      </c>
    </row>
    <row r="163">
      <c r="A163" t="inlineStr">
        <is>
          <t>Juliana</t>
        </is>
      </c>
      <c r="B163" t="inlineStr">
        <is>
          <t>+5581997291482</t>
        </is>
      </c>
      <c r="C163" t="inlineStr">
        <is>
          <t>Advocate</t>
        </is>
      </c>
      <c r="D163" t="inlineStr">
        <is>
          <t>Primer Cachos</t>
        </is>
      </c>
      <c r="E163" t="n">
        <v>2</v>
      </c>
      <c r="F163" t="inlineStr">
        <is>
          <t>2026-01-29</t>
        </is>
      </c>
      <c r="G163" t="n">
        <v>156</v>
      </c>
      <c r="H163" t="inlineStr">
        <is>
          <t>Y</t>
        </is>
      </c>
      <c r="I163">
        <f>HYPERLINK("https://admin.shopify.com/store/ge-beauty-cosmeticos/customers/9397458829632","abrir")</f>
        <v/>
      </c>
      <c r="J163">
        <f>HYPERLINK("https://www.gebeauty.com.br/products/primer-cachos-definidos?ref=review","review")</f>
        <v/>
      </c>
      <c r="K163" t="inlineStr">
        <is>
          <t>SEND</t>
        </is>
      </c>
    </row>
    <row r="164">
      <c r="A164" t="inlineStr">
        <is>
          <t>Mayara</t>
        </is>
      </c>
      <c r="B164" t="inlineStr">
        <is>
          <t>+5516176508298</t>
        </is>
      </c>
      <c r="C164" t="inlineStr">
        <is>
          <t>Advocate</t>
        </is>
      </c>
      <c r="D164" t="inlineStr">
        <is>
          <t>Primer Cachos</t>
        </is>
      </c>
      <c r="E164" t="n">
        <v>2</v>
      </c>
      <c r="F164" t="inlineStr">
        <is>
          <t>2025-07-02</t>
        </is>
      </c>
      <c r="G164" t="n">
        <v>367</v>
      </c>
      <c r="H164" t="inlineStr">
        <is>
          <t>Y</t>
        </is>
      </c>
      <c r="I164">
        <f>HYPERLINK("https://admin.shopify.com/store/ge-beauty-cosmeticos/customers/7762386518336","abrir")</f>
        <v/>
      </c>
      <c r="J164">
        <f>HYPERLINK("https://www.gebeauty.com.br/products/primer-cachos-definidos?ref=review","review")</f>
        <v/>
      </c>
      <c r="K164" t="inlineStr">
        <is>
          <t>SEND</t>
        </is>
      </c>
    </row>
    <row r="165">
      <c r="A165" t="inlineStr">
        <is>
          <t>Vera</t>
        </is>
      </c>
      <c r="B165" t="inlineStr">
        <is>
          <t>+5521995714888</t>
        </is>
      </c>
      <c r="C165" t="inlineStr">
        <is>
          <t>Advocate</t>
        </is>
      </c>
      <c r="D165" t="inlineStr">
        <is>
          <t>Primer Cachos</t>
        </is>
      </c>
      <c r="E165" t="n">
        <v>3</v>
      </c>
      <c r="F165" t="inlineStr">
        <is>
          <t>2026-01-03</t>
        </is>
      </c>
      <c r="G165" t="n">
        <v>182</v>
      </c>
      <c r="H165" t="inlineStr">
        <is>
          <t>N</t>
        </is>
      </c>
      <c r="I165">
        <f>HYPERLINK("https://admin.shopify.com/store/ge-beauty-cosmeticos/customers/9398836494656","abrir")</f>
        <v/>
      </c>
      <c r="J165">
        <f>HYPERLINK("https://www.gebeauty.com.br/products/primer-cachos-definidos?ref=review","review")</f>
        <v/>
      </c>
      <c r="K165" t="inlineStr">
        <is>
          <t>SEND</t>
        </is>
      </c>
    </row>
    <row r="166">
      <c r="A166" t="inlineStr">
        <is>
          <t>Fernanda</t>
        </is>
      </c>
      <c r="B166" t="inlineStr">
        <is>
          <t>+5561999813616</t>
        </is>
      </c>
      <c r="C166" t="inlineStr">
        <is>
          <t>Advocate</t>
        </is>
      </c>
      <c r="D166" t="inlineStr">
        <is>
          <t>Primer Cachos</t>
        </is>
      </c>
      <c r="E166" t="n">
        <v>2</v>
      </c>
      <c r="F166" t="inlineStr">
        <is>
          <t>2025-11-29</t>
        </is>
      </c>
      <c r="G166" t="n">
        <v>217</v>
      </c>
      <c r="H166" t="inlineStr">
        <is>
          <t>Y</t>
        </is>
      </c>
      <c r="I166">
        <f>HYPERLINK("https://admin.shopify.com/store/ge-beauty-cosmeticos/customers/7761573085504","abrir")</f>
        <v/>
      </c>
      <c r="J166">
        <f>HYPERLINK("https://www.gebeauty.com.br/products/primer-cachos-definidos?ref=review","review")</f>
        <v/>
      </c>
      <c r="K166" t="inlineStr">
        <is>
          <t>SEND</t>
        </is>
      </c>
    </row>
    <row r="167">
      <c r="A167" t="inlineStr">
        <is>
          <t>Luana Mara</t>
        </is>
      </c>
      <c r="B167" t="inlineStr">
        <is>
          <t>+5531983406465</t>
        </is>
      </c>
      <c r="C167" t="inlineStr">
        <is>
          <t>Advocate</t>
        </is>
      </c>
      <c r="D167" t="inlineStr">
        <is>
          <t>Primer Cachos</t>
        </is>
      </c>
      <c r="E167" t="n">
        <v>2</v>
      </c>
      <c r="F167" t="inlineStr">
        <is>
          <t>2026-05-31</t>
        </is>
      </c>
      <c r="G167" t="n">
        <v>34</v>
      </c>
      <c r="H167" t="inlineStr">
        <is>
          <t>Y</t>
        </is>
      </c>
      <c r="I167">
        <f>HYPERLINK("https://admin.shopify.com/store/ge-beauty-cosmeticos/customers/9399801839936","abrir")</f>
        <v/>
      </c>
      <c r="J167">
        <f>HYPERLINK("https://www.gebeauty.com.br/products/primer-cachos-definidos?ref=review","review")</f>
        <v/>
      </c>
      <c r="K167" t="inlineStr">
        <is>
          <t>SEND</t>
        </is>
      </c>
    </row>
    <row r="168">
      <c r="A168" t="inlineStr">
        <is>
          <t>Ruana</t>
        </is>
      </c>
      <c r="B168" t="inlineStr">
        <is>
          <t>+5581988731986</t>
        </is>
      </c>
      <c r="C168" t="inlineStr">
        <is>
          <t>Advocate</t>
        </is>
      </c>
      <c r="D168" t="inlineStr">
        <is>
          <t>Primer Cachos</t>
        </is>
      </c>
      <c r="E168" t="n">
        <v>2</v>
      </c>
      <c r="F168" t="inlineStr">
        <is>
          <t>2025-11-23</t>
        </is>
      </c>
      <c r="G168" t="n">
        <v>223</v>
      </c>
      <c r="H168" t="inlineStr">
        <is>
          <t>Y</t>
        </is>
      </c>
      <c r="I168">
        <f>HYPERLINK("https://admin.shopify.com/store/ge-beauty-cosmeticos/customers/9418428678464","abrir")</f>
        <v/>
      </c>
      <c r="J168">
        <f>HYPERLINK("https://www.gebeauty.com.br/products/primer-cachos-definidos?ref=review","review")</f>
        <v/>
      </c>
      <c r="K168" t="inlineStr">
        <is>
          <t>SEND</t>
        </is>
      </c>
    </row>
    <row r="169">
      <c r="A169" t="inlineStr">
        <is>
          <t>Ellen</t>
        </is>
      </c>
      <c r="B169" t="inlineStr">
        <is>
          <t>+5561992216111</t>
        </is>
      </c>
      <c r="C169" t="inlineStr">
        <is>
          <t>Advocate</t>
        </is>
      </c>
      <c r="D169" t="inlineStr">
        <is>
          <t>Primer Cachos</t>
        </is>
      </c>
      <c r="E169" t="n">
        <v>3</v>
      </c>
      <c r="F169" t="inlineStr">
        <is>
          <t>2025-12-29</t>
        </is>
      </c>
      <c r="G169" t="n">
        <v>187</v>
      </c>
      <c r="H169" t="inlineStr">
        <is>
          <t>Y</t>
        </is>
      </c>
      <c r="I169">
        <f>HYPERLINK("https://admin.shopify.com/store/ge-beauty-cosmeticos/customers/9421247775040","abrir")</f>
        <v/>
      </c>
      <c r="J169">
        <f>HYPERLINK("https://www.gebeauty.com.br/products/primer-cachos-definidos?ref=review","review")</f>
        <v/>
      </c>
      <c r="K169" t="inlineStr">
        <is>
          <t>SEND</t>
        </is>
      </c>
    </row>
    <row r="170">
      <c r="A170" t="inlineStr">
        <is>
          <t>Ligia</t>
        </is>
      </c>
      <c r="B170" t="inlineStr">
        <is>
          <t>+5511962331800</t>
        </is>
      </c>
      <c r="C170" t="inlineStr">
        <is>
          <t>Advocate</t>
        </is>
      </c>
      <c r="D170" t="inlineStr">
        <is>
          <t>Primer Cachos</t>
        </is>
      </c>
      <c r="E170" t="n">
        <v>2</v>
      </c>
      <c r="F170" t="inlineStr">
        <is>
          <t>2025-08-10</t>
        </is>
      </c>
      <c r="G170" t="n">
        <v>328</v>
      </c>
      <c r="H170" t="inlineStr">
        <is>
          <t>Y</t>
        </is>
      </c>
      <c r="I170">
        <f>HYPERLINK("https://admin.shopify.com/store/ge-beauty-cosmeticos/customers/7760689922368","abrir")</f>
        <v/>
      </c>
      <c r="J170">
        <f>HYPERLINK("https://www.gebeauty.com.br/products/primer-cachos-definidos?ref=review","review")</f>
        <v/>
      </c>
      <c r="K170" t="inlineStr">
        <is>
          <t>SEND</t>
        </is>
      </c>
    </row>
    <row r="171">
      <c r="A171" t="inlineStr">
        <is>
          <t>Fabio</t>
        </is>
      </c>
      <c r="B171" t="inlineStr">
        <is>
          <t>+5511988577612</t>
        </is>
      </c>
      <c r="C171" t="inlineStr">
        <is>
          <t>Advocate</t>
        </is>
      </c>
      <c r="D171" t="inlineStr">
        <is>
          <t>Primer Cachos</t>
        </is>
      </c>
      <c r="E171" t="n">
        <v>2</v>
      </c>
      <c r="F171" t="inlineStr">
        <is>
          <t>2025-07-28</t>
        </is>
      </c>
      <c r="G171" t="n">
        <v>341</v>
      </c>
      <c r="H171" t="inlineStr">
        <is>
          <t>Y</t>
        </is>
      </c>
      <c r="I171">
        <f>HYPERLINK("https://admin.shopify.com/store/ge-beauty-cosmeticos/customers/8972642189632","abrir")</f>
        <v/>
      </c>
      <c r="J171">
        <f>HYPERLINK("https://www.gebeauty.com.br/products/primer-cachos-definidos?ref=review","review")</f>
        <v/>
      </c>
      <c r="K171" t="inlineStr">
        <is>
          <t>SEND</t>
        </is>
      </c>
    </row>
    <row r="172">
      <c r="A172" t="inlineStr">
        <is>
          <t>Tatiane</t>
        </is>
      </c>
      <c r="B172" t="inlineStr">
        <is>
          <t>+5565992577499</t>
        </is>
      </c>
      <c r="C172" t="inlineStr">
        <is>
          <t>Advocate</t>
        </is>
      </c>
      <c r="D172" t="inlineStr">
        <is>
          <t>Primer Cachos</t>
        </is>
      </c>
      <c r="E172" t="n">
        <v>2</v>
      </c>
      <c r="F172" t="inlineStr">
        <is>
          <t>2025-12-02</t>
        </is>
      </c>
      <c r="G172" t="n">
        <v>214</v>
      </c>
      <c r="H172" t="inlineStr">
        <is>
          <t>N</t>
        </is>
      </c>
      <c r="I172">
        <f>HYPERLINK("https://admin.shopify.com/store/ge-beauty-cosmeticos/customers/8465267163456","abrir")</f>
        <v/>
      </c>
      <c r="J172">
        <f>HYPERLINK("https://www.gebeauty.com.br/products/primer-cachos-definidos?ref=review","review")</f>
        <v/>
      </c>
      <c r="K172" t="inlineStr">
        <is>
          <t>SEND</t>
        </is>
      </c>
    </row>
    <row r="173">
      <c r="A173" t="inlineStr">
        <is>
          <t>Rafaella</t>
        </is>
      </c>
      <c r="B173" t="inlineStr">
        <is>
          <t>+5511999896881</t>
        </is>
      </c>
      <c r="C173" t="inlineStr">
        <is>
          <t>Advocate</t>
        </is>
      </c>
      <c r="D173" t="inlineStr">
        <is>
          <t>Primer Cachos</t>
        </is>
      </c>
      <c r="E173" t="n">
        <v>2</v>
      </c>
      <c r="F173" t="inlineStr">
        <is>
          <t>2025-07-10</t>
        </is>
      </c>
      <c r="G173" t="n">
        <v>359</v>
      </c>
      <c r="H173" t="inlineStr">
        <is>
          <t>Y</t>
        </is>
      </c>
      <c r="I173">
        <f>HYPERLINK("https://admin.shopify.com/store/ge-beauty-cosmeticos/customers/7759996944704","abrir")</f>
        <v/>
      </c>
      <c r="J173">
        <f>HYPERLINK("https://www.gebeauty.com.br/products/primer-cachos-definidos?ref=review","review")</f>
        <v/>
      </c>
      <c r="K173" t="inlineStr">
        <is>
          <t>SEND</t>
        </is>
      </c>
    </row>
    <row r="174">
      <c r="A174" t="inlineStr">
        <is>
          <t>Teresa</t>
        </is>
      </c>
      <c r="B174" t="inlineStr">
        <is>
          <t>+5531992317565</t>
        </is>
      </c>
      <c r="C174" t="inlineStr">
        <is>
          <t>Advocate</t>
        </is>
      </c>
      <c r="D174" t="inlineStr">
        <is>
          <t>Primer Cachos</t>
        </is>
      </c>
      <c r="E174" t="n">
        <v>3</v>
      </c>
      <c r="F174" t="inlineStr">
        <is>
          <t>2025-08-20</t>
        </is>
      </c>
      <c r="G174" t="n">
        <v>318</v>
      </c>
      <c r="H174" t="inlineStr">
        <is>
          <t>Y</t>
        </is>
      </c>
      <c r="I174">
        <f>HYPERLINK("https://admin.shopify.com/store/ge-beauty-cosmeticos/customers/7760106160448","abrir")</f>
        <v/>
      </c>
      <c r="J174">
        <f>HYPERLINK("https://www.gebeauty.com.br/products/primer-cachos-definidos?ref=review","review")</f>
        <v/>
      </c>
      <c r="K174" t="inlineStr">
        <is>
          <t>SEND</t>
        </is>
      </c>
    </row>
    <row r="175">
      <c r="A175" t="inlineStr">
        <is>
          <t>Marina</t>
        </is>
      </c>
      <c r="B175" t="inlineStr">
        <is>
          <t>+5521999572862</t>
        </is>
      </c>
      <c r="C175" t="inlineStr">
        <is>
          <t>Advocate</t>
        </is>
      </c>
      <c r="D175" t="inlineStr">
        <is>
          <t>Primer Cachos</t>
        </is>
      </c>
      <c r="E175" t="n">
        <v>2</v>
      </c>
      <c r="F175" t="inlineStr">
        <is>
          <t>2025-07-11</t>
        </is>
      </c>
      <c r="G175" t="n">
        <v>358</v>
      </c>
      <c r="H175" t="inlineStr">
        <is>
          <t>Y</t>
        </is>
      </c>
      <c r="I175">
        <f>HYPERLINK("https://admin.shopify.com/store/ge-beauty-cosmeticos/customers/8965929435456","abrir")</f>
        <v/>
      </c>
      <c r="J175">
        <f>HYPERLINK("https://www.gebeauty.com.br/products/primer-cachos-definidos?ref=review","review")</f>
        <v/>
      </c>
      <c r="K175" t="inlineStr">
        <is>
          <t>SEND</t>
        </is>
      </c>
    </row>
    <row r="176">
      <c r="A176" t="inlineStr">
        <is>
          <t>Daniela</t>
        </is>
      </c>
      <c r="B176" t="inlineStr">
        <is>
          <t>+5511992998556</t>
        </is>
      </c>
      <c r="C176" t="inlineStr">
        <is>
          <t>Advocate</t>
        </is>
      </c>
      <c r="D176" t="inlineStr">
        <is>
          <t>Primer Cachos</t>
        </is>
      </c>
      <c r="E176" t="n">
        <v>2</v>
      </c>
      <c r="F176" t="inlineStr">
        <is>
          <t>2025-11-24</t>
        </is>
      </c>
      <c r="G176" t="n">
        <v>222</v>
      </c>
      <c r="H176" t="inlineStr">
        <is>
          <t>Y</t>
        </is>
      </c>
      <c r="I176">
        <f>HYPERLINK("https://admin.shopify.com/store/ge-beauty-cosmeticos/customers/7760156066112","abrir")</f>
        <v/>
      </c>
      <c r="J176">
        <f>HYPERLINK("https://www.gebeauty.com.br/products/primer-cachos-definidos?ref=review","review")</f>
        <v/>
      </c>
      <c r="K176" t="inlineStr">
        <is>
          <t>SEND</t>
        </is>
      </c>
    </row>
    <row r="177">
      <c r="A177" t="inlineStr">
        <is>
          <t>Ailimy</t>
        </is>
      </c>
      <c r="B177" t="inlineStr">
        <is>
          <t>+5569999244455</t>
        </is>
      </c>
      <c r="C177" t="inlineStr">
        <is>
          <t>Advocate</t>
        </is>
      </c>
      <c r="D177" t="inlineStr">
        <is>
          <t>Primer Cachos</t>
        </is>
      </c>
      <c r="E177" t="n">
        <v>2</v>
      </c>
      <c r="F177" t="inlineStr">
        <is>
          <t>2025-07-24</t>
        </is>
      </c>
      <c r="G177" t="n">
        <v>345</v>
      </c>
      <c r="H177" t="inlineStr">
        <is>
          <t>Y</t>
        </is>
      </c>
      <c r="I177">
        <f>HYPERLINK("https://admin.shopify.com/store/ge-beauty-cosmeticos/customers/7761860297024","abrir")</f>
        <v/>
      </c>
      <c r="J177">
        <f>HYPERLINK("https://www.gebeauty.com.br/products/primer-cachos-definidos?ref=review","review")</f>
        <v/>
      </c>
      <c r="K177" t="inlineStr">
        <is>
          <t>SEND</t>
        </is>
      </c>
    </row>
    <row r="178">
      <c r="A178" t="inlineStr">
        <is>
          <t>Scarlatt</t>
        </is>
      </c>
      <c r="B178" t="inlineStr">
        <is>
          <t>+5599981026793</t>
        </is>
      </c>
      <c r="C178" t="inlineStr">
        <is>
          <t>Advocate</t>
        </is>
      </c>
      <c r="D178" t="inlineStr">
        <is>
          <t>Primer Cachos</t>
        </is>
      </c>
      <c r="E178" t="n">
        <v>2</v>
      </c>
      <c r="F178" t="inlineStr">
        <is>
          <t>2025-12-30</t>
        </is>
      </c>
      <c r="G178" t="n">
        <v>186</v>
      </c>
      <c r="H178" t="inlineStr">
        <is>
          <t>Y</t>
        </is>
      </c>
      <c r="I178">
        <f>HYPERLINK("https://admin.shopify.com/store/ge-beauty-cosmeticos/customers/9455064154432","abrir")</f>
        <v/>
      </c>
      <c r="J178">
        <f>HYPERLINK("https://www.gebeauty.com.br/products/primer-cachos-definidos?ref=review","review")</f>
        <v/>
      </c>
      <c r="K178" t="inlineStr">
        <is>
          <t>SEND</t>
        </is>
      </c>
    </row>
    <row r="179">
      <c r="A179" t="inlineStr">
        <is>
          <t>Beatriz</t>
        </is>
      </c>
      <c r="B179" t="inlineStr">
        <is>
          <t>+5561999236766</t>
        </is>
      </c>
      <c r="C179" t="inlineStr">
        <is>
          <t>Advocate</t>
        </is>
      </c>
      <c r="D179" t="inlineStr">
        <is>
          <t>Primer Cachos</t>
        </is>
      </c>
      <c r="E179" t="n">
        <v>2</v>
      </c>
      <c r="F179" t="inlineStr">
        <is>
          <t>2026-06-21</t>
        </is>
      </c>
      <c r="G179" t="n">
        <v>13</v>
      </c>
      <c r="H179" t="inlineStr">
        <is>
          <t>Y</t>
        </is>
      </c>
      <c r="I179">
        <f>HYPERLINK("https://admin.shopify.com/store/ge-beauty-cosmeticos/customers/7762364105024","abrir")</f>
        <v/>
      </c>
      <c r="J179">
        <f>HYPERLINK("https://www.gebeauty.com.br/products/primer-cachos-definidos?ref=review","review")</f>
        <v/>
      </c>
      <c r="K179" t="inlineStr">
        <is>
          <t>SEND</t>
        </is>
      </c>
    </row>
    <row r="180">
      <c r="A180" t="inlineStr">
        <is>
          <t>Sumaia</t>
        </is>
      </c>
      <c r="B180" t="inlineStr">
        <is>
          <t>+5531999773627</t>
        </is>
      </c>
      <c r="C180" t="inlineStr">
        <is>
          <t>Advocate</t>
        </is>
      </c>
      <c r="D180" t="inlineStr">
        <is>
          <t>Primer Cachos</t>
        </is>
      </c>
      <c r="E180" t="n">
        <v>2</v>
      </c>
      <c r="F180" t="inlineStr">
        <is>
          <t>2025-09-02</t>
        </is>
      </c>
      <c r="G180" t="n">
        <v>305</v>
      </c>
      <c r="H180" t="inlineStr">
        <is>
          <t>Y</t>
        </is>
      </c>
      <c r="I180">
        <f>HYPERLINK("https://admin.shopify.com/store/ge-beauty-cosmeticos/customers/9464228643136","abrir")</f>
        <v/>
      </c>
      <c r="J180">
        <f>HYPERLINK("https://www.gebeauty.com.br/products/primer-cachos-definidos?ref=review","review")</f>
        <v/>
      </c>
      <c r="K180" t="inlineStr">
        <is>
          <t>SEND</t>
        </is>
      </c>
    </row>
    <row r="181">
      <c r="A181" t="inlineStr">
        <is>
          <t>Tatiana</t>
        </is>
      </c>
      <c r="B181" t="inlineStr">
        <is>
          <t>+5521996380725</t>
        </is>
      </c>
      <c r="C181" t="inlineStr">
        <is>
          <t>Advocate</t>
        </is>
      </c>
      <c r="D181" t="inlineStr">
        <is>
          <t>Primer Cachos</t>
        </is>
      </c>
      <c r="E181" t="n">
        <v>2</v>
      </c>
      <c r="F181" t="inlineStr">
        <is>
          <t>2026-05-27</t>
        </is>
      </c>
      <c r="G181" t="n">
        <v>38</v>
      </c>
      <c r="H181" t="inlineStr">
        <is>
          <t>Y</t>
        </is>
      </c>
      <c r="I181">
        <f>HYPERLINK("https://admin.shopify.com/store/ge-beauty-cosmeticos/customers/7762302894400","abrir")</f>
        <v/>
      </c>
      <c r="J181">
        <f>HYPERLINK("https://www.gebeauty.com.br/products/primer-cachos-definidos?ref=review","review")</f>
        <v/>
      </c>
      <c r="K181" t="inlineStr">
        <is>
          <t>SEND</t>
        </is>
      </c>
    </row>
    <row r="182">
      <c r="A182" t="inlineStr">
        <is>
          <t>Diana</t>
        </is>
      </c>
      <c r="B182" t="inlineStr">
        <is>
          <t>+5511983452738</t>
        </is>
      </c>
      <c r="C182" t="inlineStr">
        <is>
          <t>Advocate</t>
        </is>
      </c>
      <c r="D182" t="inlineStr">
        <is>
          <t>Primer Cachos</t>
        </is>
      </c>
      <c r="E182" t="n">
        <v>3</v>
      </c>
      <c r="F182" t="inlineStr">
        <is>
          <t>2025-11-16</t>
        </is>
      </c>
      <c r="G182" t="n">
        <v>230</v>
      </c>
      <c r="H182" t="inlineStr">
        <is>
          <t>Y</t>
        </is>
      </c>
      <c r="I182">
        <f>HYPERLINK("https://admin.shopify.com/store/ge-beauty-cosmeticos/customers/7762612224320","abrir")</f>
        <v/>
      </c>
      <c r="J182">
        <f>HYPERLINK("https://www.gebeauty.com.br/products/primer-cachos-definidos?ref=review","review")</f>
        <v/>
      </c>
      <c r="K182" t="inlineStr">
        <is>
          <t>SEND</t>
        </is>
      </c>
    </row>
    <row r="183">
      <c r="A183" t="inlineStr">
        <is>
          <t>Danielle</t>
        </is>
      </c>
      <c r="B183" t="inlineStr">
        <is>
          <t>+5521988989724</t>
        </is>
      </c>
      <c r="C183" t="inlineStr">
        <is>
          <t>Advocate</t>
        </is>
      </c>
      <c r="D183" t="inlineStr">
        <is>
          <t>Primer Cachos</t>
        </is>
      </c>
      <c r="E183" t="n">
        <v>3</v>
      </c>
      <c r="F183" t="inlineStr">
        <is>
          <t>2025-10-02</t>
        </is>
      </c>
      <c r="G183" t="n">
        <v>275</v>
      </c>
      <c r="H183" t="inlineStr">
        <is>
          <t>Y</t>
        </is>
      </c>
      <c r="I183">
        <f>HYPERLINK("https://admin.shopify.com/store/ge-beauty-cosmeticos/customers/8754057740608","abrir")</f>
        <v/>
      </c>
      <c r="J183">
        <f>HYPERLINK("https://www.gebeauty.com.br/products/primer-cachos-definidos?ref=review","review")</f>
        <v/>
      </c>
      <c r="K183" t="inlineStr">
        <is>
          <t>SEND</t>
        </is>
      </c>
    </row>
    <row r="184">
      <c r="A184" t="inlineStr">
        <is>
          <t>Christianne</t>
        </is>
      </c>
      <c r="B184" t="inlineStr">
        <is>
          <t>+5584994082733</t>
        </is>
      </c>
      <c r="C184" t="inlineStr">
        <is>
          <t>Advocate</t>
        </is>
      </c>
      <c r="D184" t="inlineStr">
        <is>
          <t>Primer Cachos</t>
        </is>
      </c>
      <c r="E184" t="n">
        <v>2</v>
      </c>
      <c r="F184" t="inlineStr">
        <is>
          <t>2025-12-02</t>
        </is>
      </c>
      <c r="G184" t="n">
        <v>214</v>
      </c>
      <c r="H184" t="inlineStr">
        <is>
          <t>Y</t>
        </is>
      </c>
      <c r="I184">
        <f>HYPERLINK("https://admin.shopify.com/store/ge-beauty-cosmeticos/customers/8790241444160","abrir")</f>
        <v/>
      </c>
      <c r="J184">
        <f>HYPERLINK("https://www.gebeauty.com.br/products/primer-cachos-definidos?ref=review","review")</f>
        <v/>
      </c>
      <c r="K184" t="inlineStr">
        <is>
          <t>SEND</t>
        </is>
      </c>
    </row>
    <row r="185">
      <c r="A185" t="inlineStr">
        <is>
          <t>Silvia</t>
        </is>
      </c>
      <c r="B185" t="inlineStr">
        <is>
          <t>+5511970305758</t>
        </is>
      </c>
      <c r="C185" t="inlineStr">
        <is>
          <t>Advocate</t>
        </is>
      </c>
      <c r="D185" t="inlineStr">
        <is>
          <t>Primer Cachos</t>
        </is>
      </c>
      <c r="E185" t="n">
        <v>2</v>
      </c>
      <c r="F185" t="inlineStr">
        <is>
          <t>2025-10-15</t>
        </is>
      </c>
      <c r="G185" t="n">
        <v>262</v>
      </c>
      <c r="H185" t="inlineStr">
        <is>
          <t>Y</t>
        </is>
      </c>
      <c r="I185">
        <f>HYPERLINK("https://admin.shopify.com/store/ge-beauty-cosmeticos/customers/7759978135872","abrir")</f>
        <v/>
      </c>
      <c r="J185">
        <f>HYPERLINK("https://www.gebeauty.com.br/products/primer-cachos-definidos?ref=review","review")</f>
        <v/>
      </c>
      <c r="K185" t="inlineStr">
        <is>
          <t>SEND</t>
        </is>
      </c>
    </row>
    <row r="186">
      <c r="A186" t="inlineStr">
        <is>
          <t>Andreia</t>
        </is>
      </c>
      <c r="B186" t="inlineStr">
        <is>
          <t>+5531999835337</t>
        </is>
      </c>
      <c r="C186" t="inlineStr">
        <is>
          <t>Advocate</t>
        </is>
      </c>
      <c r="D186" t="inlineStr">
        <is>
          <t>Primer Cachos</t>
        </is>
      </c>
      <c r="E186" t="n">
        <v>2</v>
      </c>
      <c r="F186" t="inlineStr">
        <is>
          <t>2026-01-21</t>
        </is>
      </c>
      <c r="G186" t="n">
        <v>164</v>
      </c>
      <c r="H186" t="inlineStr">
        <is>
          <t>Y</t>
        </is>
      </c>
      <c r="I186">
        <f>HYPERLINK("https://admin.shopify.com/store/ge-beauty-cosmeticos/customers/9478963167552","abrir")</f>
        <v/>
      </c>
      <c r="J186">
        <f>HYPERLINK("https://www.gebeauty.com.br/products/primer-cachos-definidos?ref=review","review")</f>
        <v/>
      </c>
      <c r="K186" t="inlineStr">
        <is>
          <t>SEND</t>
        </is>
      </c>
    </row>
    <row r="187">
      <c r="A187" t="inlineStr">
        <is>
          <t>Laura</t>
        </is>
      </c>
      <c r="B187" t="inlineStr">
        <is>
          <t>+5581999773008</t>
        </is>
      </c>
      <c r="C187" t="inlineStr">
        <is>
          <t>Advocate</t>
        </is>
      </c>
      <c r="D187" t="inlineStr">
        <is>
          <t>Primer Cachos</t>
        </is>
      </c>
      <c r="E187" t="n">
        <v>2</v>
      </c>
      <c r="F187" t="inlineStr">
        <is>
          <t>2025-10-01</t>
        </is>
      </c>
      <c r="G187" t="n">
        <v>276</v>
      </c>
      <c r="H187" t="inlineStr">
        <is>
          <t>Y</t>
        </is>
      </c>
      <c r="I187">
        <f>HYPERLINK("https://admin.shopify.com/store/ge-beauty-cosmeticos/customers/9480751219008","abrir")</f>
        <v/>
      </c>
      <c r="J187">
        <f>HYPERLINK("https://www.gebeauty.com.br/products/primer-cachos-definidos?ref=review","review")</f>
        <v/>
      </c>
      <c r="K187" t="inlineStr">
        <is>
          <t>SEND</t>
        </is>
      </c>
    </row>
    <row r="188">
      <c r="A188" t="inlineStr">
        <is>
          <t>Mariana</t>
        </is>
      </c>
      <c r="B188" t="inlineStr">
        <is>
          <t>+5511972197841</t>
        </is>
      </c>
      <c r="C188" t="inlineStr">
        <is>
          <t>Advocate</t>
        </is>
      </c>
      <c r="D188" t="inlineStr">
        <is>
          <t>Primer Cachos</t>
        </is>
      </c>
      <c r="E188" t="n">
        <v>2</v>
      </c>
      <c r="F188" t="inlineStr">
        <is>
          <t>2025-07-27</t>
        </is>
      </c>
      <c r="G188" t="n">
        <v>342</v>
      </c>
      <c r="H188" t="inlineStr">
        <is>
          <t>Y</t>
        </is>
      </c>
      <c r="I188">
        <f>HYPERLINK("https://admin.shopify.com/store/ge-beauty-cosmeticos/customers/7759536554304","abrir")</f>
        <v/>
      </c>
      <c r="J188">
        <f>HYPERLINK("https://www.gebeauty.com.br/products/primer-cachos-definidos?ref=review","review")</f>
        <v/>
      </c>
      <c r="K188" t="inlineStr">
        <is>
          <t>HOLDOUT</t>
        </is>
      </c>
    </row>
    <row r="189">
      <c r="A189" t="inlineStr">
        <is>
          <t>Mara</t>
        </is>
      </c>
      <c r="B189" t="inlineStr">
        <is>
          <t>+5511999699367</t>
        </is>
      </c>
      <c r="C189" t="inlineStr">
        <is>
          <t>Advocate</t>
        </is>
      </c>
      <c r="D189" t="inlineStr">
        <is>
          <t>Primer Cachos</t>
        </is>
      </c>
      <c r="E189" t="n">
        <v>2</v>
      </c>
      <c r="F189" t="inlineStr">
        <is>
          <t>2025-11-30</t>
        </is>
      </c>
      <c r="G189" t="n">
        <v>216</v>
      </c>
      <c r="H189" t="inlineStr">
        <is>
          <t>Y</t>
        </is>
      </c>
      <c r="I189">
        <f>HYPERLINK("https://admin.shopify.com/store/ge-beauty-cosmeticos/customers/9485819642176","abrir")</f>
        <v/>
      </c>
      <c r="J189">
        <f>HYPERLINK("https://www.gebeauty.com.br/products/primer-cachos-definidos?ref=review","review")</f>
        <v/>
      </c>
      <c r="K189" t="inlineStr">
        <is>
          <t>SEND</t>
        </is>
      </c>
    </row>
    <row r="190">
      <c r="A190" t="inlineStr">
        <is>
          <t>Paula</t>
        </is>
      </c>
      <c r="B190" t="inlineStr">
        <is>
          <t>+5534999881779</t>
        </is>
      </c>
      <c r="C190" t="inlineStr">
        <is>
          <t>Advocate</t>
        </is>
      </c>
      <c r="D190" t="inlineStr">
        <is>
          <t>Primer Cachos</t>
        </is>
      </c>
      <c r="E190" t="n">
        <v>2</v>
      </c>
      <c r="F190" t="inlineStr">
        <is>
          <t>2025-07-29</t>
        </is>
      </c>
      <c r="G190" t="n">
        <v>340</v>
      </c>
      <c r="H190" t="inlineStr">
        <is>
          <t>Y</t>
        </is>
      </c>
      <c r="I190">
        <f>HYPERLINK("https://admin.shopify.com/store/ge-beauty-cosmeticos/customers/7761924424000","abrir")</f>
        <v/>
      </c>
      <c r="J190">
        <f>HYPERLINK("https://www.gebeauty.com.br/products/primer-cachos-definidos?ref=review","review")</f>
        <v/>
      </c>
      <c r="K190" t="inlineStr">
        <is>
          <t>SEND</t>
        </is>
      </c>
    </row>
    <row r="191">
      <c r="A191" t="inlineStr">
        <is>
          <t>José</t>
        </is>
      </c>
      <c r="B191" t="inlineStr">
        <is>
          <t>+5511993166168</t>
        </is>
      </c>
      <c r="C191" t="inlineStr">
        <is>
          <t>Advocate</t>
        </is>
      </c>
      <c r="D191" t="inlineStr">
        <is>
          <t>Primer Cachos</t>
        </is>
      </c>
      <c r="E191" t="n">
        <v>3</v>
      </c>
      <c r="F191" t="inlineStr">
        <is>
          <t>2025-11-13</t>
        </is>
      </c>
      <c r="G191" t="n">
        <v>233</v>
      </c>
      <c r="H191" t="inlineStr">
        <is>
          <t>Y</t>
        </is>
      </c>
      <c r="I191">
        <f>HYPERLINK("https://admin.shopify.com/store/ge-beauty-cosmeticos/customers/7759499395392","abrir")</f>
        <v/>
      </c>
      <c r="J191">
        <f>HYPERLINK("https://www.gebeauty.com.br/products/primer-cachos-definidos?ref=review","review")</f>
        <v/>
      </c>
      <c r="K191" t="inlineStr">
        <is>
          <t>SEND</t>
        </is>
      </c>
    </row>
    <row r="192">
      <c r="A192" t="inlineStr">
        <is>
          <t>Anderson</t>
        </is>
      </c>
      <c r="B192" t="inlineStr">
        <is>
          <t>+5515997210290</t>
        </is>
      </c>
      <c r="C192" t="inlineStr">
        <is>
          <t>Advocate</t>
        </is>
      </c>
      <c r="D192" t="inlineStr">
        <is>
          <t>Primer Cachos</t>
        </is>
      </c>
      <c r="E192" t="n">
        <v>2</v>
      </c>
      <c r="F192" t="inlineStr">
        <is>
          <t>2026-05-12</t>
        </is>
      </c>
      <c r="G192" t="n">
        <v>53</v>
      </c>
      <c r="H192" t="inlineStr">
        <is>
          <t>Y</t>
        </is>
      </c>
      <c r="I192">
        <f>HYPERLINK("https://admin.shopify.com/store/ge-beauty-cosmeticos/customers/9506489139520","abrir")</f>
        <v/>
      </c>
      <c r="J192">
        <f>HYPERLINK("https://www.gebeauty.com.br/products/primer-cachos-definidos?ref=review","review")</f>
        <v/>
      </c>
      <c r="K192" t="inlineStr">
        <is>
          <t>SEND</t>
        </is>
      </c>
    </row>
    <row r="193">
      <c r="A193" t="inlineStr">
        <is>
          <t>Fabiana</t>
        </is>
      </c>
      <c r="B193" t="inlineStr">
        <is>
          <t>+5511976885780</t>
        </is>
      </c>
      <c r="C193" t="inlineStr">
        <is>
          <t>Advocate</t>
        </is>
      </c>
      <c r="D193" t="inlineStr">
        <is>
          <t>Primer Cachos</t>
        </is>
      </c>
      <c r="E193" t="n">
        <v>2</v>
      </c>
      <c r="F193" t="inlineStr">
        <is>
          <t>2025-10-29</t>
        </is>
      </c>
      <c r="G193" t="n">
        <v>248</v>
      </c>
      <c r="H193" t="inlineStr">
        <is>
          <t>Y</t>
        </is>
      </c>
      <c r="I193">
        <f>HYPERLINK("https://admin.shopify.com/store/ge-beauty-cosmeticos/customers/9130577690944","abrir")</f>
        <v/>
      </c>
      <c r="J193">
        <f>HYPERLINK("https://www.gebeauty.com.br/products/primer-cachos-definidos?ref=review","review")</f>
        <v/>
      </c>
      <c r="K193" t="inlineStr">
        <is>
          <t>SEND</t>
        </is>
      </c>
    </row>
    <row r="194">
      <c r="A194" t="inlineStr">
        <is>
          <t>Letícia</t>
        </is>
      </c>
      <c r="B194" t="inlineStr">
        <is>
          <t>+5511964699486</t>
        </is>
      </c>
      <c r="C194" t="inlineStr">
        <is>
          <t>Advocate</t>
        </is>
      </c>
      <c r="D194" t="inlineStr">
        <is>
          <t>Primer Cachos</t>
        </is>
      </c>
      <c r="E194" t="n">
        <v>2</v>
      </c>
      <c r="F194" t="inlineStr">
        <is>
          <t>2026-05-25</t>
        </is>
      </c>
      <c r="G194" t="n">
        <v>40</v>
      </c>
      <c r="H194" t="inlineStr">
        <is>
          <t>Y</t>
        </is>
      </c>
      <c r="I194">
        <f>HYPERLINK("https://admin.shopify.com/store/ge-beauty-cosmeticos/customers/8397096091968","abrir")</f>
        <v/>
      </c>
      <c r="J194">
        <f>HYPERLINK("https://www.gebeauty.com.br/products/primer-cachos-definidos?ref=review","review")</f>
        <v/>
      </c>
      <c r="K194" t="inlineStr">
        <is>
          <t>SEND</t>
        </is>
      </c>
    </row>
    <row r="195">
      <c r="A195" t="inlineStr">
        <is>
          <t>Fernanda</t>
        </is>
      </c>
      <c r="B195" t="inlineStr">
        <is>
          <t>+5511974491657</t>
        </is>
      </c>
      <c r="C195" t="inlineStr">
        <is>
          <t>Advocate</t>
        </is>
      </c>
      <c r="D195" t="inlineStr">
        <is>
          <t>Primer Cachos</t>
        </is>
      </c>
      <c r="E195" t="n">
        <v>2</v>
      </c>
      <c r="F195" t="inlineStr">
        <is>
          <t>2026-01-22</t>
        </is>
      </c>
      <c r="G195" t="n">
        <v>163</v>
      </c>
      <c r="H195" t="inlineStr">
        <is>
          <t>Y</t>
        </is>
      </c>
      <c r="I195">
        <f>HYPERLINK("https://admin.shopify.com/store/ge-beauty-cosmeticos/customers/8507892334912","abrir")</f>
        <v/>
      </c>
      <c r="J195">
        <f>HYPERLINK("https://www.gebeauty.com.br/products/primer-cachos-definidos?ref=review","review")</f>
        <v/>
      </c>
      <c r="K195" t="inlineStr">
        <is>
          <t>SEND</t>
        </is>
      </c>
    </row>
    <row r="196">
      <c r="A196" t="inlineStr">
        <is>
          <t>Paula</t>
        </is>
      </c>
      <c r="B196" t="inlineStr">
        <is>
          <t>+5521988739064</t>
        </is>
      </c>
      <c r="C196" t="inlineStr">
        <is>
          <t>Advocate</t>
        </is>
      </c>
      <c r="D196" t="inlineStr">
        <is>
          <t>Primer Cachos</t>
        </is>
      </c>
      <c r="E196" t="n">
        <v>3</v>
      </c>
      <c r="F196" t="inlineStr">
        <is>
          <t>2026-05-28</t>
        </is>
      </c>
      <c r="G196" t="n">
        <v>37</v>
      </c>
      <c r="H196" t="inlineStr">
        <is>
          <t>Y</t>
        </is>
      </c>
      <c r="I196">
        <f>HYPERLINK("https://admin.shopify.com/store/ge-beauty-cosmeticos/customers/8392330051904","abrir")</f>
        <v/>
      </c>
      <c r="J196">
        <f>HYPERLINK("https://www.gebeauty.com.br/products/primer-cachos-definidos?ref=review","review")</f>
        <v/>
      </c>
      <c r="K196" t="inlineStr">
        <is>
          <t>SEND</t>
        </is>
      </c>
    </row>
    <row r="197">
      <c r="A197" t="inlineStr">
        <is>
          <t>Grace</t>
        </is>
      </c>
      <c r="B197" t="inlineStr">
        <is>
          <t>+5571999554458</t>
        </is>
      </c>
      <c r="C197" t="inlineStr">
        <is>
          <t>Advocate</t>
        </is>
      </c>
      <c r="D197" t="inlineStr">
        <is>
          <t>Primer Cachos</t>
        </is>
      </c>
      <c r="E197" t="n">
        <v>2</v>
      </c>
      <c r="F197" t="inlineStr">
        <is>
          <t>2026-01-22</t>
        </is>
      </c>
      <c r="G197" t="n">
        <v>163</v>
      </c>
      <c r="H197" t="inlineStr">
        <is>
          <t>Y</t>
        </is>
      </c>
      <c r="I197">
        <f>HYPERLINK("https://admin.shopify.com/store/ge-beauty-cosmeticos/customers/8955296645440","abrir")</f>
        <v/>
      </c>
      <c r="J197">
        <f>HYPERLINK("https://www.gebeauty.com.br/products/primer-cachos-definidos?ref=review","review")</f>
        <v/>
      </c>
      <c r="K197" t="inlineStr">
        <is>
          <t>SEND</t>
        </is>
      </c>
    </row>
    <row r="198">
      <c r="A198" t="inlineStr">
        <is>
          <t>Raissa</t>
        </is>
      </c>
      <c r="B198" t="inlineStr">
        <is>
          <t>+5581997859581</t>
        </is>
      </c>
      <c r="C198" t="inlineStr">
        <is>
          <t>Advocate</t>
        </is>
      </c>
      <c r="D198" t="inlineStr">
        <is>
          <t>Primer Cachos</t>
        </is>
      </c>
      <c r="E198" t="n">
        <v>2</v>
      </c>
      <c r="F198" t="inlineStr">
        <is>
          <t>2026-04-05</t>
        </is>
      </c>
      <c r="G198" t="n">
        <v>90</v>
      </c>
      <c r="H198" t="inlineStr">
        <is>
          <t>Y</t>
        </is>
      </c>
      <c r="I198">
        <f>HYPERLINK("https://admin.shopify.com/store/ge-beauty-cosmeticos/customers/9572194844992","abrir")</f>
        <v/>
      </c>
      <c r="J198">
        <f>HYPERLINK("https://www.gebeauty.com.br/products/primer-cachos-definidos?ref=review","review")</f>
        <v/>
      </c>
      <c r="K198" t="inlineStr">
        <is>
          <t>SEND</t>
        </is>
      </c>
    </row>
    <row r="199">
      <c r="A199" t="inlineStr">
        <is>
          <t>Sandra</t>
        </is>
      </c>
      <c r="B199" t="inlineStr">
        <is>
          <t>+5581973254200</t>
        </is>
      </c>
      <c r="C199" t="inlineStr">
        <is>
          <t>Advocate</t>
        </is>
      </c>
      <c r="D199" t="inlineStr">
        <is>
          <t>Primer Cachos</t>
        </is>
      </c>
      <c r="E199" t="n">
        <v>2</v>
      </c>
      <c r="F199" t="inlineStr">
        <is>
          <t>2025-11-27</t>
        </is>
      </c>
      <c r="G199" t="n">
        <v>219</v>
      </c>
      <c r="H199" t="inlineStr">
        <is>
          <t>Y</t>
        </is>
      </c>
      <c r="I199">
        <f>HYPERLINK("https://admin.shopify.com/store/ge-beauty-cosmeticos/customers/9486050361664","abrir")</f>
        <v/>
      </c>
      <c r="J199">
        <f>HYPERLINK("https://www.gebeauty.com.br/products/primer-cachos-definidos?ref=review","review")</f>
        <v/>
      </c>
      <c r="K199" t="inlineStr">
        <is>
          <t>SEND</t>
        </is>
      </c>
    </row>
    <row r="200">
      <c r="A200" t="inlineStr">
        <is>
          <t>Thamires</t>
        </is>
      </c>
      <c r="B200" t="inlineStr">
        <is>
          <t>+5511969090993</t>
        </is>
      </c>
      <c r="C200" t="inlineStr">
        <is>
          <t>Advocate</t>
        </is>
      </c>
      <c r="D200" t="inlineStr">
        <is>
          <t>Primer Cachos</t>
        </is>
      </c>
      <c r="E200" t="n">
        <v>2</v>
      </c>
      <c r="F200" t="inlineStr">
        <is>
          <t>2025-08-21</t>
        </is>
      </c>
      <c r="G200" t="n">
        <v>317</v>
      </c>
      <c r="H200" t="inlineStr">
        <is>
          <t>Y</t>
        </is>
      </c>
      <c r="I200">
        <f>HYPERLINK("https://admin.shopify.com/store/ge-beauty-cosmeticos/customers/8961141014848","abrir")</f>
        <v/>
      </c>
      <c r="J200">
        <f>HYPERLINK("https://www.gebeauty.com.br/products/primer-cachos-definidos?ref=review","review")</f>
        <v/>
      </c>
      <c r="K200" t="inlineStr">
        <is>
          <t>SEND</t>
        </is>
      </c>
    </row>
    <row r="201">
      <c r="A201" t="inlineStr">
        <is>
          <t>Aline</t>
        </is>
      </c>
      <c r="B201" t="inlineStr">
        <is>
          <t>+5521995552950</t>
        </is>
      </c>
      <c r="C201" t="inlineStr">
        <is>
          <t>Advocate</t>
        </is>
      </c>
      <c r="D201" t="inlineStr">
        <is>
          <t>Primer Cachos</t>
        </is>
      </c>
      <c r="E201" t="n">
        <v>2</v>
      </c>
      <c r="F201" t="inlineStr">
        <is>
          <t>2025-12-09</t>
        </is>
      </c>
      <c r="G201" t="n">
        <v>207</v>
      </c>
      <c r="H201" t="inlineStr">
        <is>
          <t>Y</t>
        </is>
      </c>
      <c r="I201">
        <f>HYPERLINK("https://admin.shopify.com/store/ge-beauty-cosmeticos/customers/9585826300224","abrir")</f>
        <v/>
      </c>
      <c r="J201">
        <f>HYPERLINK("https://www.gebeauty.com.br/products/primer-cachos-definidos?ref=review","review")</f>
        <v/>
      </c>
      <c r="K201" t="inlineStr">
        <is>
          <t>SEND</t>
        </is>
      </c>
    </row>
    <row r="202">
      <c r="A202" t="inlineStr">
        <is>
          <t>Bruna</t>
        </is>
      </c>
      <c r="B202" t="inlineStr">
        <is>
          <t>+5548998487291</t>
        </is>
      </c>
      <c r="C202" t="inlineStr">
        <is>
          <t>Advocate</t>
        </is>
      </c>
      <c r="D202" t="inlineStr">
        <is>
          <t>Primer Cachos</t>
        </is>
      </c>
      <c r="E202" t="n">
        <v>2</v>
      </c>
      <c r="F202" t="inlineStr">
        <is>
          <t>2025-09-26</t>
        </is>
      </c>
      <c r="G202" t="n">
        <v>281</v>
      </c>
      <c r="H202" t="inlineStr">
        <is>
          <t>Y</t>
        </is>
      </c>
      <c r="I202">
        <f>HYPERLINK("https://admin.shopify.com/store/ge-beauty-cosmeticos/customers/9589958607168","abrir")</f>
        <v/>
      </c>
      <c r="J202">
        <f>HYPERLINK("https://www.gebeauty.com.br/products/primer-cachos-definidos?ref=review","review")</f>
        <v/>
      </c>
      <c r="K202" t="inlineStr">
        <is>
          <t>SEND</t>
        </is>
      </c>
    </row>
    <row r="203">
      <c r="A203" t="inlineStr">
        <is>
          <t>Leila</t>
        </is>
      </c>
      <c r="B203" t="inlineStr">
        <is>
          <t>+5511986785356</t>
        </is>
      </c>
      <c r="C203" t="inlineStr">
        <is>
          <t>Advocate</t>
        </is>
      </c>
      <c r="D203" t="inlineStr">
        <is>
          <t>Primer Cachos</t>
        </is>
      </c>
      <c r="E203" t="n">
        <v>2</v>
      </c>
      <c r="F203" t="inlineStr">
        <is>
          <t>2026-02-12</t>
        </is>
      </c>
      <c r="G203" t="n">
        <v>142</v>
      </c>
      <c r="H203" t="inlineStr">
        <is>
          <t>Y</t>
        </is>
      </c>
      <c r="I203">
        <f>HYPERLINK("https://admin.shopify.com/store/ge-beauty-cosmeticos/customers/9593308348736","abrir")</f>
        <v/>
      </c>
      <c r="J203">
        <f>HYPERLINK("https://www.gebeauty.com.br/products/primer-cachos-definidos?ref=review","review")</f>
        <v/>
      </c>
      <c r="K203" t="inlineStr">
        <is>
          <t>SEND</t>
        </is>
      </c>
    </row>
    <row r="204">
      <c r="A204" t="inlineStr">
        <is>
          <t>Marília</t>
        </is>
      </c>
      <c r="B204" t="inlineStr">
        <is>
          <t>+5511993416758</t>
        </is>
      </c>
      <c r="C204" t="inlineStr">
        <is>
          <t>Advocate</t>
        </is>
      </c>
      <c r="D204" t="inlineStr">
        <is>
          <t>Primer Cachos</t>
        </is>
      </c>
      <c r="E204" t="n">
        <v>2</v>
      </c>
      <c r="F204" t="inlineStr">
        <is>
          <t>2026-01-19</t>
        </is>
      </c>
      <c r="G204" t="n">
        <v>166</v>
      </c>
      <c r="H204" t="inlineStr">
        <is>
          <t>Y</t>
        </is>
      </c>
      <c r="I204">
        <f>HYPERLINK("https://admin.shopify.com/store/ge-beauty-cosmeticos/customers/9567251562816","abrir")</f>
        <v/>
      </c>
      <c r="J204">
        <f>HYPERLINK("https://www.gebeauty.com.br/products/primer-cachos-definidos?ref=review","review")</f>
        <v/>
      </c>
      <c r="K204" t="inlineStr">
        <is>
          <t>SEND</t>
        </is>
      </c>
    </row>
    <row r="205">
      <c r="A205" t="inlineStr">
        <is>
          <t>Carolina</t>
        </is>
      </c>
      <c r="B205" t="inlineStr">
        <is>
          <t>+5514998278879</t>
        </is>
      </c>
      <c r="C205" t="inlineStr">
        <is>
          <t>Advocate</t>
        </is>
      </c>
      <c r="D205" t="inlineStr">
        <is>
          <t>Primer Cachos</t>
        </is>
      </c>
      <c r="E205" t="n">
        <v>2</v>
      </c>
      <c r="F205" t="inlineStr">
        <is>
          <t>2025-11-11</t>
        </is>
      </c>
      <c r="G205" t="n">
        <v>235</v>
      </c>
      <c r="H205" t="inlineStr">
        <is>
          <t>Y</t>
        </is>
      </c>
      <c r="I205">
        <f>HYPERLINK("https://admin.shopify.com/store/ge-beauty-cosmeticos/customers/9594988036416","abrir")</f>
        <v/>
      </c>
      <c r="J205">
        <f>HYPERLINK("https://www.gebeauty.com.br/products/primer-cachos-definidos?ref=review","review")</f>
        <v/>
      </c>
      <c r="K205" t="inlineStr">
        <is>
          <t>SEND</t>
        </is>
      </c>
    </row>
    <row r="206">
      <c r="A206" t="inlineStr">
        <is>
          <t>Paula</t>
        </is>
      </c>
      <c r="B206" t="inlineStr">
        <is>
          <t>+5511930574822</t>
        </is>
      </c>
      <c r="C206" t="inlineStr">
        <is>
          <t>Advocate</t>
        </is>
      </c>
      <c r="D206" t="inlineStr">
        <is>
          <t>Primer Cachos</t>
        </is>
      </c>
      <c r="E206" t="n">
        <v>3</v>
      </c>
      <c r="F206" t="inlineStr">
        <is>
          <t>2026-01-14</t>
        </is>
      </c>
      <c r="G206" t="n">
        <v>171</v>
      </c>
      <c r="H206" t="inlineStr">
        <is>
          <t>Y</t>
        </is>
      </c>
      <c r="I206">
        <f>HYPERLINK("https://admin.shopify.com/store/ge-beauty-cosmeticos/customers/7761667490112","abrir")</f>
        <v/>
      </c>
      <c r="J206">
        <f>HYPERLINK("https://www.gebeauty.com.br/products/primer-cachos-definidos?ref=review","review")</f>
        <v/>
      </c>
      <c r="K206" t="inlineStr">
        <is>
          <t>SEND</t>
        </is>
      </c>
    </row>
    <row r="207">
      <c r="A207" t="inlineStr">
        <is>
          <t>Sergio</t>
        </is>
      </c>
      <c r="B207" t="inlineStr">
        <is>
          <t>+5581991940460</t>
        </is>
      </c>
      <c r="C207" t="inlineStr">
        <is>
          <t>Advocate</t>
        </is>
      </c>
      <c r="D207" t="inlineStr">
        <is>
          <t>Primer Cachos</t>
        </is>
      </c>
      <c r="E207" t="n">
        <v>8</v>
      </c>
      <c r="F207" t="inlineStr">
        <is>
          <t>2026-06-11</t>
        </is>
      </c>
      <c r="G207" t="n">
        <v>23</v>
      </c>
      <c r="H207" t="inlineStr">
        <is>
          <t>Y</t>
        </is>
      </c>
      <c r="I207">
        <f>HYPERLINK("https://admin.shopify.com/store/ge-beauty-cosmeticos/customers/9623322558784","abrir")</f>
        <v/>
      </c>
      <c r="J207">
        <f>HYPERLINK("https://www.gebeauty.com.br/products/primer-cachos-definidos?ref=review","review")</f>
        <v/>
      </c>
      <c r="K207" t="inlineStr">
        <is>
          <t>SEND</t>
        </is>
      </c>
    </row>
    <row r="208">
      <c r="A208" t="inlineStr">
        <is>
          <t>Paula</t>
        </is>
      </c>
      <c r="B208" t="inlineStr">
        <is>
          <t>+5521994936975</t>
        </is>
      </c>
      <c r="C208" t="inlineStr">
        <is>
          <t>Advocate</t>
        </is>
      </c>
      <c r="D208" t="inlineStr">
        <is>
          <t>Primer Cachos</t>
        </is>
      </c>
      <c r="E208" t="n">
        <v>2</v>
      </c>
      <c r="F208" t="inlineStr">
        <is>
          <t>2026-04-17</t>
        </is>
      </c>
      <c r="G208" t="n">
        <v>78</v>
      </c>
      <c r="H208" t="inlineStr">
        <is>
          <t>Y</t>
        </is>
      </c>
      <c r="I208">
        <f>HYPERLINK("https://admin.shopify.com/store/ge-beauty-cosmeticos/customers/9628194210112","abrir")</f>
        <v/>
      </c>
      <c r="J208">
        <f>HYPERLINK("https://www.gebeauty.com.br/products/primer-cachos-definidos?ref=review","review")</f>
        <v/>
      </c>
      <c r="K208" t="inlineStr">
        <is>
          <t>HOLDOUT</t>
        </is>
      </c>
    </row>
    <row r="209">
      <c r="A209" t="inlineStr">
        <is>
          <t>Luísa</t>
        </is>
      </c>
      <c r="B209" t="inlineStr">
        <is>
          <t>+5511986084113</t>
        </is>
      </c>
      <c r="C209" t="inlineStr">
        <is>
          <t>Advocate</t>
        </is>
      </c>
      <c r="D209" t="inlineStr">
        <is>
          <t>Primer Cachos</t>
        </is>
      </c>
      <c r="E209" t="n">
        <v>2</v>
      </c>
      <c r="F209" t="inlineStr">
        <is>
          <t>2026-01-09</t>
        </is>
      </c>
      <c r="G209" t="n">
        <v>176</v>
      </c>
      <c r="H209" t="inlineStr">
        <is>
          <t>Y</t>
        </is>
      </c>
      <c r="I209">
        <f>HYPERLINK("https://admin.shopify.com/store/ge-beauty-cosmeticos/customers/9636723622208","abrir")</f>
        <v/>
      </c>
      <c r="J209">
        <f>HYPERLINK("https://www.gebeauty.com.br/products/primer-cachos-definidos?ref=review","review")</f>
        <v/>
      </c>
      <c r="K209" t="inlineStr">
        <is>
          <t>SEND</t>
        </is>
      </c>
    </row>
    <row r="210">
      <c r="A210" t="inlineStr">
        <is>
          <t>Leticia</t>
        </is>
      </c>
      <c r="B210" t="inlineStr">
        <is>
          <t>+5511983279233</t>
        </is>
      </c>
      <c r="C210" t="inlineStr">
        <is>
          <t>Advocate</t>
        </is>
      </c>
      <c r="D210" t="inlineStr">
        <is>
          <t>Primer Cachos</t>
        </is>
      </c>
      <c r="E210" t="n">
        <v>2</v>
      </c>
      <c r="F210" t="inlineStr">
        <is>
          <t>2026-06-16</t>
        </is>
      </c>
      <c r="G210" t="n">
        <v>18</v>
      </c>
      <c r="H210" t="inlineStr">
        <is>
          <t>Y</t>
        </is>
      </c>
      <c r="I210">
        <f>HYPERLINK("https://admin.shopify.com/store/ge-beauty-cosmeticos/customers/8718925889856","abrir")</f>
        <v/>
      </c>
      <c r="J210">
        <f>HYPERLINK("https://www.gebeauty.com.br/products/primer-cachos-definidos?ref=review","review")</f>
        <v/>
      </c>
      <c r="K210" t="inlineStr">
        <is>
          <t>SEND</t>
        </is>
      </c>
    </row>
    <row r="211">
      <c r="A211" t="inlineStr">
        <is>
          <t>Melyssa</t>
        </is>
      </c>
      <c r="B211" t="inlineStr">
        <is>
          <t>+5521998872166</t>
        </is>
      </c>
      <c r="C211" t="inlineStr">
        <is>
          <t>Advocate</t>
        </is>
      </c>
      <c r="D211" t="inlineStr">
        <is>
          <t>Primer Cachos</t>
        </is>
      </c>
      <c r="E211" t="n">
        <v>2</v>
      </c>
      <c r="F211" t="inlineStr">
        <is>
          <t>2025-11-29</t>
        </is>
      </c>
      <c r="G211" t="n">
        <v>217</v>
      </c>
      <c r="H211" t="inlineStr">
        <is>
          <t>Y</t>
        </is>
      </c>
      <c r="I211">
        <f>HYPERLINK("https://admin.shopify.com/store/ge-beauty-cosmeticos/customers/7760213836096","abrir")</f>
        <v/>
      </c>
      <c r="J211">
        <f>HYPERLINK("https://www.gebeauty.com.br/products/primer-cachos-definidos?ref=review","review")</f>
        <v/>
      </c>
      <c r="K211" t="inlineStr">
        <is>
          <t>SEND</t>
        </is>
      </c>
    </row>
    <row r="212">
      <c r="A212" t="inlineStr">
        <is>
          <t>Wanne</t>
        </is>
      </c>
      <c r="B212" t="inlineStr">
        <is>
          <t>+5583996543725</t>
        </is>
      </c>
      <c r="C212" t="inlineStr">
        <is>
          <t>Advocate</t>
        </is>
      </c>
      <c r="D212" t="inlineStr">
        <is>
          <t>Primer Cachos</t>
        </is>
      </c>
      <c r="E212" t="n">
        <v>2</v>
      </c>
      <c r="F212" t="inlineStr">
        <is>
          <t>2025-09-09</t>
        </is>
      </c>
      <c r="G212" t="n">
        <v>298</v>
      </c>
      <c r="H212" t="inlineStr">
        <is>
          <t>Y</t>
        </is>
      </c>
      <c r="I212">
        <f>HYPERLINK("https://admin.shopify.com/store/ge-beauty-cosmeticos/customers/7760230482240","abrir")</f>
        <v/>
      </c>
      <c r="J212">
        <f>HYPERLINK("https://www.gebeauty.com.br/products/primer-cachos-definidos?ref=review","review")</f>
        <v/>
      </c>
      <c r="K212" t="inlineStr">
        <is>
          <t>SEND</t>
        </is>
      </c>
    </row>
    <row r="213">
      <c r="A213" t="inlineStr">
        <is>
          <t>Marcela</t>
        </is>
      </c>
      <c r="B213" t="inlineStr">
        <is>
          <t>+5511992582308</t>
        </is>
      </c>
      <c r="C213" t="inlineStr">
        <is>
          <t>Advocate</t>
        </is>
      </c>
      <c r="D213" t="inlineStr">
        <is>
          <t>Primer Cachos</t>
        </is>
      </c>
      <c r="E213" t="n">
        <v>2</v>
      </c>
      <c r="F213" t="inlineStr">
        <is>
          <t>2026-05-19</t>
        </is>
      </c>
      <c r="G213" t="n">
        <v>46</v>
      </c>
      <c r="H213" t="inlineStr">
        <is>
          <t>Y</t>
        </is>
      </c>
      <c r="I213">
        <f>HYPERLINK("https://admin.shopify.com/store/ge-beauty-cosmeticos/customers/7762281267520","abrir")</f>
        <v/>
      </c>
      <c r="J213">
        <f>HYPERLINK("https://www.gebeauty.com.br/products/primer-cachos-definidos?ref=review","review")</f>
        <v/>
      </c>
      <c r="K213" t="inlineStr">
        <is>
          <t>SEND</t>
        </is>
      </c>
    </row>
    <row r="214">
      <c r="A214" t="inlineStr">
        <is>
          <t>Eduarda</t>
        </is>
      </c>
      <c r="B214" t="inlineStr">
        <is>
          <t>+5581981543713</t>
        </is>
      </c>
      <c r="C214" t="inlineStr">
        <is>
          <t>Advocate</t>
        </is>
      </c>
      <c r="D214" t="inlineStr">
        <is>
          <t>Primer Cachos</t>
        </is>
      </c>
      <c r="E214" t="n">
        <v>2</v>
      </c>
      <c r="F214" t="inlineStr">
        <is>
          <t>2026-01-20</t>
        </is>
      </c>
      <c r="G214" t="n">
        <v>165</v>
      </c>
      <c r="H214" t="inlineStr">
        <is>
          <t>Y</t>
        </is>
      </c>
      <c r="I214">
        <f>HYPERLINK("https://admin.shopify.com/store/ge-beauty-cosmeticos/customers/9674027434304","abrir")</f>
        <v/>
      </c>
      <c r="J214">
        <f>HYPERLINK("https://www.gebeauty.com.br/products/primer-cachos-definidos?ref=review","review")</f>
        <v/>
      </c>
      <c r="K214" t="inlineStr">
        <is>
          <t>SEND</t>
        </is>
      </c>
    </row>
    <row r="215">
      <c r="A215" t="inlineStr">
        <is>
          <t>Celina Roberta</t>
        </is>
      </c>
      <c r="B215" t="inlineStr">
        <is>
          <t>+5511968730134</t>
        </is>
      </c>
      <c r="C215" t="inlineStr">
        <is>
          <t>Advocate</t>
        </is>
      </c>
      <c r="D215" t="inlineStr">
        <is>
          <t>Primer Cachos</t>
        </is>
      </c>
      <c r="E215" t="n">
        <v>2</v>
      </c>
      <c r="F215" t="inlineStr">
        <is>
          <t>2026-05-08</t>
        </is>
      </c>
      <c r="G215" t="n">
        <v>57</v>
      </c>
      <c r="H215" t="inlineStr">
        <is>
          <t>Y</t>
        </is>
      </c>
      <c r="I215">
        <f>HYPERLINK("https://admin.shopify.com/store/ge-beauty-cosmeticos/customers/9674769236288","abrir")</f>
        <v/>
      </c>
      <c r="J215">
        <f>HYPERLINK("https://www.gebeauty.com.br/products/primer-cachos-definidos?ref=review","review")</f>
        <v/>
      </c>
      <c r="K215" t="inlineStr">
        <is>
          <t>SEND</t>
        </is>
      </c>
    </row>
    <row r="216">
      <c r="A216" t="inlineStr">
        <is>
          <t>Keilah</t>
        </is>
      </c>
      <c r="B216" t="inlineStr">
        <is>
          <t>+5561999644832</t>
        </is>
      </c>
      <c r="C216" t="inlineStr">
        <is>
          <t>Advocate</t>
        </is>
      </c>
      <c r="D216" t="inlineStr">
        <is>
          <t>Primer Cachos</t>
        </is>
      </c>
      <c r="E216" t="n">
        <v>2</v>
      </c>
      <c r="F216" t="inlineStr">
        <is>
          <t>2026-01-08</t>
        </is>
      </c>
      <c r="G216" t="n">
        <v>177</v>
      </c>
      <c r="H216" t="inlineStr">
        <is>
          <t>Y</t>
        </is>
      </c>
      <c r="I216">
        <f>HYPERLINK("https://admin.shopify.com/store/ge-beauty-cosmeticos/customers/8364872433984","abrir")</f>
        <v/>
      </c>
      <c r="J216">
        <f>HYPERLINK("https://www.gebeauty.com.br/products/primer-cachos-definidos?ref=review","review")</f>
        <v/>
      </c>
      <c r="K216" t="inlineStr">
        <is>
          <t>SEND</t>
        </is>
      </c>
    </row>
    <row r="217">
      <c r="A217" t="inlineStr">
        <is>
          <t>Eleonora</t>
        </is>
      </c>
      <c r="B217" t="inlineStr">
        <is>
          <t>+5511983630330</t>
        </is>
      </c>
      <c r="C217" t="inlineStr">
        <is>
          <t>Advocate</t>
        </is>
      </c>
      <c r="D217" t="inlineStr">
        <is>
          <t>Primer Cachos</t>
        </is>
      </c>
      <c r="E217" t="n">
        <v>2</v>
      </c>
      <c r="F217" t="inlineStr">
        <is>
          <t>2025-09-21</t>
        </is>
      </c>
      <c r="G217" t="n">
        <v>286</v>
      </c>
      <c r="H217" t="inlineStr">
        <is>
          <t>Y</t>
        </is>
      </c>
      <c r="I217">
        <f>HYPERLINK("https://admin.shopify.com/store/ge-beauty-cosmeticos/customers/9005876904256","abrir")</f>
        <v/>
      </c>
      <c r="J217">
        <f>HYPERLINK("https://www.gebeauty.com.br/products/primer-cachos-definidos?ref=review","review")</f>
        <v/>
      </c>
      <c r="K217" t="inlineStr">
        <is>
          <t>SEND</t>
        </is>
      </c>
    </row>
    <row r="218">
      <c r="A218" t="inlineStr">
        <is>
          <t>Jonatan</t>
        </is>
      </c>
      <c r="B218" t="inlineStr">
        <is>
          <t>+5551992282210</t>
        </is>
      </c>
      <c r="C218" t="inlineStr">
        <is>
          <t>Advocate</t>
        </is>
      </c>
      <c r="D218" t="inlineStr">
        <is>
          <t>Primer Cachos</t>
        </is>
      </c>
      <c r="E218" t="n">
        <v>2</v>
      </c>
      <c r="F218" t="inlineStr">
        <is>
          <t>2025-11-28</t>
        </is>
      </c>
      <c r="G218" t="n">
        <v>218</v>
      </c>
      <c r="H218" t="inlineStr">
        <is>
          <t>Y</t>
        </is>
      </c>
      <c r="I218">
        <f>HYPERLINK("https://admin.shopify.com/store/ge-beauty-cosmeticos/customers/9693202710848","abrir")</f>
        <v/>
      </c>
      <c r="J218">
        <f>HYPERLINK("https://www.gebeauty.com.br/products/primer-cachos-definidos?ref=review","review")</f>
        <v/>
      </c>
      <c r="K218" t="inlineStr">
        <is>
          <t>SEND</t>
        </is>
      </c>
    </row>
    <row r="219">
      <c r="A219" t="inlineStr">
        <is>
          <t>Ingrid</t>
        </is>
      </c>
      <c r="B219" t="inlineStr">
        <is>
          <t>+5511974448100</t>
        </is>
      </c>
      <c r="C219" t="inlineStr">
        <is>
          <t>Advocate</t>
        </is>
      </c>
      <c r="D219" t="inlineStr">
        <is>
          <t>Primer Cachos</t>
        </is>
      </c>
      <c r="E219" t="n">
        <v>2</v>
      </c>
      <c r="F219" t="inlineStr">
        <is>
          <t>2025-09-26</t>
        </is>
      </c>
      <c r="G219" t="n">
        <v>281</v>
      </c>
      <c r="H219" t="inlineStr">
        <is>
          <t>Y</t>
        </is>
      </c>
      <c r="I219">
        <f>HYPERLINK("https://admin.shopify.com/store/ge-beauty-cosmeticos/customers/7761832509760","abrir")</f>
        <v/>
      </c>
      <c r="J219">
        <f>HYPERLINK("https://www.gebeauty.com.br/products/primer-cachos-definidos?ref=review","review")</f>
        <v/>
      </c>
      <c r="K219" t="inlineStr">
        <is>
          <t>SEND</t>
        </is>
      </c>
    </row>
    <row r="220">
      <c r="A220" t="inlineStr">
        <is>
          <t>Isabela</t>
        </is>
      </c>
      <c r="B220" t="inlineStr">
        <is>
          <t>+5521995721942</t>
        </is>
      </c>
      <c r="C220" t="inlineStr">
        <is>
          <t>Advocate</t>
        </is>
      </c>
      <c r="D220" t="inlineStr">
        <is>
          <t>Primer Cachos</t>
        </is>
      </c>
      <c r="E220" t="n">
        <v>2</v>
      </c>
      <c r="F220" t="inlineStr">
        <is>
          <t>2026-07-02</t>
        </is>
      </c>
      <c r="G220" t="n">
        <v>2</v>
      </c>
      <c r="H220" t="inlineStr">
        <is>
          <t>Y</t>
        </is>
      </c>
      <c r="I220">
        <f>HYPERLINK("https://admin.shopify.com/store/ge-beauty-cosmeticos/customers/9700222763328","abrir")</f>
        <v/>
      </c>
      <c r="J220">
        <f>HYPERLINK("https://www.gebeauty.com.br/products/primer-cachos-definidos?ref=review","review")</f>
        <v/>
      </c>
      <c r="K220" t="inlineStr">
        <is>
          <t>SEND</t>
        </is>
      </c>
    </row>
    <row r="221">
      <c r="A221" t="inlineStr">
        <is>
          <t>Matheus</t>
        </is>
      </c>
      <c r="B221" t="inlineStr">
        <is>
          <t>+5511992481307</t>
        </is>
      </c>
      <c r="C221" t="inlineStr">
        <is>
          <t>Advocate</t>
        </is>
      </c>
      <c r="D221" t="inlineStr">
        <is>
          <t>Primer Cachos</t>
        </is>
      </c>
      <c r="E221" t="n">
        <v>2</v>
      </c>
      <c r="F221" t="inlineStr">
        <is>
          <t>2026-05-19</t>
        </is>
      </c>
      <c r="G221" t="n">
        <v>46</v>
      </c>
      <c r="H221" t="inlineStr">
        <is>
          <t>Y</t>
        </is>
      </c>
      <c r="I221">
        <f>HYPERLINK("https://admin.shopify.com/store/ge-beauty-cosmeticos/customers/8257632698688","abrir")</f>
        <v/>
      </c>
      <c r="J221">
        <f>HYPERLINK("https://www.gebeauty.com.br/products/primer-cachos-definidos?ref=review","review")</f>
        <v/>
      </c>
      <c r="K221" t="inlineStr">
        <is>
          <t>SEND</t>
        </is>
      </c>
    </row>
    <row r="222">
      <c r="A222" t="inlineStr">
        <is>
          <t>Tatiane</t>
        </is>
      </c>
      <c r="B222" t="inlineStr">
        <is>
          <t>+5561984011288</t>
        </is>
      </c>
      <c r="C222" t="inlineStr">
        <is>
          <t>Advocate</t>
        </is>
      </c>
      <c r="D222" t="inlineStr">
        <is>
          <t>Primer Cachos</t>
        </is>
      </c>
      <c r="E222" t="n">
        <v>3</v>
      </c>
      <c r="F222" t="inlineStr">
        <is>
          <t>2026-05-12</t>
        </is>
      </c>
      <c r="G222" t="n">
        <v>53</v>
      </c>
      <c r="H222" t="inlineStr">
        <is>
          <t>Y</t>
        </is>
      </c>
      <c r="I222">
        <f>HYPERLINK("https://admin.shopify.com/store/ge-beauty-cosmeticos/customers/7759321301312","abrir")</f>
        <v/>
      </c>
      <c r="J222">
        <f>HYPERLINK("https://www.gebeauty.com.br/products/primer-cachos-definidos?ref=review","review")</f>
        <v/>
      </c>
      <c r="K222" t="inlineStr">
        <is>
          <t>SEND</t>
        </is>
      </c>
    </row>
    <row r="223">
      <c r="A223" t="inlineStr">
        <is>
          <t>Isabela</t>
        </is>
      </c>
      <c r="B223" t="inlineStr">
        <is>
          <t>+5516991222331</t>
        </is>
      </c>
      <c r="C223" t="inlineStr">
        <is>
          <t>Advocate</t>
        </is>
      </c>
      <c r="D223" t="inlineStr">
        <is>
          <t>Primer Cachos</t>
        </is>
      </c>
      <c r="E223" t="n">
        <v>3</v>
      </c>
      <c r="F223" t="inlineStr">
        <is>
          <t>2026-01-25</t>
        </is>
      </c>
      <c r="G223" t="n">
        <v>160</v>
      </c>
      <c r="H223" t="inlineStr">
        <is>
          <t>Y</t>
        </is>
      </c>
      <c r="I223">
        <f>HYPERLINK("https://admin.shopify.com/store/ge-beauty-cosmeticos/customers/8350578442560","abrir")</f>
        <v/>
      </c>
      <c r="J223">
        <f>HYPERLINK("https://www.gebeauty.com.br/products/primer-cachos-definidos?ref=review","review")</f>
        <v/>
      </c>
      <c r="K223" t="inlineStr">
        <is>
          <t>SEND</t>
        </is>
      </c>
    </row>
    <row r="224">
      <c r="A224" t="inlineStr">
        <is>
          <t>Christina</t>
        </is>
      </c>
      <c r="B224" t="inlineStr">
        <is>
          <t>+5511981179495</t>
        </is>
      </c>
      <c r="C224" t="inlineStr">
        <is>
          <t>Advocate</t>
        </is>
      </c>
      <c r="D224" t="inlineStr">
        <is>
          <t>Primer Cachos</t>
        </is>
      </c>
      <c r="E224" t="n">
        <v>2</v>
      </c>
      <c r="F224" t="inlineStr">
        <is>
          <t>2026-04-07</t>
        </is>
      </c>
      <c r="G224" t="n">
        <v>88</v>
      </c>
      <c r="H224" t="inlineStr">
        <is>
          <t>Y</t>
        </is>
      </c>
      <c r="I224">
        <f>HYPERLINK("https://admin.shopify.com/store/ge-beauty-cosmeticos/customers/9704474313024","abrir")</f>
        <v/>
      </c>
      <c r="J224">
        <f>HYPERLINK("https://www.gebeauty.com.br/products/primer-cachos-definidos?ref=review","review")</f>
        <v/>
      </c>
      <c r="K224" t="inlineStr">
        <is>
          <t>SEND</t>
        </is>
      </c>
    </row>
    <row r="225">
      <c r="A225" t="inlineStr">
        <is>
          <t>Jimena</t>
        </is>
      </c>
      <c r="B225" t="inlineStr">
        <is>
          <t>+5511961282802</t>
        </is>
      </c>
      <c r="C225" t="inlineStr">
        <is>
          <t>Advocate</t>
        </is>
      </c>
      <c r="D225" t="inlineStr">
        <is>
          <t>Primer Cachos</t>
        </is>
      </c>
      <c r="E225" t="n">
        <v>2</v>
      </c>
      <c r="F225" t="inlineStr">
        <is>
          <t>2026-05-01</t>
        </is>
      </c>
      <c r="G225" t="n">
        <v>64</v>
      </c>
      <c r="H225" t="inlineStr">
        <is>
          <t>Y</t>
        </is>
      </c>
      <c r="I225">
        <f>HYPERLINK("https://admin.shopify.com/store/ge-beauty-cosmeticos/customers/9684848247104","abrir")</f>
        <v/>
      </c>
      <c r="J225">
        <f>HYPERLINK("https://www.gebeauty.com.br/products/primer-cachos-definidos?ref=review","review")</f>
        <v/>
      </c>
      <c r="K225" t="inlineStr">
        <is>
          <t>SEND</t>
        </is>
      </c>
    </row>
    <row r="226">
      <c r="A226" t="inlineStr">
        <is>
          <t>Raphaela</t>
        </is>
      </c>
      <c r="B226" t="inlineStr">
        <is>
          <t>+5592993552687</t>
        </is>
      </c>
      <c r="C226" t="inlineStr">
        <is>
          <t>Advocate</t>
        </is>
      </c>
      <c r="D226" t="inlineStr">
        <is>
          <t>Primer Cachos</t>
        </is>
      </c>
      <c r="E226" t="n">
        <v>2</v>
      </c>
      <c r="F226" t="inlineStr">
        <is>
          <t>2025-11-29</t>
        </is>
      </c>
      <c r="G226" t="n">
        <v>217</v>
      </c>
      <c r="H226" t="inlineStr">
        <is>
          <t>Y</t>
        </is>
      </c>
      <c r="I226">
        <f>HYPERLINK("https://admin.shopify.com/store/ge-beauty-cosmeticos/customers/9752160043328","abrir")</f>
        <v/>
      </c>
      <c r="J226">
        <f>HYPERLINK("https://www.gebeauty.com.br/products/primer-cachos-definidos?ref=review","review")</f>
        <v/>
      </c>
      <c r="K226" t="inlineStr">
        <is>
          <t>SEND</t>
        </is>
      </c>
    </row>
    <row r="227">
      <c r="A227" t="inlineStr">
        <is>
          <t>Pryscilla</t>
        </is>
      </c>
      <c r="B227" t="inlineStr">
        <is>
          <t>+5511984552514</t>
        </is>
      </c>
      <c r="C227" t="inlineStr">
        <is>
          <t>Advocate</t>
        </is>
      </c>
      <c r="D227" t="inlineStr">
        <is>
          <t>Primer Cachos</t>
        </is>
      </c>
      <c r="E227" t="n">
        <v>3</v>
      </c>
      <c r="F227" t="inlineStr">
        <is>
          <t>2026-06-29</t>
        </is>
      </c>
      <c r="G227" t="n">
        <v>5</v>
      </c>
      <c r="H227" t="inlineStr">
        <is>
          <t>Y</t>
        </is>
      </c>
      <c r="I227">
        <f>HYPERLINK("https://admin.shopify.com/store/ge-beauty-cosmeticos/customers/8515775988032","abrir")</f>
        <v/>
      </c>
      <c r="J227">
        <f>HYPERLINK("https://www.gebeauty.com.br/products/primer-cachos-definidos?ref=review","review")</f>
        <v/>
      </c>
      <c r="K227" t="inlineStr">
        <is>
          <t>SEND</t>
        </is>
      </c>
    </row>
    <row r="228">
      <c r="A228" t="inlineStr">
        <is>
          <t>Paula</t>
        </is>
      </c>
      <c r="B228" t="inlineStr">
        <is>
          <t>+5511986892457</t>
        </is>
      </c>
      <c r="C228" t="inlineStr">
        <is>
          <t>Advocate</t>
        </is>
      </c>
      <c r="D228" t="inlineStr">
        <is>
          <t>Primer Cachos</t>
        </is>
      </c>
      <c r="E228" t="n">
        <v>2</v>
      </c>
      <c r="F228" t="inlineStr">
        <is>
          <t>2025-11-29</t>
        </is>
      </c>
      <c r="G228" t="n">
        <v>217</v>
      </c>
      <c r="H228" t="inlineStr">
        <is>
          <t>Y</t>
        </is>
      </c>
      <c r="I228">
        <f>HYPERLINK("https://admin.shopify.com/store/ge-beauty-cosmeticos/customers/9485912867136","abrir")</f>
        <v/>
      </c>
      <c r="J228">
        <f>HYPERLINK("https://www.gebeauty.com.br/products/primer-cachos-definidos?ref=review","review")</f>
        <v/>
      </c>
      <c r="K228" t="inlineStr">
        <is>
          <t>SEND</t>
        </is>
      </c>
    </row>
    <row r="229">
      <c r="A229" t="inlineStr">
        <is>
          <t>Rafael</t>
        </is>
      </c>
      <c r="B229" t="inlineStr">
        <is>
          <t>+5511992109364</t>
        </is>
      </c>
      <c r="C229" t="inlineStr">
        <is>
          <t>Advocate</t>
        </is>
      </c>
      <c r="D229" t="inlineStr">
        <is>
          <t>Primer Cachos</t>
        </is>
      </c>
      <c r="E229" t="n">
        <v>2</v>
      </c>
      <c r="F229" t="inlineStr">
        <is>
          <t>2026-04-23</t>
        </is>
      </c>
      <c r="G229" t="n">
        <v>72</v>
      </c>
      <c r="H229" t="inlineStr">
        <is>
          <t>Y</t>
        </is>
      </c>
      <c r="I229">
        <f>HYPERLINK("https://admin.shopify.com/store/ge-beauty-cosmeticos/customers/7759267266880","abrir")</f>
        <v/>
      </c>
      <c r="J229">
        <f>HYPERLINK("https://www.gebeauty.com.br/products/primer-cachos-definidos?ref=review","review")</f>
        <v/>
      </c>
      <c r="K229" t="inlineStr">
        <is>
          <t>SEND</t>
        </is>
      </c>
    </row>
    <row r="230">
      <c r="A230" t="inlineStr">
        <is>
          <t>Leticia</t>
        </is>
      </c>
      <c r="B230" t="inlineStr">
        <is>
          <t>+5511984737226</t>
        </is>
      </c>
      <c r="C230" t="inlineStr">
        <is>
          <t>Advocate</t>
        </is>
      </c>
      <c r="D230" t="inlineStr">
        <is>
          <t>Primer Cachos</t>
        </is>
      </c>
      <c r="E230" t="n">
        <v>3</v>
      </c>
      <c r="F230" t="inlineStr">
        <is>
          <t>2026-07-01</t>
        </is>
      </c>
      <c r="G230" t="n">
        <v>3</v>
      </c>
      <c r="H230" t="inlineStr">
        <is>
          <t>Y</t>
        </is>
      </c>
      <c r="I230">
        <f>HYPERLINK("https://admin.shopify.com/store/ge-beauty-cosmeticos/customers/8967548141888","abrir")</f>
        <v/>
      </c>
      <c r="J230">
        <f>HYPERLINK("https://www.gebeauty.com.br/products/primer-cachos-definidos?ref=review","review")</f>
        <v/>
      </c>
      <c r="K230" t="inlineStr">
        <is>
          <t>SEND</t>
        </is>
      </c>
    </row>
    <row r="231">
      <c r="A231" t="inlineStr">
        <is>
          <t>Samantha</t>
        </is>
      </c>
      <c r="B231" t="inlineStr">
        <is>
          <t>+5571997301512</t>
        </is>
      </c>
      <c r="C231" t="inlineStr">
        <is>
          <t>Advocate</t>
        </is>
      </c>
      <c r="D231" t="inlineStr">
        <is>
          <t>Primer Cachos</t>
        </is>
      </c>
      <c r="E231" t="n">
        <v>2</v>
      </c>
      <c r="F231" t="inlineStr">
        <is>
          <t>2025-11-01</t>
        </is>
      </c>
      <c r="G231" t="n">
        <v>245</v>
      </c>
      <c r="H231" t="inlineStr">
        <is>
          <t>N</t>
        </is>
      </c>
      <c r="I231">
        <f>HYPERLINK("https://admin.shopify.com/store/ge-beauty-cosmeticos/customers/8256056754496","abrir")</f>
        <v/>
      </c>
      <c r="J231">
        <f>HYPERLINK("https://www.gebeauty.com.br/products/primer-cachos-definidos?ref=review","review")</f>
        <v/>
      </c>
      <c r="K231" t="inlineStr">
        <is>
          <t>SEND</t>
        </is>
      </c>
    </row>
    <row r="232">
      <c r="A232" t="inlineStr">
        <is>
          <t>Fernanda</t>
        </is>
      </c>
      <c r="B232" t="inlineStr">
        <is>
          <t>+5571991520220</t>
        </is>
      </c>
      <c r="C232" t="inlineStr">
        <is>
          <t>Advocate</t>
        </is>
      </c>
      <c r="D232" t="inlineStr">
        <is>
          <t>Primer Cachos</t>
        </is>
      </c>
      <c r="E232" t="n">
        <v>2</v>
      </c>
      <c r="F232" t="inlineStr">
        <is>
          <t>2025-11-01</t>
        </is>
      </c>
      <c r="G232" t="n">
        <v>245</v>
      </c>
      <c r="H232" t="inlineStr">
        <is>
          <t>Y</t>
        </is>
      </c>
      <c r="I232">
        <f>HYPERLINK("https://admin.shopify.com/store/ge-beauty-cosmeticos/customers/7761503945024","abrir")</f>
        <v/>
      </c>
      <c r="J232">
        <f>HYPERLINK("https://www.gebeauty.com.br/products/primer-cachos-definidos?ref=review","review")</f>
        <v/>
      </c>
      <c r="K232" t="inlineStr">
        <is>
          <t>SEND</t>
        </is>
      </c>
    </row>
    <row r="233">
      <c r="A233" t="inlineStr">
        <is>
          <t>Camila</t>
        </is>
      </c>
      <c r="B233" t="inlineStr">
        <is>
          <t>+5511971506788</t>
        </is>
      </c>
      <c r="C233" t="inlineStr">
        <is>
          <t>Advocate</t>
        </is>
      </c>
      <c r="D233" t="inlineStr">
        <is>
          <t>Primer Cachos</t>
        </is>
      </c>
      <c r="E233" t="n">
        <v>2</v>
      </c>
      <c r="F233" t="inlineStr">
        <is>
          <t>2026-01-05</t>
        </is>
      </c>
      <c r="G233" t="n">
        <v>180</v>
      </c>
      <c r="H233" t="inlineStr">
        <is>
          <t>Y</t>
        </is>
      </c>
      <c r="I233">
        <f>HYPERLINK("https://admin.shopify.com/store/ge-beauty-cosmeticos/customers/7759469838656","abrir")</f>
        <v/>
      </c>
      <c r="J233">
        <f>HYPERLINK("https://www.gebeauty.com.br/products/primer-cachos-definidos?ref=review","review")</f>
        <v/>
      </c>
      <c r="K233" t="inlineStr">
        <is>
          <t>SEND</t>
        </is>
      </c>
    </row>
    <row r="234">
      <c r="A234" t="inlineStr">
        <is>
          <t>Katleen</t>
        </is>
      </c>
      <c r="B234" t="inlineStr">
        <is>
          <t>+5549988215831</t>
        </is>
      </c>
      <c r="C234" t="inlineStr">
        <is>
          <t>Advocate</t>
        </is>
      </c>
      <c r="D234" t="inlineStr">
        <is>
          <t>Primer Cachos</t>
        </is>
      </c>
      <c r="E234" t="n">
        <v>2</v>
      </c>
      <c r="F234" t="inlineStr">
        <is>
          <t>2025-12-09</t>
        </is>
      </c>
      <c r="G234" t="n">
        <v>207</v>
      </c>
      <c r="H234" t="inlineStr">
        <is>
          <t>Y</t>
        </is>
      </c>
      <c r="I234">
        <f>HYPERLINK("https://admin.shopify.com/store/ge-beauty-cosmeticos/customers/8969934700864","abrir")</f>
        <v/>
      </c>
      <c r="J234">
        <f>HYPERLINK("https://www.gebeauty.com.br/products/primer-cachos-definidos?ref=review","review")</f>
        <v/>
      </c>
      <c r="K234" t="inlineStr">
        <is>
          <t>SEND</t>
        </is>
      </c>
    </row>
    <row r="235">
      <c r="A235" t="inlineStr">
        <is>
          <t>Ana</t>
        </is>
      </c>
      <c r="B235" t="inlineStr">
        <is>
          <t>+5581999210741</t>
        </is>
      </c>
      <c r="C235" t="inlineStr">
        <is>
          <t>Advocate</t>
        </is>
      </c>
      <c r="D235" t="inlineStr">
        <is>
          <t>Primer Cachos</t>
        </is>
      </c>
      <c r="E235" t="n">
        <v>2</v>
      </c>
      <c r="F235" t="inlineStr">
        <is>
          <t>2025-11-30</t>
        </is>
      </c>
      <c r="G235" t="n">
        <v>216</v>
      </c>
      <c r="H235" t="inlineStr">
        <is>
          <t>Y</t>
        </is>
      </c>
      <c r="I235">
        <f>HYPERLINK("https://admin.shopify.com/store/ge-beauty-cosmeticos/customers/9188769530176","abrir")</f>
        <v/>
      </c>
      <c r="J235">
        <f>HYPERLINK("https://www.gebeauty.com.br/products/primer-cachos-definidos?ref=review","review")</f>
        <v/>
      </c>
      <c r="K235" t="inlineStr">
        <is>
          <t>SEND</t>
        </is>
      </c>
    </row>
    <row r="236">
      <c r="A236" t="inlineStr">
        <is>
          <t>Bianca</t>
        </is>
      </c>
      <c r="B236" t="inlineStr">
        <is>
          <t>+5543996652572</t>
        </is>
      </c>
      <c r="C236" t="inlineStr">
        <is>
          <t>Advocate</t>
        </is>
      </c>
      <c r="D236" t="inlineStr">
        <is>
          <t>Primer Cachos</t>
        </is>
      </c>
      <c r="E236" t="n">
        <v>2</v>
      </c>
      <c r="F236" t="inlineStr">
        <is>
          <t>2026-04-12</t>
        </is>
      </c>
      <c r="G236" t="n">
        <v>83</v>
      </c>
      <c r="H236" t="inlineStr">
        <is>
          <t>Y</t>
        </is>
      </c>
      <c r="I236">
        <f>HYPERLINK("https://admin.shopify.com/store/ge-beauty-cosmeticos/customers/9850032324928","abrir")</f>
        <v/>
      </c>
      <c r="J236">
        <f>HYPERLINK("https://www.gebeauty.com.br/products/primer-cachos-definidos?ref=review","review")</f>
        <v/>
      </c>
      <c r="K236" t="inlineStr">
        <is>
          <t>SEND</t>
        </is>
      </c>
    </row>
    <row r="237">
      <c r="A237" t="inlineStr">
        <is>
          <t>Juliana</t>
        </is>
      </c>
      <c r="B237" t="inlineStr">
        <is>
          <t>+5567996226001</t>
        </is>
      </c>
      <c r="C237" t="inlineStr">
        <is>
          <t>Advocate</t>
        </is>
      </c>
      <c r="D237" t="inlineStr">
        <is>
          <t>Primer Cachos</t>
        </is>
      </c>
      <c r="E237" t="n">
        <v>2</v>
      </c>
      <c r="F237" t="inlineStr">
        <is>
          <t>2026-01-12</t>
        </is>
      </c>
      <c r="G237" t="n">
        <v>173</v>
      </c>
      <c r="H237" t="inlineStr">
        <is>
          <t>Y</t>
        </is>
      </c>
      <c r="I237">
        <f>HYPERLINK("https://admin.shopify.com/store/ge-beauty-cosmeticos/customers/9486614724928","abrir")</f>
        <v/>
      </c>
      <c r="J237">
        <f>HYPERLINK("https://www.gebeauty.com.br/products/primer-cachos-definidos?ref=review","review")</f>
        <v/>
      </c>
      <c r="K237" t="inlineStr">
        <is>
          <t>SEND</t>
        </is>
      </c>
    </row>
    <row r="238">
      <c r="A238" t="inlineStr">
        <is>
          <t>Cecilia</t>
        </is>
      </c>
      <c r="B238" t="inlineStr">
        <is>
          <t>+5538988381208</t>
        </is>
      </c>
      <c r="C238" t="inlineStr">
        <is>
          <t>Advocate</t>
        </is>
      </c>
      <c r="D238" t="inlineStr">
        <is>
          <t>Primer Cachos</t>
        </is>
      </c>
      <c r="E238" t="n">
        <v>2</v>
      </c>
      <c r="F238" t="inlineStr">
        <is>
          <t>2025-11-13</t>
        </is>
      </c>
      <c r="G238" t="n">
        <v>233</v>
      </c>
      <c r="H238" t="inlineStr">
        <is>
          <t>Y</t>
        </is>
      </c>
      <c r="I238">
        <f>HYPERLINK("https://admin.shopify.com/store/ge-beauty-cosmeticos/customers/7762631196992","abrir")</f>
        <v/>
      </c>
      <c r="J238">
        <f>HYPERLINK("https://www.gebeauty.com.br/products/primer-cachos-definidos?ref=review","review")</f>
        <v/>
      </c>
      <c r="K238" t="inlineStr">
        <is>
          <t>SEND</t>
        </is>
      </c>
    </row>
    <row r="239">
      <c r="A239" t="inlineStr">
        <is>
          <t>Carolina</t>
        </is>
      </c>
      <c r="B239" t="inlineStr">
        <is>
          <t>+5538991525890</t>
        </is>
      </c>
      <c r="C239" t="inlineStr">
        <is>
          <t>Advocate</t>
        </is>
      </c>
      <c r="D239" t="inlineStr">
        <is>
          <t>Primer Cachos</t>
        </is>
      </c>
      <c r="E239" t="n">
        <v>3</v>
      </c>
      <c r="F239" t="inlineStr">
        <is>
          <t>2026-05-10</t>
        </is>
      </c>
      <c r="G239" t="n">
        <v>55</v>
      </c>
      <c r="H239" t="inlineStr">
        <is>
          <t>Y</t>
        </is>
      </c>
      <c r="I239">
        <f>HYPERLINK("https://admin.shopify.com/store/ge-beauty-cosmeticos/customers/8748106809664","abrir")</f>
        <v/>
      </c>
      <c r="J239">
        <f>HYPERLINK("https://www.gebeauty.com.br/products/primer-cachos-definidos?ref=review","review")</f>
        <v/>
      </c>
      <c r="K239" t="inlineStr">
        <is>
          <t>SEND</t>
        </is>
      </c>
    </row>
    <row r="240">
      <c r="A240" t="inlineStr">
        <is>
          <t>Betania</t>
        </is>
      </c>
      <c r="B240" t="inlineStr">
        <is>
          <t>+5521988969742</t>
        </is>
      </c>
      <c r="C240" t="inlineStr">
        <is>
          <t>Advocate</t>
        </is>
      </c>
      <c r="D240" t="inlineStr">
        <is>
          <t>Primer Cachos</t>
        </is>
      </c>
      <c r="E240" t="n">
        <v>2</v>
      </c>
      <c r="F240" t="inlineStr">
        <is>
          <t>2025-11-17</t>
        </is>
      </c>
      <c r="G240" t="n">
        <v>229</v>
      </c>
      <c r="H240" t="inlineStr">
        <is>
          <t>Y</t>
        </is>
      </c>
      <c r="I240">
        <f>HYPERLINK("https://admin.shopify.com/store/ge-beauty-cosmeticos/customers/7761553916224","abrir")</f>
        <v/>
      </c>
      <c r="J240">
        <f>HYPERLINK("https://www.gebeauty.com.br/products/primer-cachos-definidos?ref=review","review")</f>
        <v/>
      </c>
      <c r="K240" t="inlineStr">
        <is>
          <t>SEND</t>
        </is>
      </c>
    </row>
    <row r="241">
      <c r="A241" t="inlineStr">
        <is>
          <t>Gabrielle</t>
        </is>
      </c>
      <c r="B241" t="inlineStr">
        <is>
          <t>+5579988210001</t>
        </is>
      </c>
      <c r="C241" t="inlineStr">
        <is>
          <t>Advocate</t>
        </is>
      </c>
      <c r="D241" t="inlineStr">
        <is>
          <t>Primer Cachos</t>
        </is>
      </c>
      <c r="E241" t="n">
        <v>2</v>
      </c>
      <c r="F241" t="inlineStr">
        <is>
          <t>2026-01-12</t>
        </is>
      </c>
      <c r="G241" t="n">
        <v>173</v>
      </c>
      <c r="H241" t="inlineStr">
        <is>
          <t>Y</t>
        </is>
      </c>
      <c r="I241">
        <f>HYPERLINK("https://admin.shopify.com/store/ge-beauty-cosmeticos/customers/9876989346112","abrir")</f>
        <v/>
      </c>
      <c r="J241">
        <f>HYPERLINK("https://www.gebeauty.com.br/products/primer-cachos-definidos?ref=review","review")</f>
        <v/>
      </c>
      <c r="K241" t="inlineStr">
        <is>
          <t>HOLDOUT</t>
        </is>
      </c>
    </row>
    <row r="242">
      <c r="A242" t="inlineStr">
        <is>
          <t>Heitor</t>
        </is>
      </c>
      <c r="B242" t="inlineStr">
        <is>
          <t>+5511994807748</t>
        </is>
      </c>
      <c r="C242" t="inlineStr">
        <is>
          <t>Advocate</t>
        </is>
      </c>
      <c r="D242" t="inlineStr">
        <is>
          <t>Primer Cachos</t>
        </is>
      </c>
      <c r="E242" t="n">
        <v>2</v>
      </c>
      <c r="F242" t="inlineStr">
        <is>
          <t>2026-06-29</t>
        </is>
      </c>
      <c r="G242" t="n">
        <v>5</v>
      </c>
      <c r="H242" t="inlineStr">
        <is>
          <t>Y</t>
        </is>
      </c>
      <c r="I242">
        <f>HYPERLINK("https://admin.shopify.com/store/ge-beauty-cosmeticos/customers/9889921368384","abrir")</f>
        <v/>
      </c>
      <c r="J242">
        <f>HYPERLINK("https://www.gebeauty.com.br/products/primer-cachos-definidos?ref=review","review")</f>
        <v/>
      </c>
      <c r="K242" t="inlineStr">
        <is>
          <t>SEND</t>
        </is>
      </c>
    </row>
    <row r="243">
      <c r="A243" t="inlineStr">
        <is>
          <t>Fernanda</t>
        </is>
      </c>
      <c r="B243" t="inlineStr">
        <is>
          <t>+5511981086709</t>
        </is>
      </c>
      <c r="C243" t="inlineStr">
        <is>
          <t>Advocate</t>
        </is>
      </c>
      <c r="D243" t="inlineStr">
        <is>
          <t>Primer Cachos</t>
        </is>
      </c>
      <c r="E243" t="n">
        <v>2</v>
      </c>
      <c r="F243" t="inlineStr">
        <is>
          <t>2025-12-26</t>
        </is>
      </c>
      <c r="G243" t="n">
        <v>190</v>
      </c>
      <c r="H243" t="inlineStr">
        <is>
          <t>Y</t>
        </is>
      </c>
      <c r="I243">
        <f>HYPERLINK("https://admin.shopify.com/store/ge-beauty-cosmeticos/customers/7760966385984","abrir")</f>
        <v/>
      </c>
      <c r="J243">
        <f>HYPERLINK("https://www.gebeauty.com.br/products/primer-cachos-definidos?ref=review","review")</f>
        <v/>
      </c>
      <c r="K243" t="inlineStr">
        <is>
          <t>SEND</t>
        </is>
      </c>
    </row>
    <row r="244">
      <c r="A244" t="inlineStr">
        <is>
          <t>Isabela</t>
        </is>
      </c>
      <c r="B244" t="inlineStr">
        <is>
          <t>+5511985010069</t>
        </is>
      </c>
      <c r="C244" t="inlineStr">
        <is>
          <t>Advocate</t>
        </is>
      </c>
      <c r="D244" t="inlineStr">
        <is>
          <t>Primer Cachos</t>
        </is>
      </c>
      <c r="E244" t="n">
        <v>2</v>
      </c>
      <c r="F244" t="inlineStr">
        <is>
          <t>2026-06-28</t>
        </is>
      </c>
      <c r="G244" t="n">
        <v>6</v>
      </c>
      <c r="H244" t="inlineStr">
        <is>
          <t>Y</t>
        </is>
      </c>
      <c r="I244">
        <f>HYPERLINK("https://admin.shopify.com/store/ge-beauty-cosmeticos/customers/7760962191680","abrir")</f>
        <v/>
      </c>
      <c r="J244">
        <f>HYPERLINK("https://www.gebeauty.com.br/products/primer-cachos-definidos?ref=review","review")</f>
        <v/>
      </c>
      <c r="K244" t="inlineStr">
        <is>
          <t>SEND</t>
        </is>
      </c>
    </row>
    <row r="245">
      <c r="A245" t="inlineStr">
        <is>
          <t>Amanda</t>
        </is>
      </c>
      <c r="B245" t="inlineStr">
        <is>
          <t>+5521992418747</t>
        </is>
      </c>
      <c r="C245" t="inlineStr">
        <is>
          <t>Advocate</t>
        </is>
      </c>
      <c r="D245" t="inlineStr">
        <is>
          <t>Primer Cachos</t>
        </is>
      </c>
      <c r="E245" t="n">
        <v>2</v>
      </c>
      <c r="F245" t="inlineStr">
        <is>
          <t>2026-01-11</t>
        </is>
      </c>
      <c r="G245" t="n">
        <v>174</v>
      </c>
      <c r="H245" t="inlineStr">
        <is>
          <t>Y</t>
        </is>
      </c>
      <c r="I245">
        <f>HYPERLINK("https://admin.shopify.com/store/ge-beauty-cosmeticos/customers/9895023542592","abrir")</f>
        <v/>
      </c>
      <c r="J245">
        <f>HYPERLINK("https://www.gebeauty.com.br/products/primer-cachos-definidos?ref=review","review")</f>
        <v/>
      </c>
      <c r="K245" t="inlineStr">
        <is>
          <t>SEND</t>
        </is>
      </c>
    </row>
    <row r="246">
      <c r="A246" t="inlineStr">
        <is>
          <t>Bruna</t>
        </is>
      </c>
      <c r="B246" t="inlineStr">
        <is>
          <t>+5581973267662</t>
        </is>
      </c>
      <c r="C246" t="inlineStr">
        <is>
          <t>Advocate</t>
        </is>
      </c>
      <c r="D246" t="inlineStr">
        <is>
          <t>Primer Cachos</t>
        </is>
      </c>
      <c r="E246" t="n">
        <v>2</v>
      </c>
      <c r="F246" t="inlineStr">
        <is>
          <t>2025-11-29</t>
        </is>
      </c>
      <c r="G246" t="n">
        <v>217</v>
      </c>
      <c r="H246" t="inlineStr">
        <is>
          <t>Y</t>
        </is>
      </c>
      <c r="I246">
        <f>HYPERLINK("https://admin.shopify.com/store/ge-beauty-cosmeticos/customers/9896239759680","abrir")</f>
        <v/>
      </c>
      <c r="J246">
        <f>HYPERLINK("https://www.gebeauty.com.br/products/primer-cachos-definidos?ref=review","review")</f>
        <v/>
      </c>
      <c r="K246" t="inlineStr">
        <is>
          <t>SEND</t>
        </is>
      </c>
    </row>
    <row r="247">
      <c r="A247" t="inlineStr">
        <is>
          <t>Sandra</t>
        </is>
      </c>
      <c r="B247" t="inlineStr">
        <is>
          <t>+5531999187663</t>
        </is>
      </c>
      <c r="C247" t="inlineStr">
        <is>
          <t>Advocate</t>
        </is>
      </c>
      <c r="D247" t="inlineStr">
        <is>
          <t>Primer Cachos</t>
        </is>
      </c>
      <c r="E247" t="n">
        <v>2</v>
      </c>
      <c r="F247" t="inlineStr">
        <is>
          <t>2026-05-05</t>
        </is>
      </c>
      <c r="G247" t="n">
        <v>60</v>
      </c>
      <c r="H247" t="inlineStr">
        <is>
          <t>Y</t>
        </is>
      </c>
      <c r="I247">
        <f>HYPERLINK("https://admin.shopify.com/store/ge-beauty-cosmeticos/customers/9420468650304","abrir")</f>
        <v/>
      </c>
      <c r="J247">
        <f>HYPERLINK("https://www.gebeauty.com.br/products/primer-cachos-definidos?ref=review","review")</f>
        <v/>
      </c>
      <c r="K247" t="inlineStr">
        <is>
          <t>SEND</t>
        </is>
      </c>
    </row>
    <row r="248">
      <c r="A248" t="inlineStr">
        <is>
          <t>Paula</t>
        </is>
      </c>
      <c r="B248" t="inlineStr">
        <is>
          <t>+5521979574519</t>
        </is>
      </c>
      <c r="C248" t="inlineStr">
        <is>
          <t>Advocate</t>
        </is>
      </c>
      <c r="D248" t="inlineStr">
        <is>
          <t>Primer Cachos</t>
        </is>
      </c>
      <c r="E248" t="n">
        <v>2</v>
      </c>
      <c r="F248" t="inlineStr">
        <is>
          <t>2025-11-25</t>
        </is>
      </c>
      <c r="G248" t="n">
        <v>221</v>
      </c>
      <c r="H248" t="inlineStr">
        <is>
          <t>Y</t>
        </is>
      </c>
      <c r="I248">
        <f>HYPERLINK("https://admin.shopify.com/store/ge-beauty-cosmeticos/customers/7760433774912","abrir")</f>
        <v/>
      </c>
      <c r="J248">
        <f>HYPERLINK("https://www.gebeauty.com.br/products/primer-cachos-definidos?ref=review","review")</f>
        <v/>
      </c>
      <c r="K248" t="inlineStr">
        <is>
          <t>SEND</t>
        </is>
      </c>
    </row>
    <row r="249">
      <c r="A249" t="inlineStr">
        <is>
          <t>Luiza</t>
        </is>
      </c>
      <c r="B249" t="inlineStr">
        <is>
          <t>+5531998245763</t>
        </is>
      </c>
      <c r="C249" t="inlineStr">
        <is>
          <t>Advocate</t>
        </is>
      </c>
      <c r="D249" t="inlineStr">
        <is>
          <t>Primer Cachos</t>
        </is>
      </c>
      <c r="E249" t="n">
        <v>3</v>
      </c>
      <c r="F249" t="inlineStr">
        <is>
          <t>2026-01-22</t>
        </is>
      </c>
      <c r="G249" t="n">
        <v>163</v>
      </c>
      <c r="H249" t="inlineStr">
        <is>
          <t>Y</t>
        </is>
      </c>
      <c r="I249">
        <f>HYPERLINK("https://admin.shopify.com/store/ge-beauty-cosmeticos/customers/9015979082048","abrir")</f>
        <v/>
      </c>
      <c r="J249">
        <f>HYPERLINK("https://www.gebeauty.com.br/products/primer-cachos-definidos?ref=review","review")</f>
        <v/>
      </c>
      <c r="K249" t="inlineStr">
        <is>
          <t>SEND</t>
        </is>
      </c>
    </row>
    <row r="250">
      <c r="A250" t="inlineStr">
        <is>
          <t>Leticia</t>
        </is>
      </c>
      <c r="B250" t="inlineStr">
        <is>
          <t>+5531987165309</t>
        </is>
      </c>
      <c r="C250" t="inlineStr">
        <is>
          <t>Advocate</t>
        </is>
      </c>
      <c r="D250" t="inlineStr">
        <is>
          <t>Primer Cachos</t>
        </is>
      </c>
      <c r="E250" t="n">
        <v>2</v>
      </c>
      <c r="F250" t="inlineStr">
        <is>
          <t>2025-11-27</t>
        </is>
      </c>
      <c r="G250" t="n">
        <v>219</v>
      </c>
      <c r="H250" t="inlineStr">
        <is>
          <t>Y</t>
        </is>
      </c>
      <c r="I250">
        <f>HYPERLINK("https://admin.shopify.com/store/ge-beauty-cosmeticos/customers/9015793484096","abrir")</f>
        <v/>
      </c>
      <c r="J250">
        <f>HYPERLINK("https://www.gebeauty.com.br/products/primer-cachos-definidos?ref=review","review")</f>
        <v/>
      </c>
      <c r="K250" t="inlineStr">
        <is>
          <t>SEND</t>
        </is>
      </c>
    </row>
    <row r="251">
      <c r="A251" t="inlineStr">
        <is>
          <t>Vitoria</t>
        </is>
      </c>
      <c r="B251" t="inlineStr">
        <is>
          <t>+5581998088613</t>
        </is>
      </c>
      <c r="C251" t="inlineStr">
        <is>
          <t>Advocate</t>
        </is>
      </c>
      <c r="D251" t="inlineStr">
        <is>
          <t>Primer Cachos</t>
        </is>
      </c>
      <c r="E251" t="n">
        <v>2</v>
      </c>
      <c r="F251" t="inlineStr">
        <is>
          <t>2026-05-10</t>
        </is>
      </c>
      <c r="G251" t="n">
        <v>55</v>
      </c>
      <c r="H251" t="inlineStr">
        <is>
          <t>Y</t>
        </is>
      </c>
      <c r="I251">
        <f>HYPERLINK("https://admin.shopify.com/store/ge-beauty-cosmeticos/customers/9908510982464","abrir")</f>
        <v/>
      </c>
      <c r="J251">
        <f>HYPERLINK("https://www.gebeauty.com.br/products/primer-cachos-definidos?ref=review","review")</f>
        <v/>
      </c>
      <c r="K251" t="inlineStr">
        <is>
          <t>SEND</t>
        </is>
      </c>
    </row>
    <row r="252">
      <c r="A252" t="inlineStr">
        <is>
          <t>Leticia</t>
        </is>
      </c>
      <c r="B252" t="inlineStr">
        <is>
          <t>+5511960133490</t>
        </is>
      </c>
      <c r="C252" t="inlineStr">
        <is>
          <t>Advocate</t>
        </is>
      </c>
      <c r="D252" t="inlineStr">
        <is>
          <t>Primer Cachos</t>
        </is>
      </c>
      <c r="E252" t="n">
        <v>2</v>
      </c>
      <c r="F252" t="inlineStr">
        <is>
          <t>2026-04-16</t>
        </is>
      </c>
      <c r="G252" t="n">
        <v>79</v>
      </c>
      <c r="H252" t="inlineStr">
        <is>
          <t>Y</t>
        </is>
      </c>
      <c r="I252">
        <f>HYPERLINK("https://admin.shopify.com/store/ge-beauty-cosmeticos/customers/9781213331776","abrir")</f>
        <v/>
      </c>
      <c r="J252">
        <f>HYPERLINK("https://www.gebeauty.com.br/products/primer-cachos-definidos?ref=review","review")</f>
        <v/>
      </c>
      <c r="K252" t="inlineStr">
        <is>
          <t>SEND</t>
        </is>
      </c>
    </row>
    <row r="253">
      <c r="A253" t="inlineStr">
        <is>
          <t>Gabriela</t>
        </is>
      </c>
      <c r="B253" t="inlineStr">
        <is>
          <t>+5581987846024</t>
        </is>
      </c>
      <c r="C253" t="inlineStr">
        <is>
          <t>Advocate</t>
        </is>
      </c>
      <c r="D253" t="inlineStr">
        <is>
          <t>Primer Cachos</t>
        </is>
      </c>
      <c r="E253" t="n">
        <v>2</v>
      </c>
      <c r="F253" t="inlineStr">
        <is>
          <t>2025-11-29</t>
        </is>
      </c>
      <c r="G253" t="n">
        <v>217</v>
      </c>
      <c r="H253" t="inlineStr">
        <is>
          <t>Y</t>
        </is>
      </c>
      <c r="I253">
        <f>HYPERLINK("https://admin.shopify.com/store/ge-beauty-cosmeticos/customers/8360800092480","abrir")</f>
        <v/>
      </c>
      <c r="J253">
        <f>HYPERLINK("https://www.gebeauty.com.br/products/primer-cachos-definidos?ref=review","review")</f>
        <v/>
      </c>
      <c r="K253" t="inlineStr">
        <is>
          <t>SEND</t>
        </is>
      </c>
    </row>
    <row r="254">
      <c r="A254" t="inlineStr">
        <is>
          <t>Barbara</t>
        </is>
      </c>
      <c r="B254" t="inlineStr">
        <is>
          <t>+5551998971760</t>
        </is>
      </c>
      <c r="C254" t="inlineStr">
        <is>
          <t>Advocate</t>
        </is>
      </c>
      <c r="D254" t="inlineStr">
        <is>
          <t>Primer Cachos</t>
        </is>
      </c>
      <c r="E254" t="n">
        <v>2</v>
      </c>
      <c r="F254" t="inlineStr">
        <is>
          <t>2026-05-13</t>
        </is>
      </c>
      <c r="G254" t="n">
        <v>52</v>
      </c>
      <c r="H254" t="inlineStr">
        <is>
          <t>Y</t>
        </is>
      </c>
      <c r="I254">
        <f>HYPERLINK("https://admin.shopify.com/store/ge-beauty-cosmeticos/customers/8635716370752","abrir")</f>
        <v/>
      </c>
      <c r="J254">
        <f>HYPERLINK("https://www.gebeauty.com.br/products/primer-cachos-definidos?ref=review","review")</f>
        <v/>
      </c>
      <c r="K254" t="inlineStr">
        <is>
          <t>SEND</t>
        </is>
      </c>
    </row>
    <row r="255">
      <c r="A255" t="inlineStr">
        <is>
          <t>Thais</t>
        </is>
      </c>
      <c r="B255" t="inlineStr">
        <is>
          <t>+5551998053019</t>
        </is>
      </c>
      <c r="C255" t="inlineStr">
        <is>
          <t>Advocate</t>
        </is>
      </c>
      <c r="D255" t="inlineStr">
        <is>
          <t>Primer Cachos</t>
        </is>
      </c>
      <c r="E255" t="n">
        <v>2</v>
      </c>
      <c r="F255" t="inlineStr">
        <is>
          <t>2026-07-03</t>
        </is>
      </c>
      <c r="G255" t="n">
        <v>1</v>
      </c>
      <c r="H255" t="inlineStr">
        <is>
          <t>Y</t>
        </is>
      </c>
      <c r="I255">
        <f>HYPERLINK("https://admin.shopify.com/store/ge-beauty-cosmeticos/customers/9913657852224","abrir")</f>
        <v/>
      </c>
      <c r="J255">
        <f>HYPERLINK("https://www.gebeauty.com.br/products/primer-cachos-definidos?ref=review","review")</f>
        <v/>
      </c>
      <c r="K255" t="inlineStr">
        <is>
          <t>SEND</t>
        </is>
      </c>
    </row>
    <row r="256">
      <c r="A256" t="inlineStr">
        <is>
          <t>Carolina</t>
        </is>
      </c>
      <c r="B256" t="inlineStr">
        <is>
          <t>+5511982067594</t>
        </is>
      </c>
      <c r="C256" t="inlineStr">
        <is>
          <t>Advocate</t>
        </is>
      </c>
      <c r="D256" t="inlineStr">
        <is>
          <t>Primer Cachos</t>
        </is>
      </c>
      <c r="E256" t="n">
        <v>2</v>
      </c>
      <c r="F256" t="inlineStr">
        <is>
          <t>2025-11-29</t>
        </is>
      </c>
      <c r="G256" t="n">
        <v>217</v>
      </c>
      <c r="H256" t="inlineStr">
        <is>
          <t>Y</t>
        </is>
      </c>
      <c r="I256">
        <f>HYPERLINK("https://admin.shopify.com/store/ge-beauty-cosmeticos/customers/8943263777088","abrir")</f>
        <v/>
      </c>
      <c r="J256">
        <f>HYPERLINK("https://www.gebeauty.com.br/products/primer-cachos-definidos?ref=review","review")</f>
        <v/>
      </c>
      <c r="K256" t="inlineStr">
        <is>
          <t>SEND</t>
        </is>
      </c>
    </row>
    <row r="257">
      <c r="A257" t="inlineStr">
        <is>
          <t>Maria</t>
        </is>
      </c>
      <c r="B257" t="inlineStr">
        <is>
          <t>+5581981521401</t>
        </is>
      </c>
      <c r="C257" t="inlineStr">
        <is>
          <t>Advocate</t>
        </is>
      </c>
      <c r="D257" t="inlineStr">
        <is>
          <t>Primer Cachos</t>
        </is>
      </c>
      <c r="E257" t="n">
        <v>2</v>
      </c>
      <c r="F257" t="inlineStr">
        <is>
          <t>2026-03-15</t>
        </is>
      </c>
      <c r="G257" t="n">
        <v>111</v>
      </c>
      <c r="H257" t="inlineStr">
        <is>
          <t>Y</t>
        </is>
      </c>
      <c r="I257">
        <f>HYPERLINK("https://admin.shopify.com/store/ge-beauty-cosmeticos/customers/9916375695680","abrir")</f>
        <v/>
      </c>
      <c r="J257">
        <f>HYPERLINK("https://www.gebeauty.com.br/products/primer-cachos-definidos?ref=review","review")</f>
        <v/>
      </c>
      <c r="K257" t="inlineStr">
        <is>
          <t>SEND</t>
        </is>
      </c>
    </row>
    <row r="258">
      <c r="A258" t="inlineStr">
        <is>
          <t>Patricia</t>
        </is>
      </c>
      <c r="B258" t="inlineStr">
        <is>
          <t>+5511984263552</t>
        </is>
      </c>
      <c r="C258" t="inlineStr">
        <is>
          <t>Advocate</t>
        </is>
      </c>
      <c r="D258" t="inlineStr">
        <is>
          <t>Primer Cachos</t>
        </is>
      </c>
      <c r="E258" t="n">
        <v>2</v>
      </c>
      <c r="F258" t="inlineStr">
        <is>
          <t>2026-03-19</t>
        </is>
      </c>
      <c r="G258" t="n">
        <v>107</v>
      </c>
      <c r="H258" t="inlineStr">
        <is>
          <t>Y</t>
        </is>
      </c>
      <c r="I258">
        <f>HYPERLINK("https://admin.shopify.com/store/ge-beauty-cosmeticos/customers/9916584722752","abrir")</f>
        <v/>
      </c>
      <c r="J258">
        <f>HYPERLINK("https://www.gebeauty.com.br/products/primer-cachos-definidos?ref=review","review")</f>
        <v/>
      </c>
      <c r="K258" t="inlineStr">
        <is>
          <t>SEND</t>
        </is>
      </c>
    </row>
    <row r="259">
      <c r="A259" t="inlineStr">
        <is>
          <t>Marcela</t>
        </is>
      </c>
      <c r="B259" t="inlineStr">
        <is>
          <t>+5547999070225</t>
        </is>
      </c>
      <c r="C259" t="inlineStr">
        <is>
          <t>Advocate</t>
        </is>
      </c>
      <c r="D259" t="inlineStr">
        <is>
          <t>Primer Cachos</t>
        </is>
      </c>
      <c r="E259" t="n">
        <v>2</v>
      </c>
      <c r="F259" t="inlineStr">
        <is>
          <t>2025-12-01</t>
        </is>
      </c>
      <c r="G259" t="n">
        <v>215</v>
      </c>
      <c r="H259" t="inlineStr">
        <is>
          <t>Y</t>
        </is>
      </c>
      <c r="I259">
        <f>HYPERLINK("https://admin.shopify.com/store/ge-beauty-cosmeticos/customers/7762083512640","abrir")</f>
        <v/>
      </c>
      <c r="J259">
        <f>HYPERLINK("https://www.gebeauty.com.br/products/primer-cachos-definidos?ref=review","review")</f>
        <v/>
      </c>
      <c r="K259" t="inlineStr">
        <is>
          <t>SEND</t>
        </is>
      </c>
    </row>
    <row r="260">
      <c r="A260" t="inlineStr">
        <is>
          <t>Regina</t>
        </is>
      </c>
      <c r="B260" t="inlineStr">
        <is>
          <t>+5556927550389</t>
        </is>
      </c>
      <c r="C260" t="inlineStr">
        <is>
          <t>Advocate</t>
        </is>
      </c>
      <c r="D260" t="inlineStr">
        <is>
          <t>Primer Cachos</t>
        </is>
      </c>
      <c r="E260" t="n">
        <v>2</v>
      </c>
      <c r="F260" t="inlineStr">
        <is>
          <t>2025-12-04</t>
        </is>
      </c>
      <c r="G260" t="n">
        <v>212</v>
      </c>
      <c r="H260" t="inlineStr">
        <is>
          <t>Y</t>
        </is>
      </c>
      <c r="I260">
        <f>HYPERLINK("https://admin.shopify.com/store/ge-beauty-cosmeticos/customers/7759215296832","abrir")</f>
        <v/>
      </c>
      <c r="J260">
        <f>HYPERLINK("https://www.gebeauty.com.br/products/primer-cachos-definidos?ref=review","review")</f>
        <v/>
      </c>
      <c r="K260" t="inlineStr">
        <is>
          <t>SEND</t>
        </is>
      </c>
    </row>
    <row r="261">
      <c r="A261" t="inlineStr">
        <is>
          <t>Karina</t>
        </is>
      </c>
      <c r="B261" t="inlineStr">
        <is>
          <t>+5581999638081</t>
        </is>
      </c>
      <c r="C261" t="inlineStr">
        <is>
          <t>Advocate</t>
        </is>
      </c>
      <c r="D261" t="inlineStr">
        <is>
          <t>Primer Cachos</t>
        </is>
      </c>
      <c r="E261" t="n">
        <v>3</v>
      </c>
      <c r="F261" t="inlineStr">
        <is>
          <t>2026-04-29</t>
        </is>
      </c>
      <c r="G261" t="n">
        <v>66</v>
      </c>
      <c r="H261" t="inlineStr">
        <is>
          <t>Y</t>
        </is>
      </c>
      <c r="I261">
        <f>HYPERLINK("https://admin.shopify.com/store/ge-beauty-cosmeticos/customers/7759954477376","abrir")</f>
        <v/>
      </c>
      <c r="J261">
        <f>HYPERLINK("https://www.gebeauty.com.br/products/primer-cachos-definidos?ref=review","review")</f>
        <v/>
      </c>
      <c r="K261" t="inlineStr">
        <is>
          <t>SEND</t>
        </is>
      </c>
    </row>
    <row r="262">
      <c r="A262" t="inlineStr">
        <is>
          <t>Juliana</t>
        </is>
      </c>
      <c r="B262" t="inlineStr">
        <is>
          <t>+5547988033342</t>
        </is>
      </c>
      <c r="C262" t="inlineStr">
        <is>
          <t>Advocate</t>
        </is>
      </c>
      <c r="D262" t="inlineStr">
        <is>
          <t>Primer Cachos</t>
        </is>
      </c>
      <c r="E262" t="n">
        <v>2</v>
      </c>
      <c r="F262" t="inlineStr">
        <is>
          <t>2026-02-11</t>
        </is>
      </c>
      <c r="G262" t="n">
        <v>143</v>
      </c>
      <c r="H262" t="inlineStr">
        <is>
          <t>Y</t>
        </is>
      </c>
      <c r="I262">
        <f>HYPERLINK("https://admin.shopify.com/store/ge-beauty-cosmeticos/customers/9646037696832","abrir")</f>
        <v/>
      </c>
      <c r="J262">
        <f>HYPERLINK("https://www.gebeauty.com.br/products/primer-cachos-definidos?ref=review","review")</f>
        <v/>
      </c>
      <c r="K262" t="inlineStr">
        <is>
          <t>SEND</t>
        </is>
      </c>
    </row>
    <row r="263">
      <c r="A263" t="inlineStr">
        <is>
          <t>Beatriz</t>
        </is>
      </c>
      <c r="B263" t="inlineStr">
        <is>
          <t>+5521971305904</t>
        </is>
      </c>
      <c r="C263" t="inlineStr">
        <is>
          <t>Advocate</t>
        </is>
      </c>
      <c r="D263" t="inlineStr">
        <is>
          <t>Primer Cachos</t>
        </is>
      </c>
      <c r="E263" t="n">
        <v>2</v>
      </c>
      <c r="F263" t="inlineStr">
        <is>
          <t>2025-12-16</t>
        </is>
      </c>
      <c r="G263" t="n">
        <v>200</v>
      </c>
      <c r="H263" t="inlineStr">
        <is>
          <t>Y</t>
        </is>
      </c>
      <c r="I263">
        <f>HYPERLINK("https://admin.shopify.com/store/ge-beauty-cosmeticos/customers/8682294870336","abrir")</f>
        <v/>
      </c>
      <c r="J263">
        <f>HYPERLINK("https://www.gebeauty.com.br/products/primer-cachos-definidos?ref=review","review")</f>
        <v/>
      </c>
      <c r="K263" t="inlineStr">
        <is>
          <t>SEND</t>
        </is>
      </c>
    </row>
    <row r="264">
      <c r="A264" t="inlineStr">
        <is>
          <t>Lucas</t>
        </is>
      </c>
      <c r="B264" t="inlineStr">
        <is>
          <t>+5585986585413</t>
        </is>
      </c>
      <c r="C264" t="inlineStr">
        <is>
          <t>Advocate</t>
        </is>
      </c>
      <c r="D264" t="inlineStr">
        <is>
          <t>Primer Cachos</t>
        </is>
      </c>
      <c r="E264" t="n">
        <v>2</v>
      </c>
      <c r="F264" t="inlineStr">
        <is>
          <t>2025-12-20</t>
        </is>
      </c>
      <c r="G264" t="n">
        <v>196</v>
      </c>
      <c r="H264" t="inlineStr">
        <is>
          <t>Y</t>
        </is>
      </c>
      <c r="I264">
        <f>HYPERLINK("https://admin.shopify.com/store/ge-beauty-cosmeticos/customers/8960555647296","abrir")</f>
        <v/>
      </c>
      <c r="J264">
        <f>HYPERLINK("https://www.gebeauty.com.br/products/primer-cachos-definidos?ref=review","review")</f>
        <v/>
      </c>
      <c r="K264" t="inlineStr">
        <is>
          <t>SEND</t>
        </is>
      </c>
    </row>
    <row r="265">
      <c r="A265" t="inlineStr">
        <is>
          <t>Roberta</t>
        </is>
      </c>
      <c r="B265" t="inlineStr">
        <is>
          <t>+5521998235631</t>
        </is>
      </c>
      <c r="C265" t="inlineStr">
        <is>
          <t>Advocate</t>
        </is>
      </c>
      <c r="D265" t="inlineStr">
        <is>
          <t>Primer Cachos</t>
        </is>
      </c>
      <c r="E265" t="n">
        <v>2</v>
      </c>
      <c r="F265" t="inlineStr">
        <is>
          <t>2025-12-21</t>
        </is>
      </c>
      <c r="G265" t="n">
        <v>195</v>
      </c>
      <c r="H265" t="inlineStr">
        <is>
          <t>Y</t>
        </is>
      </c>
      <c r="I265">
        <f>HYPERLINK("https://admin.shopify.com/store/ge-beauty-cosmeticos/customers/7759442837824","abrir")</f>
        <v/>
      </c>
      <c r="J265">
        <f>HYPERLINK("https://www.gebeauty.com.br/products/primer-cachos-definidos?ref=review","review")</f>
        <v/>
      </c>
      <c r="K265" t="inlineStr">
        <is>
          <t>SEND</t>
        </is>
      </c>
    </row>
    <row r="266">
      <c r="A266" t="inlineStr">
        <is>
          <t>Valeria</t>
        </is>
      </c>
      <c r="B266" t="inlineStr">
        <is>
          <t>+5511992196751</t>
        </is>
      </c>
      <c r="C266" t="inlineStr">
        <is>
          <t>Advocate</t>
        </is>
      </c>
      <c r="D266" t="inlineStr">
        <is>
          <t>Primer Cachos</t>
        </is>
      </c>
      <c r="E266" t="n">
        <v>2</v>
      </c>
      <c r="F266" t="inlineStr">
        <is>
          <t>2026-04-26</t>
        </is>
      </c>
      <c r="G266" t="n">
        <v>69</v>
      </c>
      <c r="H266" t="inlineStr">
        <is>
          <t>Y</t>
        </is>
      </c>
      <c r="I266">
        <f>HYPERLINK("https://admin.shopify.com/store/ge-beauty-cosmeticos/customers/9944744886592","abrir")</f>
        <v/>
      </c>
      <c r="J266">
        <f>HYPERLINK("https://www.gebeauty.com.br/products/primer-cachos-definidos?ref=review","review")</f>
        <v/>
      </c>
      <c r="K266" t="inlineStr">
        <is>
          <t>SEND</t>
        </is>
      </c>
    </row>
    <row r="267">
      <c r="A267" t="inlineStr">
        <is>
          <t>Eliane</t>
        </is>
      </c>
      <c r="B267" t="inlineStr">
        <is>
          <t>+5512997175232</t>
        </is>
      </c>
      <c r="C267" t="inlineStr">
        <is>
          <t>Advocate</t>
        </is>
      </c>
      <c r="D267" t="inlineStr">
        <is>
          <t>Primer Cachos</t>
        </is>
      </c>
      <c r="E267" t="n">
        <v>2</v>
      </c>
      <c r="F267" t="inlineStr">
        <is>
          <t>2026-01-03</t>
        </is>
      </c>
      <c r="G267" t="n">
        <v>182</v>
      </c>
      <c r="H267" t="inlineStr">
        <is>
          <t>Y</t>
        </is>
      </c>
      <c r="I267">
        <f>HYPERLINK("https://admin.shopify.com/store/ge-beauty-cosmeticos/customers/9024374767936","abrir")</f>
        <v/>
      </c>
      <c r="J267">
        <f>HYPERLINK("https://www.gebeauty.com.br/products/primer-cachos-definidos?ref=review","review")</f>
        <v/>
      </c>
      <c r="K267" t="inlineStr">
        <is>
          <t>SEND</t>
        </is>
      </c>
    </row>
    <row r="268">
      <c r="A268" t="inlineStr">
        <is>
          <t>Nathália</t>
        </is>
      </c>
      <c r="B268" t="inlineStr">
        <is>
          <t>+5511985971764</t>
        </is>
      </c>
      <c r="C268" t="inlineStr">
        <is>
          <t>Advocate</t>
        </is>
      </c>
      <c r="D268" t="inlineStr">
        <is>
          <t>Primer Cachos</t>
        </is>
      </c>
      <c r="E268" t="n">
        <v>2</v>
      </c>
      <c r="F268" t="inlineStr">
        <is>
          <t>2026-03-19</t>
        </is>
      </c>
      <c r="G268" t="n">
        <v>107</v>
      </c>
      <c r="H268" t="inlineStr">
        <is>
          <t>Y</t>
        </is>
      </c>
      <c r="I268">
        <f>HYPERLINK("https://admin.shopify.com/store/ge-beauty-cosmeticos/customers/9486661845312","abrir")</f>
        <v/>
      </c>
      <c r="J268">
        <f>HYPERLINK("https://www.gebeauty.com.br/products/primer-cachos-definidos?ref=review","review")</f>
        <v/>
      </c>
      <c r="K268" t="inlineStr">
        <is>
          <t>SEND</t>
        </is>
      </c>
    </row>
    <row r="269">
      <c r="A269" t="inlineStr">
        <is>
          <t>Teilla</t>
        </is>
      </c>
      <c r="B269" t="inlineStr">
        <is>
          <t>+5514998612207</t>
        </is>
      </c>
      <c r="C269" t="inlineStr">
        <is>
          <t>Advocate</t>
        </is>
      </c>
      <c r="D269" t="inlineStr">
        <is>
          <t>Primer Cachos</t>
        </is>
      </c>
      <c r="E269" t="n">
        <v>2</v>
      </c>
      <c r="F269" t="inlineStr">
        <is>
          <t>2026-01-08</t>
        </is>
      </c>
      <c r="G269" t="n">
        <v>177</v>
      </c>
      <c r="H269" t="inlineStr">
        <is>
          <t>Y</t>
        </is>
      </c>
      <c r="I269">
        <f>HYPERLINK("https://admin.shopify.com/store/ge-beauty-cosmeticos/customers/9921330807104","abrir")</f>
        <v/>
      </c>
      <c r="J269">
        <f>HYPERLINK("https://www.gebeauty.com.br/products/primer-cachos-definidos?ref=review","review")</f>
        <v/>
      </c>
      <c r="K269" t="inlineStr">
        <is>
          <t>SEND</t>
        </is>
      </c>
    </row>
    <row r="270">
      <c r="A270" t="inlineStr">
        <is>
          <t>Leticia</t>
        </is>
      </c>
      <c r="B270" t="inlineStr">
        <is>
          <t>+5511914540126</t>
        </is>
      </c>
      <c r="C270" t="inlineStr">
        <is>
          <t>Advocate</t>
        </is>
      </c>
      <c r="D270" t="inlineStr">
        <is>
          <t>Primer Cachos</t>
        </is>
      </c>
      <c r="E270" t="n">
        <v>2</v>
      </c>
      <c r="F270" t="inlineStr">
        <is>
          <t>2026-01-10</t>
        </is>
      </c>
      <c r="G270" t="n">
        <v>175</v>
      </c>
      <c r="H270" t="inlineStr">
        <is>
          <t>Y</t>
        </is>
      </c>
      <c r="I270">
        <f>HYPERLINK("https://admin.shopify.com/store/ge-beauty-cosmeticos/customers/7761871601984","abrir")</f>
        <v/>
      </c>
      <c r="J270">
        <f>HYPERLINK("https://www.gebeauty.com.br/products/primer-cachos-definidos?ref=review","review")</f>
        <v/>
      </c>
      <c r="K270" t="inlineStr">
        <is>
          <t>SEND</t>
        </is>
      </c>
    </row>
    <row r="271">
      <c r="A271" t="inlineStr">
        <is>
          <t>Emiliane</t>
        </is>
      </c>
      <c r="B271" t="inlineStr">
        <is>
          <t>+5581999167770</t>
        </is>
      </c>
      <c r="C271" t="inlineStr">
        <is>
          <t>Advocate</t>
        </is>
      </c>
      <c r="D271" t="inlineStr">
        <is>
          <t>Primer Cachos</t>
        </is>
      </c>
      <c r="E271" t="n">
        <v>2</v>
      </c>
      <c r="F271" t="inlineStr">
        <is>
          <t>2026-05-30</t>
        </is>
      </c>
      <c r="G271" t="n">
        <v>35</v>
      </c>
      <c r="H271" t="inlineStr">
        <is>
          <t>Y</t>
        </is>
      </c>
      <c r="I271">
        <f>HYPERLINK("https://admin.shopify.com/store/ge-beauty-cosmeticos/customers/9651474596160","abrir")</f>
        <v/>
      </c>
      <c r="J271">
        <f>HYPERLINK("https://www.gebeauty.com.br/products/primer-cachos-definidos?ref=review","review")</f>
        <v/>
      </c>
      <c r="K271" t="inlineStr">
        <is>
          <t>SEND</t>
        </is>
      </c>
    </row>
    <row r="272">
      <c r="A272" t="inlineStr">
        <is>
          <t>Bruna</t>
        </is>
      </c>
      <c r="B272" t="inlineStr">
        <is>
          <t>+5519993429574</t>
        </is>
      </c>
      <c r="C272" t="inlineStr">
        <is>
          <t>Advocate</t>
        </is>
      </c>
      <c r="D272" t="inlineStr">
        <is>
          <t>Primer Cachos</t>
        </is>
      </c>
      <c r="E272" t="n">
        <v>2</v>
      </c>
      <c r="F272" t="inlineStr">
        <is>
          <t>2026-01-16</t>
        </is>
      </c>
      <c r="G272" t="n">
        <v>169</v>
      </c>
      <c r="H272" t="inlineStr">
        <is>
          <t>Y</t>
        </is>
      </c>
      <c r="I272">
        <f>HYPERLINK("https://admin.shopify.com/store/ge-beauty-cosmeticos/customers/9024833388864","abrir")</f>
        <v/>
      </c>
      <c r="J272">
        <f>HYPERLINK("https://www.gebeauty.com.br/products/primer-cachos-definidos?ref=review","review")</f>
        <v/>
      </c>
      <c r="K272" t="inlineStr">
        <is>
          <t>HOLDOUT</t>
        </is>
      </c>
    </row>
    <row r="273">
      <c r="A273" t="inlineStr">
        <is>
          <t>Fabiana</t>
        </is>
      </c>
      <c r="B273" t="inlineStr">
        <is>
          <t>+5571992410811</t>
        </is>
      </c>
      <c r="C273" t="inlineStr">
        <is>
          <t>Advocate</t>
        </is>
      </c>
      <c r="D273" t="inlineStr">
        <is>
          <t>Primer Cachos</t>
        </is>
      </c>
      <c r="E273" t="n">
        <v>2</v>
      </c>
      <c r="F273" t="inlineStr">
        <is>
          <t>2026-04-10</t>
        </is>
      </c>
      <c r="G273" t="n">
        <v>85</v>
      </c>
      <c r="H273" t="inlineStr">
        <is>
          <t>Y</t>
        </is>
      </c>
      <c r="I273">
        <f>HYPERLINK("https://admin.shopify.com/store/ge-beauty-cosmeticos/customers/10063415640384","abrir")</f>
        <v/>
      </c>
      <c r="J273">
        <f>HYPERLINK("https://www.gebeauty.com.br/products/primer-cachos-definidos?ref=review","review")</f>
        <v/>
      </c>
      <c r="K273" t="inlineStr">
        <is>
          <t>SEND</t>
        </is>
      </c>
    </row>
    <row r="274">
      <c r="A274" t="inlineStr">
        <is>
          <t>Amanda</t>
        </is>
      </c>
      <c r="B274" t="inlineStr">
        <is>
          <t>+5511981211246</t>
        </is>
      </c>
      <c r="C274" t="inlineStr">
        <is>
          <t>Advocate</t>
        </is>
      </c>
      <c r="D274" t="inlineStr">
        <is>
          <t>Primer Cachos</t>
        </is>
      </c>
      <c r="E274" t="n">
        <v>2</v>
      </c>
      <c r="F274" t="inlineStr">
        <is>
          <t>2026-01-20</t>
        </is>
      </c>
      <c r="G274" t="n">
        <v>165</v>
      </c>
      <c r="H274" t="inlineStr">
        <is>
          <t>Y</t>
        </is>
      </c>
      <c r="I274">
        <f>HYPERLINK("https://admin.shopify.com/store/ge-beauty-cosmeticos/customers/7759364784448","abrir")</f>
        <v/>
      </c>
      <c r="J274">
        <f>HYPERLINK("https://www.gebeauty.com.br/products/primer-cachos-definidos?ref=review","review")</f>
        <v/>
      </c>
      <c r="K274" t="inlineStr">
        <is>
          <t>SEND</t>
        </is>
      </c>
    </row>
    <row r="275">
      <c r="A275" t="inlineStr">
        <is>
          <t>Mariete</t>
        </is>
      </c>
      <c r="B275" t="inlineStr">
        <is>
          <t>+5511999623285</t>
        </is>
      </c>
      <c r="C275" t="inlineStr">
        <is>
          <t>Advocate</t>
        </is>
      </c>
      <c r="D275" t="inlineStr">
        <is>
          <t>Primer Cachos</t>
        </is>
      </c>
      <c r="E275" t="n">
        <v>2</v>
      </c>
      <c r="F275" t="inlineStr">
        <is>
          <t>2026-05-07</t>
        </is>
      </c>
      <c r="G275" t="n">
        <v>58</v>
      </c>
      <c r="H275" t="inlineStr">
        <is>
          <t>Y</t>
        </is>
      </c>
      <c r="I275">
        <f>HYPERLINK("https://admin.shopify.com/store/ge-beauty-cosmeticos/customers/10073050284352","abrir")</f>
        <v/>
      </c>
      <c r="J275">
        <f>HYPERLINK("https://www.gebeauty.com.br/products/primer-cachos-definidos?ref=review","review")</f>
        <v/>
      </c>
      <c r="K275" t="inlineStr">
        <is>
          <t>SEND</t>
        </is>
      </c>
    </row>
    <row r="276">
      <c r="A276" t="inlineStr">
        <is>
          <t>Ana</t>
        </is>
      </c>
      <c r="B276" t="inlineStr">
        <is>
          <t>+5581988582020</t>
        </is>
      </c>
      <c r="C276" t="inlineStr">
        <is>
          <t>Advocate</t>
        </is>
      </c>
      <c r="D276" t="inlineStr">
        <is>
          <t>Primer Cachos</t>
        </is>
      </c>
      <c r="E276" t="n">
        <v>2</v>
      </c>
      <c r="F276" t="inlineStr">
        <is>
          <t>2026-01-20</t>
        </is>
      </c>
      <c r="G276" t="n">
        <v>165</v>
      </c>
      <c r="H276" t="inlineStr">
        <is>
          <t>Y</t>
        </is>
      </c>
      <c r="I276">
        <f>HYPERLINK("https://admin.shopify.com/store/ge-beauty-cosmeticos/customers/8139520540992","abrir")</f>
        <v/>
      </c>
      <c r="J276">
        <f>HYPERLINK("https://www.gebeauty.com.br/products/primer-cachos-definidos?ref=review","review")</f>
        <v/>
      </c>
      <c r="K276" t="inlineStr">
        <is>
          <t>SEND</t>
        </is>
      </c>
    </row>
    <row r="277">
      <c r="A277" t="inlineStr">
        <is>
          <t>Debora</t>
        </is>
      </c>
      <c r="B277" t="inlineStr">
        <is>
          <t>+5514996419530</t>
        </is>
      </c>
      <c r="C277" t="inlineStr">
        <is>
          <t>Advocate</t>
        </is>
      </c>
      <c r="D277" t="inlineStr">
        <is>
          <t>Primer Cachos</t>
        </is>
      </c>
      <c r="E277" t="n">
        <v>2</v>
      </c>
      <c r="F277" t="inlineStr">
        <is>
          <t>2026-05-24</t>
        </is>
      </c>
      <c r="G277" t="n">
        <v>41</v>
      </c>
      <c r="H277" t="inlineStr">
        <is>
          <t>Y</t>
        </is>
      </c>
      <c r="I277">
        <f>HYPERLINK("https://admin.shopify.com/store/ge-beauty-cosmeticos/customers/10073863258432","abrir")</f>
        <v/>
      </c>
      <c r="J277">
        <f>HYPERLINK("https://www.gebeauty.com.br/products/primer-cachos-definidos?ref=review","review")</f>
        <v/>
      </c>
      <c r="K277" t="inlineStr">
        <is>
          <t>SEND</t>
        </is>
      </c>
    </row>
    <row r="278">
      <c r="A278" t="inlineStr">
        <is>
          <t>Amanda Leticia</t>
        </is>
      </c>
      <c r="B278" t="inlineStr">
        <is>
          <t>+5511988263884</t>
        </is>
      </c>
      <c r="C278" t="inlineStr">
        <is>
          <t>Advocate</t>
        </is>
      </c>
      <c r="D278" t="inlineStr">
        <is>
          <t>Primer Cachos</t>
        </is>
      </c>
      <c r="E278" t="n">
        <v>2</v>
      </c>
      <c r="F278" t="inlineStr">
        <is>
          <t>2026-05-03</t>
        </is>
      </c>
      <c r="G278" t="n">
        <v>62</v>
      </c>
      <c r="H278" t="inlineStr">
        <is>
          <t>Y</t>
        </is>
      </c>
      <c r="I278">
        <f>HYPERLINK("https://admin.shopify.com/store/ge-beauty-cosmeticos/customers/10074042761536","abrir")</f>
        <v/>
      </c>
      <c r="J278">
        <f>HYPERLINK("https://www.gebeauty.com.br/products/primer-cachos-definidos?ref=review","review")</f>
        <v/>
      </c>
      <c r="K278" t="inlineStr">
        <is>
          <t>SEND</t>
        </is>
      </c>
    </row>
    <row r="279">
      <c r="A279" t="inlineStr">
        <is>
          <t>Fernanda</t>
        </is>
      </c>
      <c r="B279" t="inlineStr">
        <is>
          <t>+5511991285213</t>
        </is>
      </c>
      <c r="C279" t="inlineStr">
        <is>
          <t>Advocate</t>
        </is>
      </c>
      <c r="D279" t="inlineStr">
        <is>
          <t>Primer Cachos</t>
        </is>
      </c>
      <c r="E279" t="n">
        <v>2</v>
      </c>
      <c r="F279" t="inlineStr">
        <is>
          <t>2026-06-15</t>
        </is>
      </c>
      <c r="G279" t="n">
        <v>19</v>
      </c>
      <c r="H279" t="inlineStr">
        <is>
          <t>Y</t>
        </is>
      </c>
      <c r="I279">
        <f>HYPERLINK("https://admin.shopify.com/store/ge-beauty-cosmeticos/customers/10074082050368","abrir")</f>
        <v/>
      </c>
      <c r="J279">
        <f>HYPERLINK("https://www.gebeauty.com.br/products/primer-cachos-definidos?ref=review","review")</f>
        <v/>
      </c>
      <c r="K279" t="inlineStr">
        <is>
          <t>SEND</t>
        </is>
      </c>
    </row>
    <row r="280">
      <c r="A280" t="inlineStr">
        <is>
          <t>Bruna</t>
        </is>
      </c>
      <c r="B280" t="inlineStr">
        <is>
          <t>+5511991815198</t>
        </is>
      </c>
      <c r="C280" t="inlineStr">
        <is>
          <t>Advocate</t>
        </is>
      </c>
      <c r="D280" t="inlineStr">
        <is>
          <t>Primer Cachos</t>
        </is>
      </c>
      <c r="E280" t="n">
        <v>2</v>
      </c>
      <c r="F280" t="inlineStr">
        <is>
          <t>2026-02-11</t>
        </is>
      </c>
      <c r="G280" t="n">
        <v>143</v>
      </c>
      <c r="H280" t="inlineStr">
        <is>
          <t>Y</t>
        </is>
      </c>
      <c r="I280">
        <f>HYPERLINK("https://admin.shopify.com/store/ge-beauty-cosmeticos/customers/10074310476096","abrir")</f>
        <v/>
      </c>
      <c r="J280">
        <f>HYPERLINK("https://www.gebeauty.com.br/products/primer-cachos-definidos?ref=review","review")</f>
        <v/>
      </c>
      <c r="K280" t="inlineStr">
        <is>
          <t>SEND</t>
        </is>
      </c>
    </row>
    <row r="281">
      <c r="A281" t="inlineStr">
        <is>
          <t>Fabiana</t>
        </is>
      </c>
      <c r="B281" t="inlineStr">
        <is>
          <t>+5511973387788</t>
        </is>
      </c>
      <c r="C281" t="inlineStr">
        <is>
          <t>Advocate</t>
        </is>
      </c>
      <c r="D281" t="inlineStr">
        <is>
          <t>Primer Cachos</t>
        </is>
      </c>
      <c r="E281" t="n">
        <v>2</v>
      </c>
      <c r="F281" t="inlineStr">
        <is>
          <t>2026-05-07</t>
        </is>
      </c>
      <c r="G281" t="n">
        <v>58</v>
      </c>
      <c r="H281" t="inlineStr">
        <is>
          <t>Y</t>
        </is>
      </c>
      <c r="I281">
        <f>HYPERLINK("https://admin.shopify.com/store/ge-beauty-cosmeticos/customers/10074342490432","abrir")</f>
        <v/>
      </c>
      <c r="J281">
        <f>HYPERLINK("https://www.gebeauty.com.br/products/primer-cachos-definidos?ref=review","review")</f>
        <v/>
      </c>
      <c r="K281" t="inlineStr">
        <is>
          <t>SEND</t>
        </is>
      </c>
    </row>
    <row r="282">
      <c r="A282" t="inlineStr">
        <is>
          <t>Maiara</t>
        </is>
      </c>
      <c r="B282" t="inlineStr">
        <is>
          <t>+5518997994797</t>
        </is>
      </c>
      <c r="C282" t="inlineStr">
        <is>
          <t>Advocate</t>
        </is>
      </c>
      <c r="D282" t="inlineStr">
        <is>
          <t>Primer Cachos</t>
        </is>
      </c>
      <c r="E282" t="n">
        <v>2</v>
      </c>
      <c r="F282" t="inlineStr">
        <is>
          <t>2026-02-13</t>
        </is>
      </c>
      <c r="G282" t="n">
        <v>141</v>
      </c>
      <c r="H282" t="inlineStr">
        <is>
          <t>Y</t>
        </is>
      </c>
      <c r="I282">
        <f>HYPERLINK("https://admin.shopify.com/store/ge-beauty-cosmeticos/customers/10074369524032","abrir")</f>
        <v/>
      </c>
      <c r="J282">
        <f>HYPERLINK("https://www.gebeauty.com.br/products/primer-cachos-definidos?ref=review","review")</f>
        <v/>
      </c>
      <c r="K282" t="inlineStr">
        <is>
          <t>SEND</t>
        </is>
      </c>
    </row>
    <row r="283">
      <c r="A283" t="inlineStr">
        <is>
          <t>Críscia</t>
        </is>
      </c>
      <c r="B283" t="inlineStr">
        <is>
          <t>+5511981394148</t>
        </is>
      </c>
      <c r="C283" t="inlineStr">
        <is>
          <t>Advocate</t>
        </is>
      </c>
      <c r="D283" t="inlineStr">
        <is>
          <t>Primer Cachos</t>
        </is>
      </c>
      <c r="E283" t="n">
        <v>2</v>
      </c>
      <c r="F283" t="inlineStr">
        <is>
          <t>2026-04-12</t>
        </is>
      </c>
      <c r="G283" t="n">
        <v>83</v>
      </c>
      <c r="H283" t="inlineStr">
        <is>
          <t>Y</t>
        </is>
      </c>
      <c r="I283">
        <f>HYPERLINK("https://admin.shopify.com/store/ge-beauty-cosmeticos/customers/10074390069568","abrir")</f>
        <v/>
      </c>
      <c r="J283">
        <f>HYPERLINK("https://www.gebeauty.com.br/products/primer-cachos-definidos?ref=review","review")</f>
        <v/>
      </c>
      <c r="K283" t="inlineStr">
        <is>
          <t>SEND</t>
        </is>
      </c>
    </row>
    <row r="284">
      <c r="A284" t="inlineStr">
        <is>
          <t>Michele</t>
        </is>
      </c>
      <c r="B284" t="inlineStr">
        <is>
          <t>+5521981515464</t>
        </is>
      </c>
      <c r="C284" t="inlineStr">
        <is>
          <t>Advocate</t>
        </is>
      </c>
      <c r="D284" t="inlineStr">
        <is>
          <t>Primer Cachos</t>
        </is>
      </c>
      <c r="E284" t="n">
        <v>2</v>
      </c>
      <c r="F284" t="inlineStr">
        <is>
          <t>2026-05-15</t>
        </is>
      </c>
      <c r="G284" t="n">
        <v>50</v>
      </c>
      <c r="H284" t="inlineStr">
        <is>
          <t>Y</t>
        </is>
      </c>
      <c r="I284">
        <f>HYPERLINK("https://admin.shopify.com/store/ge-beauty-cosmeticos/customers/10074940670272","abrir")</f>
        <v/>
      </c>
      <c r="J284">
        <f>HYPERLINK("https://www.gebeauty.com.br/products/primer-cachos-definidos?ref=review","review")</f>
        <v/>
      </c>
      <c r="K284" t="inlineStr">
        <is>
          <t>SEND</t>
        </is>
      </c>
    </row>
    <row r="285">
      <c r="A285" t="inlineStr">
        <is>
          <t>Cláudia</t>
        </is>
      </c>
      <c r="B285" t="inlineStr">
        <is>
          <t>+5535991617832</t>
        </is>
      </c>
      <c r="C285" t="inlineStr">
        <is>
          <t>Advocate</t>
        </is>
      </c>
      <c r="D285" t="inlineStr">
        <is>
          <t>Primer Cachos</t>
        </is>
      </c>
      <c r="E285" t="n">
        <v>2</v>
      </c>
      <c r="F285" t="inlineStr">
        <is>
          <t>2026-01-29</t>
        </is>
      </c>
      <c r="G285" t="n">
        <v>156</v>
      </c>
      <c r="H285" t="inlineStr">
        <is>
          <t>Y</t>
        </is>
      </c>
      <c r="I285">
        <f>HYPERLINK("https://admin.shopify.com/store/ge-beauty-cosmeticos/customers/10074963116352","abrir")</f>
        <v/>
      </c>
      <c r="J285">
        <f>HYPERLINK("https://www.gebeauty.com.br/products/primer-cachos-definidos?ref=review","review")</f>
        <v/>
      </c>
      <c r="K285" t="inlineStr">
        <is>
          <t>SEND</t>
        </is>
      </c>
    </row>
    <row r="286">
      <c r="A286" t="inlineStr">
        <is>
          <t>Maíra</t>
        </is>
      </c>
      <c r="B286" t="inlineStr">
        <is>
          <t>+5531984112464</t>
        </is>
      </c>
      <c r="C286" t="inlineStr">
        <is>
          <t>Advocate</t>
        </is>
      </c>
      <c r="D286" t="inlineStr">
        <is>
          <t>Primer Cachos</t>
        </is>
      </c>
      <c r="E286" t="n">
        <v>2</v>
      </c>
      <c r="F286" t="inlineStr">
        <is>
          <t>2026-03-19</t>
        </is>
      </c>
      <c r="G286" t="n">
        <v>107</v>
      </c>
      <c r="H286" t="inlineStr">
        <is>
          <t>Y</t>
        </is>
      </c>
      <c r="I286">
        <f>HYPERLINK("https://admin.shopify.com/store/ge-beauty-cosmeticos/customers/10075003650368","abrir")</f>
        <v/>
      </c>
      <c r="J286">
        <f>HYPERLINK("https://www.gebeauty.com.br/products/primer-cachos-definidos?ref=review","review")</f>
        <v/>
      </c>
      <c r="K286" t="inlineStr">
        <is>
          <t>SEND</t>
        </is>
      </c>
    </row>
    <row r="287">
      <c r="A287" t="inlineStr">
        <is>
          <t>Paula</t>
        </is>
      </c>
      <c r="B287" t="inlineStr">
        <is>
          <t>+5531986620506</t>
        </is>
      </c>
      <c r="C287" t="inlineStr">
        <is>
          <t>Advocate</t>
        </is>
      </c>
      <c r="D287" t="inlineStr">
        <is>
          <t>Primer Cachos</t>
        </is>
      </c>
      <c r="E287" t="n">
        <v>2</v>
      </c>
      <c r="F287" t="inlineStr">
        <is>
          <t>2026-01-21</t>
        </is>
      </c>
      <c r="G287" t="n">
        <v>164</v>
      </c>
      <c r="H287" t="inlineStr">
        <is>
          <t>Y</t>
        </is>
      </c>
      <c r="I287">
        <f>HYPERLINK("https://admin.shopify.com/store/ge-beauty-cosmeticos/customers/8618797236544","abrir")</f>
        <v/>
      </c>
      <c r="J287">
        <f>HYPERLINK("https://www.gebeauty.com.br/products/primer-cachos-definidos?ref=review","review")</f>
        <v/>
      </c>
      <c r="K287" t="inlineStr">
        <is>
          <t>SEND</t>
        </is>
      </c>
    </row>
    <row r="288">
      <c r="A288" t="inlineStr">
        <is>
          <t>Vanessa</t>
        </is>
      </c>
      <c r="B288" t="inlineStr">
        <is>
          <t>+5516997011427</t>
        </is>
      </c>
      <c r="C288" t="inlineStr">
        <is>
          <t>Advocate</t>
        </is>
      </c>
      <c r="D288" t="inlineStr">
        <is>
          <t>Primer Cachos</t>
        </is>
      </c>
      <c r="E288" t="n">
        <v>2</v>
      </c>
      <c r="F288" t="inlineStr">
        <is>
          <t>2026-05-12</t>
        </is>
      </c>
      <c r="G288" t="n">
        <v>53</v>
      </c>
      <c r="H288" t="inlineStr">
        <is>
          <t>Y</t>
        </is>
      </c>
      <c r="I288">
        <f>HYPERLINK("https://admin.shopify.com/store/ge-beauty-cosmeticos/customers/10075093172544","abrir")</f>
        <v/>
      </c>
      <c r="J288">
        <f>HYPERLINK("https://www.gebeauty.com.br/products/primer-cachos-definidos?ref=review","review")</f>
        <v/>
      </c>
      <c r="K288" t="inlineStr">
        <is>
          <t>SEND</t>
        </is>
      </c>
    </row>
    <row r="289">
      <c r="A289" t="inlineStr">
        <is>
          <t>Ester</t>
        </is>
      </c>
      <c r="B289" t="inlineStr">
        <is>
          <t>+5511975452809</t>
        </is>
      </c>
      <c r="C289" t="inlineStr">
        <is>
          <t>Advocate</t>
        </is>
      </c>
      <c r="D289" t="inlineStr">
        <is>
          <t>Primer Cachos</t>
        </is>
      </c>
      <c r="E289" t="n">
        <v>2</v>
      </c>
      <c r="F289" t="inlineStr">
        <is>
          <t>2026-06-12</t>
        </is>
      </c>
      <c r="G289" t="n">
        <v>22</v>
      </c>
      <c r="H289" t="inlineStr">
        <is>
          <t>Y</t>
        </is>
      </c>
      <c r="I289">
        <f>HYPERLINK("https://admin.shopify.com/store/ge-beauty-cosmeticos/customers/10075259240768","abrir")</f>
        <v/>
      </c>
      <c r="J289">
        <f>HYPERLINK("https://www.gebeauty.com.br/products/primer-cachos-definidos?ref=review","review")</f>
        <v/>
      </c>
      <c r="K289" t="inlineStr">
        <is>
          <t>SEND</t>
        </is>
      </c>
    </row>
    <row r="290">
      <c r="A290" t="inlineStr">
        <is>
          <t>Tainah</t>
        </is>
      </c>
      <c r="B290" t="inlineStr">
        <is>
          <t>+5511981056656</t>
        </is>
      </c>
      <c r="C290" t="inlineStr">
        <is>
          <t>Advocate</t>
        </is>
      </c>
      <c r="D290" t="inlineStr">
        <is>
          <t>Primer Cachos</t>
        </is>
      </c>
      <c r="E290" t="n">
        <v>2</v>
      </c>
      <c r="F290" t="inlineStr">
        <is>
          <t>2026-06-15</t>
        </is>
      </c>
      <c r="G290" t="n">
        <v>19</v>
      </c>
      <c r="H290" t="inlineStr">
        <is>
          <t>Y</t>
        </is>
      </c>
      <c r="I290">
        <f>HYPERLINK("https://admin.shopify.com/store/ge-beauty-cosmeticos/customers/10075437793600","abrir")</f>
        <v/>
      </c>
      <c r="J290">
        <f>HYPERLINK("https://www.gebeauty.com.br/products/primer-cachos-definidos?ref=review","review")</f>
        <v/>
      </c>
      <c r="K290" t="inlineStr">
        <is>
          <t>SEND</t>
        </is>
      </c>
    </row>
    <row r="291">
      <c r="A291" t="inlineStr">
        <is>
          <t>Adriana</t>
        </is>
      </c>
      <c r="B291" t="inlineStr">
        <is>
          <t>+5511986261685</t>
        </is>
      </c>
      <c r="C291" t="inlineStr">
        <is>
          <t>Advocate</t>
        </is>
      </c>
      <c r="D291" t="inlineStr">
        <is>
          <t>Primer Cachos</t>
        </is>
      </c>
      <c r="E291" t="n">
        <v>2</v>
      </c>
      <c r="F291" t="inlineStr">
        <is>
          <t>2026-02-01</t>
        </is>
      </c>
      <c r="G291" t="n">
        <v>153</v>
      </c>
      <c r="H291" t="inlineStr">
        <is>
          <t>Y</t>
        </is>
      </c>
      <c r="I291">
        <f>HYPERLINK("https://admin.shopify.com/store/ge-beauty-cosmeticos/customers/10063050441024","abrir")</f>
        <v/>
      </c>
      <c r="J291">
        <f>HYPERLINK("https://www.gebeauty.com.br/products/primer-cachos-definidos?ref=review","review")</f>
        <v/>
      </c>
      <c r="K291" t="inlineStr">
        <is>
          <t>SEND</t>
        </is>
      </c>
    </row>
    <row r="292">
      <c r="A292" t="inlineStr">
        <is>
          <t>Rosana</t>
        </is>
      </c>
      <c r="B292" t="inlineStr">
        <is>
          <t>+5511993787822</t>
        </is>
      </c>
      <c r="C292" t="inlineStr">
        <is>
          <t>Advocate</t>
        </is>
      </c>
      <c r="D292" t="inlineStr">
        <is>
          <t>Primer Cachos</t>
        </is>
      </c>
      <c r="E292" t="n">
        <v>2</v>
      </c>
      <c r="F292" t="inlineStr">
        <is>
          <t>2026-05-02</t>
        </is>
      </c>
      <c r="G292" t="n">
        <v>63</v>
      </c>
      <c r="H292" t="inlineStr">
        <is>
          <t>Y</t>
        </is>
      </c>
      <c r="I292">
        <f>HYPERLINK("https://admin.shopify.com/store/ge-beauty-cosmeticos/customers/10080849101120","abrir")</f>
        <v/>
      </c>
      <c r="J292">
        <f>HYPERLINK("https://www.gebeauty.com.br/products/primer-cachos-definidos?ref=review","review")</f>
        <v/>
      </c>
      <c r="K292" t="inlineStr">
        <is>
          <t>SEND</t>
        </is>
      </c>
    </row>
    <row r="293">
      <c r="A293" t="inlineStr">
        <is>
          <t>Ana Paula</t>
        </is>
      </c>
      <c r="B293" t="inlineStr">
        <is>
          <t>+5512988241992</t>
        </is>
      </c>
      <c r="C293" t="inlineStr">
        <is>
          <t>Advocate</t>
        </is>
      </c>
      <c r="D293" t="inlineStr">
        <is>
          <t>Primer Cachos</t>
        </is>
      </c>
      <c r="E293" t="n">
        <v>3</v>
      </c>
      <c r="F293" t="inlineStr">
        <is>
          <t>2026-04-23</t>
        </is>
      </c>
      <c r="G293" t="n">
        <v>72</v>
      </c>
      <c r="H293" t="inlineStr">
        <is>
          <t>Y</t>
        </is>
      </c>
      <c r="I293">
        <f>HYPERLINK("https://admin.shopify.com/store/ge-beauty-cosmeticos/customers/10077090414912","abrir")</f>
        <v/>
      </c>
      <c r="J293">
        <f>HYPERLINK("https://www.gebeauty.com.br/products/primer-cachos-definidos?ref=review","review")</f>
        <v/>
      </c>
      <c r="K293" t="inlineStr">
        <is>
          <t>SEND</t>
        </is>
      </c>
    </row>
    <row r="294">
      <c r="A294" t="inlineStr">
        <is>
          <t>Clarissa</t>
        </is>
      </c>
      <c r="B294" t="inlineStr">
        <is>
          <t>+5586999628342</t>
        </is>
      </c>
      <c r="C294" t="inlineStr">
        <is>
          <t>Advocate</t>
        </is>
      </c>
      <c r="D294" t="inlineStr">
        <is>
          <t>Primer Cachos</t>
        </is>
      </c>
      <c r="E294" t="n">
        <v>2</v>
      </c>
      <c r="F294" t="inlineStr">
        <is>
          <t>2026-05-30</t>
        </is>
      </c>
      <c r="G294" t="n">
        <v>35</v>
      </c>
      <c r="H294" t="inlineStr">
        <is>
          <t>Y</t>
        </is>
      </c>
      <c r="I294">
        <f>HYPERLINK("https://admin.shopify.com/store/ge-beauty-cosmeticos/customers/10083224158528","abrir")</f>
        <v/>
      </c>
      <c r="J294">
        <f>HYPERLINK("https://www.gebeauty.com.br/products/primer-cachos-definidos?ref=review","review")</f>
        <v/>
      </c>
      <c r="K294" t="inlineStr">
        <is>
          <t>SEND</t>
        </is>
      </c>
    </row>
    <row r="295">
      <c r="A295" t="inlineStr">
        <is>
          <t>Vanessa</t>
        </is>
      </c>
      <c r="B295" t="inlineStr">
        <is>
          <t>+5511977924896</t>
        </is>
      </c>
      <c r="C295" t="inlineStr">
        <is>
          <t>Advocate</t>
        </is>
      </c>
      <c r="D295" t="inlineStr">
        <is>
          <t>Primer Cachos</t>
        </is>
      </c>
      <c r="E295" t="n">
        <v>2</v>
      </c>
      <c r="F295" t="inlineStr">
        <is>
          <t>2026-05-05</t>
        </is>
      </c>
      <c r="G295" t="n">
        <v>60</v>
      </c>
      <c r="H295" t="inlineStr">
        <is>
          <t>Y</t>
        </is>
      </c>
      <c r="I295">
        <f>HYPERLINK("https://admin.shopify.com/store/ge-beauty-cosmeticos/customers/7762332221760","abrir")</f>
        <v/>
      </c>
      <c r="J295">
        <f>HYPERLINK("https://www.gebeauty.com.br/products/primer-cachos-definidos?ref=review","review")</f>
        <v/>
      </c>
      <c r="K295" t="inlineStr">
        <is>
          <t>SEND</t>
        </is>
      </c>
    </row>
    <row r="296">
      <c r="A296" t="inlineStr">
        <is>
          <t>Daniela</t>
        </is>
      </c>
      <c r="B296" t="inlineStr">
        <is>
          <t>+5511999742075</t>
        </is>
      </c>
      <c r="C296" t="inlineStr">
        <is>
          <t>Advocate</t>
        </is>
      </c>
      <c r="D296" t="inlineStr">
        <is>
          <t>Primer Cachos</t>
        </is>
      </c>
      <c r="E296" t="n">
        <v>2</v>
      </c>
      <c r="F296" t="inlineStr">
        <is>
          <t>2026-06-17</t>
        </is>
      </c>
      <c r="G296" t="n">
        <v>17</v>
      </c>
      <c r="H296" t="inlineStr">
        <is>
          <t>Y</t>
        </is>
      </c>
      <c r="I296">
        <f>HYPERLINK("https://admin.shopify.com/store/ge-beauty-cosmeticos/customers/10085064671552","abrir")</f>
        <v/>
      </c>
      <c r="J296">
        <f>HYPERLINK("https://www.gebeauty.com.br/products/primer-cachos-definidos?ref=review","review")</f>
        <v/>
      </c>
      <c r="K296" t="inlineStr">
        <is>
          <t>SEND</t>
        </is>
      </c>
    </row>
    <row r="297">
      <c r="A297" t="inlineStr">
        <is>
          <t>Natalia</t>
        </is>
      </c>
      <c r="B297" t="inlineStr">
        <is>
          <t>+5521979071818</t>
        </is>
      </c>
      <c r="C297" t="inlineStr">
        <is>
          <t>Advocate</t>
        </is>
      </c>
      <c r="D297" t="inlineStr">
        <is>
          <t>Primer Cachos</t>
        </is>
      </c>
      <c r="E297" t="n">
        <v>2</v>
      </c>
      <c r="F297" t="inlineStr">
        <is>
          <t>2026-04-22</t>
        </is>
      </c>
      <c r="G297" t="n">
        <v>73</v>
      </c>
      <c r="H297" t="inlineStr">
        <is>
          <t>Y</t>
        </is>
      </c>
      <c r="I297">
        <f>HYPERLINK("https://admin.shopify.com/store/ge-beauty-cosmeticos/customers/10086841876800","abrir")</f>
        <v/>
      </c>
      <c r="J297">
        <f>HYPERLINK("https://www.gebeauty.com.br/products/primer-cachos-definidos?ref=review","review")</f>
        <v/>
      </c>
      <c r="K297" t="inlineStr">
        <is>
          <t>SEND</t>
        </is>
      </c>
    </row>
    <row r="298">
      <c r="A298" t="inlineStr">
        <is>
          <t>Daniel</t>
        </is>
      </c>
      <c r="B298" t="inlineStr">
        <is>
          <t>+5521965121519</t>
        </is>
      </c>
      <c r="C298" t="inlineStr">
        <is>
          <t>Advocate</t>
        </is>
      </c>
      <c r="D298" t="inlineStr">
        <is>
          <t>Primer Cachos</t>
        </is>
      </c>
      <c r="E298" t="n">
        <v>2</v>
      </c>
      <c r="F298" t="inlineStr">
        <is>
          <t>2026-05-06</t>
        </is>
      </c>
      <c r="G298" t="n">
        <v>59</v>
      </c>
      <c r="H298" t="inlineStr">
        <is>
          <t>Y</t>
        </is>
      </c>
      <c r="I298">
        <f>HYPERLINK("https://admin.shopify.com/store/ge-beauty-cosmeticos/customers/9870534574400","abrir")</f>
        <v/>
      </c>
      <c r="J298">
        <f>HYPERLINK("https://www.gebeauty.com.br/products/primer-cachos-definidos?ref=review","review")</f>
        <v/>
      </c>
      <c r="K298" t="inlineStr">
        <is>
          <t>SEND</t>
        </is>
      </c>
    </row>
    <row r="299">
      <c r="A299" t="inlineStr">
        <is>
          <t>Renata</t>
        </is>
      </c>
      <c r="B299" t="inlineStr">
        <is>
          <t>+555481364176</t>
        </is>
      </c>
      <c r="C299" t="inlineStr">
        <is>
          <t>Advocate</t>
        </is>
      </c>
      <c r="D299" t="inlineStr">
        <is>
          <t>Primer Cachos</t>
        </is>
      </c>
      <c r="E299" t="n">
        <v>2</v>
      </c>
      <c r="F299" t="inlineStr">
        <is>
          <t>2026-05-27</t>
        </is>
      </c>
      <c r="G299" t="n">
        <v>38</v>
      </c>
      <c r="H299" t="inlineStr">
        <is>
          <t>Y</t>
        </is>
      </c>
      <c r="I299">
        <f>HYPERLINK("https://admin.shopify.com/store/ge-beauty-cosmeticos/customers/10087408697664","abrir")</f>
        <v/>
      </c>
      <c r="J299">
        <f>HYPERLINK("https://www.gebeauty.com.br/products/primer-cachos-definidos?ref=review","review")</f>
        <v/>
      </c>
      <c r="K299" t="inlineStr">
        <is>
          <t>SEND</t>
        </is>
      </c>
    </row>
    <row r="300">
      <c r="A300" t="inlineStr">
        <is>
          <t>Thais</t>
        </is>
      </c>
      <c r="B300" t="inlineStr">
        <is>
          <t>+5511996897855</t>
        </is>
      </c>
      <c r="C300" t="inlineStr">
        <is>
          <t>Advocate</t>
        </is>
      </c>
      <c r="D300" t="inlineStr">
        <is>
          <t>Primer Cachos</t>
        </is>
      </c>
      <c r="E300" t="n">
        <v>2</v>
      </c>
      <c r="F300" t="inlineStr">
        <is>
          <t>2026-06-10</t>
        </is>
      </c>
      <c r="G300" t="n">
        <v>24</v>
      </c>
      <c r="H300" t="inlineStr">
        <is>
          <t>Y</t>
        </is>
      </c>
      <c r="I300">
        <f>HYPERLINK("https://admin.shopify.com/store/ge-beauty-cosmeticos/customers/7761114661184","abrir")</f>
        <v/>
      </c>
      <c r="J300">
        <f>HYPERLINK("https://www.gebeauty.com.br/products/primer-cachos-definidos?ref=review","review")</f>
        <v/>
      </c>
      <c r="K300" t="inlineStr">
        <is>
          <t>HOLDOUT</t>
        </is>
      </c>
    </row>
    <row r="301">
      <c r="B301" t="inlineStr">
        <is>
          <t>+5584981161313</t>
        </is>
      </c>
      <c r="C301" t="inlineStr">
        <is>
          <t>Advocate</t>
        </is>
      </c>
      <c r="D301" t="inlineStr">
        <is>
          <t>Primer Cachos</t>
        </is>
      </c>
      <c r="E301" t="n">
        <v>2</v>
      </c>
      <c r="F301" t="inlineStr">
        <is>
          <t>2026-07-03</t>
        </is>
      </c>
      <c r="G301" t="n">
        <v>1</v>
      </c>
      <c r="H301" t="inlineStr">
        <is>
          <t>Y</t>
        </is>
      </c>
      <c r="I301">
        <f>HYPERLINK("https://admin.shopify.com/store/ge-beauty-cosmeticos/customers/9646823539008","abrir")</f>
        <v/>
      </c>
      <c r="J301">
        <f>HYPERLINK("https://www.gebeauty.com.br/products/primer-cachos-definidos?ref=review","review")</f>
        <v/>
      </c>
      <c r="K301" t="inlineStr">
        <is>
          <t>SEND</t>
        </is>
      </c>
    </row>
    <row r="302">
      <c r="A302" t="inlineStr">
        <is>
          <t>Claudia Mara</t>
        </is>
      </c>
      <c r="B302" t="inlineStr">
        <is>
          <t>+5511975330708</t>
        </is>
      </c>
      <c r="C302" t="inlineStr">
        <is>
          <t>Advocate</t>
        </is>
      </c>
      <c r="D302" t="inlineStr">
        <is>
          <t>Primer Cachos</t>
        </is>
      </c>
      <c r="E302" t="n">
        <v>2</v>
      </c>
      <c r="F302" t="inlineStr">
        <is>
          <t>2026-04-21</t>
        </is>
      </c>
      <c r="G302" t="n">
        <v>74</v>
      </c>
      <c r="H302" t="inlineStr">
        <is>
          <t>Y</t>
        </is>
      </c>
      <c r="I302">
        <f>HYPERLINK("https://admin.shopify.com/store/ge-beauty-cosmeticos/customers/10076726362432","abrir")</f>
        <v/>
      </c>
      <c r="J302">
        <f>HYPERLINK("https://www.gebeauty.com.br/products/primer-cachos-definidos?ref=review","review")</f>
        <v/>
      </c>
      <c r="K302" t="inlineStr">
        <is>
          <t>SEND</t>
        </is>
      </c>
    </row>
    <row r="303">
      <c r="A303" t="inlineStr">
        <is>
          <t>Denise</t>
        </is>
      </c>
      <c r="B303" t="inlineStr">
        <is>
          <t>+5511981879442</t>
        </is>
      </c>
      <c r="C303" t="inlineStr">
        <is>
          <t>Advocate</t>
        </is>
      </c>
      <c r="D303" t="inlineStr">
        <is>
          <t>Primer Cachos</t>
        </is>
      </c>
      <c r="E303" t="n">
        <v>2</v>
      </c>
      <c r="F303" t="inlineStr">
        <is>
          <t>2026-03-19</t>
        </is>
      </c>
      <c r="G303" t="n">
        <v>107</v>
      </c>
      <c r="H303" t="inlineStr">
        <is>
          <t>Y</t>
        </is>
      </c>
      <c r="I303">
        <f>HYPERLINK("https://admin.shopify.com/store/ge-beauty-cosmeticos/customers/10095753003328","abrir")</f>
        <v/>
      </c>
      <c r="J303">
        <f>HYPERLINK("https://www.gebeauty.com.br/products/primer-cachos-definidos?ref=review","review")</f>
        <v/>
      </c>
      <c r="K303" t="inlineStr">
        <is>
          <t>SEND</t>
        </is>
      </c>
    </row>
    <row r="304">
      <c r="A304" t="inlineStr">
        <is>
          <t>Mariana</t>
        </is>
      </c>
      <c r="B304" t="inlineStr">
        <is>
          <t>+5581998278072</t>
        </is>
      </c>
      <c r="C304" t="inlineStr">
        <is>
          <t>Advocate</t>
        </is>
      </c>
      <c r="D304" t="inlineStr">
        <is>
          <t>Primer Cachos</t>
        </is>
      </c>
      <c r="E304" t="n">
        <v>2</v>
      </c>
      <c r="F304" t="inlineStr">
        <is>
          <t>2026-02-27</t>
        </is>
      </c>
      <c r="G304" t="n">
        <v>127</v>
      </c>
      <c r="H304" t="inlineStr">
        <is>
          <t>Y</t>
        </is>
      </c>
      <c r="I304">
        <f>HYPERLINK("https://admin.shopify.com/store/ge-beauty-cosmeticos/customers/10096532390208","abrir")</f>
        <v/>
      </c>
      <c r="J304">
        <f>HYPERLINK("https://www.gebeauty.com.br/products/primer-cachos-definidos?ref=review","review")</f>
        <v/>
      </c>
      <c r="K304" t="inlineStr">
        <is>
          <t>SEND</t>
        </is>
      </c>
    </row>
    <row r="305">
      <c r="A305" t="inlineStr">
        <is>
          <t>Joana</t>
        </is>
      </c>
      <c r="B305" t="inlineStr">
        <is>
          <t>+5521966644194</t>
        </is>
      </c>
      <c r="C305" t="inlineStr">
        <is>
          <t>Advocate</t>
        </is>
      </c>
      <c r="D305" t="inlineStr">
        <is>
          <t>Primer Cachos</t>
        </is>
      </c>
      <c r="E305" t="n">
        <v>2</v>
      </c>
      <c r="F305" t="inlineStr">
        <is>
          <t>2026-04-24</t>
        </is>
      </c>
      <c r="G305" t="n">
        <v>71</v>
      </c>
      <c r="H305" t="inlineStr">
        <is>
          <t>N</t>
        </is>
      </c>
      <c r="I305">
        <f>HYPERLINK("https://admin.shopify.com/store/ge-beauty-cosmeticos/customers/10076297101632","abrir")</f>
        <v/>
      </c>
      <c r="J305">
        <f>HYPERLINK("https://www.gebeauty.com.br/products/primer-cachos-definidos?ref=review","review")</f>
        <v/>
      </c>
      <c r="K305" t="inlineStr">
        <is>
          <t>SEND</t>
        </is>
      </c>
    </row>
    <row r="306">
      <c r="A306" t="inlineStr">
        <is>
          <t>Aline</t>
        </is>
      </c>
      <c r="B306" t="inlineStr">
        <is>
          <t>+5521983006581</t>
        </is>
      </c>
      <c r="C306" t="inlineStr">
        <is>
          <t>Advocate</t>
        </is>
      </c>
      <c r="D306" t="inlineStr">
        <is>
          <t>Primer Cachos</t>
        </is>
      </c>
      <c r="E306" t="n">
        <v>2</v>
      </c>
      <c r="F306" t="inlineStr">
        <is>
          <t>2026-03-06</t>
        </is>
      </c>
      <c r="G306" t="n">
        <v>120</v>
      </c>
      <c r="H306" t="inlineStr">
        <is>
          <t>Y</t>
        </is>
      </c>
      <c r="I306">
        <f>HYPERLINK("https://admin.shopify.com/store/ge-beauty-cosmeticos/customers/10130466439488","abrir")</f>
        <v/>
      </c>
      <c r="J306">
        <f>HYPERLINK("https://www.gebeauty.com.br/products/primer-cachos-definidos?ref=review","review")</f>
        <v/>
      </c>
      <c r="K306" t="inlineStr">
        <is>
          <t>SEND</t>
        </is>
      </c>
    </row>
    <row r="307">
      <c r="A307" t="inlineStr">
        <is>
          <t>Carolline</t>
        </is>
      </c>
      <c r="B307" t="inlineStr">
        <is>
          <t>+5522992228980</t>
        </is>
      </c>
      <c r="C307" t="inlineStr">
        <is>
          <t>Advocate</t>
        </is>
      </c>
      <c r="D307" t="inlineStr">
        <is>
          <t>Primer Cachos</t>
        </is>
      </c>
      <c r="E307" t="n">
        <v>2</v>
      </c>
      <c r="F307" t="inlineStr">
        <is>
          <t>2026-06-08</t>
        </is>
      </c>
      <c r="G307" t="n">
        <v>26</v>
      </c>
      <c r="H307" t="inlineStr">
        <is>
          <t>Y</t>
        </is>
      </c>
      <c r="I307">
        <f>HYPERLINK("https://admin.shopify.com/store/ge-beauty-cosmeticos/customers/9486546862400","abrir")</f>
        <v/>
      </c>
      <c r="J307">
        <f>HYPERLINK("https://www.gebeauty.com.br/products/primer-cachos-definidos?ref=review","review")</f>
        <v/>
      </c>
      <c r="K307" t="inlineStr">
        <is>
          <t>HOLDOUT</t>
        </is>
      </c>
    </row>
    <row r="308">
      <c r="A308" t="inlineStr">
        <is>
          <t>Mayara</t>
        </is>
      </c>
      <c r="B308" t="inlineStr">
        <is>
          <t>+5511953092915</t>
        </is>
      </c>
      <c r="C308" t="inlineStr">
        <is>
          <t>Advocate</t>
        </is>
      </c>
      <c r="D308" t="inlineStr">
        <is>
          <t>Primer Cachos</t>
        </is>
      </c>
      <c r="E308" t="n">
        <v>2</v>
      </c>
      <c r="F308" t="inlineStr">
        <is>
          <t>2026-04-13</t>
        </is>
      </c>
      <c r="G308" t="n">
        <v>82</v>
      </c>
      <c r="H308" t="inlineStr">
        <is>
          <t>Y</t>
        </is>
      </c>
      <c r="I308">
        <f>HYPERLINK("https://admin.shopify.com/store/ge-beauty-cosmeticos/customers/10155178983744","abrir")</f>
        <v/>
      </c>
      <c r="J308">
        <f>HYPERLINK("https://www.gebeauty.com.br/products/primer-cachos-definidos?ref=review","review")</f>
        <v/>
      </c>
      <c r="K308" t="inlineStr">
        <is>
          <t>SEND</t>
        </is>
      </c>
    </row>
    <row r="309">
      <c r="A309" t="inlineStr">
        <is>
          <t>Bruna</t>
        </is>
      </c>
      <c r="B309" t="inlineStr">
        <is>
          <t>+5524992613121</t>
        </is>
      </c>
      <c r="C309" t="inlineStr">
        <is>
          <t>Advocate</t>
        </is>
      </c>
      <c r="D309" t="inlineStr">
        <is>
          <t>Primer Cachos</t>
        </is>
      </c>
      <c r="E309" t="n">
        <v>2</v>
      </c>
      <c r="F309" t="inlineStr">
        <is>
          <t>2026-03-11</t>
        </is>
      </c>
      <c r="G309" t="n">
        <v>115</v>
      </c>
      <c r="H309" t="inlineStr">
        <is>
          <t>Y</t>
        </is>
      </c>
      <c r="I309">
        <f>HYPERLINK("https://admin.shopify.com/store/ge-beauty-cosmeticos/customers/10155246059840","abrir")</f>
        <v/>
      </c>
      <c r="J309">
        <f>HYPERLINK("https://www.gebeauty.com.br/products/primer-cachos-definidos?ref=review","review")</f>
        <v/>
      </c>
      <c r="K309" t="inlineStr">
        <is>
          <t>SEND</t>
        </is>
      </c>
    </row>
    <row r="310">
      <c r="A310" t="inlineStr">
        <is>
          <t>Alessandra</t>
        </is>
      </c>
      <c r="B310" t="inlineStr">
        <is>
          <t>+5519991022620</t>
        </is>
      </c>
      <c r="C310" t="inlineStr">
        <is>
          <t>Advocate</t>
        </is>
      </c>
      <c r="D310" t="inlineStr">
        <is>
          <t>Primer Cachos</t>
        </is>
      </c>
      <c r="E310" t="n">
        <v>2</v>
      </c>
      <c r="F310" t="inlineStr">
        <is>
          <t>2026-02-13</t>
        </is>
      </c>
      <c r="G310" t="n">
        <v>141</v>
      </c>
      <c r="H310" t="inlineStr">
        <is>
          <t>Y</t>
        </is>
      </c>
      <c r="I310">
        <f>HYPERLINK("https://admin.shopify.com/store/ge-beauty-cosmeticos/customers/8927170003264","abrir")</f>
        <v/>
      </c>
      <c r="J310">
        <f>HYPERLINK("https://www.gebeauty.com.br/products/primer-cachos-definidos?ref=review","review")</f>
        <v/>
      </c>
      <c r="K310" t="inlineStr">
        <is>
          <t>SEND</t>
        </is>
      </c>
    </row>
    <row r="311">
      <c r="A311" t="inlineStr">
        <is>
          <t>Julia</t>
        </is>
      </c>
      <c r="B311" t="inlineStr">
        <is>
          <t>+5571988876002</t>
        </is>
      </c>
      <c r="C311" t="inlineStr">
        <is>
          <t>Advocate</t>
        </is>
      </c>
      <c r="D311" t="inlineStr">
        <is>
          <t>Primer Cachos</t>
        </is>
      </c>
      <c r="E311" t="n">
        <v>2</v>
      </c>
      <c r="F311" t="inlineStr">
        <is>
          <t>2026-04-09</t>
        </is>
      </c>
      <c r="G311" t="n">
        <v>86</v>
      </c>
      <c r="H311" t="inlineStr">
        <is>
          <t>Y</t>
        </is>
      </c>
      <c r="I311">
        <f>HYPERLINK("https://admin.shopify.com/store/ge-beauty-cosmeticos/customers/8495434432832","abrir")</f>
        <v/>
      </c>
      <c r="J311">
        <f>HYPERLINK("https://www.gebeauty.com.br/products/primer-cachos-definidos?ref=review","review")</f>
        <v/>
      </c>
      <c r="K311" t="inlineStr">
        <is>
          <t>HOLDOUT</t>
        </is>
      </c>
    </row>
    <row r="312">
      <c r="A312" t="inlineStr">
        <is>
          <t>Tábatta</t>
        </is>
      </c>
      <c r="B312" t="inlineStr">
        <is>
          <t>+557798009640</t>
        </is>
      </c>
      <c r="C312" t="inlineStr">
        <is>
          <t>Advocate</t>
        </is>
      </c>
      <c r="D312" t="inlineStr">
        <is>
          <t>Primer Cachos</t>
        </is>
      </c>
      <c r="E312" t="n">
        <v>2</v>
      </c>
      <c r="F312" t="inlineStr">
        <is>
          <t>2026-05-14</t>
        </is>
      </c>
      <c r="G312" t="n">
        <v>51</v>
      </c>
      <c r="H312" t="inlineStr">
        <is>
          <t>Y</t>
        </is>
      </c>
      <c r="I312">
        <f>HYPERLINK("https://admin.shopify.com/store/ge-beauty-cosmeticos/customers/10178315714880","abrir")</f>
        <v/>
      </c>
      <c r="J312">
        <f>HYPERLINK("https://www.gebeauty.com.br/products/primer-cachos-definidos?ref=review","review")</f>
        <v/>
      </c>
      <c r="K312" t="inlineStr">
        <is>
          <t>SEND</t>
        </is>
      </c>
    </row>
    <row r="313">
      <c r="A313" t="inlineStr">
        <is>
          <t>Elenice</t>
        </is>
      </c>
      <c r="B313" t="inlineStr">
        <is>
          <t>+5521981488601</t>
        </is>
      </c>
      <c r="C313" t="inlineStr">
        <is>
          <t>Advocate</t>
        </is>
      </c>
      <c r="D313" t="inlineStr">
        <is>
          <t>Primer Cachos</t>
        </is>
      </c>
      <c r="E313" t="n">
        <v>2</v>
      </c>
      <c r="F313" t="inlineStr">
        <is>
          <t>2026-04-22</t>
        </is>
      </c>
      <c r="G313" t="n">
        <v>73</v>
      </c>
      <c r="H313" t="inlineStr">
        <is>
          <t>Y</t>
        </is>
      </c>
      <c r="I313">
        <f>HYPERLINK("https://admin.shopify.com/store/ge-beauty-cosmeticos/customers/10189070270784","abrir")</f>
        <v/>
      </c>
      <c r="J313">
        <f>HYPERLINK("https://www.gebeauty.com.br/products/primer-cachos-definidos?ref=review","review")</f>
        <v/>
      </c>
      <c r="K313" t="inlineStr">
        <is>
          <t>HOLDOUT</t>
        </is>
      </c>
    </row>
    <row r="314">
      <c r="A314" t="inlineStr">
        <is>
          <t>Livia</t>
        </is>
      </c>
      <c r="B314" t="inlineStr">
        <is>
          <t>+5521984205441</t>
        </is>
      </c>
      <c r="C314" t="inlineStr">
        <is>
          <t>Advocate</t>
        </is>
      </c>
      <c r="D314" t="inlineStr">
        <is>
          <t>Primer Cachos</t>
        </is>
      </c>
      <c r="E314" t="n">
        <v>2</v>
      </c>
      <c r="F314" t="inlineStr">
        <is>
          <t>2026-04-17</t>
        </is>
      </c>
      <c r="G314" t="n">
        <v>78</v>
      </c>
      <c r="H314" t="inlineStr">
        <is>
          <t>Y</t>
        </is>
      </c>
      <c r="I314">
        <f>HYPERLINK("https://admin.shopify.com/store/ge-beauty-cosmeticos/customers/10411324375360","abrir")</f>
        <v/>
      </c>
      <c r="J314">
        <f>HYPERLINK("https://www.gebeauty.com.br/products/primer-cachos-definidos?ref=review","review")</f>
        <v/>
      </c>
      <c r="K314" t="inlineStr">
        <is>
          <t>SEND</t>
        </is>
      </c>
    </row>
    <row r="315">
      <c r="A315" t="inlineStr">
        <is>
          <t>Fernanda</t>
        </is>
      </c>
      <c r="B315" t="inlineStr">
        <is>
          <t>+5521997669888</t>
        </is>
      </c>
      <c r="C315" t="inlineStr">
        <is>
          <t>Advocate</t>
        </is>
      </c>
      <c r="D315" t="inlineStr">
        <is>
          <t>Primer Cachos</t>
        </is>
      </c>
      <c r="E315" t="n">
        <v>2</v>
      </c>
      <c r="F315" t="inlineStr">
        <is>
          <t>2026-05-30</t>
        </is>
      </c>
      <c r="G315" t="n">
        <v>35</v>
      </c>
      <c r="H315" t="inlineStr">
        <is>
          <t>Y</t>
        </is>
      </c>
      <c r="I315">
        <f>HYPERLINK("https://admin.shopify.com/store/ge-beauty-cosmeticos/customers/10269611032896","abrir")</f>
        <v/>
      </c>
      <c r="J315">
        <f>HYPERLINK("https://www.gebeauty.com.br/products/primer-cachos-definidos?ref=review","review")</f>
        <v/>
      </c>
      <c r="K315" t="inlineStr">
        <is>
          <t>SEND</t>
        </is>
      </c>
    </row>
    <row r="316">
      <c r="A316" t="inlineStr">
        <is>
          <t>Clarissa</t>
        </is>
      </c>
      <c r="B316" t="inlineStr">
        <is>
          <t>+5581996015123</t>
        </is>
      </c>
      <c r="C316" t="inlineStr">
        <is>
          <t>Advocate</t>
        </is>
      </c>
      <c r="D316" t="inlineStr">
        <is>
          <t>Primer Cachos</t>
        </is>
      </c>
      <c r="E316" t="n">
        <v>2</v>
      </c>
      <c r="F316" t="inlineStr">
        <is>
          <t>2026-04-08</t>
        </is>
      </c>
      <c r="G316" t="n">
        <v>87</v>
      </c>
      <c r="H316" t="inlineStr">
        <is>
          <t>Y</t>
        </is>
      </c>
      <c r="I316">
        <f>HYPERLINK("https://admin.shopify.com/store/ge-beauty-cosmeticos/customers/8747333419328","abrir")</f>
        <v/>
      </c>
      <c r="J316">
        <f>HYPERLINK("https://www.gebeauty.com.br/products/primer-cachos-definidos?ref=review","review")</f>
        <v/>
      </c>
      <c r="K316" t="inlineStr">
        <is>
          <t>SEND</t>
        </is>
      </c>
    </row>
    <row r="317">
      <c r="A317" t="inlineStr">
        <is>
          <t>Evelise</t>
        </is>
      </c>
      <c r="B317" t="inlineStr">
        <is>
          <t>+5551991818881</t>
        </is>
      </c>
      <c r="C317" t="inlineStr">
        <is>
          <t>Advocate</t>
        </is>
      </c>
      <c r="D317" t="inlineStr">
        <is>
          <t>Primer Cachos</t>
        </is>
      </c>
      <c r="E317" t="n">
        <v>2</v>
      </c>
      <c r="F317" t="inlineStr">
        <is>
          <t>2026-06-29</t>
        </is>
      </c>
      <c r="G317" t="n">
        <v>5</v>
      </c>
      <c r="H317" t="inlineStr">
        <is>
          <t>Y</t>
        </is>
      </c>
      <c r="I317">
        <f>HYPERLINK("https://admin.shopify.com/store/ge-beauty-cosmeticos/customers/10382363820352","abrir")</f>
        <v/>
      </c>
      <c r="J317">
        <f>HYPERLINK("https://www.gebeauty.com.br/products/primer-cachos-definidos?ref=review","review")</f>
        <v/>
      </c>
      <c r="K317" t="inlineStr">
        <is>
          <t>SEND</t>
        </is>
      </c>
    </row>
    <row r="318">
      <c r="A318" t="inlineStr">
        <is>
          <t>Luma</t>
        </is>
      </c>
      <c r="B318" t="inlineStr">
        <is>
          <t>+5571991828646</t>
        </is>
      </c>
      <c r="C318" t="inlineStr">
        <is>
          <t>Advocate</t>
        </is>
      </c>
      <c r="D318" t="inlineStr">
        <is>
          <t>Primer Cachos</t>
        </is>
      </c>
      <c r="E318" t="n">
        <v>2</v>
      </c>
      <c r="F318" t="inlineStr">
        <is>
          <t>2026-05-28</t>
        </is>
      </c>
      <c r="G318" t="n">
        <v>37</v>
      </c>
      <c r="H318" t="inlineStr">
        <is>
          <t>Y</t>
        </is>
      </c>
      <c r="I318">
        <f>HYPERLINK("https://admin.shopify.com/store/ge-beauty-cosmeticos/customers/10073531973952","abrir")</f>
        <v/>
      </c>
      <c r="J318">
        <f>HYPERLINK("https://www.gebeauty.com.br/products/primer-cachos-definidos?ref=review","review")</f>
        <v/>
      </c>
      <c r="K318" t="inlineStr">
        <is>
          <t>SEND</t>
        </is>
      </c>
    </row>
    <row r="319">
      <c r="A319" t="inlineStr">
        <is>
          <t>Amanda</t>
        </is>
      </c>
      <c r="B319" t="inlineStr">
        <is>
          <t>+5586999919496</t>
        </is>
      </c>
      <c r="C319" t="inlineStr">
        <is>
          <t>Advocate</t>
        </is>
      </c>
      <c r="D319" t="inlineStr">
        <is>
          <t>Primer Cachos</t>
        </is>
      </c>
      <c r="E319" t="n">
        <v>2</v>
      </c>
      <c r="F319" t="inlineStr">
        <is>
          <t>2026-06-08</t>
        </is>
      </c>
      <c r="G319" t="n">
        <v>26</v>
      </c>
      <c r="H319" t="inlineStr">
        <is>
          <t>Y</t>
        </is>
      </c>
      <c r="I319">
        <f>HYPERLINK("https://admin.shopify.com/store/ge-beauty-cosmeticos/customers/9486565540160","abrir")</f>
        <v/>
      </c>
      <c r="J319">
        <f>HYPERLINK("https://www.gebeauty.com.br/products/primer-cachos-definidos?ref=review","review")</f>
        <v/>
      </c>
      <c r="K319" t="inlineStr">
        <is>
          <t>HOLDOUT</t>
        </is>
      </c>
    </row>
    <row r="320">
      <c r="A320" t="inlineStr">
        <is>
          <t>Rafael</t>
        </is>
      </c>
      <c r="B320" t="inlineStr">
        <is>
          <t>+5527997552112</t>
        </is>
      </c>
      <c r="C320" t="inlineStr">
        <is>
          <t>Advocate</t>
        </is>
      </c>
      <c r="D320" t="inlineStr">
        <is>
          <t>Primer Cachos</t>
        </is>
      </c>
      <c r="E320" t="n">
        <v>2</v>
      </c>
      <c r="F320" t="inlineStr">
        <is>
          <t>2026-06-12</t>
        </is>
      </c>
      <c r="G320" t="n">
        <v>22</v>
      </c>
      <c r="H320" t="inlineStr">
        <is>
          <t>Y</t>
        </is>
      </c>
      <c r="I320">
        <f>HYPERLINK("https://admin.shopify.com/store/ge-beauty-cosmeticos/customers/10146346697024","abrir")</f>
        <v/>
      </c>
      <c r="J320">
        <f>HYPERLINK("https://www.gebeauty.com.br/products/primer-cachos-definidos?ref=review","review")</f>
        <v/>
      </c>
      <c r="K320" t="inlineStr">
        <is>
          <t>SEND</t>
        </is>
      </c>
    </row>
    <row r="321">
      <c r="A321" t="inlineStr">
        <is>
          <t>Vanessa</t>
        </is>
      </c>
      <c r="B321" t="inlineStr">
        <is>
          <t>+5581996075944</t>
        </is>
      </c>
      <c r="C321" t="inlineStr">
        <is>
          <t>Advocate</t>
        </is>
      </c>
      <c r="D321" t="inlineStr">
        <is>
          <t>Primer Cachos</t>
        </is>
      </c>
      <c r="E321" t="n">
        <v>2</v>
      </c>
      <c r="F321" t="inlineStr">
        <is>
          <t>2026-07-01</t>
        </is>
      </c>
      <c r="G321" t="n">
        <v>3</v>
      </c>
      <c r="H321" t="inlineStr">
        <is>
          <t>Y</t>
        </is>
      </c>
      <c r="I321">
        <f>HYPERLINK("https://admin.shopify.com/store/ge-beauty-cosmeticos/customers/9485954580800","abrir")</f>
        <v/>
      </c>
      <c r="J321">
        <f>HYPERLINK("https://www.gebeauty.com.br/products/primer-cachos-definidos?ref=review","review")</f>
        <v/>
      </c>
      <c r="K321" t="inlineStr">
        <is>
          <t>SEND</t>
        </is>
      </c>
    </row>
    <row r="322">
      <c r="A322" t="inlineStr">
        <is>
          <t>Najla</t>
        </is>
      </c>
      <c r="B322" t="inlineStr">
        <is>
          <t>+5511982821441</t>
        </is>
      </c>
      <c r="C322" t="inlineStr">
        <is>
          <t>Advocate</t>
        </is>
      </c>
      <c r="D322" t="inlineStr">
        <is>
          <t>Primer Cachos</t>
        </is>
      </c>
      <c r="E322" t="n">
        <v>2</v>
      </c>
      <c r="F322" t="inlineStr">
        <is>
          <t>2026-05-22</t>
        </is>
      </c>
      <c r="G322" t="n">
        <v>43</v>
      </c>
      <c r="H322" t="inlineStr">
        <is>
          <t>Y</t>
        </is>
      </c>
      <c r="I322">
        <f>HYPERLINK("https://admin.shopify.com/store/ge-beauty-cosmeticos/customers/10441606267200","abrir")</f>
        <v/>
      </c>
      <c r="J322">
        <f>HYPERLINK("https://www.gebeauty.com.br/products/primer-cachos-definidos?ref=review","review")</f>
        <v/>
      </c>
      <c r="K322" t="inlineStr">
        <is>
          <t>SEND</t>
        </is>
      </c>
    </row>
    <row r="323">
      <c r="A323" t="inlineStr">
        <is>
          <t>Carla</t>
        </is>
      </c>
      <c r="B323" t="inlineStr">
        <is>
          <t>+5511988006807</t>
        </is>
      </c>
      <c r="C323" t="inlineStr">
        <is>
          <t>Advocate</t>
        </is>
      </c>
      <c r="D323" t="inlineStr">
        <is>
          <t>Primer Cachos</t>
        </is>
      </c>
      <c r="E323" t="n">
        <v>2</v>
      </c>
      <c r="F323" t="inlineStr">
        <is>
          <t>2026-06-21</t>
        </is>
      </c>
      <c r="G323" t="n">
        <v>13</v>
      </c>
      <c r="H323" t="inlineStr">
        <is>
          <t>Y</t>
        </is>
      </c>
      <c r="I323">
        <f>HYPERLINK("https://admin.shopify.com/store/ge-beauty-cosmeticos/customers/10181592547648","abrir")</f>
        <v/>
      </c>
      <c r="J323">
        <f>HYPERLINK("https://www.gebeauty.com.br/products/primer-cachos-definidos?ref=review","review")</f>
        <v/>
      </c>
      <c r="K323" t="inlineStr">
        <is>
          <t>SEND</t>
        </is>
      </c>
    </row>
    <row r="324">
      <c r="A324" t="inlineStr">
        <is>
          <t>Camila</t>
        </is>
      </c>
      <c r="B324" t="inlineStr">
        <is>
          <t>+5516981423203</t>
        </is>
      </c>
      <c r="C324" t="inlineStr">
        <is>
          <t>Advocate</t>
        </is>
      </c>
      <c r="D324" t="inlineStr">
        <is>
          <t>Primer Cachos</t>
        </is>
      </c>
      <c r="E324" t="n">
        <v>2</v>
      </c>
      <c r="F324" t="inlineStr">
        <is>
          <t>2026-06-30</t>
        </is>
      </c>
      <c r="G324" t="n">
        <v>4</v>
      </c>
      <c r="H324" t="inlineStr">
        <is>
          <t>Y</t>
        </is>
      </c>
      <c r="I324">
        <f>HYPERLINK("https://admin.shopify.com/store/ge-beauty-cosmeticos/customers/10459601469760","abrir")</f>
        <v/>
      </c>
      <c r="J324">
        <f>HYPERLINK("https://www.gebeauty.com.br/products/primer-cachos-definidos?ref=review","review")</f>
        <v/>
      </c>
      <c r="K324" t="inlineStr">
        <is>
          <t>SEND</t>
        </is>
      </c>
    </row>
    <row r="325">
      <c r="A325" t="inlineStr">
        <is>
          <t>Karen</t>
        </is>
      </c>
      <c r="B325" t="inlineStr">
        <is>
          <t>+5554991714431</t>
        </is>
      </c>
      <c r="C325" t="inlineStr">
        <is>
          <t>Advocate</t>
        </is>
      </c>
      <c r="D325" t="inlineStr">
        <is>
          <t>Primer Cachos</t>
        </is>
      </c>
      <c r="E325" t="n">
        <v>3</v>
      </c>
      <c r="F325" t="inlineStr">
        <is>
          <t>2026-05-12</t>
        </is>
      </c>
      <c r="G325" t="n">
        <v>53</v>
      </c>
      <c r="H325" t="inlineStr">
        <is>
          <t>Y</t>
        </is>
      </c>
      <c r="I325">
        <f>HYPERLINK("https://admin.shopify.com/store/ge-beauty-cosmeticos/customers/10492812099904","abrir")</f>
        <v/>
      </c>
      <c r="J325">
        <f>HYPERLINK("https://www.gebeauty.com.br/products/primer-cachos-definidos?ref=review","review")</f>
        <v/>
      </c>
      <c r="K325" t="inlineStr">
        <is>
          <t>SEND</t>
        </is>
      </c>
    </row>
    <row r="326">
      <c r="A326" t="inlineStr">
        <is>
          <t>Ana Carolina</t>
        </is>
      </c>
      <c r="B326" t="inlineStr">
        <is>
          <t>+556282718432</t>
        </is>
      </c>
      <c r="C326" t="inlineStr">
        <is>
          <t>Advocate</t>
        </is>
      </c>
      <c r="D326" t="inlineStr">
        <is>
          <t>Primer Cachos</t>
        </is>
      </c>
      <c r="E326" t="n">
        <v>2</v>
      </c>
      <c r="F326" t="inlineStr">
        <is>
          <t>2026-05-02</t>
        </is>
      </c>
      <c r="G326" t="n">
        <v>63</v>
      </c>
      <c r="H326" t="inlineStr">
        <is>
          <t>Y</t>
        </is>
      </c>
      <c r="I326">
        <f>HYPERLINK("https://admin.shopify.com/store/ge-beauty-cosmeticos/customers/9484658573632","abrir")</f>
        <v/>
      </c>
      <c r="J326">
        <f>HYPERLINK("https://www.gebeauty.com.br/products/primer-cachos-definidos?ref=review","review")</f>
        <v/>
      </c>
      <c r="K326" t="inlineStr">
        <is>
          <t>SEND</t>
        </is>
      </c>
    </row>
    <row r="327">
      <c r="A327" t="inlineStr">
        <is>
          <t>Marco</t>
        </is>
      </c>
      <c r="B327" t="inlineStr">
        <is>
          <t>+5585987560307</t>
        </is>
      </c>
      <c r="C327" t="inlineStr">
        <is>
          <t>Advocate</t>
        </is>
      </c>
      <c r="D327" t="inlineStr">
        <is>
          <t>Primer Cachos</t>
        </is>
      </c>
      <c r="E327" t="n">
        <v>2</v>
      </c>
      <c r="F327" t="inlineStr">
        <is>
          <t>2026-04-17</t>
        </is>
      </c>
      <c r="G327" t="n">
        <v>78</v>
      </c>
      <c r="H327" t="inlineStr">
        <is>
          <t>Y</t>
        </is>
      </c>
      <c r="I327">
        <f>HYPERLINK("https://admin.shopify.com/store/ge-beauty-cosmeticos/customers/9037779665216","abrir")</f>
        <v/>
      </c>
      <c r="J327">
        <f>HYPERLINK("https://www.gebeauty.com.br/products/primer-cachos-definidos?ref=review","review")</f>
        <v/>
      </c>
      <c r="K327" t="inlineStr">
        <is>
          <t>SEND</t>
        </is>
      </c>
    </row>
    <row r="328">
      <c r="A328" t="inlineStr">
        <is>
          <t>Valeria</t>
        </is>
      </c>
      <c r="B328" t="inlineStr">
        <is>
          <t>+5542991554844</t>
        </is>
      </c>
      <c r="C328" t="inlineStr">
        <is>
          <t>Advocate</t>
        </is>
      </c>
      <c r="D328" t="inlineStr">
        <is>
          <t>Primer Cachos</t>
        </is>
      </c>
      <c r="E328" t="n">
        <v>2</v>
      </c>
      <c r="F328" t="inlineStr">
        <is>
          <t>2026-04-29</t>
        </is>
      </c>
      <c r="G328" t="n">
        <v>66</v>
      </c>
      <c r="H328" t="inlineStr">
        <is>
          <t>Y</t>
        </is>
      </c>
      <c r="I328">
        <f>HYPERLINK("https://admin.shopify.com/store/ge-beauty-cosmeticos/customers/10505844687168","abrir")</f>
        <v/>
      </c>
      <c r="J328">
        <f>HYPERLINK("https://www.gebeauty.com.br/products/primer-cachos-definidos?ref=review","review")</f>
        <v/>
      </c>
      <c r="K328" t="inlineStr">
        <is>
          <t>SEND</t>
        </is>
      </c>
    </row>
    <row r="329">
      <c r="A329" t="inlineStr">
        <is>
          <t>Ana</t>
        </is>
      </c>
      <c r="B329" t="inlineStr">
        <is>
          <t>+5548984024798</t>
        </is>
      </c>
      <c r="C329" t="inlineStr">
        <is>
          <t>Advocate</t>
        </is>
      </c>
      <c r="D329" t="inlineStr">
        <is>
          <t>Primer Cachos</t>
        </is>
      </c>
      <c r="E329" t="n">
        <v>2</v>
      </c>
      <c r="F329" t="inlineStr">
        <is>
          <t>2026-05-11</t>
        </is>
      </c>
      <c r="G329" t="n">
        <v>54</v>
      </c>
      <c r="H329" t="inlineStr">
        <is>
          <t>Y</t>
        </is>
      </c>
      <c r="I329">
        <f>HYPERLINK("https://admin.shopify.com/store/ge-beauty-cosmeticos/customers/10519468179776","abrir")</f>
        <v/>
      </c>
      <c r="J329">
        <f>HYPERLINK("https://www.gebeauty.com.br/products/primer-cachos-definidos?ref=review","review")</f>
        <v/>
      </c>
      <c r="K329" t="inlineStr">
        <is>
          <t>SEND</t>
        </is>
      </c>
    </row>
    <row r="330">
      <c r="A330" t="inlineStr">
        <is>
          <t>Ariane Lara</t>
        </is>
      </c>
      <c r="B330" t="inlineStr">
        <is>
          <t>+5547984191828</t>
        </is>
      </c>
      <c r="C330" t="inlineStr">
        <is>
          <t>Advocate</t>
        </is>
      </c>
      <c r="D330" t="inlineStr">
        <is>
          <t>Primer Cachos</t>
        </is>
      </c>
      <c r="E330" t="n">
        <v>2</v>
      </c>
      <c r="F330" t="inlineStr">
        <is>
          <t>2026-05-22</t>
        </is>
      </c>
      <c r="G330" t="n">
        <v>43</v>
      </c>
      <c r="H330" t="inlineStr">
        <is>
          <t>N</t>
        </is>
      </c>
      <c r="I330">
        <f>HYPERLINK("https://admin.shopify.com/store/ge-beauty-cosmeticos/customers/10474027319616","abrir")</f>
        <v/>
      </c>
      <c r="J330">
        <f>HYPERLINK("https://www.gebeauty.com.br/products/primer-cachos-definidos?ref=review","review")</f>
        <v/>
      </c>
      <c r="K330" t="inlineStr">
        <is>
          <t>SEND</t>
        </is>
      </c>
    </row>
    <row r="331">
      <c r="A331" t="inlineStr">
        <is>
          <t>Denise</t>
        </is>
      </c>
      <c r="B331" t="inlineStr">
        <is>
          <t>+5511948242719</t>
        </is>
      </c>
      <c r="C331" t="inlineStr">
        <is>
          <t>Advocate</t>
        </is>
      </c>
      <c r="D331" t="inlineStr">
        <is>
          <t>Primer Cachos</t>
        </is>
      </c>
      <c r="E331" t="n">
        <v>3</v>
      </c>
      <c r="F331" t="inlineStr">
        <is>
          <t>2026-06-16</t>
        </is>
      </c>
      <c r="G331" t="n">
        <v>18</v>
      </c>
      <c r="H331" t="inlineStr">
        <is>
          <t>Y</t>
        </is>
      </c>
      <c r="I331">
        <f>HYPERLINK("https://admin.shopify.com/store/ge-beauty-cosmeticos/customers/8507368603968","abrir")</f>
        <v/>
      </c>
      <c r="J331">
        <f>HYPERLINK("https://www.gebeauty.com.br/products/primer-cachos-definidos?ref=review","review")</f>
        <v/>
      </c>
      <c r="K331" t="inlineStr">
        <is>
          <t>SEND</t>
        </is>
      </c>
    </row>
    <row r="332">
      <c r="A332" t="inlineStr">
        <is>
          <t>Ana</t>
        </is>
      </c>
      <c r="B332" t="inlineStr">
        <is>
          <t>+5521997007736</t>
        </is>
      </c>
      <c r="C332" t="inlineStr">
        <is>
          <t>Advocate</t>
        </is>
      </c>
      <c r="D332" t="inlineStr">
        <is>
          <t>Primer Cachos</t>
        </is>
      </c>
      <c r="E332" t="n">
        <v>2</v>
      </c>
      <c r="F332" t="inlineStr">
        <is>
          <t>2026-05-25</t>
        </is>
      </c>
      <c r="G332" t="n">
        <v>40</v>
      </c>
      <c r="H332" t="inlineStr">
        <is>
          <t>Y</t>
        </is>
      </c>
      <c r="I332">
        <f>HYPERLINK("https://admin.shopify.com/store/ge-beauty-cosmeticos/customers/10282981523776","abrir")</f>
        <v/>
      </c>
      <c r="J332">
        <f>HYPERLINK("https://www.gebeauty.com.br/products/primer-cachos-definidos?ref=review","review")</f>
        <v/>
      </c>
      <c r="K332" t="inlineStr">
        <is>
          <t>SEND</t>
        </is>
      </c>
    </row>
    <row r="333">
      <c r="A333" t="inlineStr">
        <is>
          <t>Bruna</t>
        </is>
      </c>
      <c r="B333" t="inlineStr">
        <is>
          <t>+5511996070384</t>
        </is>
      </c>
      <c r="C333" t="inlineStr">
        <is>
          <t>Advocate</t>
        </is>
      </c>
      <c r="D333" t="inlineStr">
        <is>
          <t>Primer Cachos</t>
        </is>
      </c>
      <c r="E333" t="n">
        <v>2</v>
      </c>
      <c r="F333" t="inlineStr">
        <is>
          <t>2026-06-13</t>
        </is>
      </c>
      <c r="G333" t="n">
        <v>21</v>
      </c>
      <c r="H333" t="inlineStr">
        <is>
          <t>N</t>
        </is>
      </c>
      <c r="I333">
        <f>HYPERLINK("https://admin.shopify.com/store/ge-beauty-cosmeticos/customers/10505360965952","abrir")</f>
        <v/>
      </c>
      <c r="J333">
        <f>HYPERLINK("https://www.gebeauty.com.br/products/primer-cachos-definidos?ref=review","review")</f>
        <v/>
      </c>
      <c r="K333" t="inlineStr">
        <is>
          <t>SEND</t>
        </is>
      </c>
    </row>
    <row r="334">
      <c r="A334" t="inlineStr">
        <is>
          <t>Cristina</t>
        </is>
      </c>
      <c r="B334" t="inlineStr">
        <is>
          <t>+5561992568000</t>
        </is>
      </c>
      <c r="C334" t="inlineStr">
        <is>
          <t>Advocate</t>
        </is>
      </c>
      <c r="D334" t="inlineStr">
        <is>
          <t>Primer Cachos</t>
        </is>
      </c>
      <c r="E334" t="n">
        <v>2</v>
      </c>
      <c r="F334" t="inlineStr">
        <is>
          <t>2026-05-23</t>
        </is>
      </c>
      <c r="G334" t="n">
        <v>42</v>
      </c>
      <c r="H334" t="inlineStr">
        <is>
          <t>N</t>
        </is>
      </c>
      <c r="I334">
        <f>HYPERLINK("https://admin.shopify.com/store/ge-beauty-cosmeticos/customers/10652780167488","abrir")</f>
        <v/>
      </c>
      <c r="J334">
        <f>HYPERLINK("https://www.gebeauty.com.br/products/primer-cachos-definidos?ref=review","review")</f>
        <v/>
      </c>
      <c r="K334" t="inlineStr">
        <is>
          <t>SEND</t>
        </is>
      </c>
    </row>
    <row r="335">
      <c r="A335" t="inlineStr">
        <is>
          <t>Lucia</t>
        </is>
      </c>
      <c r="B335" t="inlineStr">
        <is>
          <t>+5527999712490</t>
        </is>
      </c>
      <c r="C335" t="inlineStr">
        <is>
          <t>Advocate</t>
        </is>
      </c>
      <c r="D335" t="inlineStr">
        <is>
          <t>Primer Cachos</t>
        </is>
      </c>
      <c r="E335" t="n">
        <v>2</v>
      </c>
      <c r="F335" t="inlineStr">
        <is>
          <t>2026-06-18</t>
        </is>
      </c>
      <c r="G335" t="n">
        <v>16</v>
      </c>
      <c r="H335" t="inlineStr">
        <is>
          <t>Y</t>
        </is>
      </c>
      <c r="I335">
        <f>HYPERLINK("https://admin.shopify.com/store/ge-beauty-cosmeticos/customers/10655848923456","abrir")</f>
        <v/>
      </c>
      <c r="J335">
        <f>HYPERLINK("https://www.gebeauty.com.br/products/primer-cachos-definidos?ref=review","review")</f>
        <v/>
      </c>
      <c r="K335" t="inlineStr">
        <is>
          <t>HOLDOUT</t>
        </is>
      </c>
    </row>
    <row r="336">
      <c r="A336" t="inlineStr">
        <is>
          <t>Roberta</t>
        </is>
      </c>
      <c r="B336" t="inlineStr">
        <is>
          <t>+5511991177202</t>
        </is>
      </c>
      <c r="C336" t="inlineStr">
        <is>
          <t>Advocate</t>
        </is>
      </c>
      <c r="D336" t="inlineStr">
        <is>
          <t>Primer Cachos</t>
        </is>
      </c>
      <c r="E336" t="n">
        <v>2</v>
      </c>
      <c r="F336" t="inlineStr">
        <is>
          <t>2026-05-25</t>
        </is>
      </c>
      <c r="G336" t="n">
        <v>40</v>
      </c>
      <c r="H336" t="inlineStr">
        <is>
          <t>Y</t>
        </is>
      </c>
      <c r="I336">
        <f>HYPERLINK("https://admin.shopify.com/store/ge-beauty-cosmeticos/customers/10664652538176","abrir")</f>
        <v/>
      </c>
      <c r="J336">
        <f>HYPERLINK("https://www.gebeauty.com.br/products/primer-cachos-definidos?ref=review","review")</f>
        <v/>
      </c>
      <c r="K336" t="inlineStr">
        <is>
          <t>SEND</t>
        </is>
      </c>
    </row>
    <row r="337">
      <c r="A337" t="inlineStr">
        <is>
          <t>Laura</t>
        </is>
      </c>
      <c r="B337" t="inlineStr">
        <is>
          <t>+5519996131310</t>
        </is>
      </c>
      <c r="C337" t="inlineStr">
        <is>
          <t>Advocate</t>
        </is>
      </c>
      <c r="D337" t="inlineStr">
        <is>
          <t>Primer Cachos</t>
        </is>
      </c>
      <c r="E337" t="n">
        <v>2</v>
      </c>
      <c r="F337" t="inlineStr">
        <is>
          <t>2026-05-27</t>
        </is>
      </c>
      <c r="G337" t="n">
        <v>38</v>
      </c>
      <c r="H337" t="inlineStr">
        <is>
          <t>Y</t>
        </is>
      </c>
      <c r="I337">
        <f>HYPERLINK("https://admin.shopify.com/store/ge-beauty-cosmeticos/customers/10228590018880","abrir")</f>
        <v/>
      </c>
      <c r="J337">
        <f>HYPERLINK("https://www.gebeauty.com.br/products/primer-cachos-definidos?ref=review","review")</f>
        <v/>
      </c>
      <c r="K337" t="inlineStr">
        <is>
          <t>SEND</t>
        </is>
      </c>
    </row>
    <row r="338">
      <c r="A338" t="inlineStr">
        <is>
          <t>Júlia</t>
        </is>
      </c>
      <c r="B338" t="inlineStr">
        <is>
          <t>+553186751061</t>
        </is>
      </c>
      <c r="C338" t="inlineStr">
        <is>
          <t>Advocate</t>
        </is>
      </c>
      <c r="D338" t="inlineStr">
        <is>
          <t>Primer Cachos</t>
        </is>
      </c>
      <c r="E338" t="n">
        <v>2</v>
      </c>
      <c r="F338" t="inlineStr">
        <is>
          <t>2026-06-05</t>
        </is>
      </c>
      <c r="G338" t="n">
        <v>29</v>
      </c>
      <c r="H338" t="inlineStr">
        <is>
          <t>Y</t>
        </is>
      </c>
      <c r="I338">
        <f>HYPERLINK("https://admin.shopify.com/store/ge-beauty-cosmeticos/customers/10743282860352","abrir")</f>
        <v/>
      </c>
      <c r="J338">
        <f>HYPERLINK("https://www.gebeauty.com.br/products/primer-cachos-definidos?ref=review","review")</f>
        <v/>
      </c>
      <c r="K338" t="inlineStr">
        <is>
          <t>SEND</t>
        </is>
      </c>
    </row>
    <row r="339">
      <c r="A339" t="inlineStr">
        <is>
          <t>Mariana</t>
        </is>
      </c>
      <c r="B339" t="inlineStr">
        <is>
          <t>+5511976017590</t>
        </is>
      </c>
      <c r="C339" t="inlineStr">
        <is>
          <t>Advocate</t>
        </is>
      </c>
      <c r="D339" t="inlineStr">
        <is>
          <t>Primer Cachos</t>
        </is>
      </c>
      <c r="E339" t="n">
        <v>2</v>
      </c>
      <c r="F339" t="inlineStr">
        <is>
          <t>2026-06-10</t>
        </is>
      </c>
      <c r="G339" t="n">
        <v>24</v>
      </c>
      <c r="H339" t="inlineStr">
        <is>
          <t>N</t>
        </is>
      </c>
      <c r="I339">
        <f>HYPERLINK("https://admin.shopify.com/store/ge-beauty-cosmeticos/customers/9918738301248","abrir")</f>
        <v/>
      </c>
      <c r="J339">
        <f>HYPERLINK("https://www.gebeauty.com.br/products/primer-cachos-definidos?ref=review","review")</f>
        <v/>
      </c>
      <c r="K339" t="inlineStr">
        <is>
          <t>SEND</t>
        </is>
      </c>
    </row>
    <row r="340">
      <c r="A340" t="inlineStr">
        <is>
          <t>Clara</t>
        </is>
      </c>
      <c r="B340" t="inlineStr">
        <is>
          <t>+5586999251905</t>
        </is>
      </c>
      <c r="C340" t="inlineStr">
        <is>
          <t>Advocate</t>
        </is>
      </c>
      <c r="D340" t="inlineStr">
        <is>
          <t>Primer Cachos</t>
        </is>
      </c>
      <c r="E340" t="n">
        <v>2</v>
      </c>
      <c r="F340" t="inlineStr">
        <is>
          <t>2026-06-15</t>
        </is>
      </c>
      <c r="G340" t="n">
        <v>19</v>
      </c>
      <c r="H340" t="inlineStr">
        <is>
          <t>Y</t>
        </is>
      </c>
      <c r="I340">
        <f>HYPERLINK("https://admin.shopify.com/store/ge-beauty-cosmeticos/customers/10811228455232","abrir")</f>
        <v/>
      </c>
      <c r="J340">
        <f>HYPERLINK("https://www.gebeauty.com.br/products/primer-cachos-definidos?ref=review","review")</f>
        <v/>
      </c>
      <c r="K340" t="inlineStr">
        <is>
          <t>SEND</t>
        </is>
      </c>
    </row>
    <row r="341">
      <c r="A341" t="inlineStr">
        <is>
          <t>Luisa</t>
        </is>
      </c>
      <c r="B341" t="inlineStr">
        <is>
          <t>+5527999017661</t>
        </is>
      </c>
      <c r="C341" t="inlineStr">
        <is>
          <t>Advocate</t>
        </is>
      </c>
      <c r="D341" t="inlineStr">
        <is>
          <t>Primer Cachos</t>
        </is>
      </c>
      <c r="E341" t="n">
        <v>2</v>
      </c>
      <c r="F341" t="inlineStr">
        <is>
          <t>2026-05-21</t>
        </is>
      </c>
      <c r="G341" t="n">
        <v>44</v>
      </c>
      <c r="H341" t="inlineStr">
        <is>
          <t>Y</t>
        </is>
      </c>
      <c r="I341">
        <f>HYPERLINK("https://admin.shopify.com/store/ge-beauty-cosmeticos/customers/7759660089664","abrir")</f>
        <v/>
      </c>
      <c r="J341">
        <f>HYPERLINK("https://www.gebeauty.com.br/products/primer-cachos-definidos?ref=review","review")</f>
        <v/>
      </c>
      <c r="K341" t="inlineStr">
        <is>
          <t>SEND</t>
        </is>
      </c>
    </row>
    <row r="342">
      <c r="A342" t="inlineStr">
        <is>
          <t>Danielma</t>
        </is>
      </c>
      <c r="B342" t="inlineStr">
        <is>
          <t>+5528999050065</t>
        </is>
      </c>
      <c r="C342" t="inlineStr">
        <is>
          <t>Advocate</t>
        </is>
      </c>
      <c r="D342" t="inlineStr">
        <is>
          <t>Primer Cachos</t>
        </is>
      </c>
      <c r="E342" t="n">
        <v>2</v>
      </c>
      <c r="F342" t="inlineStr">
        <is>
          <t>2026-06-22</t>
        </is>
      </c>
      <c r="G342" t="n">
        <v>12</v>
      </c>
      <c r="H342" t="inlineStr">
        <is>
          <t>Y</t>
        </is>
      </c>
      <c r="I342">
        <f>HYPERLINK("https://admin.shopify.com/store/ge-beauty-cosmeticos/customers/10830950138176","abrir")</f>
        <v/>
      </c>
      <c r="J342">
        <f>HYPERLINK("https://www.gebeauty.com.br/products/primer-cachos-definidos?ref=review","review")</f>
        <v/>
      </c>
      <c r="K342" t="inlineStr">
        <is>
          <t>SEND</t>
        </is>
      </c>
    </row>
    <row r="343">
      <c r="A343" t="inlineStr">
        <is>
          <t>Janaina</t>
        </is>
      </c>
      <c r="B343" t="inlineStr">
        <is>
          <t>+554799700550</t>
        </is>
      </c>
      <c r="C343" t="inlineStr">
        <is>
          <t>Advocate</t>
        </is>
      </c>
      <c r="D343" t="inlineStr">
        <is>
          <t>Primer Cachos</t>
        </is>
      </c>
      <c r="E343" t="n">
        <v>2</v>
      </c>
      <c r="F343" t="inlineStr">
        <is>
          <t>2026-06-05</t>
        </is>
      </c>
      <c r="G343" t="n">
        <v>29</v>
      </c>
      <c r="H343" t="inlineStr">
        <is>
          <t>Y</t>
        </is>
      </c>
      <c r="I343">
        <f>HYPERLINK("https://admin.shopify.com/store/ge-beauty-cosmeticos/customers/10831519154496","abrir")</f>
        <v/>
      </c>
      <c r="J343">
        <f>HYPERLINK("https://www.gebeauty.com.br/products/primer-cachos-definidos?ref=review","review")</f>
        <v/>
      </c>
      <c r="K343" t="inlineStr">
        <is>
          <t>SEND</t>
        </is>
      </c>
    </row>
    <row r="344">
      <c r="A344" t="inlineStr">
        <is>
          <t>Gabriela</t>
        </is>
      </c>
      <c r="B344" t="inlineStr">
        <is>
          <t>+5511945027988</t>
        </is>
      </c>
      <c r="C344" t="inlineStr">
        <is>
          <t>Advocate</t>
        </is>
      </c>
      <c r="D344" t="inlineStr">
        <is>
          <t>Primer Cachos</t>
        </is>
      </c>
      <c r="E344" t="n">
        <v>2</v>
      </c>
      <c r="F344" t="inlineStr">
        <is>
          <t>2026-06-29</t>
        </is>
      </c>
      <c r="G344" t="n">
        <v>5</v>
      </c>
      <c r="H344" t="inlineStr">
        <is>
          <t>Y</t>
        </is>
      </c>
      <c r="I344">
        <f>HYPERLINK("https://admin.shopify.com/store/ge-beauty-cosmeticos/customers/10858783637824","abrir")</f>
        <v/>
      </c>
      <c r="J344">
        <f>HYPERLINK("https://www.gebeauty.com.br/products/primer-cachos-definidos?ref=review","review")</f>
        <v/>
      </c>
      <c r="K344" t="inlineStr">
        <is>
          <t>SEND</t>
        </is>
      </c>
    </row>
    <row r="345">
      <c r="A345" t="inlineStr">
        <is>
          <t>Juliana</t>
        </is>
      </c>
      <c r="B345" t="inlineStr">
        <is>
          <t>+5511985841286</t>
        </is>
      </c>
      <c r="C345" t="inlineStr">
        <is>
          <t>Advocate</t>
        </is>
      </c>
      <c r="D345" t="inlineStr">
        <is>
          <t>Primer Cachos</t>
        </is>
      </c>
      <c r="E345" t="n">
        <v>2</v>
      </c>
      <c r="F345" t="inlineStr">
        <is>
          <t>2026-06-03</t>
        </is>
      </c>
      <c r="G345" t="n">
        <v>31</v>
      </c>
      <c r="H345" t="inlineStr">
        <is>
          <t>Y</t>
        </is>
      </c>
      <c r="I345">
        <f>HYPERLINK("https://admin.shopify.com/store/ge-beauty-cosmeticos/customers/8998730957120","abrir")</f>
        <v/>
      </c>
      <c r="J345">
        <f>HYPERLINK("https://www.gebeauty.com.br/products/primer-cachos-definidos?ref=review","review")</f>
        <v/>
      </c>
      <c r="K345" t="inlineStr">
        <is>
          <t>SEND</t>
        </is>
      </c>
    </row>
    <row r="346">
      <c r="A346" t="inlineStr">
        <is>
          <t>Thaisa</t>
        </is>
      </c>
      <c r="B346" t="inlineStr">
        <is>
          <t>+5521983425095</t>
        </is>
      </c>
      <c r="C346" t="inlineStr">
        <is>
          <t>Advocate</t>
        </is>
      </c>
      <c r="D346" t="inlineStr">
        <is>
          <t>Primer Cachos</t>
        </is>
      </c>
      <c r="E346" t="n">
        <v>2</v>
      </c>
      <c r="F346" t="inlineStr">
        <is>
          <t>2026-07-01</t>
        </is>
      </c>
      <c r="G346" t="n">
        <v>3</v>
      </c>
      <c r="H346" t="inlineStr">
        <is>
          <t>Y</t>
        </is>
      </c>
      <c r="I346">
        <f>HYPERLINK("https://admin.shopify.com/store/ge-beauty-cosmeticos/customers/10875624489280","abrir")</f>
        <v/>
      </c>
      <c r="J346">
        <f>HYPERLINK("https://www.gebeauty.com.br/products/primer-cachos-definidos?ref=review","review")</f>
        <v/>
      </c>
      <c r="K346" t="inlineStr">
        <is>
          <t>SEND</t>
        </is>
      </c>
    </row>
    <row r="347">
      <c r="A347" t="inlineStr">
        <is>
          <t>Eva</t>
        </is>
      </c>
      <c r="B347" t="inlineStr">
        <is>
          <t>+5551999048255</t>
        </is>
      </c>
      <c r="C347" t="inlineStr">
        <is>
          <t>Advocate</t>
        </is>
      </c>
      <c r="D347" t="inlineStr">
        <is>
          <t>Primer Cachos</t>
        </is>
      </c>
      <c r="E347" t="n">
        <v>2</v>
      </c>
      <c r="F347" t="inlineStr">
        <is>
          <t>2026-06-29</t>
        </is>
      </c>
      <c r="G347" t="n">
        <v>5</v>
      </c>
      <c r="H347" t="inlineStr">
        <is>
          <t>Y</t>
        </is>
      </c>
      <c r="I347">
        <f>HYPERLINK("https://admin.shopify.com/store/ge-beauty-cosmeticos/customers/10878998872384","abrir")</f>
        <v/>
      </c>
      <c r="J347">
        <f>HYPERLINK("https://www.gebeauty.com.br/products/primer-cachos-definidos?ref=review","review")</f>
        <v/>
      </c>
      <c r="K347" t="inlineStr">
        <is>
          <t>SEND</t>
        </is>
      </c>
    </row>
    <row r="348">
      <c r="A348" t="inlineStr">
        <is>
          <t>Marilia</t>
        </is>
      </c>
      <c r="B348" t="inlineStr">
        <is>
          <t>+5511982022375</t>
        </is>
      </c>
      <c r="C348" t="inlineStr">
        <is>
          <t>Advocate</t>
        </is>
      </c>
      <c r="D348" t="inlineStr">
        <is>
          <t>Primer Cachos</t>
        </is>
      </c>
      <c r="E348" t="n">
        <v>2</v>
      </c>
      <c r="F348" t="inlineStr">
        <is>
          <t>2026-06-29</t>
        </is>
      </c>
      <c r="G348" t="n">
        <v>5</v>
      </c>
      <c r="H348" t="inlineStr">
        <is>
          <t>Y</t>
        </is>
      </c>
      <c r="I348">
        <f>HYPERLINK("https://admin.shopify.com/store/ge-beauty-cosmeticos/customers/10914274541888","abrir")</f>
        <v/>
      </c>
      <c r="J348">
        <f>HYPERLINK("https://www.gebeauty.com.br/products/primer-cachos-definidos?ref=review","review")</f>
        <v/>
      </c>
      <c r="K348" t="inlineStr">
        <is>
          <t>SEND</t>
        </is>
      </c>
    </row>
    <row r="349">
      <c r="A349" t="inlineStr">
        <is>
          <t>Candice</t>
        </is>
      </c>
      <c r="B349" t="inlineStr">
        <is>
          <t>+5521988705734</t>
        </is>
      </c>
      <c r="C349" t="inlineStr">
        <is>
          <t>Advocate</t>
        </is>
      </c>
      <c r="D349" t="inlineStr">
        <is>
          <t>Primer Cachos</t>
        </is>
      </c>
      <c r="E349" t="n">
        <v>2</v>
      </c>
      <c r="F349" t="inlineStr">
        <is>
          <t>2026-06-28</t>
        </is>
      </c>
      <c r="G349" t="n">
        <v>6</v>
      </c>
      <c r="H349" t="inlineStr">
        <is>
          <t>Y</t>
        </is>
      </c>
      <c r="I349">
        <f>HYPERLINK("https://admin.shopify.com/store/ge-beauty-cosmeticos/customers/8950593290560","abrir")</f>
        <v/>
      </c>
      <c r="J349">
        <f>HYPERLINK("https://www.gebeauty.com.br/products/primer-cachos-definidos?ref=review","review")</f>
        <v/>
      </c>
      <c r="K349" t="inlineStr">
        <is>
          <t>SEND</t>
        </is>
      </c>
    </row>
    <row r="350">
      <c r="A350" t="inlineStr">
        <is>
          <t>Beatriz</t>
        </is>
      </c>
      <c r="B350" t="inlineStr">
        <is>
          <t>+5511975148218</t>
        </is>
      </c>
      <c r="C350" t="inlineStr">
        <is>
          <t>Advocate</t>
        </is>
      </c>
      <c r="D350" t="inlineStr">
        <is>
          <t>Primer Cachos</t>
        </is>
      </c>
      <c r="E350" t="n">
        <v>2</v>
      </c>
      <c r="F350" t="inlineStr">
        <is>
          <t>2025-01-19</t>
        </is>
      </c>
      <c r="G350" t="n">
        <v>531</v>
      </c>
      <c r="H350" t="inlineStr">
        <is>
          <t>Y</t>
        </is>
      </c>
      <c r="I350">
        <f>HYPERLINK("https://admin.shopify.com/store/ge-beauty-cosmeticos/customers/7759454667072","abrir")</f>
        <v/>
      </c>
      <c r="J350">
        <f>HYPERLINK("https://www.gebeauty.com.br/products/primer-cachos-definidos?ref=review","review")</f>
        <v/>
      </c>
      <c r="K350" t="inlineStr">
        <is>
          <t>SEND</t>
        </is>
      </c>
    </row>
    <row r="351">
      <c r="A351" t="inlineStr">
        <is>
          <t>Patricia</t>
        </is>
      </c>
      <c r="B351" t="inlineStr">
        <is>
          <t>+5511976771754</t>
        </is>
      </c>
      <c r="C351" t="inlineStr">
        <is>
          <t>Advocate</t>
        </is>
      </c>
      <c r="D351" t="inlineStr">
        <is>
          <t>Primer Cachos</t>
        </is>
      </c>
      <c r="E351" t="n">
        <v>2</v>
      </c>
      <c r="F351" t="inlineStr">
        <is>
          <t>2025-01-02</t>
        </is>
      </c>
      <c r="G351" t="n">
        <v>548</v>
      </c>
      <c r="H351" t="inlineStr">
        <is>
          <t>Y</t>
        </is>
      </c>
      <c r="I351">
        <f>HYPERLINK("https://admin.shopify.com/store/ge-beauty-cosmeticos/customers/7760404382016","abrir")</f>
        <v/>
      </c>
      <c r="J351">
        <f>HYPERLINK("https://www.gebeauty.com.br/products/primer-cachos-definidos?ref=review","review")</f>
        <v/>
      </c>
      <c r="K351" t="inlineStr">
        <is>
          <t>SEND</t>
        </is>
      </c>
    </row>
    <row r="352">
      <c r="A352" t="inlineStr">
        <is>
          <t>Andrea</t>
        </is>
      </c>
      <c r="B352" t="inlineStr">
        <is>
          <t>+5521936188982</t>
        </is>
      </c>
      <c r="C352" t="inlineStr">
        <is>
          <t>Advocate</t>
        </is>
      </c>
      <c r="D352" t="inlineStr">
        <is>
          <t>Primer Cachos</t>
        </is>
      </c>
      <c r="E352" t="n">
        <v>2</v>
      </c>
      <c r="F352" t="inlineStr">
        <is>
          <t>2024-12-22</t>
        </is>
      </c>
      <c r="G352" t="n">
        <v>559</v>
      </c>
      <c r="H352" t="inlineStr">
        <is>
          <t>Y</t>
        </is>
      </c>
      <c r="I352">
        <f>HYPERLINK("https://admin.shopify.com/store/ge-beauty-cosmeticos/customers/7761776017728","abrir")</f>
        <v/>
      </c>
      <c r="J352">
        <f>HYPERLINK("https://www.gebeauty.com.br/products/primer-cachos-definidos?ref=review","review")</f>
        <v/>
      </c>
      <c r="K352" t="inlineStr">
        <is>
          <t>SEND</t>
        </is>
      </c>
    </row>
    <row r="353">
      <c r="A353" t="inlineStr">
        <is>
          <t>Lais</t>
        </is>
      </c>
      <c r="B353" t="inlineStr">
        <is>
          <t>+5531992450028</t>
        </is>
      </c>
      <c r="C353" t="inlineStr">
        <is>
          <t>Advocate</t>
        </is>
      </c>
      <c r="D353" t="inlineStr">
        <is>
          <t>Primer Cachos</t>
        </is>
      </c>
      <c r="E353" t="n">
        <v>2</v>
      </c>
      <c r="F353" t="inlineStr">
        <is>
          <t>2025-01-06</t>
        </is>
      </c>
      <c r="G353" t="n">
        <v>544</v>
      </c>
      <c r="H353" t="inlineStr">
        <is>
          <t>Y</t>
        </is>
      </c>
      <c r="I353">
        <f>HYPERLINK("https://admin.shopify.com/store/ge-beauty-cosmeticos/customers/7760540827968","abrir")</f>
        <v/>
      </c>
      <c r="J353">
        <f>HYPERLINK("https://www.gebeauty.com.br/products/primer-cachos-definidos?ref=review","review")</f>
        <v/>
      </c>
      <c r="K353" t="inlineStr">
        <is>
          <t>SEND</t>
        </is>
      </c>
    </row>
    <row r="354">
      <c r="A354" t="inlineStr">
        <is>
          <t>Daniela</t>
        </is>
      </c>
      <c r="B354" t="inlineStr">
        <is>
          <t>+5511995578482</t>
        </is>
      </c>
      <c r="C354" t="inlineStr">
        <is>
          <t>Advocate</t>
        </is>
      </c>
      <c r="D354" t="inlineStr">
        <is>
          <t>Primer Cachos</t>
        </is>
      </c>
      <c r="E354" t="n">
        <v>2</v>
      </c>
      <c r="F354" t="inlineStr">
        <is>
          <t>2025-01-03</t>
        </is>
      </c>
      <c r="G354" t="n">
        <v>547</v>
      </c>
      <c r="H354" t="inlineStr">
        <is>
          <t>Y</t>
        </is>
      </c>
      <c r="I354">
        <f>HYPERLINK("https://admin.shopify.com/store/ge-beauty-cosmeticos/customers/8399616409920","abrir")</f>
        <v/>
      </c>
      <c r="J354">
        <f>HYPERLINK("https://www.gebeauty.com.br/products/primer-cachos-definidos?ref=review","review")</f>
        <v/>
      </c>
      <c r="K354" t="inlineStr">
        <is>
          <t>SEND</t>
        </is>
      </c>
    </row>
    <row r="355">
      <c r="A355" t="inlineStr">
        <is>
          <t>Marina</t>
        </is>
      </c>
      <c r="B355" t="inlineStr">
        <is>
          <t>+5581982572074</t>
        </is>
      </c>
      <c r="C355" t="inlineStr">
        <is>
          <t>Advocate</t>
        </is>
      </c>
      <c r="D355" t="inlineStr">
        <is>
          <t>Primer Cachos</t>
        </is>
      </c>
      <c r="E355" t="n">
        <v>2</v>
      </c>
      <c r="F355" t="inlineStr">
        <is>
          <t>2024-12-24</t>
        </is>
      </c>
      <c r="G355" t="n">
        <v>557</v>
      </c>
      <c r="H355" t="inlineStr">
        <is>
          <t>Y</t>
        </is>
      </c>
      <c r="I355">
        <f>HYPERLINK("https://admin.shopify.com/store/ge-beauty-cosmeticos/customers/8431272132928","abrir")</f>
        <v/>
      </c>
      <c r="J355">
        <f>HYPERLINK("https://www.gebeauty.com.br/products/primer-cachos-definidos?ref=review","review")</f>
        <v/>
      </c>
      <c r="K355" t="inlineStr">
        <is>
          <t>SEND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Phone</t>
        </is>
      </c>
      <c r="C1" t="inlineStr">
        <is>
          <t>Segment</t>
        </is>
      </c>
      <c r="D1" t="inlineStr">
        <is>
          <t>Product</t>
        </is>
      </c>
      <c r="E1" t="inlineStr">
        <is>
          <t>Times Bought</t>
        </is>
      </c>
      <c r="F1" t="inlineStr">
        <is>
          <t>Last Purchase</t>
        </is>
      </c>
      <c r="G1" t="inlineStr">
        <is>
          <t>Days Since</t>
        </is>
      </c>
      <c r="H1" t="inlineStr">
        <is>
          <t>Review Eligible</t>
        </is>
      </c>
      <c r="I1" t="inlineStr">
        <is>
          <t>Customer Page</t>
        </is>
      </c>
      <c r="J1" t="inlineStr">
        <is>
          <t>Review Link</t>
        </is>
      </c>
      <c r="K1" t="inlineStr">
        <is>
          <t>Holdout</t>
        </is>
      </c>
    </row>
    <row r="2">
      <c r="A2" t="inlineStr">
        <is>
          <t>Juliana</t>
        </is>
      </c>
      <c r="B2" t="inlineStr">
        <is>
          <t>+5581994577838</t>
        </is>
      </c>
      <c r="C2" t="inlineStr">
        <is>
          <t>Refill</t>
        </is>
      </c>
      <c r="D2" t="inlineStr">
        <is>
          <t>Primer Cachos</t>
        </is>
      </c>
      <c r="E2" t="n">
        <v>1</v>
      </c>
      <c r="F2" t="inlineStr">
        <is>
          <t>2026-01-10</t>
        </is>
      </c>
      <c r="G2" t="n">
        <v>175</v>
      </c>
      <c r="H2" t="inlineStr">
        <is>
          <t>Y</t>
        </is>
      </c>
      <c r="I2">
        <f>HYPERLINK("https://admin.shopify.com/store/ge-beauty-cosmeticos/customers/7759522431296","abrir")</f>
        <v/>
      </c>
      <c r="J2">
        <f>HYPERLINK("https://www.gebeauty.com.br/products/primer-cachos-definidos?ref=review","review")</f>
        <v/>
      </c>
      <c r="K2" t="inlineStr">
        <is>
          <t>SEND</t>
        </is>
      </c>
    </row>
    <row r="3">
      <c r="A3" t="inlineStr">
        <is>
          <t>Mariana</t>
        </is>
      </c>
      <c r="B3" t="inlineStr">
        <is>
          <t>+5516981964555</t>
        </is>
      </c>
      <c r="C3" t="inlineStr">
        <is>
          <t>Refill</t>
        </is>
      </c>
      <c r="D3" t="inlineStr">
        <is>
          <t>Primer Cachos</t>
        </is>
      </c>
      <c r="E3" t="n">
        <v>1</v>
      </c>
      <c r="F3" t="inlineStr">
        <is>
          <t>2025-12-24</t>
        </is>
      </c>
      <c r="G3" t="n">
        <v>192</v>
      </c>
      <c r="H3" t="inlineStr">
        <is>
          <t>Y</t>
        </is>
      </c>
      <c r="I3">
        <f>HYPERLINK("https://admin.shopify.com/store/ge-beauty-cosmeticos/customers/9023378096448","abrir")</f>
        <v/>
      </c>
      <c r="J3">
        <f>HYPERLINK("https://www.gebeauty.com.br/products/primer-cachos-definidos?ref=review","review")</f>
        <v/>
      </c>
      <c r="K3" t="inlineStr">
        <is>
          <t>SEND</t>
        </is>
      </c>
    </row>
    <row r="4">
      <c r="A4" t="inlineStr">
        <is>
          <t>Larissa</t>
        </is>
      </c>
      <c r="B4" t="inlineStr">
        <is>
          <t>+5583999489010</t>
        </is>
      </c>
      <c r="C4" t="inlineStr">
        <is>
          <t>Refill</t>
        </is>
      </c>
      <c r="D4" t="inlineStr">
        <is>
          <t>Primer Cachos</t>
        </is>
      </c>
      <c r="E4" t="n">
        <v>1</v>
      </c>
      <c r="F4" t="inlineStr">
        <is>
          <t>2025-11-28</t>
        </is>
      </c>
      <c r="G4" t="n">
        <v>218</v>
      </c>
      <c r="H4" t="inlineStr">
        <is>
          <t>Y</t>
        </is>
      </c>
      <c r="I4">
        <f>HYPERLINK("https://admin.shopify.com/store/ge-beauty-cosmeticos/customers/7761960993088","abrir")</f>
        <v/>
      </c>
      <c r="J4">
        <f>HYPERLINK("https://www.gebeauty.com.br/products/primer-cachos-definidos?ref=review","review")</f>
        <v/>
      </c>
      <c r="K4" t="inlineStr">
        <is>
          <t>SEND</t>
        </is>
      </c>
    </row>
    <row r="5">
      <c r="A5" t="inlineStr">
        <is>
          <t>Vanessa</t>
        </is>
      </c>
      <c r="B5" t="inlineStr">
        <is>
          <t>+5543999760067</t>
        </is>
      </c>
      <c r="C5" t="inlineStr">
        <is>
          <t>Refill</t>
        </is>
      </c>
      <c r="D5" t="inlineStr">
        <is>
          <t>Primer Cachos</t>
        </is>
      </c>
      <c r="E5" t="n">
        <v>1</v>
      </c>
      <c r="F5" t="inlineStr">
        <is>
          <t>2025-11-24</t>
        </is>
      </c>
      <c r="G5" t="n">
        <v>222</v>
      </c>
      <c r="H5" t="inlineStr">
        <is>
          <t>Y</t>
        </is>
      </c>
      <c r="I5">
        <f>HYPERLINK("https://admin.shopify.com/store/ge-beauty-cosmeticos/customers/9094128271680","abrir")</f>
        <v/>
      </c>
      <c r="J5">
        <f>HYPERLINK("https://www.gebeauty.com.br/products/primer-cachos-definidos?ref=review","review")</f>
        <v/>
      </c>
      <c r="K5" t="inlineStr">
        <is>
          <t>SEND</t>
        </is>
      </c>
    </row>
    <row r="6">
      <c r="A6" t="inlineStr">
        <is>
          <t>Uli</t>
        </is>
      </c>
      <c r="B6" t="inlineStr">
        <is>
          <t>+5585991596952</t>
        </is>
      </c>
      <c r="C6" t="inlineStr">
        <is>
          <t>Refill</t>
        </is>
      </c>
      <c r="D6" t="inlineStr">
        <is>
          <t>Primer Cachos</t>
        </is>
      </c>
      <c r="E6" t="n">
        <v>1</v>
      </c>
      <c r="F6" t="inlineStr">
        <is>
          <t>2026-01-21</t>
        </is>
      </c>
      <c r="G6" t="n">
        <v>164</v>
      </c>
      <c r="H6" t="inlineStr">
        <is>
          <t>Y</t>
        </is>
      </c>
      <c r="I6">
        <f>HYPERLINK("https://admin.shopify.com/store/ge-beauty-cosmeticos/customers/8559342780736","abrir")</f>
        <v/>
      </c>
      <c r="J6">
        <f>HYPERLINK("https://www.gebeauty.com.br/products/primer-cachos-definidos?ref=review","review")</f>
        <v/>
      </c>
      <c r="K6" t="inlineStr">
        <is>
          <t>SEND</t>
        </is>
      </c>
    </row>
    <row r="7">
      <c r="A7" t="inlineStr">
        <is>
          <t>Camila</t>
        </is>
      </c>
      <c r="B7" t="inlineStr">
        <is>
          <t>+5584981610566</t>
        </is>
      </c>
      <c r="C7" t="inlineStr">
        <is>
          <t>Refill</t>
        </is>
      </c>
      <c r="D7" t="inlineStr">
        <is>
          <t>Primer Cachos</t>
        </is>
      </c>
      <c r="E7" t="n">
        <v>1</v>
      </c>
      <c r="F7" t="inlineStr">
        <is>
          <t>2025-11-12</t>
        </is>
      </c>
      <c r="G7" t="n">
        <v>234</v>
      </c>
      <c r="H7" t="inlineStr">
        <is>
          <t>Y</t>
        </is>
      </c>
      <c r="I7">
        <f>HYPERLINK("https://admin.shopify.com/store/ge-beauty-cosmeticos/customers/7762623955264","abrir")</f>
        <v/>
      </c>
      <c r="J7">
        <f>HYPERLINK("https://www.gebeauty.com.br/products/primer-cachos-definidos?ref=review","review")</f>
        <v/>
      </c>
      <c r="K7" t="inlineStr">
        <is>
          <t>SEND</t>
        </is>
      </c>
    </row>
    <row r="8">
      <c r="A8" t="inlineStr">
        <is>
          <t>Fernanda</t>
        </is>
      </c>
      <c r="B8" t="inlineStr">
        <is>
          <t>+5511993043939</t>
        </is>
      </c>
      <c r="C8" t="inlineStr">
        <is>
          <t>Refill</t>
        </is>
      </c>
      <c r="D8" t="inlineStr">
        <is>
          <t>Primer Cachos</t>
        </is>
      </c>
      <c r="E8" t="n">
        <v>1</v>
      </c>
      <c r="F8" t="inlineStr">
        <is>
          <t>2025-11-14</t>
        </is>
      </c>
      <c r="G8" t="n">
        <v>232</v>
      </c>
      <c r="H8" t="inlineStr">
        <is>
          <t>Y</t>
        </is>
      </c>
      <c r="I8">
        <f>HYPERLINK("https://admin.shopify.com/store/ge-beauty-cosmeticos/customers/7761912168768","abrir")</f>
        <v/>
      </c>
      <c r="J8">
        <f>HYPERLINK("https://www.gebeauty.com.br/products/primer-cachos-definidos?ref=review","review")</f>
        <v/>
      </c>
      <c r="K8" t="inlineStr">
        <is>
          <t>SEND</t>
        </is>
      </c>
    </row>
    <row r="9">
      <c r="A9" t="inlineStr">
        <is>
          <t>Tássia</t>
        </is>
      </c>
      <c r="B9" t="inlineStr">
        <is>
          <t>+5521965195887</t>
        </is>
      </c>
      <c r="C9" t="inlineStr">
        <is>
          <t>Refill</t>
        </is>
      </c>
      <c r="D9" t="inlineStr">
        <is>
          <t>Primer Cachos</t>
        </is>
      </c>
      <c r="E9" t="n">
        <v>1</v>
      </c>
      <c r="F9" t="inlineStr">
        <is>
          <t>2025-10-02</t>
        </is>
      </c>
      <c r="G9" t="n">
        <v>275</v>
      </c>
      <c r="H9" t="inlineStr">
        <is>
          <t>Y</t>
        </is>
      </c>
      <c r="I9">
        <f>HYPERLINK("https://admin.shopify.com/store/ge-beauty-cosmeticos/customers/7759555625280","abrir")</f>
        <v/>
      </c>
      <c r="J9">
        <f>HYPERLINK("https://www.gebeauty.com.br/products/primer-cachos-definidos?ref=review","review")</f>
        <v/>
      </c>
      <c r="K9" t="inlineStr">
        <is>
          <t>SEND</t>
        </is>
      </c>
    </row>
    <row r="10">
      <c r="A10" t="inlineStr">
        <is>
          <t>Catarina</t>
        </is>
      </c>
      <c r="B10" t="inlineStr">
        <is>
          <t>+5585991086504</t>
        </is>
      </c>
      <c r="C10" t="inlineStr">
        <is>
          <t>Refill</t>
        </is>
      </c>
      <c r="D10" t="inlineStr">
        <is>
          <t>Primer Cachos</t>
        </is>
      </c>
      <c r="E10" t="n">
        <v>1</v>
      </c>
      <c r="F10" t="inlineStr">
        <is>
          <t>2025-12-26</t>
        </is>
      </c>
      <c r="G10" t="n">
        <v>190</v>
      </c>
      <c r="H10" t="inlineStr">
        <is>
          <t>Y</t>
        </is>
      </c>
      <c r="I10">
        <f>HYPERLINK("https://admin.shopify.com/store/ge-beauty-cosmeticos/customers/9180295627072","abrir")</f>
        <v/>
      </c>
      <c r="J10">
        <f>HYPERLINK("https://www.gebeauty.com.br/products/primer-cachos-definidos?ref=review","review")</f>
        <v/>
      </c>
      <c r="K10" t="inlineStr">
        <is>
          <t>HOLDOUT</t>
        </is>
      </c>
    </row>
    <row r="11">
      <c r="A11" t="inlineStr">
        <is>
          <t>Larissa</t>
        </is>
      </c>
      <c r="B11" t="inlineStr">
        <is>
          <t>+5511972452145</t>
        </is>
      </c>
      <c r="C11" t="inlineStr">
        <is>
          <t>Refill</t>
        </is>
      </c>
      <c r="D11" t="inlineStr">
        <is>
          <t>Primer Cachos</t>
        </is>
      </c>
      <c r="E11" t="n">
        <v>1</v>
      </c>
      <c r="F11" t="inlineStr">
        <is>
          <t>2025-12-20</t>
        </is>
      </c>
      <c r="G11" t="n">
        <v>196</v>
      </c>
      <c r="H11" t="inlineStr">
        <is>
          <t>Y</t>
        </is>
      </c>
      <c r="I11">
        <f>HYPERLINK("https://admin.shopify.com/store/ge-beauty-cosmeticos/customers/7760047898944","abrir")</f>
        <v/>
      </c>
      <c r="J11">
        <f>HYPERLINK("https://www.gebeauty.com.br/products/primer-cachos-definidos?ref=review","review")</f>
        <v/>
      </c>
      <c r="K11" t="inlineStr">
        <is>
          <t>SEND</t>
        </is>
      </c>
    </row>
    <row r="12">
      <c r="A12" t="inlineStr">
        <is>
          <t>Juliana</t>
        </is>
      </c>
      <c r="B12" t="inlineStr">
        <is>
          <t>+5519999557939</t>
        </is>
      </c>
      <c r="C12" t="inlineStr">
        <is>
          <t>Refill</t>
        </is>
      </c>
      <c r="D12" t="inlineStr">
        <is>
          <t>Primer Cachos</t>
        </is>
      </c>
      <c r="E12" t="n">
        <v>1</v>
      </c>
      <c r="F12" t="inlineStr">
        <is>
          <t>2025-12-03</t>
        </is>
      </c>
      <c r="G12" t="n">
        <v>213</v>
      </c>
      <c r="H12" t="inlineStr">
        <is>
          <t>Y</t>
        </is>
      </c>
      <c r="I12">
        <f>HYPERLINK("https://admin.shopify.com/store/ge-beauty-cosmeticos/customers/9253727797568","abrir")</f>
        <v/>
      </c>
      <c r="J12">
        <f>HYPERLINK("https://www.gebeauty.com.br/products/primer-cachos-definidos?ref=review","review")</f>
        <v/>
      </c>
      <c r="K12" t="inlineStr">
        <is>
          <t>SEND</t>
        </is>
      </c>
    </row>
    <row r="13">
      <c r="A13" t="inlineStr">
        <is>
          <t>Regina</t>
        </is>
      </c>
      <c r="B13" t="inlineStr">
        <is>
          <t>+5585988705943</t>
        </is>
      </c>
      <c r="C13" t="inlineStr">
        <is>
          <t>Refill</t>
        </is>
      </c>
      <c r="D13" t="inlineStr">
        <is>
          <t>Primer Cachos</t>
        </is>
      </c>
      <c r="E13" t="n">
        <v>1</v>
      </c>
      <c r="F13" t="inlineStr">
        <is>
          <t>2025-12-24</t>
        </is>
      </c>
      <c r="G13" t="n">
        <v>192</v>
      </c>
      <c r="H13" t="inlineStr">
        <is>
          <t>Y</t>
        </is>
      </c>
      <c r="I13">
        <f>HYPERLINK("https://admin.shopify.com/store/ge-beauty-cosmeticos/customers/9106839732544","abrir")</f>
        <v/>
      </c>
      <c r="J13">
        <f>HYPERLINK("https://www.gebeauty.com.br/products/primer-cachos-definidos?ref=review","review")</f>
        <v/>
      </c>
      <c r="K13" t="inlineStr">
        <is>
          <t>SEND</t>
        </is>
      </c>
    </row>
    <row r="14">
      <c r="A14" t="inlineStr">
        <is>
          <t>Caroline</t>
        </is>
      </c>
      <c r="B14" t="inlineStr">
        <is>
          <t>+5511956378128</t>
        </is>
      </c>
      <c r="C14" t="inlineStr">
        <is>
          <t>Refill</t>
        </is>
      </c>
      <c r="D14" t="inlineStr">
        <is>
          <t>Primer Cachos</t>
        </is>
      </c>
      <c r="E14" t="n">
        <v>1</v>
      </c>
      <c r="F14" t="inlineStr">
        <is>
          <t>2025-11-29</t>
        </is>
      </c>
      <c r="G14" t="n">
        <v>217</v>
      </c>
      <c r="H14" t="inlineStr">
        <is>
          <t>Y</t>
        </is>
      </c>
      <c r="I14">
        <f>HYPERLINK("https://admin.shopify.com/store/ge-beauty-cosmeticos/customers/7762361680192","abrir")</f>
        <v/>
      </c>
      <c r="J14">
        <f>HYPERLINK("https://www.gebeauty.com.br/products/primer-cachos-definidos?ref=review","review")</f>
        <v/>
      </c>
      <c r="K14" t="inlineStr">
        <is>
          <t>SEND</t>
        </is>
      </c>
    </row>
    <row r="15">
      <c r="A15" t="inlineStr">
        <is>
          <t>Marcela</t>
        </is>
      </c>
      <c r="B15" t="inlineStr">
        <is>
          <t>+5592991910029</t>
        </is>
      </c>
      <c r="C15" t="inlineStr">
        <is>
          <t>Refill</t>
        </is>
      </c>
      <c r="D15" t="inlineStr">
        <is>
          <t>Primer Cachos</t>
        </is>
      </c>
      <c r="E15" t="n">
        <v>1</v>
      </c>
      <c r="F15" t="inlineStr">
        <is>
          <t>2025-11-21</t>
        </is>
      </c>
      <c r="G15" t="n">
        <v>225</v>
      </c>
      <c r="H15" t="inlineStr">
        <is>
          <t>Y</t>
        </is>
      </c>
      <c r="I15">
        <f>HYPERLINK("https://admin.shopify.com/store/ge-beauty-cosmeticos/customers/9311333450048","abrir")</f>
        <v/>
      </c>
      <c r="J15">
        <f>HYPERLINK("https://www.gebeauty.com.br/products/primer-cachos-definidos?ref=review","review")</f>
        <v/>
      </c>
      <c r="K15" t="inlineStr">
        <is>
          <t>SEND</t>
        </is>
      </c>
    </row>
    <row r="16">
      <c r="A16" t="inlineStr">
        <is>
          <t>Denise</t>
        </is>
      </c>
      <c r="B16" t="inlineStr">
        <is>
          <t>+5511992026444</t>
        </is>
      </c>
      <c r="C16" t="inlineStr">
        <is>
          <t>Refill</t>
        </is>
      </c>
      <c r="D16" t="inlineStr">
        <is>
          <t>Primer Cachos</t>
        </is>
      </c>
      <c r="E16" t="n">
        <v>1</v>
      </c>
      <c r="F16" t="inlineStr">
        <is>
          <t>2025-11-05</t>
        </is>
      </c>
      <c r="G16" t="n">
        <v>241</v>
      </c>
      <c r="H16" t="inlineStr">
        <is>
          <t>Y</t>
        </is>
      </c>
      <c r="I16">
        <f>HYPERLINK("https://admin.shopify.com/store/ge-beauty-cosmeticos/customers/7761344692544","abrir")</f>
        <v/>
      </c>
      <c r="J16">
        <f>HYPERLINK("https://www.gebeauty.com.br/products/primer-cachos-definidos?ref=review","review")</f>
        <v/>
      </c>
      <c r="K16" t="inlineStr">
        <is>
          <t>SEND</t>
        </is>
      </c>
    </row>
    <row r="17">
      <c r="A17" t="inlineStr">
        <is>
          <t>Eduarda</t>
        </is>
      </c>
      <c r="B17" t="inlineStr">
        <is>
          <t>+5521999974929</t>
        </is>
      </c>
      <c r="C17" t="inlineStr">
        <is>
          <t>Refill</t>
        </is>
      </c>
      <c r="D17" t="inlineStr">
        <is>
          <t>Primer Cachos</t>
        </is>
      </c>
      <c r="E17" t="n">
        <v>1</v>
      </c>
      <c r="F17" t="inlineStr">
        <is>
          <t>2026-02-05</t>
        </is>
      </c>
      <c r="G17" t="n">
        <v>149</v>
      </c>
      <c r="H17" t="inlineStr">
        <is>
          <t>Y</t>
        </is>
      </c>
      <c r="I17">
        <f>HYPERLINK("https://admin.shopify.com/store/ge-beauty-cosmeticos/customers/8716006785344","abrir")</f>
        <v/>
      </c>
      <c r="J17">
        <f>HYPERLINK("https://www.gebeauty.com.br/products/primer-cachos-definidos?ref=review","review")</f>
        <v/>
      </c>
      <c r="K17" t="inlineStr">
        <is>
          <t>SEND</t>
        </is>
      </c>
    </row>
    <row r="18">
      <c r="A18" t="inlineStr">
        <is>
          <t>Sheila</t>
        </is>
      </c>
      <c r="B18" t="inlineStr">
        <is>
          <t>+5554991428542</t>
        </is>
      </c>
      <c r="C18" t="inlineStr">
        <is>
          <t>Refill</t>
        </is>
      </c>
      <c r="D18" t="inlineStr">
        <is>
          <t>Primer Cachos</t>
        </is>
      </c>
      <c r="E18" t="n">
        <v>1</v>
      </c>
      <c r="F18" t="inlineStr">
        <is>
          <t>2025-12-13</t>
        </is>
      </c>
      <c r="G18" t="n">
        <v>203</v>
      </c>
      <c r="H18" t="inlineStr">
        <is>
          <t>Y</t>
        </is>
      </c>
      <c r="I18">
        <f>HYPERLINK("https://admin.shopify.com/store/ge-beauty-cosmeticos/customers/8535621566784","abrir")</f>
        <v/>
      </c>
      <c r="J18">
        <f>HYPERLINK("https://www.gebeauty.com.br/products/primer-cachos-definidos?ref=review","review")</f>
        <v/>
      </c>
      <c r="K18" t="inlineStr">
        <is>
          <t>SEND</t>
        </is>
      </c>
    </row>
    <row r="19">
      <c r="A19" t="inlineStr">
        <is>
          <t>Ana Carolina</t>
        </is>
      </c>
      <c r="B19" t="inlineStr">
        <is>
          <t>+5519997068650</t>
        </is>
      </c>
      <c r="C19" t="inlineStr">
        <is>
          <t>Refill</t>
        </is>
      </c>
      <c r="D19" t="inlineStr">
        <is>
          <t>Primer Cachos</t>
        </is>
      </c>
      <c r="E19" t="n">
        <v>1</v>
      </c>
      <c r="F19" t="inlineStr">
        <is>
          <t>2026-01-12</t>
        </is>
      </c>
      <c r="G19" t="n">
        <v>173</v>
      </c>
      <c r="H19" t="inlineStr">
        <is>
          <t>Y</t>
        </is>
      </c>
      <c r="I19">
        <f>HYPERLINK("https://admin.shopify.com/store/ge-beauty-cosmeticos/customers/7761391321408","abrir")</f>
        <v/>
      </c>
      <c r="J19">
        <f>HYPERLINK("https://www.gebeauty.com.br/products/primer-cachos-definidos?ref=review","review")</f>
        <v/>
      </c>
      <c r="K19" t="inlineStr">
        <is>
          <t>SEND</t>
        </is>
      </c>
    </row>
    <row r="20">
      <c r="A20" t="inlineStr">
        <is>
          <t>Manoelle</t>
        </is>
      </c>
      <c r="B20" t="inlineStr">
        <is>
          <t>+5521993386352</t>
        </is>
      </c>
      <c r="C20" t="inlineStr">
        <is>
          <t>Refill</t>
        </is>
      </c>
      <c r="D20" t="inlineStr">
        <is>
          <t>Primer Cachos</t>
        </is>
      </c>
      <c r="E20" t="n">
        <v>1</v>
      </c>
      <c r="F20" t="inlineStr">
        <is>
          <t>2025-11-29</t>
        </is>
      </c>
      <c r="G20" t="n">
        <v>217</v>
      </c>
      <c r="H20" t="inlineStr">
        <is>
          <t>Y</t>
        </is>
      </c>
      <c r="I20">
        <f>HYPERLINK("https://admin.shopify.com/store/ge-beauty-cosmeticos/customers/9442252816704","abrir")</f>
        <v/>
      </c>
      <c r="J20">
        <f>HYPERLINK("https://www.gebeauty.com.br/products/primer-cachos-definidos?ref=review","review")</f>
        <v/>
      </c>
      <c r="K20" t="inlineStr">
        <is>
          <t>SEND</t>
        </is>
      </c>
    </row>
    <row r="21">
      <c r="A21" t="inlineStr">
        <is>
          <t>Maria</t>
        </is>
      </c>
      <c r="B21" t="inlineStr">
        <is>
          <t>+5511981111415</t>
        </is>
      </c>
      <c r="C21" t="inlineStr">
        <is>
          <t>Refill</t>
        </is>
      </c>
      <c r="D21" t="inlineStr">
        <is>
          <t>Primer Cachos</t>
        </is>
      </c>
      <c r="E21" t="n">
        <v>1</v>
      </c>
      <c r="F21" t="inlineStr">
        <is>
          <t>2025-11-29</t>
        </is>
      </c>
      <c r="G21" t="n">
        <v>217</v>
      </c>
      <c r="H21" t="inlineStr">
        <is>
          <t>Y</t>
        </is>
      </c>
      <c r="I21">
        <f>HYPERLINK("https://admin.shopify.com/store/ge-beauty-cosmeticos/customers/8401616339264","abrir")</f>
        <v/>
      </c>
      <c r="J21">
        <f>HYPERLINK("https://www.gebeauty.com.br/products/primer-cachos-definidos?ref=review","review")</f>
        <v/>
      </c>
      <c r="K21" t="inlineStr">
        <is>
          <t>SEND</t>
        </is>
      </c>
    </row>
    <row r="22">
      <c r="A22" t="inlineStr">
        <is>
          <t>Pamela</t>
        </is>
      </c>
      <c r="B22" t="inlineStr">
        <is>
          <t>+5511976983312</t>
        </is>
      </c>
      <c r="C22" t="inlineStr">
        <is>
          <t>Refill</t>
        </is>
      </c>
      <c r="D22" t="inlineStr">
        <is>
          <t>Primer Cachos</t>
        </is>
      </c>
      <c r="E22" t="n">
        <v>1</v>
      </c>
      <c r="F22" t="inlineStr">
        <is>
          <t>2025-12-23</t>
        </is>
      </c>
      <c r="G22" t="n">
        <v>193</v>
      </c>
      <c r="H22" t="inlineStr">
        <is>
          <t>Y</t>
        </is>
      </c>
      <c r="I22">
        <f>HYPERLINK("https://admin.shopify.com/store/ge-beauty-cosmeticos/customers/8449448640832","abrir")</f>
        <v/>
      </c>
      <c r="J22">
        <f>HYPERLINK("https://www.gebeauty.com.br/products/primer-cachos-definidos?ref=review","review")</f>
        <v/>
      </c>
      <c r="K22" t="inlineStr">
        <is>
          <t>SEND</t>
        </is>
      </c>
    </row>
    <row r="23">
      <c r="A23" t="inlineStr">
        <is>
          <t>Caliandra</t>
        </is>
      </c>
      <c r="B23" t="inlineStr">
        <is>
          <t>+5555996549843</t>
        </is>
      </c>
      <c r="C23" t="inlineStr">
        <is>
          <t>Refill</t>
        </is>
      </c>
      <c r="D23" t="inlineStr">
        <is>
          <t>Primer Cachos</t>
        </is>
      </c>
      <c r="E23" t="n">
        <v>1</v>
      </c>
      <c r="F23" t="inlineStr">
        <is>
          <t>2025-11-30</t>
        </is>
      </c>
      <c r="G23" t="n">
        <v>216</v>
      </c>
      <c r="H23" t="inlineStr">
        <is>
          <t>Y</t>
        </is>
      </c>
      <c r="I23">
        <f>HYPERLINK("https://admin.shopify.com/store/ge-beauty-cosmeticos/customers/9498999456064","abrir")</f>
        <v/>
      </c>
      <c r="J23">
        <f>HYPERLINK("https://www.gebeauty.com.br/products/primer-cachos-definidos?ref=review","review")</f>
        <v/>
      </c>
      <c r="K23" t="inlineStr">
        <is>
          <t>SEND</t>
        </is>
      </c>
    </row>
    <row r="24">
      <c r="A24" t="inlineStr">
        <is>
          <t>Amanda</t>
        </is>
      </c>
      <c r="B24" t="inlineStr">
        <is>
          <t>+5547991143943</t>
        </is>
      </c>
      <c r="C24" t="inlineStr">
        <is>
          <t>Refill</t>
        </is>
      </c>
      <c r="D24" t="inlineStr">
        <is>
          <t>Primer Cachos</t>
        </is>
      </c>
      <c r="E24" t="n">
        <v>1</v>
      </c>
      <c r="F24" t="inlineStr">
        <is>
          <t>2025-11-13</t>
        </is>
      </c>
      <c r="G24" t="n">
        <v>233</v>
      </c>
      <c r="H24" t="inlineStr">
        <is>
          <t>Y</t>
        </is>
      </c>
      <c r="I24">
        <f>HYPERLINK("https://admin.shopify.com/store/ge-beauty-cosmeticos/customers/9638753009984","abrir")</f>
        <v/>
      </c>
      <c r="J24">
        <f>HYPERLINK("https://www.gebeauty.com.br/products/primer-cachos-definidos?ref=review","review")</f>
        <v/>
      </c>
      <c r="K24" t="inlineStr">
        <is>
          <t>SEND</t>
        </is>
      </c>
    </row>
    <row r="25">
      <c r="A25" t="inlineStr">
        <is>
          <t>Thamila</t>
        </is>
      </c>
      <c r="B25" t="inlineStr">
        <is>
          <t>+5588997355931</t>
        </is>
      </c>
      <c r="C25" t="inlineStr">
        <is>
          <t>Refill</t>
        </is>
      </c>
      <c r="D25" t="inlineStr">
        <is>
          <t>Primer Cachos</t>
        </is>
      </c>
      <c r="E25" t="n">
        <v>1</v>
      </c>
      <c r="F25" t="inlineStr">
        <is>
          <t>2025-09-07</t>
        </is>
      </c>
      <c r="G25" t="n">
        <v>300</v>
      </c>
      <c r="H25" t="inlineStr">
        <is>
          <t>Y</t>
        </is>
      </c>
      <c r="I25">
        <f>HYPERLINK("https://admin.shopify.com/store/ge-beauty-cosmeticos/customers/9650224267584","abrir")</f>
        <v/>
      </c>
      <c r="J25">
        <f>HYPERLINK("https://www.gebeauty.com.br/products/primer-cachos-definidos?ref=review","review")</f>
        <v/>
      </c>
      <c r="K25" t="inlineStr">
        <is>
          <t>HOLDOUT</t>
        </is>
      </c>
    </row>
    <row r="26">
      <c r="A26" t="inlineStr">
        <is>
          <t>Juliana</t>
        </is>
      </c>
      <c r="B26" t="inlineStr">
        <is>
          <t>+5562999687599</t>
        </is>
      </c>
      <c r="C26" t="inlineStr">
        <is>
          <t>Refill</t>
        </is>
      </c>
      <c r="D26" t="inlineStr">
        <is>
          <t>Primer Cachos</t>
        </is>
      </c>
      <c r="E26" t="n">
        <v>1</v>
      </c>
      <c r="F26" t="inlineStr">
        <is>
          <t>2025-09-07</t>
        </is>
      </c>
      <c r="G26" t="n">
        <v>300</v>
      </c>
      <c r="H26" t="inlineStr">
        <is>
          <t>Y</t>
        </is>
      </c>
      <c r="I26">
        <f>HYPERLINK("https://admin.shopify.com/store/ge-beauty-cosmeticos/customers/9650403574080","abrir")</f>
        <v/>
      </c>
      <c r="J26">
        <f>HYPERLINK("https://www.gebeauty.com.br/products/primer-cachos-definidos?ref=review","review")</f>
        <v/>
      </c>
      <c r="K26" t="inlineStr">
        <is>
          <t>SEND</t>
        </is>
      </c>
    </row>
    <row r="27">
      <c r="A27" t="inlineStr">
        <is>
          <t>Nair</t>
        </is>
      </c>
      <c r="B27" t="inlineStr">
        <is>
          <t>+5548999699715</t>
        </is>
      </c>
      <c r="C27" t="inlineStr">
        <is>
          <t>Refill</t>
        </is>
      </c>
      <c r="D27" t="inlineStr">
        <is>
          <t>Primer Cachos</t>
        </is>
      </c>
      <c r="E27" t="n">
        <v>1</v>
      </c>
      <c r="F27" t="inlineStr">
        <is>
          <t>2025-09-07</t>
        </is>
      </c>
      <c r="G27" t="n">
        <v>300</v>
      </c>
      <c r="H27" t="inlineStr">
        <is>
          <t>Y</t>
        </is>
      </c>
      <c r="I27">
        <f>HYPERLINK("https://admin.shopify.com/store/ge-beauty-cosmeticos/customers/9650360811840","abrir")</f>
        <v/>
      </c>
      <c r="J27">
        <f>HYPERLINK("https://www.gebeauty.com.br/products/primer-cachos-definidos?ref=review","review")</f>
        <v/>
      </c>
      <c r="K27" t="inlineStr">
        <is>
          <t>SEND</t>
        </is>
      </c>
    </row>
    <row r="28">
      <c r="A28" t="inlineStr">
        <is>
          <t>Jaqueline</t>
        </is>
      </c>
      <c r="B28" t="inlineStr">
        <is>
          <t>+5516997023964</t>
        </is>
      </c>
      <c r="C28" t="inlineStr">
        <is>
          <t>Refill</t>
        </is>
      </c>
      <c r="D28" t="inlineStr">
        <is>
          <t>Primer Cachos</t>
        </is>
      </c>
      <c r="E28" t="n">
        <v>1</v>
      </c>
      <c r="F28" t="inlineStr">
        <is>
          <t>2025-09-07</t>
        </is>
      </c>
      <c r="G28" t="n">
        <v>300</v>
      </c>
      <c r="H28" t="inlineStr">
        <is>
          <t>Y</t>
        </is>
      </c>
      <c r="I28">
        <f>HYPERLINK("https://admin.shopify.com/store/ge-beauty-cosmeticos/customers/8912624648512","abrir")</f>
        <v/>
      </c>
      <c r="J28">
        <f>HYPERLINK("https://www.gebeauty.com.br/products/primer-cachos-definidos?ref=review","review")</f>
        <v/>
      </c>
      <c r="K28" t="inlineStr">
        <is>
          <t>SEND</t>
        </is>
      </c>
    </row>
    <row r="29">
      <c r="A29" t="inlineStr">
        <is>
          <t>Larissa</t>
        </is>
      </c>
      <c r="B29" t="inlineStr">
        <is>
          <t>+5511959579929</t>
        </is>
      </c>
      <c r="C29" t="inlineStr">
        <is>
          <t>Refill</t>
        </is>
      </c>
      <c r="D29" t="inlineStr">
        <is>
          <t>Primer Cachos</t>
        </is>
      </c>
      <c r="E29" t="n">
        <v>1</v>
      </c>
      <c r="F29" t="inlineStr">
        <is>
          <t>2025-09-07</t>
        </is>
      </c>
      <c r="G29" t="n">
        <v>300</v>
      </c>
      <c r="H29" t="inlineStr">
        <is>
          <t>Y</t>
        </is>
      </c>
      <c r="I29">
        <f>HYPERLINK("https://admin.shopify.com/store/ge-beauty-cosmeticos/customers/9650748293440","abrir")</f>
        <v/>
      </c>
      <c r="J29">
        <f>HYPERLINK("https://www.gebeauty.com.br/products/primer-cachos-definidos?ref=review","review")</f>
        <v/>
      </c>
      <c r="K29" t="inlineStr">
        <is>
          <t>HOLDOUT</t>
        </is>
      </c>
    </row>
    <row r="30">
      <c r="A30" t="inlineStr">
        <is>
          <t>Nayara</t>
        </is>
      </c>
      <c r="B30" t="inlineStr">
        <is>
          <t>+5531987727301</t>
        </is>
      </c>
      <c r="C30" t="inlineStr">
        <is>
          <t>Refill</t>
        </is>
      </c>
      <c r="D30" t="inlineStr">
        <is>
          <t>Primer Cachos</t>
        </is>
      </c>
      <c r="E30" t="n">
        <v>1</v>
      </c>
      <c r="F30" t="inlineStr">
        <is>
          <t>2025-09-08</t>
        </is>
      </c>
      <c r="G30" t="n">
        <v>299</v>
      </c>
      <c r="H30" t="inlineStr">
        <is>
          <t>Y</t>
        </is>
      </c>
      <c r="I30">
        <f>HYPERLINK("https://admin.shopify.com/store/ge-beauty-cosmeticos/customers/9486297432384","abrir")</f>
        <v/>
      </c>
      <c r="J30">
        <f>HYPERLINK("https://www.gebeauty.com.br/products/primer-cachos-definidos?ref=review","review")</f>
        <v/>
      </c>
      <c r="K30" t="inlineStr">
        <is>
          <t>SEND</t>
        </is>
      </c>
    </row>
    <row r="31">
      <c r="A31" t="inlineStr">
        <is>
          <t>Patricia</t>
        </is>
      </c>
      <c r="B31" t="inlineStr">
        <is>
          <t>+5541987531845</t>
        </is>
      </c>
      <c r="C31" t="inlineStr">
        <is>
          <t>Refill</t>
        </is>
      </c>
      <c r="D31" t="inlineStr">
        <is>
          <t>Primer Cachos</t>
        </is>
      </c>
      <c r="E31" t="n">
        <v>1</v>
      </c>
      <c r="F31" t="inlineStr">
        <is>
          <t>2025-09-08</t>
        </is>
      </c>
      <c r="G31" t="n">
        <v>299</v>
      </c>
      <c r="H31" t="inlineStr">
        <is>
          <t>Y</t>
        </is>
      </c>
      <c r="I31">
        <f>HYPERLINK("https://admin.shopify.com/store/ge-beauty-cosmeticos/customers/9652474872128","abrir")</f>
        <v/>
      </c>
      <c r="J31">
        <f>HYPERLINK("https://www.gebeauty.com.br/products/primer-cachos-definidos?ref=review","review")</f>
        <v/>
      </c>
      <c r="K31" t="inlineStr">
        <is>
          <t>HOLDOUT</t>
        </is>
      </c>
    </row>
    <row r="32">
      <c r="A32" t="inlineStr">
        <is>
          <t>Daniela</t>
        </is>
      </c>
      <c r="B32" t="inlineStr">
        <is>
          <t>+5511999332243</t>
        </is>
      </c>
      <c r="C32" t="inlineStr">
        <is>
          <t>Refill</t>
        </is>
      </c>
      <c r="D32" t="inlineStr">
        <is>
          <t>Primer Cachos</t>
        </is>
      </c>
      <c r="E32" t="n">
        <v>1</v>
      </c>
      <c r="F32" t="inlineStr">
        <is>
          <t>2025-09-09</t>
        </is>
      </c>
      <c r="G32" t="n">
        <v>298</v>
      </c>
      <c r="H32" t="inlineStr">
        <is>
          <t>Y</t>
        </is>
      </c>
      <c r="I32">
        <f>HYPERLINK("https://admin.shopify.com/store/ge-beauty-cosmeticos/customers/8900567564608","abrir")</f>
        <v/>
      </c>
      <c r="J32">
        <f>HYPERLINK("https://www.gebeauty.com.br/products/primer-cachos-definidos?ref=review","review")</f>
        <v/>
      </c>
      <c r="K32" t="inlineStr">
        <is>
          <t>SEND</t>
        </is>
      </c>
    </row>
    <row r="33">
      <c r="A33" t="inlineStr">
        <is>
          <t>Priscila</t>
        </is>
      </c>
      <c r="B33" t="inlineStr">
        <is>
          <t>+5521980359461</t>
        </is>
      </c>
      <c r="C33" t="inlineStr">
        <is>
          <t>Refill</t>
        </is>
      </c>
      <c r="D33" t="inlineStr">
        <is>
          <t>Primer Cachos</t>
        </is>
      </c>
      <c r="E33" t="n">
        <v>1</v>
      </c>
      <c r="F33" t="inlineStr">
        <is>
          <t>2025-09-09</t>
        </is>
      </c>
      <c r="G33" t="n">
        <v>298</v>
      </c>
      <c r="H33" t="inlineStr">
        <is>
          <t>Y</t>
        </is>
      </c>
      <c r="I33">
        <f>HYPERLINK("https://admin.shopify.com/store/ge-beauty-cosmeticos/customers/9654429843776","abrir")</f>
        <v/>
      </c>
      <c r="J33">
        <f>HYPERLINK("https://www.gebeauty.com.br/products/primer-cachos-definidos?ref=review","review")</f>
        <v/>
      </c>
      <c r="K33" t="inlineStr">
        <is>
          <t>SEND</t>
        </is>
      </c>
    </row>
    <row r="34">
      <c r="A34" t="inlineStr">
        <is>
          <t>Maria</t>
        </is>
      </c>
      <c r="B34" t="inlineStr">
        <is>
          <t>+5521981117557</t>
        </is>
      </c>
      <c r="C34" t="inlineStr">
        <is>
          <t>Refill</t>
        </is>
      </c>
      <c r="D34" t="inlineStr">
        <is>
          <t>Primer Cachos</t>
        </is>
      </c>
      <c r="E34" t="n">
        <v>1</v>
      </c>
      <c r="F34" t="inlineStr">
        <is>
          <t>2025-09-09</t>
        </is>
      </c>
      <c r="G34" t="n">
        <v>298</v>
      </c>
      <c r="H34" t="inlineStr">
        <is>
          <t>Y</t>
        </is>
      </c>
      <c r="I34">
        <f>HYPERLINK("https://admin.shopify.com/store/ge-beauty-cosmeticos/customers/7762611732800","abrir")</f>
        <v/>
      </c>
      <c r="J34">
        <f>HYPERLINK("https://www.gebeauty.com.br/products/primer-cachos-definidos?ref=review","review")</f>
        <v/>
      </c>
      <c r="K34" t="inlineStr">
        <is>
          <t>SEND</t>
        </is>
      </c>
    </row>
    <row r="35">
      <c r="A35" t="inlineStr">
        <is>
          <t>Luisa</t>
        </is>
      </c>
      <c r="B35" t="inlineStr">
        <is>
          <t>+5581996017601</t>
        </is>
      </c>
      <c r="C35" t="inlineStr">
        <is>
          <t>Refill</t>
        </is>
      </c>
      <c r="D35" t="inlineStr">
        <is>
          <t>Primer Cachos</t>
        </is>
      </c>
      <c r="E35" t="n">
        <v>1</v>
      </c>
      <c r="F35" t="inlineStr">
        <is>
          <t>2025-11-18</t>
        </is>
      </c>
      <c r="G35" t="n">
        <v>228</v>
      </c>
      <c r="H35" t="inlineStr">
        <is>
          <t>Y</t>
        </is>
      </c>
      <c r="I35">
        <f>HYPERLINK("https://admin.shopify.com/store/ge-beauty-cosmeticos/customers/9484975440192","abrir")</f>
        <v/>
      </c>
      <c r="J35">
        <f>HYPERLINK("https://www.gebeauty.com.br/products/primer-cachos-definidos?ref=review","review")</f>
        <v/>
      </c>
      <c r="K35" t="inlineStr">
        <is>
          <t>SEND</t>
        </is>
      </c>
    </row>
    <row r="36">
      <c r="A36" t="inlineStr">
        <is>
          <t>Giselly</t>
        </is>
      </c>
      <c r="B36" t="inlineStr">
        <is>
          <t>+5562982910794</t>
        </is>
      </c>
      <c r="C36" t="inlineStr">
        <is>
          <t>Refill</t>
        </is>
      </c>
      <c r="D36" t="inlineStr">
        <is>
          <t>Primer Cachos</t>
        </is>
      </c>
      <c r="E36" t="n">
        <v>1</v>
      </c>
      <c r="F36" t="inlineStr">
        <is>
          <t>2025-09-10</t>
        </is>
      </c>
      <c r="G36" t="n">
        <v>297</v>
      </c>
      <c r="H36" t="inlineStr">
        <is>
          <t>Y</t>
        </is>
      </c>
      <c r="I36">
        <f>HYPERLINK("https://admin.shopify.com/store/ge-beauty-cosmeticos/customers/9655855251776","abrir")</f>
        <v/>
      </c>
      <c r="J36">
        <f>HYPERLINK("https://www.gebeauty.com.br/products/primer-cachos-definidos?ref=review","review")</f>
        <v/>
      </c>
      <c r="K36" t="inlineStr">
        <is>
          <t>SEND</t>
        </is>
      </c>
    </row>
    <row r="37">
      <c r="A37" t="inlineStr">
        <is>
          <t>Tatiana</t>
        </is>
      </c>
      <c r="B37" t="inlineStr">
        <is>
          <t>+5511976188577</t>
        </is>
      </c>
      <c r="C37" t="inlineStr">
        <is>
          <t>Refill</t>
        </is>
      </c>
      <c r="D37" t="inlineStr">
        <is>
          <t>Primer Cachos</t>
        </is>
      </c>
      <c r="E37" t="n">
        <v>1</v>
      </c>
      <c r="F37" t="inlineStr">
        <is>
          <t>2025-09-10</t>
        </is>
      </c>
      <c r="G37" t="n">
        <v>297</v>
      </c>
      <c r="H37" t="inlineStr">
        <is>
          <t>Y</t>
        </is>
      </c>
      <c r="I37">
        <f>HYPERLINK("https://admin.shopify.com/store/ge-beauty-cosmeticos/customers/7761403347264","abrir")</f>
        <v/>
      </c>
      <c r="J37">
        <f>HYPERLINK("https://www.gebeauty.com.br/products/primer-cachos-definidos?ref=review","review")</f>
        <v/>
      </c>
      <c r="K37" t="inlineStr">
        <is>
          <t>SEND</t>
        </is>
      </c>
    </row>
    <row r="38">
      <c r="A38" t="inlineStr">
        <is>
          <t>Flaviana</t>
        </is>
      </c>
      <c r="B38" t="inlineStr">
        <is>
          <t>+5511981578313</t>
        </is>
      </c>
      <c r="C38" t="inlineStr">
        <is>
          <t>Refill</t>
        </is>
      </c>
      <c r="D38" t="inlineStr">
        <is>
          <t>Primer Cachos</t>
        </is>
      </c>
      <c r="E38" t="n">
        <v>1</v>
      </c>
      <c r="F38" t="inlineStr">
        <is>
          <t>2025-09-10</t>
        </is>
      </c>
      <c r="G38" t="n">
        <v>297</v>
      </c>
      <c r="H38" t="inlineStr">
        <is>
          <t>Y</t>
        </is>
      </c>
      <c r="I38">
        <f>HYPERLINK("https://admin.shopify.com/store/ge-beauty-cosmeticos/customers/9658360889664","abrir")</f>
        <v/>
      </c>
      <c r="J38">
        <f>HYPERLINK("https://www.gebeauty.com.br/products/primer-cachos-definidos?ref=review","review")</f>
        <v/>
      </c>
      <c r="K38" t="inlineStr">
        <is>
          <t>SEND</t>
        </is>
      </c>
    </row>
    <row r="39">
      <c r="A39" t="inlineStr">
        <is>
          <t>Débora</t>
        </is>
      </c>
      <c r="B39" t="inlineStr">
        <is>
          <t>+5531993892331</t>
        </is>
      </c>
      <c r="C39" t="inlineStr">
        <is>
          <t>Refill</t>
        </is>
      </c>
      <c r="D39" t="inlineStr">
        <is>
          <t>Primer Cachos</t>
        </is>
      </c>
      <c r="E39" t="n">
        <v>1</v>
      </c>
      <c r="F39" t="inlineStr">
        <is>
          <t>2025-09-11</t>
        </is>
      </c>
      <c r="G39" t="n">
        <v>296</v>
      </c>
      <c r="H39" t="inlineStr">
        <is>
          <t>Y</t>
        </is>
      </c>
      <c r="I39">
        <f>HYPERLINK("https://admin.shopify.com/store/ge-beauty-cosmeticos/customers/8271684436288","abrir")</f>
        <v/>
      </c>
      <c r="J39">
        <f>HYPERLINK("https://www.gebeauty.com.br/products/primer-cachos-definidos?ref=review","review")</f>
        <v/>
      </c>
      <c r="K39" t="inlineStr">
        <is>
          <t>SEND</t>
        </is>
      </c>
    </row>
    <row r="40">
      <c r="A40" t="inlineStr">
        <is>
          <t>Adriana</t>
        </is>
      </c>
      <c r="B40" t="inlineStr">
        <is>
          <t>+5511983430330</t>
        </is>
      </c>
      <c r="C40" t="inlineStr">
        <is>
          <t>Refill</t>
        </is>
      </c>
      <c r="D40" t="inlineStr">
        <is>
          <t>Primer Cachos</t>
        </is>
      </c>
      <c r="E40" t="n">
        <v>1</v>
      </c>
      <c r="F40" t="inlineStr">
        <is>
          <t>2025-09-11</t>
        </is>
      </c>
      <c r="G40" t="n">
        <v>296</v>
      </c>
      <c r="H40" t="inlineStr">
        <is>
          <t>Y</t>
        </is>
      </c>
      <c r="I40">
        <f>HYPERLINK("https://admin.shopify.com/store/ge-beauty-cosmeticos/customers/9659484995904","abrir")</f>
        <v/>
      </c>
      <c r="J40">
        <f>HYPERLINK("https://www.gebeauty.com.br/products/primer-cachos-definidos?ref=review","review")</f>
        <v/>
      </c>
      <c r="K40" t="inlineStr">
        <is>
          <t>HOLDOUT</t>
        </is>
      </c>
    </row>
    <row r="41">
      <c r="A41" t="inlineStr">
        <is>
          <t>Rodrigo</t>
        </is>
      </c>
      <c r="B41" t="inlineStr">
        <is>
          <t>+5531999719820</t>
        </is>
      </c>
      <c r="C41" t="inlineStr">
        <is>
          <t>Refill</t>
        </is>
      </c>
      <c r="D41" t="inlineStr">
        <is>
          <t>Primer Cachos</t>
        </is>
      </c>
      <c r="E41" t="n">
        <v>1</v>
      </c>
      <c r="F41" t="inlineStr">
        <is>
          <t>2025-09-11</t>
        </is>
      </c>
      <c r="G41" t="n">
        <v>296</v>
      </c>
      <c r="H41" t="inlineStr">
        <is>
          <t>Y</t>
        </is>
      </c>
      <c r="I41">
        <f>HYPERLINK("https://admin.shopify.com/store/ge-beauty-cosmeticos/customers/7761200939328","abrir")</f>
        <v/>
      </c>
      <c r="J41">
        <f>HYPERLINK("https://www.gebeauty.com.br/products/primer-cachos-definidos?ref=review","review")</f>
        <v/>
      </c>
      <c r="K41" t="inlineStr">
        <is>
          <t>SEND</t>
        </is>
      </c>
    </row>
    <row r="42">
      <c r="A42" t="inlineStr">
        <is>
          <t>Pricila</t>
        </is>
      </c>
      <c r="B42" t="inlineStr">
        <is>
          <t>+5511994165413</t>
        </is>
      </c>
      <c r="C42" t="inlineStr">
        <is>
          <t>Refill</t>
        </is>
      </c>
      <c r="D42" t="inlineStr">
        <is>
          <t>Primer Cachos</t>
        </is>
      </c>
      <c r="E42" t="n">
        <v>1</v>
      </c>
      <c r="F42" t="inlineStr">
        <is>
          <t>2025-09-11</t>
        </is>
      </c>
      <c r="G42" t="n">
        <v>296</v>
      </c>
      <c r="H42" t="inlineStr">
        <is>
          <t>Y</t>
        </is>
      </c>
      <c r="I42">
        <f>HYPERLINK("https://admin.shopify.com/store/ge-beauty-cosmeticos/customers/7760268919104","abrir")</f>
        <v/>
      </c>
      <c r="J42">
        <f>HYPERLINK("https://www.gebeauty.com.br/products/primer-cachos-definidos?ref=review","review")</f>
        <v/>
      </c>
      <c r="K42" t="inlineStr">
        <is>
          <t>HOLDOUT</t>
        </is>
      </c>
    </row>
    <row r="43">
      <c r="A43" t="inlineStr">
        <is>
          <t>Renata</t>
        </is>
      </c>
      <c r="B43" t="inlineStr">
        <is>
          <t>+5531984210190</t>
        </is>
      </c>
      <c r="C43" t="inlineStr">
        <is>
          <t>Refill</t>
        </is>
      </c>
      <c r="D43" t="inlineStr">
        <is>
          <t>Primer Cachos</t>
        </is>
      </c>
      <c r="E43" t="n">
        <v>1</v>
      </c>
      <c r="F43" t="inlineStr">
        <is>
          <t>2025-09-12</t>
        </is>
      </c>
      <c r="G43" t="n">
        <v>295</v>
      </c>
      <c r="H43" t="inlineStr">
        <is>
          <t>Y</t>
        </is>
      </c>
      <c r="I43">
        <f>HYPERLINK("https://admin.shopify.com/store/ge-beauty-cosmeticos/customers/8261197627712","abrir")</f>
        <v/>
      </c>
      <c r="J43">
        <f>HYPERLINK("https://www.gebeauty.com.br/products/primer-cachos-definidos?ref=review","review")</f>
        <v/>
      </c>
      <c r="K43" t="inlineStr">
        <is>
          <t>SEND</t>
        </is>
      </c>
    </row>
    <row r="44">
      <c r="A44" t="inlineStr">
        <is>
          <t>Gabrielly</t>
        </is>
      </c>
      <c r="B44" t="inlineStr">
        <is>
          <t>+5583988592322</t>
        </is>
      </c>
      <c r="C44" t="inlineStr">
        <is>
          <t>Refill</t>
        </is>
      </c>
      <c r="D44" t="inlineStr">
        <is>
          <t>Primer Cachos</t>
        </is>
      </c>
      <c r="E44" t="n">
        <v>1</v>
      </c>
      <c r="F44" t="inlineStr">
        <is>
          <t>2025-09-12</t>
        </is>
      </c>
      <c r="G44" t="n">
        <v>295</v>
      </c>
      <c r="H44" t="inlineStr">
        <is>
          <t>Y</t>
        </is>
      </c>
      <c r="I44">
        <f>HYPERLINK("https://admin.shopify.com/store/ge-beauty-cosmeticos/customers/9661376135488","abrir")</f>
        <v/>
      </c>
      <c r="J44">
        <f>HYPERLINK("https://www.gebeauty.com.br/products/primer-cachos-definidos?ref=review","review")</f>
        <v/>
      </c>
      <c r="K44" t="inlineStr">
        <is>
          <t>SEND</t>
        </is>
      </c>
    </row>
    <row r="45">
      <c r="A45" t="inlineStr">
        <is>
          <t>Giulia</t>
        </is>
      </c>
      <c r="B45" t="inlineStr">
        <is>
          <t>+5551999898169</t>
        </is>
      </c>
      <c r="C45" t="inlineStr">
        <is>
          <t>Refill</t>
        </is>
      </c>
      <c r="D45" t="inlineStr">
        <is>
          <t>Primer Cachos</t>
        </is>
      </c>
      <c r="E45" t="n">
        <v>1</v>
      </c>
      <c r="F45" t="inlineStr">
        <is>
          <t>2025-09-12</t>
        </is>
      </c>
      <c r="G45" t="n">
        <v>295</v>
      </c>
      <c r="H45" t="inlineStr">
        <is>
          <t>Y</t>
        </is>
      </c>
      <c r="I45">
        <f>HYPERLINK("https://admin.shopify.com/store/ge-beauty-cosmeticos/customers/9486620590400","abrir")</f>
        <v/>
      </c>
      <c r="J45">
        <f>HYPERLINK("https://www.gebeauty.com.br/products/primer-cachos-definidos?ref=review","review")</f>
        <v/>
      </c>
      <c r="K45" t="inlineStr">
        <is>
          <t>SEND</t>
        </is>
      </c>
    </row>
    <row r="46">
      <c r="A46" t="inlineStr">
        <is>
          <t>Daniella</t>
        </is>
      </c>
      <c r="B46" t="inlineStr">
        <is>
          <t>+5521973931898</t>
        </is>
      </c>
      <c r="C46" t="inlineStr">
        <is>
          <t>Refill</t>
        </is>
      </c>
      <c r="D46" t="inlineStr">
        <is>
          <t>Primer Cachos</t>
        </is>
      </c>
      <c r="E46" t="n">
        <v>1</v>
      </c>
      <c r="F46" t="inlineStr">
        <is>
          <t>2025-09-12</t>
        </is>
      </c>
      <c r="G46" t="n">
        <v>295</v>
      </c>
      <c r="H46" t="inlineStr">
        <is>
          <t>Y</t>
        </is>
      </c>
      <c r="I46">
        <f>HYPERLINK("https://admin.shopify.com/store/ge-beauty-cosmeticos/customers/9485226803520","abrir")</f>
        <v/>
      </c>
      <c r="J46">
        <f>HYPERLINK("https://www.gebeauty.com.br/products/primer-cachos-definidos?ref=review","review")</f>
        <v/>
      </c>
      <c r="K46" t="inlineStr">
        <is>
          <t>SEND</t>
        </is>
      </c>
    </row>
    <row r="47">
      <c r="A47" t="inlineStr">
        <is>
          <t>Jessica</t>
        </is>
      </c>
      <c r="B47" t="inlineStr">
        <is>
          <t>+5541991218747</t>
        </is>
      </c>
      <c r="C47" t="inlineStr">
        <is>
          <t>Refill</t>
        </is>
      </c>
      <c r="D47" t="inlineStr">
        <is>
          <t>Primer Cachos</t>
        </is>
      </c>
      <c r="E47" t="n">
        <v>1</v>
      </c>
      <c r="F47" t="inlineStr">
        <is>
          <t>2025-09-12</t>
        </is>
      </c>
      <c r="G47" t="n">
        <v>295</v>
      </c>
      <c r="H47" t="inlineStr">
        <is>
          <t>Y</t>
        </is>
      </c>
      <c r="I47">
        <f>HYPERLINK("https://admin.shopify.com/store/ge-beauty-cosmeticos/customers/9662188093760","abrir")</f>
        <v/>
      </c>
      <c r="J47">
        <f>HYPERLINK("https://www.gebeauty.com.br/products/primer-cachos-definidos?ref=review","review")</f>
        <v/>
      </c>
      <c r="K47" t="inlineStr">
        <is>
          <t>SEND</t>
        </is>
      </c>
    </row>
    <row r="48">
      <c r="A48" t="inlineStr">
        <is>
          <t>Tacyanne</t>
        </is>
      </c>
      <c r="B48" t="inlineStr">
        <is>
          <t>+5541984233385</t>
        </is>
      </c>
      <c r="C48" t="inlineStr">
        <is>
          <t>Refill</t>
        </is>
      </c>
      <c r="D48" t="inlineStr">
        <is>
          <t>Primer Cachos</t>
        </is>
      </c>
      <c r="E48" t="n">
        <v>1</v>
      </c>
      <c r="F48" t="inlineStr">
        <is>
          <t>2025-09-13</t>
        </is>
      </c>
      <c r="G48" t="n">
        <v>294</v>
      </c>
      <c r="H48" t="inlineStr">
        <is>
          <t>Y</t>
        </is>
      </c>
      <c r="I48">
        <f>HYPERLINK("https://admin.shopify.com/store/ge-beauty-cosmeticos/customers/9663573524800","abrir")</f>
        <v/>
      </c>
      <c r="J48">
        <f>HYPERLINK("https://www.gebeauty.com.br/products/primer-cachos-definidos?ref=review","review")</f>
        <v/>
      </c>
      <c r="K48" t="inlineStr">
        <is>
          <t>SEND</t>
        </is>
      </c>
    </row>
    <row r="49">
      <c r="A49" t="inlineStr">
        <is>
          <t>Laís</t>
        </is>
      </c>
      <c r="B49" t="inlineStr">
        <is>
          <t>+5548999583944</t>
        </is>
      </c>
      <c r="C49" t="inlineStr">
        <is>
          <t>Refill</t>
        </is>
      </c>
      <c r="D49" t="inlineStr">
        <is>
          <t>Primer Cachos</t>
        </is>
      </c>
      <c r="E49" t="n">
        <v>1</v>
      </c>
      <c r="F49" t="inlineStr">
        <is>
          <t>2025-09-13</t>
        </is>
      </c>
      <c r="G49" t="n">
        <v>294</v>
      </c>
      <c r="H49" t="inlineStr">
        <is>
          <t>Y</t>
        </is>
      </c>
      <c r="I49">
        <f>HYPERLINK("https://admin.shopify.com/store/ge-beauty-cosmeticos/customers/9485069123904","abrir")</f>
        <v/>
      </c>
      <c r="J49">
        <f>HYPERLINK("https://www.gebeauty.com.br/products/primer-cachos-definidos?ref=review","review")</f>
        <v/>
      </c>
      <c r="K49" t="inlineStr">
        <is>
          <t>SEND</t>
        </is>
      </c>
    </row>
    <row r="50">
      <c r="A50" t="inlineStr">
        <is>
          <t>Andrea</t>
        </is>
      </c>
      <c r="B50" t="inlineStr">
        <is>
          <t>+5519995449904</t>
        </is>
      </c>
      <c r="C50" t="inlineStr">
        <is>
          <t>Refill</t>
        </is>
      </c>
      <c r="D50" t="inlineStr">
        <is>
          <t>Primer Cachos</t>
        </is>
      </c>
      <c r="E50" t="n">
        <v>1</v>
      </c>
      <c r="F50" t="inlineStr">
        <is>
          <t>2025-09-13</t>
        </is>
      </c>
      <c r="G50" t="n">
        <v>294</v>
      </c>
      <c r="H50" t="inlineStr">
        <is>
          <t>Y</t>
        </is>
      </c>
      <c r="I50">
        <f>HYPERLINK("https://admin.shopify.com/store/ge-beauty-cosmeticos/customers/9663836193088","abrir")</f>
        <v/>
      </c>
      <c r="J50">
        <f>HYPERLINK("https://www.gebeauty.com.br/products/primer-cachos-definidos?ref=review","review")</f>
        <v/>
      </c>
      <c r="K50" t="inlineStr">
        <is>
          <t>SEND</t>
        </is>
      </c>
    </row>
    <row r="51">
      <c r="A51" t="inlineStr">
        <is>
          <t>Raira</t>
        </is>
      </c>
      <c r="B51" t="inlineStr">
        <is>
          <t>+5511942242460</t>
        </is>
      </c>
      <c r="C51" t="inlineStr">
        <is>
          <t>Refill</t>
        </is>
      </c>
      <c r="D51" t="inlineStr">
        <is>
          <t>Primer Cachos</t>
        </is>
      </c>
      <c r="E51" t="n">
        <v>1</v>
      </c>
      <c r="F51" t="inlineStr">
        <is>
          <t>2025-09-13</t>
        </is>
      </c>
      <c r="G51" t="n">
        <v>294</v>
      </c>
      <c r="H51" t="inlineStr">
        <is>
          <t>Y</t>
        </is>
      </c>
      <c r="I51">
        <f>HYPERLINK("https://admin.shopify.com/store/ge-beauty-cosmeticos/customers/9663907365184","abrir")</f>
        <v/>
      </c>
      <c r="J51">
        <f>HYPERLINK("https://www.gebeauty.com.br/products/primer-cachos-definidos?ref=review","review")</f>
        <v/>
      </c>
      <c r="K51" t="inlineStr">
        <is>
          <t>SEND</t>
        </is>
      </c>
    </row>
    <row r="52">
      <c r="A52" t="inlineStr">
        <is>
          <t>Mariana</t>
        </is>
      </c>
      <c r="B52" t="inlineStr">
        <is>
          <t>+5511985123333</t>
        </is>
      </c>
      <c r="C52" t="inlineStr">
        <is>
          <t>Refill</t>
        </is>
      </c>
      <c r="D52" t="inlineStr">
        <is>
          <t>Primer Cachos</t>
        </is>
      </c>
      <c r="E52" t="n">
        <v>1</v>
      </c>
      <c r="F52" t="inlineStr">
        <is>
          <t>2025-09-13</t>
        </is>
      </c>
      <c r="G52" t="n">
        <v>294</v>
      </c>
      <c r="H52" t="inlineStr">
        <is>
          <t>Y</t>
        </is>
      </c>
      <c r="I52">
        <f>HYPERLINK("https://admin.shopify.com/store/ge-beauty-cosmeticos/customers/9663950815552","abrir")</f>
        <v/>
      </c>
      <c r="J52">
        <f>HYPERLINK("https://www.gebeauty.com.br/products/primer-cachos-definidos?ref=review","review")</f>
        <v/>
      </c>
      <c r="K52" t="inlineStr">
        <is>
          <t>SEND</t>
        </is>
      </c>
    </row>
    <row r="53">
      <c r="A53" t="inlineStr">
        <is>
          <t>Raquel</t>
        </is>
      </c>
      <c r="B53" t="inlineStr">
        <is>
          <t>+5581988482610</t>
        </is>
      </c>
      <c r="C53" t="inlineStr">
        <is>
          <t>Refill</t>
        </is>
      </c>
      <c r="D53" t="inlineStr">
        <is>
          <t>Primer Cachos</t>
        </is>
      </c>
      <c r="E53" t="n">
        <v>1</v>
      </c>
      <c r="F53" t="inlineStr">
        <is>
          <t>2025-09-13</t>
        </is>
      </c>
      <c r="G53" t="n">
        <v>294</v>
      </c>
      <c r="H53" t="inlineStr">
        <is>
          <t>Y</t>
        </is>
      </c>
      <c r="I53">
        <f>HYPERLINK("https://admin.shopify.com/store/ge-beauty-cosmeticos/customers/9485137609024","abrir")</f>
        <v/>
      </c>
      <c r="J53">
        <f>HYPERLINK("https://www.gebeauty.com.br/products/primer-cachos-definidos?ref=review","review")</f>
        <v/>
      </c>
      <c r="K53" t="inlineStr">
        <is>
          <t>SEND</t>
        </is>
      </c>
    </row>
    <row r="54">
      <c r="A54" t="inlineStr">
        <is>
          <t>Bruna</t>
        </is>
      </c>
      <c r="B54" t="inlineStr">
        <is>
          <t>+5581982991618</t>
        </is>
      </c>
      <c r="C54" t="inlineStr">
        <is>
          <t>Refill</t>
        </is>
      </c>
      <c r="D54" t="inlineStr">
        <is>
          <t>Primer Cachos</t>
        </is>
      </c>
      <c r="E54" t="n">
        <v>1</v>
      </c>
      <c r="F54" t="inlineStr">
        <is>
          <t>2025-09-14</t>
        </is>
      </c>
      <c r="G54" t="n">
        <v>293</v>
      </c>
      <c r="H54" t="inlineStr">
        <is>
          <t>N</t>
        </is>
      </c>
      <c r="I54">
        <f>HYPERLINK("https://admin.shopify.com/store/ge-beauty-cosmeticos/customers/9571956162880","abrir")</f>
        <v/>
      </c>
      <c r="J54">
        <f>HYPERLINK("https://www.gebeauty.com.br/products/primer-cachos-definidos?ref=review","review")</f>
        <v/>
      </c>
      <c r="K54" t="inlineStr">
        <is>
          <t>SEND</t>
        </is>
      </c>
    </row>
    <row r="55">
      <c r="A55" t="inlineStr">
        <is>
          <t>Jovana</t>
        </is>
      </c>
      <c r="B55" t="inlineStr">
        <is>
          <t>+5527988262678</t>
        </is>
      </c>
      <c r="C55" t="inlineStr">
        <is>
          <t>Refill</t>
        </is>
      </c>
      <c r="D55" t="inlineStr">
        <is>
          <t>Primer Cachos</t>
        </is>
      </c>
      <c r="E55" t="n">
        <v>1</v>
      </c>
      <c r="F55" t="inlineStr">
        <is>
          <t>2025-09-14</t>
        </is>
      </c>
      <c r="G55" t="n">
        <v>293</v>
      </c>
      <c r="H55" t="inlineStr">
        <is>
          <t>Y</t>
        </is>
      </c>
      <c r="I55">
        <f>HYPERLINK("https://admin.shopify.com/store/ge-beauty-cosmeticos/customers/9485747781952","abrir")</f>
        <v/>
      </c>
      <c r="J55">
        <f>HYPERLINK("https://www.gebeauty.com.br/products/primer-cachos-definidos?ref=review","review")</f>
        <v/>
      </c>
      <c r="K55" t="inlineStr">
        <is>
          <t>SEND</t>
        </is>
      </c>
    </row>
    <row r="56">
      <c r="A56" t="inlineStr">
        <is>
          <t>Alyne</t>
        </is>
      </c>
      <c r="B56" t="inlineStr">
        <is>
          <t>+5511992776373</t>
        </is>
      </c>
      <c r="C56" t="inlineStr">
        <is>
          <t>Refill</t>
        </is>
      </c>
      <c r="D56" t="inlineStr">
        <is>
          <t>Primer Cachos</t>
        </is>
      </c>
      <c r="E56" t="n">
        <v>1</v>
      </c>
      <c r="F56" t="inlineStr">
        <is>
          <t>2025-09-14</t>
        </is>
      </c>
      <c r="G56" t="n">
        <v>293</v>
      </c>
      <c r="H56" t="inlineStr">
        <is>
          <t>Y</t>
        </is>
      </c>
      <c r="I56">
        <f>HYPERLINK("https://admin.shopify.com/store/ge-beauty-cosmeticos/customers/9665416102208","abrir")</f>
        <v/>
      </c>
      <c r="J56">
        <f>HYPERLINK("https://www.gebeauty.com.br/products/primer-cachos-definidos?ref=review","review")</f>
        <v/>
      </c>
      <c r="K56" t="inlineStr">
        <is>
          <t>SEND</t>
        </is>
      </c>
    </row>
    <row r="57">
      <c r="A57" t="inlineStr">
        <is>
          <t>Adriana</t>
        </is>
      </c>
      <c r="B57" t="inlineStr">
        <is>
          <t>+5527981514225</t>
        </is>
      </c>
      <c r="C57" t="inlineStr">
        <is>
          <t>Refill</t>
        </is>
      </c>
      <c r="D57" t="inlineStr">
        <is>
          <t>Primer Cachos</t>
        </is>
      </c>
      <c r="E57" t="n">
        <v>1</v>
      </c>
      <c r="F57" t="inlineStr">
        <is>
          <t>2025-09-14</t>
        </is>
      </c>
      <c r="G57" t="n">
        <v>293</v>
      </c>
      <c r="H57" t="inlineStr">
        <is>
          <t>Y</t>
        </is>
      </c>
      <c r="I57">
        <f>HYPERLINK("https://admin.shopify.com/store/ge-beauty-cosmeticos/customers/8646728384832","abrir")</f>
        <v/>
      </c>
      <c r="J57">
        <f>HYPERLINK("https://www.gebeauty.com.br/products/primer-cachos-definidos?ref=review","review")</f>
        <v/>
      </c>
      <c r="K57" t="inlineStr">
        <is>
          <t>SEND</t>
        </is>
      </c>
    </row>
    <row r="58">
      <c r="A58" t="inlineStr">
        <is>
          <t>Paola</t>
        </is>
      </c>
      <c r="B58" t="inlineStr">
        <is>
          <t>+5551999790932</t>
        </is>
      </c>
      <c r="C58" t="inlineStr">
        <is>
          <t>Refill</t>
        </is>
      </c>
      <c r="D58" t="inlineStr">
        <is>
          <t>Primer Cachos</t>
        </is>
      </c>
      <c r="E58" t="n">
        <v>1</v>
      </c>
      <c r="F58" t="inlineStr">
        <is>
          <t>2025-09-14</t>
        </is>
      </c>
      <c r="G58" t="n">
        <v>293</v>
      </c>
      <c r="H58" t="inlineStr">
        <is>
          <t>N</t>
        </is>
      </c>
      <c r="I58">
        <f>HYPERLINK("https://admin.shopify.com/store/ge-beauty-cosmeticos/customers/9646020591936","abrir")</f>
        <v/>
      </c>
      <c r="J58">
        <f>HYPERLINK("https://www.gebeauty.com.br/products/primer-cachos-definidos?ref=review","review")</f>
        <v/>
      </c>
      <c r="K58" t="inlineStr">
        <is>
          <t>SEND</t>
        </is>
      </c>
    </row>
    <row r="59">
      <c r="A59" t="inlineStr">
        <is>
          <t>Eloá</t>
        </is>
      </c>
      <c r="B59" t="inlineStr">
        <is>
          <t>+5516981262881</t>
        </is>
      </c>
      <c r="C59" t="inlineStr">
        <is>
          <t>Refill</t>
        </is>
      </c>
      <c r="D59" t="inlineStr">
        <is>
          <t>Primer Cachos</t>
        </is>
      </c>
      <c r="E59" t="n">
        <v>1</v>
      </c>
      <c r="F59" t="inlineStr">
        <is>
          <t>2025-09-14</t>
        </is>
      </c>
      <c r="G59" t="n">
        <v>293</v>
      </c>
      <c r="H59" t="inlineStr">
        <is>
          <t>Y</t>
        </is>
      </c>
      <c r="I59">
        <f>HYPERLINK("https://admin.shopify.com/store/ge-beauty-cosmeticos/customers/7760211968320","abrir")</f>
        <v/>
      </c>
      <c r="J59">
        <f>HYPERLINK("https://www.gebeauty.com.br/products/primer-cachos-definidos?ref=review","review")</f>
        <v/>
      </c>
      <c r="K59" t="inlineStr">
        <is>
          <t>SEND</t>
        </is>
      </c>
    </row>
    <row r="60">
      <c r="A60" t="inlineStr">
        <is>
          <t>Gabriela</t>
        </is>
      </c>
      <c r="B60" t="inlineStr">
        <is>
          <t>+5583999827911</t>
        </is>
      </c>
      <c r="C60" t="inlineStr">
        <is>
          <t>Refill</t>
        </is>
      </c>
      <c r="D60" t="inlineStr">
        <is>
          <t>Primer Cachos</t>
        </is>
      </c>
      <c r="E60" t="n">
        <v>1</v>
      </c>
      <c r="F60" t="inlineStr">
        <is>
          <t>2025-09-14</t>
        </is>
      </c>
      <c r="G60" t="n">
        <v>293</v>
      </c>
      <c r="H60" t="inlineStr">
        <is>
          <t>Y</t>
        </is>
      </c>
      <c r="I60">
        <f>HYPERLINK("https://admin.shopify.com/store/ge-beauty-cosmeticos/customers/7762608456000","abrir")</f>
        <v/>
      </c>
      <c r="J60">
        <f>HYPERLINK("https://www.gebeauty.com.br/products/primer-cachos-definidos?ref=review","review")</f>
        <v/>
      </c>
      <c r="K60" t="inlineStr">
        <is>
          <t>SEND</t>
        </is>
      </c>
    </row>
    <row r="61">
      <c r="A61" t="inlineStr">
        <is>
          <t>Tainá</t>
        </is>
      </c>
      <c r="B61" t="inlineStr">
        <is>
          <t>+5521999319401</t>
        </is>
      </c>
      <c r="C61" t="inlineStr">
        <is>
          <t>Refill</t>
        </is>
      </c>
      <c r="D61" t="inlineStr">
        <is>
          <t>Primer Cachos</t>
        </is>
      </c>
      <c r="E61" t="n">
        <v>1</v>
      </c>
      <c r="F61" t="inlineStr">
        <is>
          <t>2025-09-14</t>
        </is>
      </c>
      <c r="G61" t="n">
        <v>293</v>
      </c>
      <c r="H61" t="inlineStr">
        <is>
          <t>Y</t>
        </is>
      </c>
      <c r="I61">
        <f>HYPERLINK("https://admin.shopify.com/store/ge-beauty-cosmeticos/customers/8909798474048","abrir")</f>
        <v/>
      </c>
      <c r="J61">
        <f>HYPERLINK("https://www.gebeauty.com.br/products/primer-cachos-definidos?ref=review","review")</f>
        <v/>
      </c>
      <c r="K61" t="inlineStr">
        <is>
          <t>SEND</t>
        </is>
      </c>
    </row>
    <row r="62">
      <c r="A62" t="inlineStr">
        <is>
          <t>Isabela</t>
        </is>
      </c>
      <c r="B62" t="inlineStr">
        <is>
          <t>+5521998027332</t>
        </is>
      </c>
      <c r="C62" t="inlineStr">
        <is>
          <t>Refill</t>
        </is>
      </c>
      <c r="D62" t="inlineStr">
        <is>
          <t>Primer Cachos</t>
        </is>
      </c>
      <c r="E62" t="n">
        <v>1</v>
      </c>
      <c r="F62" t="inlineStr">
        <is>
          <t>2025-09-14</t>
        </is>
      </c>
      <c r="G62" t="n">
        <v>293</v>
      </c>
      <c r="H62" t="inlineStr">
        <is>
          <t>Y</t>
        </is>
      </c>
      <c r="I62">
        <f>HYPERLINK("https://admin.shopify.com/store/ge-beauty-cosmeticos/customers/9594060964160","abrir")</f>
        <v/>
      </c>
      <c r="J62">
        <f>HYPERLINK("https://www.gebeauty.com.br/products/primer-cachos-definidos?ref=review","review")</f>
        <v/>
      </c>
      <c r="K62" t="inlineStr">
        <is>
          <t>SEND</t>
        </is>
      </c>
    </row>
    <row r="63">
      <c r="A63" t="inlineStr">
        <is>
          <t>Isabela</t>
        </is>
      </c>
      <c r="B63" t="inlineStr">
        <is>
          <t>+5519997979578</t>
        </is>
      </c>
      <c r="C63" t="inlineStr">
        <is>
          <t>Refill</t>
        </is>
      </c>
      <c r="D63" t="inlineStr">
        <is>
          <t>Primer Cachos</t>
        </is>
      </c>
      <c r="E63" t="n">
        <v>1</v>
      </c>
      <c r="F63" t="inlineStr">
        <is>
          <t>2025-09-15</t>
        </is>
      </c>
      <c r="G63" t="n">
        <v>292</v>
      </c>
      <c r="H63" t="inlineStr">
        <is>
          <t>Y</t>
        </is>
      </c>
      <c r="I63">
        <f>HYPERLINK("https://admin.shopify.com/store/ge-beauty-cosmeticos/customers/9650954502464","abrir")</f>
        <v/>
      </c>
      <c r="J63">
        <f>HYPERLINK("https://www.gebeauty.com.br/products/primer-cachos-definidos?ref=review","review")</f>
        <v/>
      </c>
      <c r="K63" t="inlineStr">
        <is>
          <t>SEND</t>
        </is>
      </c>
    </row>
    <row r="64">
      <c r="A64" t="inlineStr">
        <is>
          <t>Marianna</t>
        </is>
      </c>
      <c r="B64" t="inlineStr">
        <is>
          <t>+5521995861211</t>
        </is>
      </c>
      <c r="C64" t="inlineStr">
        <is>
          <t>Refill</t>
        </is>
      </c>
      <c r="D64" t="inlineStr">
        <is>
          <t>Primer Cachos</t>
        </is>
      </c>
      <c r="E64" t="n">
        <v>1</v>
      </c>
      <c r="F64" t="inlineStr">
        <is>
          <t>2025-09-15</t>
        </is>
      </c>
      <c r="G64" t="n">
        <v>292</v>
      </c>
      <c r="H64" t="inlineStr">
        <is>
          <t>Y</t>
        </is>
      </c>
      <c r="I64">
        <f>HYPERLINK("https://admin.shopify.com/store/ge-beauty-cosmeticos/customers/9661464248640","abrir")</f>
        <v/>
      </c>
      <c r="J64">
        <f>HYPERLINK("https://www.gebeauty.com.br/products/primer-cachos-definidos?ref=review","review")</f>
        <v/>
      </c>
      <c r="K64" t="inlineStr">
        <is>
          <t>HOLDOUT</t>
        </is>
      </c>
    </row>
    <row r="65">
      <c r="A65" t="inlineStr">
        <is>
          <t>Luciana</t>
        </is>
      </c>
      <c r="B65" t="inlineStr">
        <is>
          <t>+5561996735331</t>
        </is>
      </c>
      <c r="C65" t="inlineStr">
        <is>
          <t>Refill</t>
        </is>
      </c>
      <c r="D65" t="inlineStr">
        <is>
          <t>Primer Cachos</t>
        </is>
      </c>
      <c r="E65" t="n">
        <v>1</v>
      </c>
      <c r="F65" t="inlineStr">
        <is>
          <t>2025-09-15</t>
        </is>
      </c>
      <c r="G65" t="n">
        <v>292</v>
      </c>
      <c r="H65" t="inlineStr">
        <is>
          <t>Y</t>
        </is>
      </c>
      <c r="I65">
        <f>HYPERLINK("https://admin.shopify.com/store/ge-beauty-cosmeticos/customers/9539739124032","abrir")</f>
        <v/>
      </c>
      <c r="J65">
        <f>HYPERLINK("https://www.gebeauty.com.br/products/primer-cachos-definidos?ref=review","review")</f>
        <v/>
      </c>
      <c r="K65" t="inlineStr">
        <is>
          <t>SEND</t>
        </is>
      </c>
    </row>
    <row r="66">
      <c r="A66" t="inlineStr">
        <is>
          <t>Andrea</t>
        </is>
      </c>
      <c r="B66" t="inlineStr">
        <is>
          <t>+5521999727472</t>
        </is>
      </c>
      <c r="C66" t="inlineStr">
        <is>
          <t>Refill</t>
        </is>
      </c>
      <c r="D66" t="inlineStr">
        <is>
          <t>Primer Cachos</t>
        </is>
      </c>
      <c r="E66" t="n">
        <v>1</v>
      </c>
      <c r="F66" t="inlineStr">
        <is>
          <t>2025-09-15</t>
        </is>
      </c>
      <c r="G66" t="n">
        <v>292</v>
      </c>
      <c r="H66" t="inlineStr">
        <is>
          <t>Y</t>
        </is>
      </c>
      <c r="I66">
        <f>HYPERLINK("https://admin.shopify.com/store/ge-beauty-cosmeticos/customers/9670444777792","abrir")</f>
        <v/>
      </c>
      <c r="J66">
        <f>HYPERLINK("https://www.gebeauty.com.br/products/primer-cachos-definidos?ref=review","review")</f>
        <v/>
      </c>
      <c r="K66" t="inlineStr">
        <is>
          <t>SEND</t>
        </is>
      </c>
    </row>
    <row r="67">
      <c r="A67" t="inlineStr">
        <is>
          <t>Karla</t>
        </is>
      </c>
      <c r="B67" t="inlineStr">
        <is>
          <t>+5565999915414</t>
        </is>
      </c>
      <c r="C67" t="inlineStr">
        <is>
          <t>Refill</t>
        </is>
      </c>
      <c r="D67" t="inlineStr">
        <is>
          <t>Primer Cachos</t>
        </is>
      </c>
      <c r="E67" t="n">
        <v>1</v>
      </c>
      <c r="F67" t="inlineStr">
        <is>
          <t>2025-09-15</t>
        </is>
      </c>
      <c r="G67" t="n">
        <v>292</v>
      </c>
      <c r="H67" t="inlineStr">
        <is>
          <t>Y</t>
        </is>
      </c>
      <c r="I67">
        <f>HYPERLINK("https://admin.shopify.com/store/ge-beauty-cosmeticos/customers/9500681535808","abrir")</f>
        <v/>
      </c>
      <c r="J67">
        <f>HYPERLINK("https://www.gebeauty.com.br/products/primer-cachos-definidos?ref=review","review")</f>
        <v/>
      </c>
      <c r="K67" t="inlineStr">
        <is>
          <t>SEND</t>
        </is>
      </c>
    </row>
    <row r="68">
      <c r="A68" t="inlineStr">
        <is>
          <t>Mirella</t>
        </is>
      </c>
      <c r="B68" t="inlineStr">
        <is>
          <t>+5519998604477</t>
        </is>
      </c>
      <c r="C68" t="inlineStr">
        <is>
          <t>Refill</t>
        </is>
      </c>
      <c r="D68" t="inlineStr">
        <is>
          <t>Primer Cachos</t>
        </is>
      </c>
      <c r="E68" t="n">
        <v>1</v>
      </c>
      <c r="F68" t="inlineStr">
        <is>
          <t>2025-09-15</t>
        </is>
      </c>
      <c r="G68" t="n">
        <v>292</v>
      </c>
      <c r="H68" t="inlineStr">
        <is>
          <t>Y</t>
        </is>
      </c>
      <c r="I68">
        <f>HYPERLINK("https://admin.shopify.com/store/ge-beauty-cosmeticos/customers/9670848479552","abrir")</f>
        <v/>
      </c>
      <c r="J68">
        <f>HYPERLINK("https://www.gebeauty.com.br/products/primer-cachos-definidos?ref=review","review")</f>
        <v/>
      </c>
      <c r="K68" t="inlineStr">
        <is>
          <t>SEND</t>
        </is>
      </c>
    </row>
    <row r="69">
      <c r="A69" t="inlineStr">
        <is>
          <t>Vanessa Thais</t>
        </is>
      </c>
      <c r="B69" t="inlineStr">
        <is>
          <t>+5551996187762</t>
        </is>
      </c>
      <c r="C69" t="inlineStr">
        <is>
          <t>Refill</t>
        </is>
      </c>
      <c r="D69" t="inlineStr">
        <is>
          <t>Primer Cachos</t>
        </is>
      </c>
      <c r="E69" t="n">
        <v>1</v>
      </c>
      <c r="F69" t="inlineStr">
        <is>
          <t>2025-09-16</t>
        </is>
      </c>
      <c r="G69" t="n">
        <v>291</v>
      </c>
      <c r="H69" t="inlineStr">
        <is>
          <t>Y</t>
        </is>
      </c>
      <c r="I69">
        <f>HYPERLINK("https://admin.shopify.com/store/ge-beauty-cosmeticos/customers/9671981728064","abrir")</f>
        <v/>
      </c>
      <c r="J69">
        <f>HYPERLINK("https://www.gebeauty.com.br/products/primer-cachos-definidos?ref=review","review")</f>
        <v/>
      </c>
      <c r="K69" t="inlineStr">
        <is>
          <t>SEND</t>
        </is>
      </c>
    </row>
    <row r="70">
      <c r="A70" t="inlineStr">
        <is>
          <t>Larissa</t>
        </is>
      </c>
      <c r="B70" t="inlineStr">
        <is>
          <t>+5585999154585</t>
        </is>
      </c>
      <c r="C70" t="inlineStr">
        <is>
          <t>Refill</t>
        </is>
      </c>
      <c r="D70" t="inlineStr">
        <is>
          <t>Primer Cachos</t>
        </is>
      </c>
      <c r="E70" t="n">
        <v>1</v>
      </c>
      <c r="F70" t="inlineStr">
        <is>
          <t>2025-09-16</t>
        </is>
      </c>
      <c r="G70" t="n">
        <v>291</v>
      </c>
      <c r="H70" t="inlineStr">
        <is>
          <t>Y</t>
        </is>
      </c>
      <c r="I70">
        <f>HYPERLINK("https://admin.shopify.com/store/ge-beauty-cosmeticos/customers/9486633206080","abrir")</f>
        <v/>
      </c>
      <c r="J70">
        <f>HYPERLINK("https://www.gebeauty.com.br/products/primer-cachos-definidos?ref=review","review")</f>
        <v/>
      </c>
      <c r="K70" t="inlineStr">
        <is>
          <t>SEND</t>
        </is>
      </c>
    </row>
    <row r="71">
      <c r="A71" t="inlineStr">
        <is>
          <t>Juliana</t>
        </is>
      </c>
      <c r="B71" t="inlineStr">
        <is>
          <t>+5511982728462</t>
        </is>
      </c>
      <c r="C71" t="inlineStr">
        <is>
          <t>Refill</t>
        </is>
      </c>
      <c r="D71" t="inlineStr">
        <is>
          <t>Primer Cachos</t>
        </is>
      </c>
      <c r="E71" t="n">
        <v>1</v>
      </c>
      <c r="F71" t="inlineStr">
        <is>
          <t>2025-09-16</t>
        </is>
      </c>
      <c r="G71" t="n">
        <v>291</v>
      </c>
      <c r="H71" t="inlineStr">
        <is>
          <t>Y</t>
        </is>
      </c>
      <c r="I71">
        <f>HYPERLINK("https://admin.shopify.com/store/ge-beauty-cosmeticos/customers/8922672988480","abrir")</f>
        <v/>
      </c>
      <c r="J71">
        <f>HYPERLINK("https://www.gebeauty.com.br/products/primer-cachos-definidos?ref=review","review")</f>
        <v/>
      </c>
      <c r="K71" t="inlineStr">
        <is>
          <t>SEND</t>
        </is>
      </c>
    </row>
    <row r="72">
      <c r="A72" t="inlineStr">
        <is>
          <t>Marilene</t>
        </is>
      </c>
      <c r="B72" t="inlineStr">
        <is>
          <t>+5551999870372</t>
        </is>
      </c>
      <c r="C72" t="inlineStr">
        <is>
          <t>Refill</t>
        </is>
      </c>
      <c r="D72" t="inlineStr">
        <is>
          <t>Primer Cachos</t>
        </is>
      </c>
      <c r="E72" t="n">
        <v>1</v>
      </c>
      <c r="F72" t="inlineStr">
        <is>
          <t>2025-09-16</t>
        </is>
      </c>
      <c r="G72" t="n">
        <v>291</v>
      </c>
      <c r="H72" t="inlineStr">
        <is>
          <t>Y</t>
        </is>
      </c>
      <c r="I72">
        <f>HYPERLINK("https://admin.shopify.com/store/ge-beauty-cosmeticos/customers/9672845754688","abrir")</f>
        <v/>
      </c>
      <c r="J72">
        <f>HYPERLINK("https://www.gebeauty.com.br/products/primer-cachos-definidos?ref=review","review")</f>
        <v/>
      </c>
      <c r="K72" t="inlineStr">
        <is>
          <t>SEND</t>
        </is>
      </c>
    </row>
    <row r="73">
      <c r="A73" t="inlineStr">
        <is>
          <t>Beatriz</t>
        </is>
      </c>
      <c r="B73" t="inlineStr">
        <is>
          <t>+5511964763159</t>
        </is>
      </c>
      <c r="C73" t="inlineStr">
        <is>
          <t>Refill</t>
        </is>
      </c>
      <c r="D73" t="inlineStr">
        <is>
          <t>Primer Cachos</t>
        </is>
      </c>
      <c r="E73" t="n">
        <v>1</v>
      </c>
      <c r="F73" t="inlineStr">
        <is>
          <t>2025-09-16</t>
        </is>
      </c>
      <c r="G73" t="n">
        <v>291</v>
      </c>
      <c r="H73" t="inlineStr">
        <is>
          <t>Y</t>
        </is>
      </c>
      <c r="I73">
        <f>HYPERLINK("https://admin.shopify.com/store/ge-beauty-cosmeticos/customers/9672750694720","abrir")</f>
        <v/>
      </c>
      <c r="J73">
        <f>HYPERLINK("https://www.gebeauty.com.br/products/primer-cachos-definidos?ref=review","review")</f>
        <v/>
      </c>
      <c r="K73" t="inlineStr">
        <is>
          <t>SEND</t>
        </is>
      </c>
    </row>
    <row r="74">
      <c r="A74" t="inlineStr">
        <is>
          <t>Flávia</t>
        </is>
      </c>
      <c r="B74" t="inlineStr">
        <is>
          <t>+5511999474466</t>
        </is>
      </c>
      <c r="C74" t="inlineStr">
        <is>
          <t>Refill</t>
        </is>
      </c>
      <c r="D74" t="inlineStr">
        <is>
          <t>Primer Cachos</t>
        </is>
      </c>
      <c r="E74" t="n">
        <v>1</v>
      </c>
      <c r="F74" t="inlineStr">
        <is>
          <t>2025-09-16</t>
        </is>
      </c>
      <c r="G74" t="n">
        <v>291</v>
      </c>
      <c r="H74" t="inlineStr">
        <is>
          <t>Y</t>
        </is>
      </c>
      <c r="I74">
        <f>HYPERLINK("https://admin.shopify.com/store/ge-beauty-cosmeticos/customers/9486500954432","abrir")</f>
        <v/>
      </c>
      <c r="J74">
        <f>HYPERLINK("https://www.gebeauty.com.br/products/primer-cachos-definidos?ref=review","review")</f>
        <v/>
      </c>
      <c r="K74" t="inlineStr">
        <is>
          <t>SEND</t>
        </is>
      </c>
    </row>
    <row r="75">
      <c r="A75" t="inlineStr">
        <is>
          <t>Tonia</t>
        </is>
      </c>
      <c r="B75" t="inlineStr">
        <is>
          <t>+5511970506265</t>
        </is>
      </c>
      <c r="C75" t="inlineStr">
        <is>
          <t>Refill</t>
        </is>
      </c>
      <c r="D75" t="inlineStr">
        <is>
          <t>Primer Cachos</t>
        </is>
      </c>
      <c r="E75" t="n">
        <v>1</v>
      </c>
      <c r="F75" t="inlineStr">
        <is>
          <t>2025-09-17</t>
        </is>
      </c>
      <c r="G75" t="n">
        <v>290</v>
      </c>
      <c r="H75" t="inlineStr">
        <is>
          <t>Y</t>
        </is>
      </c>
      <c r="I75">
        <f>HYPERLINK("https://admin.shopify.com/store/ge-beauty-cosmeticos/customers/8144446980416","abrir")</f>
        <v/>
      </c>
      <c r="J75">
        <f>HYPERLINK("https://www.gebeauty.com.br/products/primer-cachos-definidos?ref=review","review")</f>
        <v/>
      </c>
      <c r="K75" t="inlineStr">
        <is>
          <t>SEND</t>
        </is>
      </c>
    </row>
    <row r="76">
      <c r="A76" t="inlineStr">
        <is>
          <t>Maria</t>
        </is>
      </c>
      <c r="B76" t="inlineStr">
        <is>
          <t>+5585997025305</t>
        </is>
      </c>
      <c r="C76" t="inlineStr">
        <is>
          <t>Refill</t>
        </is>
      </c>
      <c r="D76" t="inlineStr">
        <is>
          <t>Primer Cachos</t>
        </is>
      </c>
      <c r="E76" t="n">
        <v>1</v>
      </c>
      <c r="F76" t="inlineStr">
        <is>
          <t>2025-09-17</t>
        </is>
      </c>
      <c r="G76" t="n">
        <v>290</v>
      </c>
      <c r="H76" t="inlineStr">
        <is>
          <t>Y</t>
        </is>
      </c>
      <c r="I76">
        <f>HYPERLINK("https://admin.shopify.com/store/ge-beauty-cosmeticos/customers/9674299605312","abrir")</f>
        <v/>
      </c>
      <c r="J76">
        <f>HYPERLINK("https://www.gebeauty.com.br/products/primer-cachos-definidos?ref=review","review")</f>
        <v/>
      </c>
      <c r="K76" t="inlineStr">
        <is>
          <t>SEND</t>
        </is>
      </c>
    </row>
    <row r="77">
      <c r="A77" t="inlineStr">
        <is>
          <t>Leonardo</t>
        </is>
      </c>
      <c r="B77" t="inlineStr">
        <is>
          <t>+5561999748272</t>
        </is>
      </c>
      <c r="C77" t="inlineStr">
        <is>
          <t>Refill</t>
        </is>
      </c>
      <c r="D77" t="inlineStr">
        <is>
          <t>Primer Cachos</t>
        </is>
      </c>
      <c r="E77" t="n">
        <v>1</v>
      </c>
      <c r="F77" t="inlineStr">
        <is>
          <t>2025-09-17</t>
        </is>
      </c>
      <c r="G77" t="n">
        <v>290</v>
      </c>
      <c r="H77" t="inlineStr">
        <is>
          <t>Y</t>
        </is>
      </c>
      <c r="I77">
        <f>HYPERLINK("https://admin.shopify.com/store/ge-beauty-cosmeticos/customers/9674028122432","abrir")</f>
        <v/>
      </c>
      <c r="J77">
        <f>HYPERLINK("https://www.gebeauty.com.br/products/primer-cachos-definidos?ref=review","review")</f>
        <v/>
      </c>
      <c r="K77" t="inlineStr">
        <is>
          <t>SEND</t>
        </is>
      </c>
    </row>
    <row r="78">
      <c r="A78" t="inlineStr">
        <is>
          <t>Laura</t>
        </is>
      </c>
      <c r="B78" t="inlineStr">
        <is>
          <t>+5562996799906</t>
        </is>
      </c>
      <c r="C78" t="inlineStr">
        <is>
          <t>Refill</t>
        </is>
      </c>
      <c r="D78" t="inlineStr">
        <is>
          <t>Primer Cachos</t>
        </is>
      </c>
      <c r="E78" t="n">
        <v>1</v>
      </c>
      <c r="F78" t="inlineStr">
        <is>
          <t>2025-09-17</t>
        </is>
      </c>
      <c r="G78" t="n">
        <v>290</v>
      </c>
      <c r="H78" t="inlineStr">
        <is>
          <t>Y</t>
        </is>
      </c>
      <c r="I78">
        <f>HYPERLINK("https://admin.shopify.com/store/ge-beauty-cosmeticos/customers/9674464002368","abrir")</f>
        <v/>
      </c>
      <c r="J78">
        <f>HYPERLINK("https://www.gebeauty.com.br/products/primer-cachos-definidos?ref=review","review")</f>
        <v/>
      </c>
      <c r="K78" t="inlineStr">
        <is>
          <t>SEND</t>
        </is>
      </c>
    </row>
    <row r="79">
      <c r="A79" t="inlineStr">
        <is>
          <t>Juliana</t>
        </is>
      </c>
      <c r="B79" t="inlineStr">
        <is>
          <t>+5549999756858</t>
        </is>
      </c>
      <c r="C79" t="inlineStr">
        <is>
          <t>Refill</t>
        </is>
      </c>
      <c r="D79" t="inlineStr">
        <is>
          <t>Primer Cachos</t>
        </is>
      </c>
      <c r="E79" t="n">
        <v>1</v>
      </c>
      <c r="F79" t="inlineStr">
        <is>
          <t>2025-09-17</t>
        </is>
      </c>
      <c r="G79" t="n">
        <v>290</v>
      </c>
      <c r="H79" t="inlineStr">
        <is>
          <t>Y</t>
        </is>
      </c>
      <c r="I79">
        <f>HYPERLINK("https://admin.shopify.com/store/ge-beauty-cosmeticos/customers/9674523672896","abrir")</f>
        <v/>
      </c>
      <c r="J79">
        <f>HYPERLINK("https://www.gebeauty.com.br/products/primer-cachos-definidos?ref=review","review")</f>
        <v/>
      </c>
      <c r="K79" t="inlineStr">
        <is>
          <t>SEND</t>
        </is>
      </c>
    </row>
    <row r="80">
      <c r="A80" t="inlineStr">
        <is>
          <t>Flavia</t>
        </is>
      </c>
      <c r="B80" t="inlineStr">
        <is>
          <t>+5527981363322</t>
        </is>
      </c>
      <c r="C80" t="inlineStr">
        <is>
          <t>Refill</t>
        </is>
      </c>
      <c r="D80" t="inlineStr">
        <is>
          <t>Primer Cachos</t>
        </is>
      </c>
      <c r="E80" t="n">
        <v>1</v>
      </c>
      <c r="F80" t="inlineStr">
        <is>
          <t>2025-09-18</t>
        </is>
      </c>
      <c r="G80" t="n">
        <v>289</v>
      </c>
      <c r="H80" t="inlineStr">
        <is>
          <t>Y</t>
        </is>
      </c>
      <c r="I80">
        <f>HYPERLINK("https://admin.shopify.com/store/ge-beauty-cosmeticos/customers/9672746729792","abrir")</f>
        <v/>
      </c>
      <c r="J80">
        <f>HYPERLINK("https://www.gebeauty.com.br/products/primer-cachos-definidos?ref=review","review")</f>
        <v/>
      </c>
      <c r="K80" t="inlineStr">
        <is>
          <t>SEND</t>
        </is>
      </c>
    </row>
    <row r="81">
      <c r="A81" t="inlineStr">
        <is>
          <t>Cássia</t>
        </is>
      </c>
      <c r="B81" t="inlineStr">
        <is>
          <t>+5551995572430</t>
        </is>
      </c>
      <c r="C81" t="inlineStr">
        <is>
          <t>Refill</t>
        </is>
      </c>
      <c r="D81" t="inlineStr">
        <is>
          <t>Primer Cachos</t>
        </is>
      </c>
      <c r="E81" t="n">
        <v>1</v>
      </c>
      <c r="F81" t="inlineStr">
        <is>
          <t>2025-09-18</t>
        </is>
      </c>
      <c r="G81" t="n">
        <v>289</v>
      </c>
      <c r="H81" t="inlineStr">
        <is>
          <t>Y</t>
        </is>
      </c>
      <c r="I81">
        <f>HYPERLINK("https://admin.shopify.com/store/ge-beauty-cosmeticos/customers/9676709364032","abrir")</f>
        <v/>
      </c>
      <c r="J81">
        <f>HYPERLINK("https://www.gebeauty.com.br/products/primer-cachos-definidos?ref=review","review")</f>
        <v/>
      </c>
      <c r="K81" t="inlineStr">
        <is>
          <t>SEND</t>
        </is>
      </c>
    </row>
    <row r="82">
      <c r="A82" t="inlineStr">
        <is>
          <t>Maribel</t>
        </is>
      </c>
      <c r="B82" t="inlineStr">
        <is>
          <t>+5511992439007</t>
        </is>
      </c>
      <c r="C82" t="inlineStr">
        <is>
          <t>Refill</t>
        </is>
      </c>
      <c r="D82" t="inlineStr">
        <is>
          <t>Primer Cachos</t>
        </is>
      </c>
      <c r="E82" t="n">
        <v>1</v>
      </c>
      <c r="F82" t="inlineStr">
        <is>
          <t>2025-09-18</t>
        </is>
      </c>
      <c r="G82" t="n">
        <v>289</v>
      </c>
      <c r="H82" t="inlineStr">
        <is>
          <t>Y</t>
        </is>
      </c>
      <c r="I82">
        <f>HYPERLINK("https://admin.shopify.com/store/ge-beauty-cosmeticos/customers/9330543886656","abrir")</f>
        <v/>
      </c>
      <c r="J82">
        <f>HYPERLINK("https://www.gebeauty.com.br/products/primer-cachos-definidos?ref=review","review")</f>
        <v/>
      </c>
      <c r="K82" t="inlineStr">
        <is>
          <t>SEND</t>
        </is>
      </c>
    </row>
    <row r="83">
      <c r="A83" t="inlineStr">
        <is>
          <t>Caroline</t>
        </is>
      </c>
      <c r="B83" t="inlineStr">
        <is>
          <t>+5543999119699</t>
        </is>
      </c>
      <c r="C83" t="inlineStr">
        <is>
          <t>Refill</t>
        </is>
      </c>
      <c r="D83" t="inlineStr">
        <is>
          <t>Primer Cachos</t>
        </is>
      </c>
      <c r="E83" t="n">
        <v>1</v>
      </c>
      <c r="F83" t="inlineStr">
        <is>
          <t>2025-09-18</t>
        </is>
      </c>
      <c r="G83" t="n">
        <v>289</v>
      </c>
      <c r="H83" t="inlineStr">
        <is>
          <t>Y</t>
        </is>
      </c>
      <c r="I83">
        <f>HYPERLINK("https://admin.shopify.com/store/ge-beauty-cosmeticos/customers/9676914098496","abrir")</f>
        <v/>
      </c>
      <c r="J83">
        <f>HYPERLINK("https://www.gebeauty.com.br/products/primer-cachos-definidos?ref=review","review")</f>
        <v/>
      </c>
      <c r="K83" t="inlineStr">
        <is>
          <t>SEND</t>
        </is>
      </c>
    </row>
    <row r="84">
      <c r="A84" t="inlineStr">
        <is>
          <t>Giovanna</t>
        </is>
      </c>
      <c r="B84" t="inlineStr">
        <is>
          <t>+5561993045258</t>
        </is>
      </c>
      <c r="C84" t="inlineStr">
        <is>
          <t>Refill</t>
        </is>
      </c>
      <c r="D84" t="inlineStr">
        <is>
          <t>Primer Cachos</t>
        </is>
      </c>
      <c r="E84" t="n">
        <v>1</v>
      </c>
      <c r="F84" t="inlineStr">
        <is>
          <t>2025-09-19</t>
        </is>
      </c>
      <c r="G84" t="n">
        <v>288</v>
      </c>
      <c r="H84" t="inlineStr">
        <is>
          <t>Y</t>
        </is>
      </c>
      <c r="I84">
        <f>HYPERLINK("https://admin.shopify.com/store/ge-beauty-cosmeticos/customers/9645150765376","abrir")</f>
        <v/>
      </c>
      <c r="J84">
        <f>HYPERLINK("https://www.gebeauty.com.br/products/primer-cachos-definidos?ref=review","review")</f>
        <v/>
      </c>
      <c r="K84" t="inlineStr">
        <is>
          <t>SEND</t>
        </is>
      </c>
    </row>
    <row r="85">
      <c r="A85" t="inlineStr">
        <is>
          <t>Barbara</t>
        </is>
      </c>
      <c r="B85" t="inlineStr">
        <is>
          <t>+5584991879893</t>
        </is>
      </c>
      <c r="C85" t="inlineStr">
        <is>
          <t>Refill</t>
        </is>
      </c>
      <c r="D85" t="inlineStr">
        <is>
          <t>Primer Cachos</t>
        </is>
      </c>
      <c r="E85" t="n">
        <v>1</v>
      </c>
      <c r="F85" t="inlineStr">
        <is>
          <t>2025-09-19</t>
        </is>
      </c>
      <c r="G85" t="n">
        <v>288</v>
      </c>
      <c r="H85" t="inlineStr">
        <is>
          <t>Y</t>
        </is>
      </c>
      <c r="I85">
        <f>HYPERLINK("https://admin.shopify.com/store/ge-beauty-cosmeticos/customers/9486604534080","abrir")</f>
        <v/>
      </c>
      <c r="J85">
        <f>HYPERLINK("https://www.gebeauty.com.br/products/primer-cachos-definidos?ref=review","review")</f>
        <v/>
      </c>
      <c r="K85" t="inlineStr">
        <is>
          <t>SEND</t>
        </is>
      </c>
    </row>
    <row r="86">
      <c r="A86" t="inlineStr">
        <is>
          <t>Larissa</t>
        </is>
      </c>
      <c r="B86" t="inlineStr">
        <is>
          <t>+5511997238814</t>
        </is>
      </c>
      <c r="C86" t="inlineStr">
        <is>
          <t>Refill</t>
        </is>
      </c>
      <c r="D86" t="inlineStr">
        <is>
          <t>Primer Cachos</t>
        </is>
      </c>
      <c r="E86" t="n">
        <v>1</v>
      </c>
      <c r="F86" t="inlineStr">
        <is>
          <t>2025-09-19</t>
        </is>
      </c>
      <c r="G86" t="n">
        <v>288</v>
      </c>
      <c r="H86" t="inlineStr">
        <is>
          <t>Y</t>
        </is>
      </c>
      <c r="I86">
        <f>HYPERLINK("https://admin.shopify.com/store/ge-beauty-cosmeticos/customers/9537721434432","abrir")</f>
        <v/>
      </c>
      <c r="J86">
        <f>HYPERLINK("https://www.gebeauty.com.br/products/primer-cachos-definidos?ref=review","review")</f>
        <v/>
      </c>
      <c r="K86" t="inlineStr">
        <is>
          <t>SEND</t>
        </is>
      </c>
    </row>
    <row r="87">
      <c r="A87" t="inlineStr">
        <is>
          <t>Tais</t>
        </is>
      </c>
      <c r="B87" t="inlineStr">
        <is>
          <t>+5549991823622</t>
        </is>
      </c>
      <c r="C87" t="inlineStr">
        <is>
          <t>Refill</t>
        </is>
      </c>
      <c r="D87" t="inlineStr">
        <is>
          <t>Primer Cachos</t>
        </is>
      </c>
      <c r="E87" t="n">
        <v>1</v>
      </c>
      <c r="F87" t="inlineStr">
        <is>
          <t>2025-09-19</t>
        </is>
      </c>
      <c r="G87" t="n">
        <v>288</v>
      </c>
      <c r="H87" t="inlineStr">
        <is>
          <t>Y</t>
        </is>
      </c>
      <c r="I87">
        <f>HYPERLINK("https://admin.shopify.com/store/ge-beauty-cosmeticos/customers/8424139587904","abrir")</f>
        <v/>
      </c>
      <c r="J87">
        <f>HYPERLINK("https://www.gebeauty.com.br/products/primer-cachos-definidos?ref=review","review")</f>
        <v/>
      </c>
      <c r="K87" t="inlineStr">
        <is>
          <t>SEND</t>
        </is>
      </c>
    </row>
    <row r="88">
      <c r="A88" t="inlineStr">
        <is>
          <t>Aline</t>
        </is>
      </c>
      <c r="B88" t="inlineStr">
        <is>
          <t>+5519992061348</t>
        </is>
      </c>
      <c r="C88" t="inlineStr">
        <is>
          <t>Refill</t>
        </is>
      </c>
      <c r="D88" t="inlineStr">
        <is>
          <t>Primer Cachos</t>
        </is>
      </c>
      <c r="E88" t="n">
        <v>1</v>
      </c>
      <c r="F88" t="inlineStr">
        <is>
          <t>2025-09-19</t>
        </is>
      </c>
      <c r="G88" t="n">
        <v>288</v>
      </c>
      <c r="H88" t="inlineStr">
        <is>
          <t>Y</t>
        </is>
      </c>
      <c r="I88">
        <f>HYPERLINK("https://admin.shopify.com/store/ge-beauty-cosmeticos/customers/9641944482112","abrir")</f>
        <v/>
      </c>
      <c r="J88">
        <f>HYPERLINK("https://www.gebeauty.com.br/products/primer-cachos-definidos?ref=review","review")</f>
        <v/>
      </c>
      <c r="K88" t="inlineStr">
        <is>
          <t>SEND</t>
        </is>
      </c>
    </row>
    <row r="89">
      <c r="A89" t="inlineStr">
        <is>
          <t>Maria</t>
        </is>
      </c>
      <c r="B89" t="inlineStr">
        <is>
          <t>+5531998878696</t>
        </is>
      </c>
      <c r="C89" t="inlineStr">
        <is>
          <t>Refill</t>
        </is>
      </c>
      <c r="D89" t="inlineStr">
        <is>
          <t>Primer Cachos</t>
        </is>
      </c>
      <c r="E89" t="n">
        <v>1</v>
      </c>
      <c r="F89" t="inlineStr">
        <is>
          <t>2025-09-20</t>
        </is>
      </c>
      <c r="G89" t="n">
        <v>287</v>
      </c>
      <c r="H89" t="inlineStr">
        <is>
          <t>Y</t>
        </is>
      </c>
      <c r="I89">
        <f>HYPERLINK("https://admin.shopify.com/store/ge-beauty-cosmeticos/customers/9484916654400","abrir")</f>
        <v/>
      </c>
      <c r="J89">
        <f>HYPERLINK("https://www.gebeauty.com.br/products/primer-cachos-definidos?ref=review","review")</f>
        <v/>
      </c>
      <c r="K89" t="inlineStr">
        <is>
          <t>SEND</t>
        </is>
      </c>
    </row>
    <row r="90">
      <c r="A90" t="inlineStr">
        <is>
          <t>Juliana</t>
        </is>
      </c>
      <c r="B90" t="inlineStr">
        <is>
          <t>+5551992492623</t>
        </is>
      </c>
      <c r="C90" t="inlineStr">
        <is>
          <t>Refill</t>
        </is>
      </c>
      <c r="D90" t="inlineStr">
        <is>
          <t>Primer Cachos</t>
        </is>
      </c>
      <c r="E90" t="n">
        <v>1</v>
      </c>
      <c r="F90" t="inlineStr">
        <is>
          <t>2025-09-20</t>
        </is>
      </c>
      <c r="G90" t="n">
        <v>287</v>
      </c>
      <c r="H90" t="inlineStr">
        <is>
          <t>Y</t>
        </is>
      </c>
      <c r="I90">
        <f>HYPERLINK("https://admin.shopify.com/store/ge-beauty-cosmeticos/customers/9679201108288","abrir")</f>
        <v/>
      </c>
      <c r="J90">
        <f>HYPERLINK("https://www.gebeauty.com.br/products/primer-cachos-definidos?ref=review","review")</f>
        <v/>
      </c>
      <c r="K90" t="inlineStr">
        <is>
          <t>SEND</t>
        </is>
      </c>
    </row>
    <row r="91">
      <c r="A91" t="inlineStr">
        <is>
          <t>Marcela</t>
        </is>
      </c>
      <c r="B91" t="inlineStr">
        <is>
          <t>+5511981724631</t>
        </is>
      </c>
      <c r="C91" t="inlineStr">
        <is>
          <t>Refill</t>
        </is>
      </c>
      <c r="D91" t="inlineStr">
        <is>
          <t>Primer Cachos</t>
        </is>
      </c>
      <c r="E91" t="n">
        <v>1</v>
      </c>
      <c r="F91" t="inlineStr">
        <is>
          <t>2025-09-20</t>
        </is>
      </c>
      <c r="G91" t="n">
        <v>287</v>
      </c>
      <c r="H91" t="inlineStr">
        <is>
          <t>Y</t>
        </is>
      </c>
      <c r="I91">
        <f>HYPERLINK("https://admin.shopify.com/store/ge-beauty-cosmeticos/customers/9679947006272","abrir")</f>
        <v/>
      </c>
      <c r="J91">
        <f>HYPERLINK("https://www.gebeauty.com.br/products/primer-cachos-definidos?ref=review","review")</f>
        <v/>
      </c>
      <c r="K91" t="inlineStr">
        <is>
          <t>SEND</t>
        </is>
      </c>
    </row>
    <row r="92">
      <c r="A92" t="inlineStr">
        <is>
          <t>Igor</t>
        </is>
      </c>
      <c r="B92" t="inlineStr">
        <is>
          <t>+5567999858899</t>
        </is>
      </c>
      <c r="C92" t="inlineStr">
        <is>
          <t>Refill</t>
        </is>
      </c>
      <c r="D92" t="inlineStr">
        <is>
          <t>Primer Cachos</t>
        </is>
      </c>
      <c r="E92" t="n">
        <v>1</v>
      </c>
      <c r="F92" t="inlineStr">
        <is>
          <t>2025-09-20</t>
        </is>
      </c>
      <c r="G92" t="n">
        <v>287</v>
      </c>
      <c r="H92" t="inlineStr">
        <is>
          <t>Y</t>
        </is>
      </c>
      <c r="I92">
        <f>HYPERLINK("https://admin.shopify.com/store/ge-beauty-cosmeticos/customers/9679950840128","abrir")</f>
        <v/>
      </c>
      <c r="J92">
        <f>HYPERLINK("https://www.gebeauty.com.br/products/primer-cachos-definidos?ref=review","review")</f>
        <v/>
      </c>
      <c r="K92" t="inlineStr">
        <is>
          <t>HOLDOUT</t>
        </is>
      </c>
    </row>
    <row r="93">
      <c r="A93" t="inlineStr">
        <is>
          <t>Lucimere</t>
        </is>
      </c>
      <c r="B93" t="inlineStr">
        <is>
          <t>+5544999720051</t>
        </is>
      </c>
      <c r="C93" t="inlineStr">
        <is>
          <t>Refill</t>
        </is>
      </c>
      <c r="D93" t="inlineStr">
        <is>
          <t>Primer Cachos</t>
        </is>
      </c>
      <c r="E93" t="n">
        <v>1</v>
      </c>
      <c r="F93" t="inlineStr">
        <is>
          <t>2025-09-20</t>
        </is>
      </c>
      <c r="G93" t="n">
        <v>287</v>
      </c>
      <c r="H93" t="inlineStr">
        <is>
          <t>Y</t>
        </is>
      </c>
      <c r="I93">
        <f>HYPERLINK("https://admin.shopify.com/store/ge-beauty-cosmeticos/customers/9254910099776","abrir")</f>
        <v/>
      </c>
      <c r="J93">
        <f>HYPERLINK("https://www.gebeauty.com.br/products/primer-cachos-definidos?ref=review","review")</f>
        <v/>
      </c>
      <c r="K93" t="inlineStr">
        <is>
          <t>SEND</t>
        </is>
      </c>
    </row>
    <row r="94">
      <c r="A94" t="inlineStr">
        <is>
          <t>Emanuele</t>
        </is>
      </c>
      <c r="B94" t="inlineStr">
        <is>
          <t>+5511991477753</t>
        </is>
      </c>
      <c r="C94" t="inlineStr">
        <is>
          <t>Refill</t>
        </is>
      </c>
      <c r="D94" t="inlineStr">
        <is>
          <t>Primer Cachos</t>
        </is>
      </c>
      <c r="E94" t="n">
        <v>1</v>
      </c>
      <c r="F94" t="inlineStr">
        <is>
          <t>2025-09-20</t>
        </is>
      </c>
      <c r="G94" t="n">
        <v>287</v>
      </c>
      <c r="H94" t="inlineStr">
        <is>
          <t>Y</t>
        </is>
      </c>
      <c r="I94">
        <f>HYPERLINK("https://admin.shopify.com/store/ge-beauty-cosmeticos/customers/9680181657920","abrir")</f>
        <v/>
      </c>
      <c r="J94">
        <f>HYPERLINK("https://www.gebeauty.com.br/products/primer-cachos-definidos?ref=review","review")</f>
        <v/>
      </c>
      <c r="K94" t="inlineStr">
        <is>
          <t>SEND</t>
        </is>
      </c>
    </row>
    <row r="95">
      <c r="A95" t="inlineStr">
        <is>
          <t>Tércia</t>
        </is>
      </c>
      <c r="B95" t="inlineStr">
        <is>
          <t>+5511964332872</t>
        </is>
      </c>
      <c r="C95" t="inlineStr">
        <is>
          <t>Refill</t>
        </is>
      </c>
      <c r="D95" t="inlineStr">
        <is>
          <t>Primer Cachos</t>
        </is>
      </c>
      <c r="E95" t="n">
        <v>1</v>
      </c>
      <c r="F95" t="inlineStr">
        <is>
          <t>2025-09-20</t>
        </is>
      </c>
      <c r="G95" t="n">
        <v>287</v>
      </c>
      <c r="H95" t="inlineStr">
        <is>
          <t>Y</t>
        </is>
      </c>
      <c r="I95">
        <f>HYPERLINK("https://admin.shopify.com/store/ge-beauty-cosmeticos/customers/7761911939392","abrir")</f>
        <v/>
      </c>
      <c r="J95">
        <f>HYPERLINK("https://www.gebeauty.com.br/products/primer-cachos-definidos?ref=review","review")</f>
        <v/>
      </c>
      <c r="K95" t="inlineStr">
        <is>
          <t>SEND</t>
        </is>
      </c>
    </row>
    <row r="96">
      <c r="A96" t="inlineStr">
        <is>
          <t>Flávia</t>
        </is>
      </c>
      <c r="B96" t="inlineStr">
        <is>
          <t>+5521999482907</t>
        </is>
      </c>
      <c r="C96" t="inlineStr">
        <is>
          <t>Refill</t>
        </is>
      </c>
      <c r="D96" t="inlineStr">
        <is>
          <t>Primer Cachos</t>
        </is>
      </c>
      <c r="E96" t="n">
        <v>1</v>
      </c>
      <c r="F96" t="inlineStr">
        <is>
          <t>2025-09-21</t>
        </is>
      </c>
      <c r="G96" t="n">
        <v>286</v>
      </c>
      <c r="H96" t="inlineStr">
        <is>
          <t>Y</t>
        </is>
      </c>
      <c r="I96">
        <f>HYPERLINK("https://admin.shopify.com/store/ge-beauty-cosmeticos/customers/9665440874816","abrir")</f>
        <v/>
      </c>
      <c r="J96">
        <f>HYPERLINK("https://www.gebeauty.com.br/products/primer-cachos-definidos?ref=review","review")</f>
        <v/>
      </c>
      <c r="K96" t="inlineStr">
        <is>
          <t>SEND</t>
        </is>
      </c>
    </row>
    <row r="97">
      <c r="A97" t="inlineStr">
        <is>
          <t>Luciana</t>
        </is>
      </c>
      <c r="B97" t="inlineStr">
        <is>
          <t>+5521999755612</t>
        </is>
      </c>
      <c r="C97" t="inlineStr">
        <is>
          <t>Refill</t>
        </is>
      </c>
      <c r="D97" t="inlineStr">
        <is>
          <t>Primer Cachos</t>
        </is>
      </c>
      <c r="E97" t="n">
        <v>1</v>
      </c>
      <c r="F97" t="inlineStr">
        <is>
          <t>2025-09-21</t>
        </is>
      </c>
      <c r="G97" t="n">
        <v>286</v>
      </c>
      <c r="H97" t="inlineStr">
        <is>
          <t>Y</t>
        </is>
      </c>
      <c r="I97">
        <f>HYPERLINK("https://admin.shopify.com/store/ge-beauty-cosmeticos/customers/9485962248512","abrir")</f>
        <v/>
      </c>
      <c r="J97">
        <f>HYPERLINK("https://www.gebeauty.com.br/products/primer-cachos-definidos?ref=review","review")</f>
        <v/>
      </c>
      <c r="K97" t="inlineStr">
        <is>
          <t>SEND</t>
        </is>
      </c>
    </row>
    <row r="98">
      <c r="A98" t="inlineStr">
        <is>
          <t>Cristieli</t>
        </is>
      </c>
      <c r="B98" t="inlineStr">
        <is>
          <t>+5515997610565</t>
        </is>
      </c>
      <c r="C98" t="inlineStr">
        <is>
          <t>Refill</t>
        </is>
      </c>
      <c r="D98" t="inlineStr">
        <is>
          <t>Primer Cachos</t>
        </is>
      </c>
      <c r="E98" t="n">
        <v>1</v>
      </c>
      <c r="F98" t="inlineStr">
        <is>
          <t>2025-09-22</t>
        </is>
      </c>
      <c r="G98" t="n">
        <v>285</v>
      </c>
      <c r="H98" t="inlineStr">
        <is>
          <t>Y</t>
        </is>
      </c>
      <c r="I98">
        <f>HYPERLINK("https://admin.shopify.com/store/ge-beauty-cosmeticos/customers/9682723569984","abrir")</f>
        <v/>
      </c>
      <c r="J98">
        <f>HYPERLINK("https://www.gebeauty.com.br/products/primer-cachos-definidos?ref=review","review")</f>
        <v/>
      </c>
      <c r="K98" t="inlineStr">
        <is>
          <t>SEND</t>
        </is>
      </c>
    </row>
    <row r="99">
      <c r="A99" t="inlineStr">
        <is>
          <t>Laura</t>
        </is>
      </c>
      <c r="B99" t="inlineStr">
        <is>
          <t>+5543991011505</t>
        </is>
      </c>
      <c r="C99" t="inlineStr">
        <is>
          <t>Refill</t>
        </is>
      </c>
      <c r="D99" t="inlineStr">
        <is>
          <t>Primer Cachos</t>
        </is>
      </c>
      <c r="E99" t="n">
        <v>1</v>
      </c>
      <c r="F99" t="inlineStr">
        <is>
          <t>2025-09-22</t>
        </is>
      </c>
      <c r="G99" t="n">
        <v>285</v>
      </c>
      <c r="H99" t="inlineStr">
        <is>
          <t>Y</t>
        </is>
      </c>
      <c r="I99">
        <f>HYPERLINK("https://admin.shopify.com/store/ge-beauty-cosmeticos/customers/9682762924352","abrir")</f>
        <v/>
      </c>
      <c r="J99">
        <f>HYPERLINK("https://www.gebeauty.com.br/products/primer-cachos-definidos?ref=review","review")</f>
        <v/>
      </c>
      <c r="K99" t="inlineStr">
        <is>
          <t>SEND</t>
        </is>
      </c>
    </row>
    <row r="100">
      <c r="A100" t="inlineStr">
        <is>
          <t>Nathalia</t>
        </is>
      </c>
      <c r="B100" t="inlineStr">
        <is>
          <t>+5543999252518</t>
        </is>
      </c>
      <c r="C100" t="inlineStr">
        <is>
          <t>Refill</t>
        </is>
      </c>
      <c r="D100" t="inlineStr">
        <is>
          <t>Primer Cachos</t>
        </is>
      </c>
      <c r="E100" t="n">
        <v>1</v>
      </c>
      <c r="F100" t="inlineStr">
        <is>
          <t>2025-09-22</t>
        </is>
      </c>
      <c r="G100" t="n">
        <v>285</v>
      </c>
      <c r="H100" t="inlineStr">
        <is>
          <t>Y</t>
        </is>
      </c>
      <c r="I100">
        <f>HYPERLINK("https://admin.shopify.com/store/ge-beauty-cosmeticos/customers/9486086144320","abrir")</f>
        <v/>
      </c>
      <c r="J100">
        <f>HYPERLINK("https://www.gebeauty.com.br/products/primer-cachos-definidos?ref=review","review")</f>
        <v/>
      </c>
      <c r="K100" t="inlineStr">
        <is>
          <t>SEND</t>
        </is>
      </c>
    </row>
    <row r="101">
      <c r="A101" t="inlineStr">
        <is>
          <t>Nathalia</t>
        </is>
      </c>
      <c r="B101" t="inlineStr">
        <is>
          <t>+5511942055525</t>
        </is>
      </c>
      <c r="C101" t="inlineStr">
        <is>
          <t>Refill</t>
        </is>
      </c>
      <c r="D101" t="inlineStr">
        <is>
          <t>Primer Cachos</t>
        </is>
      </c>
      <c r="E101" t="n">
        <v>1</v>
      </c>
      <c r="F101" t="inlineStr">
        <is>
          <t>2025-09-22</t>
        </is>
      </c>
      <c r="G101" t="n">
        <v>285</v>
      </c>
      <c r="H101" t="inlineStr">
        <is>
          <t>Y</t>
        </is>
      </c>
      <c r="I101">
        <f>HYPERLINK("https://admin.shopify.com/store/ge-beauty-cosmeticos/customers/9683874971968","abrir")</f>
        <v/>
      </c>
      <c r="J101">
        <f>HYPERLINK("https://www.gebeauty.com.br/products/primer-cachos-definidos?ref=review","review")</f>
        <v/>
      </c>
      <c r="K101" t="inlineStr">
        <is>
          <t>SEND</t>
        </is>
      </c>
    </row>
    <row r="102">
      <c r="A102" t="inlineStr">
        <is>
          <t>Poliana</t>
        </is>
      </c>
      <c r="B102" t="inlineStr">
        <is>
          <t>+5573999571801</t>
        </is>
      </c>
      <c r="C102" t="inlineStr">
        <is>
          <t>Refill</t>
        </is>
      </c>
      <c r="D102" t="inlineStr">
        <is>
          <t>Primer Cachos</t>
        </is>
      </c>
      <c r="E102" t="n">
        <v>1</v>
      </c>
      <c r="F102" t="inlineStr">
        <is>
          <t>2025-09-22</t>
        </is>
      </c>
      <c r="G102" t="n">
        <v>285</v>
      </c>
      <c r="H102" t="inlineStr">
        <is>
          <t>Y</t>
        </is>
      </c>
      <c r="I102">
        <f>HYPERLINK("https://admin.shopify.com/store/ge-beauty-cosmeticos/customers/9662037950784","abrir")</f>
        <v/>
      </c>
      <c r="J102">
        <f>HYPERLINK("https://www.gebeauty.com.br/products/primer-cachos-definidos?ref=review","review")</f>
        <v/>
      </c>
      <c r="K102" t="inlineStr">
        <is>
          <t>SEND</t>
        </is>
      </c>
    </row>
    <row r="103">
      <c r="A103" t="inlineStr">
        <is>
          <t>Mariana</t>
        </is>
      </c>
      <c r="B103" t="inlineStr">
        <is>
          <t>+5549988135111</t>
        </is>
      </c>
      <c r="C103" t="inlineStr">
        <is>
          <t>Refill</t>
        </is>
      </c>
      <c r="D103" t="inlineStr">
        <is>
          <t>Primer Cachos</t>
        </is>
      </c>
      <c r="E103" t="n">
        <v>1</v>
      </c>
      <c r="F103" t="inlineStr">
        <is>
          <t>2025-09-22</t>
        </is>
      </c>
      <c r="G103" t="n">
        <v>285</v>
      </c>
      <c r="H103" t="inlineStr">
        <is>
          <t>Y</t>
        </is>
      </c>
      <c r="I103">
        <f>HYPERLINK("https://admin.shopify.com/store/ge-beauty-cosmeticos/customers/9685671739712","abrir")</f>
        <v/>
      </c>
      <c r="J103">
        <f>HYPERLINK("https://www.gebeauty.com.br/products/primer-cachos-definidos?ref=review","review")</f>
        <v/>
      </c>
      <c r="K103" t="inlineStr">
        <is>
          <t>SEND</t>
        </is>
      </c>
    </row>
    <row r="104">
      <c r="A104" t="inlineStr">
        <is>
          <t>Gisela</t>
        </is>
      </c>
      <c r="B104" t="inlineStr">
        <is>
          <t>+5581996355222</t>
        </is>
      </c>
      <c r="C104" t="inlineStr">
        <is>
          <t>Refill</t>
        </is>
      </c>
      <c r="D104" t="inlineStr">
        <is>
          <t>Primer Cachos</t>
        </is>
      </c>
      <c r="E104" t="n">
        <v>1</v>
      </c>
      <c r="F104" t="inlineStr">
        <is>
          <t>2025-09-22</t>
        </is>
      </c>
      <c r="G104" t="n">
        <v>285</v>
      </c>
      <c r="H104" t="inlineStr">
        <is>
          <t>Y</t>
        </is>
      </c>
      <c r="I104">
        <f>HYPERLINK("https://admin.shopify.com/store/ge-beauty-cosmeticos/customers/9543327318336","abrir")</f>
        <v/>
      </c>
      <c r="J104">
        <f>HYPERLINK("https://www.gebeauty.com.br/products/primer-cachos-definidos?ref=review","review")</f>
        <v/>
      </c>
      <c r="K104" t="inlineStr">
        <is>
          <t>SEND</t>
        </is>
      </c>
    </row>
    <row r="105">
      <c r="A105" t="inlineStr">
        <is>
          <t>Raquel</t>
        </is>
      </c>
      <c r="B105" t="inlineStr">
        <is>
          <t>+5531999818524</t>
        </is>
      </c>
      <c r="C105" t="inlineStr">
        <is>
          <t>Refill</t>
        </is>
      </c>
      <c r="D105" t="inlineStr">
        <is>
          <t>Primer Cachos</t>
        </is>
      </c>
      <c r="E105" t="n">
        <v>1</v>
      </c>
      <c r="F105" t="inlineStr">
        <is>
          <t>2025-09-23</t>
        </is>
      </c>
      <c r="G105" t="n">
        <v>284</v>
      </c>
      <c r="H105" t="inlineStr">
        <is>
          <t>Y</t>
        </is>
      </c>
      <c r="I105">
        <f>HYPERLINK("https://admin.shopify.com/store/ge-beauty-cosmeticos/customers/9485961789760","abrir")</f>
        <v/>
      </c>
      <c r="J105">
        <f>HYPERLINK("https://www.gebeauty.com.br/products/primer-cachos-definidos?ref=review","review")</f>
        <v/>
      </c>
      <c r="K105" t="inlineStr">
        <is>
          <t>SEND</t>
        </is>
      </c>
    </row>
    <row r="106">
      <c r="A106" t="inlineStr">
        <is>
          <t>Viviane</t>
        </is>
      </c>
      <c r="B106" t="inlineStr">
        <is>
          <t>+5581991035184</t>
        </is>
      </c>
      <c r="C106" t="inlineStr">
        <is>
          <t>Refill</t>
        </is>
      </c>
      <c r="D106" t="inlineStr">
        <is>
          <t>Primer Cachos</t>
        </is>
      </c>
      <c r="E106" t="n">
        <v>1</v>
      </c>
      <c r="F106" t="inlineStr">
        <is>
          <t>2025-09-23</t>
        </is>
      </c>
      <c r="G106" t="n">
        <v>284</v>
      </c>
      <c r="H106" t="inlineStr">
        <is>
          <t>Y</t>
        </is>
      </c>
      <c r="I106">
        <f>HYPERLINK("https://admin.shopify.com/store/ge-beauty-cosmeticos/customers/9486694875456","abrir")</f>
        <v/>
      </c>
      <c r="J106">
        <f>HYPERLINK("https://www.gebeauty.com.br/products/primer-cachos-definidos?ref=review","review")</f>
        <v/>
      </c>
      <c r="K106" t="inlineStr">
        <is>
          <t>SEND</t>
        </is>
      </c>
    </row>
    <row r="107">
      <c r="A107" t="inlineStr">
        <is>
          <t>Laura</t>
        </is>
      </c>
      <c r="B107" t="inlineStr">
        <is>
          <t>+5511971043482</t>
        </is>
      </c>
      <c r="C107" t="inlineStr">
        <is>
          <t>Refill</t>
        </is>
      </c>
      <c r="D107" t="inlineStr">
        <is>
          <t>Primer Cachos</t>
        </is>
      </c>
      <c r="E107" t="n">
        <v>1</v>
      </c>
      <c r="F107" t="inlineStr">
        <is>
          <t>2025-09-23</t>
        </is>
      </c>
      <c r="G107" t="n">
        <v>284</v>
      </c>
      <c r="H107" t="inlineStr">
        <is>
          <t>Y</t>
        </is>
      </c>
      <c r="I107">
        <f>HYPERLINK("https://admin.shopify.com/store/ge-beauty-cosmeticos/customers/7761680269632","abrir")</f>
        <v/>
      </c>
      <c r="J107">
        <f>HYPERLINK("https://www.gebeauty.com.br/products/primer-cachos-definidos?ref=review","review")</f>
        <v/>
      </c>
      <c r="K107" t="inlineStr">
        <is>
          <t>SEND</t>
        </is>
      </c>
    </row>
    <row r="108">
      <c r="A108" t="inlineStr">
        <is>
          <t>Monique</t>
        </is>
      </c>
      <c r="B108" t="inlineStr">
        <is>
          <t>+5551999768844</t>
        </is>
      </c>
      <c r="C108" t="inlineStr">
        <is>
          <t>Refill</t>
        </is>
      </c>
      <c r="D108" t="inlineStr">
        <is>
          <t>Primer Cachos</t>
        </is>
      </c>
      <c r="E108" t="n">
        <v>1</v>
      </c>
      <c r="F108" t="inlineStr">
        <is>
          <t>2025-09-24</t>
        </is>
      </c>
      <c r="G108" t="n">
        <v>283</v>
      </c>
      <c r="H108" t="inlineStr">
        <is>
          <t>Y</t>
        </is>
      </c>
      <c r="I108">
        <f>HYPERLINK("https://admin.shopify.com/store/ge-beauty-cosmeticos/customers/9612433785152","abrir")</f>
        <v/>
      </c>
      <c r="J108">
        <f>HYPERLINK("https://www.gebeauty.com.br/products/primer-cachos-definidos?ref=review","review")</f>
        <v/>
      </c>
      <c r="K108" t="inlineStr">
        <is>
          <t>SEND</t>
        </is>
      </c>
    </row>
    <row r="109">
      <c r="A109" t="inlineStr">
        <is>
          <t>Christine</t>
        </is>
      </c>
      <c r="B109" t="inlineStr">
        <is>
          <t>+5531984900671</t>
        </is>
      </c>
      <c r="C109" t="inlineStr">
        <is>
          <t>Refill</t>
        </is>
      </c>
      <c r="D109" t="inlineStr">
        <is>
          <t>Primer Cachos</t>
        </is>
      </c>
      <c r="E109" t="n">
        <v>1</v>
      </c>
      <c r="F109" t="inlineStr">
        <is>
          <t>2025-09-24</t>
        </is>
      </c>
      <c r="G109" t="n">
        <v>283</v>
      </c>
      <c r="H109" t="inlineStr">
        <is>
          <t>Y</t>
        </is>
      </c>
      <c r="I109">
        <f>HYPERLINK("https://admin.shopify.com/store/ge-beauty-cosmeticos/customers/9689708200256","abrir")</f>
        <v/>
      </c>
      <c r="J109">
        <f>HYPERLINK("https://www.gebeauty.com.br/products/primer-cachos-definidos?ref=review","review")</f>
        <v/>
      </c>
      <c r="K109" t="inlineStr">
        <is>
          <t>SEND</t>
        </is>
      </c>
    </row>
    <row r="110">
      <c r="A110" t="inlineStr">
        <is>
          <t>Flavia Maria</t>
        </is>
      </c>
      <c r="B110" t="inlineStr">
        <is>
          <t>+5511930552233</t>
        </is>
      </c>
      <c r="C110" t="inlineStr">
        <is>
          <t>Refill</t>
        </is>
      </c>
      <c r="D110" t="inlineStr">
        <is>
          <t>Primer Cachos</t>
        </is>
      </c>
      <c r="E110" t="n">
        <v>1</v>
      </c>
      <c r="F110" t="inlineStr">
        <is>
          <t>2025-09-25</t>
        </is>
      </c>
      <c r="G110" t="n">
        <v>282</v>
      </c>
      <c r="H110" t="inlineStr">
        <is>
          <t>Y</t>
        </is>
      </c>
      <c r="I110">
        <f>HYPERLINK("https://admin.shopify.com/store/ge-beauty-cosmeticos/customers/7762008965440","abrir")</f>
        <v/>
      </c>
      <c r="J110">
        <f>HYPERLINK("https://www.gebeauty.com.br/products/primer-cachos-definidos?ref=review","review")</f>
        <v/>
      </c>
      <c r="K110" t="inlineStr">
        <is>
          <t>SEND</t>
        </is>
      </c>
    </row>
    <row r="111">
      <c r="A111" t="inlineStr">
        <is>
          <t>Fernanda</t>
        </is>
      </c>
      <c r="B111" t="inlineStr">
        <is>
          <t>+5511976829054</t>
        </is>
      </c>
      <c r="C111" t="inlineStr">
        <is>
          <t>Refill</t>
        </is>
      </c>
      <c r="D111" t="inlineStr">
        <is>
          <t>Primer Cachos</t>
        </is>
      </c>
      <c r="E111" t="n">
        <v>1</v>
      </c>
      <c r="F111" t="inlineStr">
        <is>
          <t>2025-09-26</t>
        </is>
      </c>
      <c r="G111" t="n">
        <v>281</v>
      </c>
      <c r="H111" t="inlineStr">
        <is>
          <t>Y</t>
        </is>
      </c>
      <c r="I111">
        <f>HYPERLINK("https://admin.shopify.com/store/ge-beauty-cosmeticos/customers/9694497112384","abrir")</f>
        <v/>
      </c>
      <c r="J111">
        <f>HYPERLINK("https://www.gebeauty.com.br/products/primer-cachos-definidos?ref=review","review")</f>
        <v/>
      </c>
      <c r="K111" t="inlineStr">
        <is>
          <t>SEND</t>
        </is>
      </c>
    </row>
    <row r="112">
      <c r="A112" t="inlineStr">
        <is>
          <t>Mayara</t>
        </is>
      </c>
      <c r="B112" t="inlineStr">
        <is>
          <t>+5511997004070</t>
        </is>
      </c>
      <c r="C112" t="inlineStr">
        <is>
          <t>Refill</t>
        </is>
      </c>
      <c r="D112" t="inlineStr">
        <is>
          <t>Primer Cachos</t>
        </is>
      </c>
      <c r="E112" t="n">
        <v>1</v>
      </c>
      <c r="F112" t="inlineStr">
        <is>
          <t>2025-09-26</t>
        </is>
      </c>
      <c r="G112" t="n">
        <v>281</v>
      </c>
      <c r="H112" t="inlineStr">
        <is>
          <t>Y</t>
        </is>
      </c>
      <c r="I112">
        <f>HYPERLINK("https://admin.shopify.com/store/ge-beauty-cosmeticos/customers/8498354848064","abrir")</f>
        <v/>
      </c>
      <c r="J112">
        <f>HYPERLINK("https://www.gebeauty.com.br/products/primer-cachos-definidos?ref=review","review")</f>
        <v/>
      </c>
      <c r="K112" t="inlineStr">
        <is>
          <t>HOLDOUT</t>
        </is>
      </c>
    </row>
    <row r="113">
      <c r="A113" t="inlineStr">
        <is>
          <t>Rizia</t>
        </is>
      </c>
      <c r="B113" t="inlineStr">
        <is>
          <t>+5511998884263</t>
        </is>
      </c>
      <c r="C113" t="inlineStr">
        <is>
          <t>Refill</t>
        </is>
      </c>
      <c r="D113" t="inlineStr">
        <is>
          <t>Primer Cachos</t>
        </is>
      </c>
      <c r="E113" t="n">
        <v>1</v>
      </c>
      <c r="F113" t="inlineStr">
        <is>
          <t>2025-09-26</t>
        </is>
      </c>
      <c r="G113" t="n">
        <v>281</v>
      </c>
      <c r="H113" t="inlineStr">
        <is>
          <t>Y</t>
        </is>
      </c>
      <c r="I113">
        <f>HYPERLINK("https://admin.shopify.com/store/ge-beauty-cosmeticos/customers/9689140920640","abrir")</f>
        <v/>
      </c>
      <c r="J113">
        <f>HYPERLINK("https://www.gebeauty.com.br/products/primer-cachos-definidos?ref=review","review")</f>
        <v/>
      </c>
      <c r="K113" t="inlineStr">
        <is>
          <t>HOLDOUT</t>
        </is>
      </c>
    </row>
    <row r="114">
      <c r="A114" t="inlineStr">
        <is>
          <t>Vitoria</t>
        </is>
      </c>
      <c r="B114" t="inlineStr">
        <is>
          <t>+5547999215656</t>
        </is>
      </c>
      <c r="C114" t="inlineStr">
        <is>
          <t>Refill</t>
        </is>
      </c>
      <c r="D114" t="inlineStr">
        <is>
          <t>Primer Cachos</t>
        </is>
      </c>
      <c r="E114" t="n">
        <v>1</v>
      </c>
      <c r="F114" t="inlineStr">
        <is>
          <t>2025-09-26</t>
        </is>
      </c>
      <c r="G114" t="n">
        <v>281</v>
      </c>
      <c r="H114" t="inlineStr">
        <is>
          <t>Y</t>
        </is>
      </c>
      <c r="I114">
        <f>HYPERLINK("https://admin.shopify.com/store/ge-beauty-cosmeticos/customers/9631166792000","abrir")</f>
        <v/>
      </c>
      <c r="J114">
        <f>HYPERLINK("https://www.gebeauty.com.br/products/primer-cachos-definidos?ref=review","review")</f>
        <v/>
      </c>
      <c r="K114" t="inlineStr">
        <is>
          <t>SEND</t>
        </is>
      </c>
    </row>
    <row r="115">
      <c r="A115" t="inlineStr">
        <is>
          <t>Tatiana</t>
        </is>
      </c>
      <c r="B115" t="inlineStr">
        <is>
          <t>+5511965447966</t>
        </is>
      </c>
      <c r="C115" t="inlineStr">
        <is>
          <t>Refill</t>
        </is>
      </c>
      <c r="D115" t="inlineStr">
        <is>
          <t>Primer Cachos</t>
        </is>
      </c>
      <c r="E115" t="n">
        <v>1</v>
      </c>
      <c r="F115" t="inlineStr">
        <is>
          <t>2025-09-26</t>
        </is>
      </c>
      <c r="G115" t="n">
        <v>281</v>
      </c>
      <c r="H115" t="inlineStr">
        <is>
          <t>Y</t>
        </is>
      </c>
      <c r="I115">
        <f>HYPERLINK("https://admin.shopify.com/store/ge-beauty-cosmeticos/customers/9698375303488","abrir")</f>
        <v/>
      </c>
      <c r="J115">
        <f>HYPERLINK("https://www.gebeauty.com.br/products/primer-cachos-definidos?ref=review","review")</f>
        <v/>
      </c>
      <c r="K115" t="inlineStr">
        <is>
          <t>SEND</t>
        </is>
      </c>
    </row>
    <row r="116">
      <c r="A116" t="inlineStr">
        <is>
          <t>Graziella</t>
        </is>
      </c>
      <c r="B116" t="inlineStr">
        <is>
          <t>+5511973003896</t>
        </is>
      </c>
      <c r="C116" t="inlineStr">
        <is>
          <t>Refill</t>
        </is>
      </c>
      <c r="D116" t="inlineStr">
        <is>
          <t>Primer Cachos</t>
        </is>
      </c>
      <c r="E116" t="n">
        <v>1</v>
      </c>
      <c r="F116" t="inlineStr">
        <is>
          <t>2025-09-26</t>
        </is>
      </c>
      <c r="G116" t="n">
        <v>281</v>
      </c>
      <c r="H116" t="inlineStr">
        <is>
          <t>Y</t>
        </is>
      </c>
      <c r="I116">
        <f>HYPERLINK("https://admin.shopify.com/store/ge-beauty-cosmeticos/customers/9486163345728","abrir")</f>
        <v/>
      </c>
      <c r="J116">
        <f>HYPERLINK("https://www.gebeauty.com.br/products/primer-cachos-definidos?ref=review","review")</f>
        <v/>
      </c>
      <c r="K116" t="inlineStr">
        <is>
          <t>SEND</t>
        </is>
      </c>
    </row>
    <row r="117">
      <c r="A117" t="inlineStr">
        <is>
          <t>Mayra</t>
        </is>
      </c>
      <c r="B117" t="inlineStr">
        <is>
          <t>+5511993494557</t>
        </is>
      </c>
      <c r="C117" t="inlineStr">
        <is>
          <t>Refill</t>
        </is>
      </c>
      <c r="D117" t="inlineStr">
        <is>
          <t>Primer Cachos</t>
        </is>
      </c>
      <c r="E117" t="n">
        <v>1</v>
      </c>
      <c r="F117" t="inlineStr">
        <is>
          <t>2025-09-26</t>
        </is>
      </c>
      <c r="G117" t="n">
        <v>281</v>
      </c>
      <c r="H117" t="inlineStr">
        <is>
          <t>Y</t>
        </is>
      </c>
      <c r="I117">
        <f>HYPERLINK("https://admin.shopify.com/store/ge-beauty-cosmeticos/customers/8542545248576","abrir")</f>
        <v/>
      </c>
      <c r="J117">
        <f>HYPERLINK("https://www.gebeauty.com.br/products/primer-cachos-definidos?ref=review","review")</f>
        <v/>
      </c>
      <c r="K117" t="inlineStr">
        <is>
          <t>HOLDOUT</t>
        </is>
      </c>
    </row>
    <row r="118">
      <c r="A118" t="inlineStr">
        <is>
          <t>Carolina</t>
        </is>
      </c>
      <c r="B118" t="inlineStr">
        <is>
          <t>+5519991978211</t>
        </is>
      </c>
      <c r="C118" t="inlineStr">
        <is>
          <t>Refill</t>
        </is>
      </c>
      <c r="D118" t="inlineStr">
        <is>
          <t>Primer Cachos</t>
        </is>
      </c>
      <c r="E118" t="n">
        <v>1</v>
      </c>
      <c r="F118" t="inlineStr">
        <is>
          <t>2025-09-26</t>
        </is>
      </c>
      <c r="G118" t="n">
        <v>281</v>
      </c>
      <c r="H118" t="inlineStr">
        <is>
          <t>Y</t>
        </is>
      </c>
      <c r="I118">
        <f>HYPERLINK("https://admin.shopify.com/store/ge-beauty-cosmeticos/customers/8910178681152","abrir")</f>
        <v/>
      </c>
      <c r="J118">
        <f>HYPERLINK("https://www.gebeauty.com.br/products/primer-cachos-definidos?ref=review","review")</f>
        <v/>
      </c>
      <c r="K118" t="inlineStr">
        <is>
          <t>SEND</t>
        </is>
      </c>
    </row>
    <row r="119">
      <c r="A119" t="inlineStr">
        <is>
          <t>Katia</t>
        </is>
      </c>
      <c r="B119" t="inlineStr">
        <is>
          <t>+5511993407334</t>
        </is>
      </c>
      <c r="C119" t="inlineStr">
        <is>
          <t>Refill</t>
        </is>
      </c>
      <c r="D119" t="inlineStr">
        <is>
          <t>Primer Cachos</t>
        </is>
      </c>
      <c r="E119" t="n">
        <v>1</v>
      </c>
      <c r="F119" t="inlineStr">
        <is>
          <t>2025-09-26</t>
        </is>
      </c>
      <c r="G119" t="n">
        <v>281</v>
      </c>
      <c r="H119" t="inlineStr">
        <is>
          <t>Y</t>
        </is>
      </c>
      <c r="I119">
        <f>HYPERLINK("https://admin.shopify.com/store/ge-beauty-cosmeticos/customers/8906452664640","abrir")</f>
        <v/>
      </c>
      <c r="J119">
        <f>HYPERLINK("https://www.gebeauty.com.br/products/primer-cachos-definidos?ref=review","review")</f>
        <v/>
      </c>
      <c r="K119" t="inlineStr">
        <is>
          <t>SEND</t>
        </is>
      </c>
    </row>
    <row r="120">
      <c r="A120" t="inlineStr">
        <is>
          <t>Adriana</t>
        </is>
      </c>
      <c r="B120" t="inlineStr">
        <is>
          <t>+5516981178071</t>
        </is>
      </c>
      <c r="C120" t="inlineStr">
        <is>
          <t>Refill</t>
        </is>
      </c>
      <c r="D120" t="inlineStr">
        <is>
          <t>Primer Cachos</t>
        </is>
      </c>
      <c r="E120" t="n">
        <v>1</v>
      </c>
      <c r="F120" t="inlineStr">
        <is>
          <t>2025-10-08</t>
        </is>
      </c>
      <c r="G120" t="n">
        <v>269</v>
      </c>
      <c r="H120" t="inlineStr">
        <is>
          <t>Y</t>
        </is>
      </c>
      <c r="I120">
        <f>HYPERLINK("https://admin.shopify.com/store/ge-beauty-cosmeticos/customers/9699575693632","abrir")</f>
        <v/>
      </c>
      <c r="J120">
        <f>HYPERLINK("https://www.gebeauty.com.br/products/primer-cachos-definidos?ref=review","review")</f>
        <v/>
      </c>
      <c r="K120" t="inlineStr">
        <is>
          <t>SEND</t>
        </is>
      </c>
    </row>
    <row r="121">
      <c r="A121" t="inlineStr">
        <is>
          <t>Juliana</t>
        </is>
      </c>
      <c r="B121" t="inlineStr">
        <is>
          <t>+5546999367161</t>
        </is>
      </c>
      <c r="C121" t="inlineStr">
        <is>
          <t>Refill</t>
        </is>
      </c>
      <c r="D121" t="inlineStr">
        <is>
          <t>Primer Cachos</t>
        </is>
      </c>
      <c r="E121" t="n">
        <v>1</v>
      </c>
      <c r="F121" t="inlineStr">
        <is>
          <t>2025-09-26</t>
        </is>
      </c>
      <c r="G121" t="n">
        <v>281</v>
      </c>
      <c r="H121" t="inlineStr">
        <is>
          <t>N</t>
        </is>
      </c>
      <c r="I121">
        <f>HYPERLINK("https://admin.shopify.com/store/ge-beauty-cosmeticos/customers/9694166647104","abrir")</f>
        <v/>
      </c>
      <c r="J121">
        <f>HYPERLINK("https://www.gebeauty.com.br/products/primer-cachos-definidos?ref=review","review")</f>
        <v/>
      </c>
      <c r="K121" t="inlineStr">
        <is>
          <t>SEND</t>
        </is>
      </c>
    </row>
    <row r="122">
      <c r="A122" t="inlineStr">
        <is>
          <t>Marina</t>
        </is>
      </c>
      <c r="B122" t="inlineStr">
        <is>
          <t>+5511983157341</t>
        </is>
      </c>
      <c r="C122" t="inlineStr">
        <is>
          <t>Refill</t>
        </is>
      </c>
      <c r="D122" t="inlineStr">
        <is>
          <t>Primer Cachos</t>
        </is>
      </c>
      <c r="E122" t="n">
        <v>1</v>
      </c>
      <c r="F122" t="inlineStr">
        <is>
          <t>2025-09-26</t>
        </is>
      </c>
      <c r="G122" t="n">
        <v>281</v>
      </c>
      <c r="H122" t="inlineStr">
        <is>
          <t>Y</t>
        </is>
      </c>
      <c r="I122">
        <f>HYPERLINK("https://admin.shopify.com/store/ge-beauty-cosmeticos/customers/7760323969344","abrir")</f>
        <v/>
      </c>
      <c r="J122">
        <f>HYPERLINK("https://www.gebeauty.com.br/products/primer-cachos-definidos?ref=review","review")</f>
        <v/>
      </c>
      <c r="K122" t="inlineStr">
        <is>
          <t>HOLDOUT</t>
        </is>
      </c>
    </row>
    <row r="123">
      <c r="A123" t="inlineStr">
        <is>
          <t>Renata</t>
        </is>
      </c>
      <c r="B123" t="inlineStr">
        <is>
          <t>+5511996919297</t>
        </is>
      </c>
      <c r="C123" t="inlineStr">
        <is>
          <t>Refill</t>
        </is>
      </c>
      <c r="D123" t="inlineStr">
        <is>
          <t>Primer Cachos</t>
        </is>
      </c>
      <c r="E123" t="n">
        <v>1</v>
      </c>
      <c r="F123" t="inlineStr">
        <is>
          <t>2025-09-26</t>
        </is>
      </c>
      <c r="G123" t="n">
        <v>281</v>
      </c>
      <c r="H123" t="inlineStr">
        <is>
          <t>Y</t>
        </is>
      </c>
      <c r="I123">
        <f>HYPERLINK("https://admin.shopify.com/store/ge-beauty-cosmeticos/customers/7761338270016","abrir")</f>
        <v/>
      </c>
      <c r="J123">
        <f>HYPERLINK("https://www.gebeauty.com.br/products/primer-cachos-definidos?ref=review","review")</f>
        <v/>
      </c>
      <c r="K123" t="inlineStr">
        <is>
          <t>SEND</t>
        </is>
      </c>
    </row>
    <row r="124">
      <c r="A124" t="inlineStr">
        <is>
          <t>Amanda</t>
        </is>
      </c>
      <c r="B124" t="inlineStr">
        <is>
          <t>+5581996478506</t>
        </is>
      </c>
      <c r="C124" t="inlineStr">
        <is>
          <t>Refill</t>
        </is>
      </c>
      <c r="D124" t="inlineStr">
        <is>
          <t>Primer Cachos</t>
        </is>
      </c>
      <c r="E124" t="n">
        <v>1</v>
      </c>
      <c r="F124" t="inlineStr">
        <is>
          <t>2025-09-26</t>
        </is>
      </c>
      <c r="G124" t="n">
        <v>281</v>
      </c>
      <c r="H124" t="inlineStr">
        <is>
          <t>Y</t>
        </is>
      </c>
      <c r="I124">
        <f>HYPERLINK("https://admin.shopify.com/store/ge-beauty-cosmeticos/customers/9091366027584","abrir")</f>
        <v/>
      </c>
      <c r="J124">
        <f>HYPERLINK("https://www.gebeauty.com.br/products/primer-cachos-definidos?ref=review","review")</f>
        <v/>
      </c>
      <c r="K124" t="inlineStr">
        <is>
          <t>HOLDOUT</t>
        </is>
      </c>
    </row>
    <row r="125">
      <c r="A125" t="inlineStr">
        <is>
          <t>Amanda</t>
        </is>
      </c>
      <c r="B125" t="inlineStr">
        <is>
          <t>+5511984858636</t>
        </is>
      </c>
      <c r="C125" t="inlineStr">
        <is>
          <t>Refill</t>
        </is>
      </c>
      <c r="D125" t="inlineStr">
        <is>
          <t>Primer Cachos</t>
        </is>
      </c>
      <c r="E125" t="n">
        <v>1</v>
      </c>
      <c r="F125" t="inlineStr">
        <is>
          <t>2025-09-26</t>
        </is>
      </c>
      <c r="G125" t="n">
        <v>281</v>
      </c>
      <c r="H125" t="inlineStr">
        <is>
          <t>Y</t>
        </is>
      </c>
      <c r="I125">
        <f>HYPERLINK("https://admin.shopify.com/store/ge-beauty-cosmeticos/customers/9485514735936","abrir")</f>
        <v/>
      </c>
      <c r="J125">
        <f>HYPERLINK("https://www.gebeauty.com.br/products/primer-cachos-definidos?ref=review","review")</f>
        <v/>
      </c>
      <c r="K125" t="inlineStr">
        <is>
          <t>SEND</t>
        </is>
      </c>
    </row>
    <row r="126">
      <c r="A126" t="inlineStr">
        <is>
          <t>Maria</t>
        </is>
      </c>
      <c r="B126" t="inlineStr">
        <is>
          <t>+5548991129039</t>
        </is>
      </c>
      <c r="C126" t="inlineStr">
        <is>
          <t>Refill</t>
        </is>
      </c>
      <c r="D126" t="inlineStr">
        <is>
          <t>Primer Cachos</t>
        </is>
      </c>
      <c r="E126" t="n">
        <v>1</v>
      </c>
      <c r="F126" t="inlineStr">
        <is>
          <t>2025-09-26</t>
        </is>
      </c>
      <c r="G126" t="n">
        <v>281</v>
      </c>
      <c r="H126" t="inlineStr">
        <is>
          <t>Y</t>
        </is>
      </c>
      <c r="I126">
        <f>HYPERLINK("https://admin.shopify.com/store/ge-beauty-cosmeticos/customers/9460579172672","abrir")</f>
        <v/>
      </c>
      <c r="J126">
        <f>HYPERLINK("https://www.gebeauty.com.br/products/primer-cachos-definidos?ref=review","review")</f>
        <v/>
      </c>
      <c r="K126" t="inlineStr">
        <is>
          <t>SEND</t>
        </is>
      </c>
    </row>
    <row r="127">
      <c r="A127" t="inlineStr">
        <is>
          <t>Carolina</t>
        </is>
      </c>
      <c r="B127" t="inlineStr">
        <is>
          <t>+5541996462612</t>
        </is>
      </c>
      <c r="C127" t="inlineStr">
        <is>
          <t>Refill</t>
        </is>
      </c>
      <c r="D127" t="inlineStr">
        <is>
          <t>Primer Cachos</t>
        </is>
      </c>
      <c r="E127" t="n">
        <v>1</v>
      </c>
      <c r="F127" t="inlineStr">
        <is>
          <t>2025-09-26</t>
        </is>
      </c>
      <c r="G127" t="n">
        <v>281</v>
      </c>
      <c r="H127" t="inlineStr">
        <is>
          <t>Y</t>
        </is>
      </c>
      <c r="I127">
        <f>HYPERLINK("https://admin.shopify.com/store/ge-beauty-cosmeticos/customers/7760398483776","abrir")</f>
        <v/>
      </c>
      <c r="J127">
        <f>HYPERLINK("https://www.gebeauty.com.br/products/primer-cachos-definidos?ref=review","review")</f>
        <v/>
      </c>
      <c r="K127" t="inlineStr">
        <is>
          <t>SEND</t>
        </is>
      </c>
    </row>
    <row r="128">
      <c r="A128" t="inlineStr">
        <is>
          <t>Tatiane</t>
        </is>
      </c>
      <c r="B128" t="inlineStr">
        <is>
          <t>+5511945538633</t>
        </is>
      </c>
      <c r="C128" t="inlineStr">
        <is>
          <t>Refill</t>
        </is>
      </c>
      <c r="D128" t="inlineStr">
        <is>
          <t>Primer Cachos</t>
        </is>
      </c>
      <c r="E128" t="n">
        <v>1</v>
      </c>
      <c r="F128" t="inlineStr">
        <is>
          <t>2025-09-26</t>
        </is>
      </c>
      <c r="G128" t="n">
        <v>281</v>
      </c>
      <c r="H128" t="inlineStr">
        <is>
          <t>Y</t>
        </is>
      </c>
      <c r="I128">
        <f>HYPERLINK("https://admin.shopify.com/store/ge-beauty-cosmeticos/customers/9595252113728","abrir")</f>
        <v/>
      </c>
      <c r="J128">
        <f>HYPERLINK("https://www.gebeauty.com.br/products/primer-cachos-definidos?ref=review","review")</f>
        <v/>
      </c>
      <c r="K128" t="inlineStr">
        <is>
          <t>SEND</t>
        </is>
      </c>
    </row>
    <row r="129">
      <c r="A129" t="inlineStr">
        <is>
          <t>Dalila</t>
        </is>
      </c>
      <c r="B129" t="inlineStr">
        <is>
          <t>+5511985801411</t>
        </is>
      </c>
      <c r="C129" t="inlineStr">
        <is>
          <t>Refill</t>
        </is>
      </c>
      <c r="D129" t="inlineStr">
        <is>
          <t>Primer Cachos</t>
        </is>
      </c>
      <c r="E129" t="n">
        <v>1</v>
      </c>
      <c r="F129" t="inlineStr">
        <is>
          <t>2025-09-26</t>
        </is>
      </c>
      <c r="G129" t="n">
        <v>281</v>
      </c>
      <c r="H129" t="inlineStr">
        <is>
          <t>Y</t>
        </is>
      </c>
      <c r="I129">
        <f>HYPERLINK("https://admin.shopify.com/store/ge-beauty-cosmeticos/customers/7759620440384","abrir")</f>
        <v/>
      </c>
      <c r="J129">
        <f>HYPERLINK("https://www.gebeauty.com.br/products/primer-cachos-definidos?ref=review","review")</f>
        <v/>
      </c>
      <c r="K129" t="inlineStr">
        <is>
          <t>SEND</t>
        </is>
      </c>
    </row>
    <row r="130">
      <c r="A130" t="inlineStr">
        <is>
          <t>Raquel</t>
        </is>
      </c>
      <c r="B130" t="inlineStr">
        <is>
          <t>+5511989668530</t>
        </is>
      </c>
      <c r="C130" t="inlineStr">
        <is>
          <t>Refill</t>
        </is>
      </c>
      <c r="D130" t="inlineStr">
        <is>
          <t>Primer Cachos</t>
        </is>
      </c>
      <c r="E130" t="n">
        <v>1</v>
      </c>
      <c r="F130" t="inlineStr">
        <is>
          <t>2025-09-27</t>
        </is>
      </c>
      <c r="G130" t="n">
        <v>280</v>
      </c>
      <c r="H130" t="inlineStr">
        <is>
          <t>Y</t>
        </is>
      </c>
      <c r="I130">
        <f>HYPERLINK("https://admin.shopify.com/store/ge-beauty-cosmeticos/customers/9486293172544","abrir")</f>
        <v/>
      </c>
      <c r="J130">
        <f>HYPERLINK("https://www.gebeauty.com.br/products/primer-cachos-definidos?ref=review","review")</f>
        <v/>
      </c>
      <c r="K130" t="inlineStr">
        <is>
          <t>SEND</t>
        </is>
      </c>
    </row>
    <row r="131">
      <c r="A131" t="inlineStr">
        <is>
          <t>Carolina</t>
        </is>
      </c>
      <c r="B131" t="inlineStr">
        <is>
          <t>+5512981525419</t>
        </is>
      </c>
      <c r="C131" t="inlineStr">
        <is>
          <t>Refill</t>
        </is>
      </c>
      <c r="D131" t="inlineStr">
        <is>
          <t>Primer Cachos</t>
        </is>
      </c>
      <c r="E131" t="n">
        <v>1</v>
      </c>
      <c r="F131" t="inlineStr">
        <is>
          <t>2025-09-27</t>
        </is>
      </c>
      <c r="G131" t="n">
        <v>280</v>
      </c>
      <c r="H131" t="inlineStr">
        <is>
          <t>Y</t>
        </is>
      </c>
      <c r="I131">
        <f>HYPERLINK("https://admin.shopify.com/store/ge-beauty-cosmeticos/customers/8551581974848","abrir")</f>
        <v/>
      </c>
      <c r="J131">
        <f>HYPERLINK("https://www.gebeauty.com.br/products/primer-cachos-definidos?ref=review","review")</f>
        <v/>
      </c>
      <c r="K131" t="inlineStr">
        <is>
          <t>SEND</t>
        </is>
      </c>
    </row>
    <row r="132">
      <c r="A132" t="inlineStr">
        <is>
          <t>Camila</t>
        </is>
      </c>
      <c r="B132" t="inlineStr">
        <is>
          <t>+5571987780692</t>
        </is>
      </c>
      <c r="C132" t="inlineStr">
        <is>
          <t>Refill</t>
        </is>
      </c>
      <c r="D132" t="inlineStr">
        <is>
          <t>Primer Cachos</t>
        </is>
      </c>
      <c r="E132" t="n">
        <v>1</v>
      </c>
      <c r="F132" t="inlineStr">
        <is>
          <t>2025-09-27</t>
        </is>
      </c>
      <c r="G132" t="n">
        <v>280</v>
      </c>
      <c r="H132" t="inlineStr">
        <is>
          <t>Y</t>
        </is>
      </c>
      <c r="I132">
        <f>HYPERLINK("https://admin.shopify.com/store/ge-beauty-cosmeticos/customers/9700683972928","abrir")</f>
        <v/>
      </c>
      <c r="J132">
        <f>HYPERLINK("https://www.gebeauty.com.br/products/primer-cachos-definidos?ref=review","review")</f>
        <v/>
      </c>
      <c r="K132" t="inlineStr">
        <is>
          <t>HOLDOUT</t>
        </is>
      </c>
    </row>
    <row r="133">
      <c r="A133" t="inlineStr">
        <is>
          <t>Carolina</t>
        </is>
      </c>
      <c r="B133" t="inlineStr">
        <is>
          <t>+5511985148825</t>
        </is>
      </c>
      <c r="C133" t="inlineStr">
        <is>
          <t>Refill</t>
        </is>
      </c>
      <c r="D133" t="inlineStr">
        <is>
          <t>Primer Cachos</t>
        </is>
      </c>
      <c r="E133" t="n">
        <v>1</v>
      </c>
      <c r="F133" t="inlineStr">
        <is>
          <t>2025-09-27</t>
        </is>
      </c>
      <c r="G133" t="n">
        <v>280</v>
      </c>
      <c r="H133" t="inlineStr">
        <is>
          <t>Y</t>
        </is>
      </c>
      <c r="I133">
        <f>HYPERLINK("https://admin.shopify.com/store/ge-beauty-cosmeticos/customers/9485958316352","abrir")</f>
        <v/>
      </c>
      <c r="J133">
        <f>HYPERLINK("https://www.gebeauty.com.br/products/primer-cachos-definidos?ref=review","review")</f>
        <v/>
      </c>
      <c r="K133" t="inlineStr">
        <is>
          <t>HOLDOUT</t>
        </is>
      </c>
    </row>
    <row r="134">
      <c r="A134" t="inlineStr">
        <is>
          <t>Camila</t>
        </is>
      </c>
      <c r="B134" t="inlineStr">
        <is>
          <t>+5561992378025</t>
        </is>
      </c>
      <c r="C134" t="inlineStr">
        <is>
          <t>Refill</t>
        </is>
      </c>
      <c r="D134" t="inlineStr">
        <is>
          <t>Primer Cachos</t>
        </is>
      </c>
      <c r="E134" t="n">
        <v>1</v>
      </c>
      <c r="F134" t="inlineStr">
        <is>
          <t>2025-09-27</t>
        </is>
      </c>
      <c r="G134" t="n">
        <v>280</v>
      </c>
      <c r="H134" t="inlineStr">
        <is>
          <t>Y</t>
        </is>
      </c>
      <c r="I134">
        <f>HYPERLINK("https://admin.shopify.com/store/ge-beauty-cosmeticos/customers/9484895519040","abrir")</f>
        <v/>
      </c>
      <c r="J134">
        <f>HYPERLINK("https://www.gebeauty.com.br/products/primer-cachos-definidos?ref=review","review")</f>
        <v/>
      </c>
      <c r="K134" t="inlineStr">
        <is>
          <t>SEND</t>
        </is>
      </c>
    </row>
    <row r="135">
      <c r="A135" t="inlineStr">
        <is>
          <t>Elissa</t>
        </is>
      </c>
      <c r="B135" t="inlineStr">
        <is>
          <t>+5571999250946</t>
        </is>
      </c>
      <c r="C135" t="inlineStr">
        <is>
          <t>Refill</t>
        </is>
      </c>
      <c r="D135" t="inlineStr">
        <is>
          <t>Primer Cachos</t>
        </is>
      </c>
      <c r="E135" t="n">
        <v>1</v>
      </c>
      <c r="F135" t="inlineStr">
        <is>
          <t>2025-09-27</t>
        </is>
      </c>
      <c r="G135" t="n">
        <v>280</v>
      </c>
      <c r="H135" t="inlineStr">
        <is>
          <t>Y</t>
        </is>
      </c>
      <c r="I135">
        <f>HYPERLINK("https://admin.shopify.com/store/ge-beauty-cosmeticos/customers/9702678987072","abrir")</f>
        <v/>
      </c>
      <c r="J135">
        <f>HYPERLINK("https://www.gebeauty.com.br/products/primer-cachos-definidos?ref=review","review")</f>
        <v/>
      </c>
      <c r="K135" t="inlineStr">
        <is>
          <t>SEND</t>
        </is>
      </c>
    </row>
    <row r="136">
      <c r="A136" t="inlineStr">
        <is>
          <t>Bettina</t>
        </is>
      </c>
      <c r="B136" t="inlineStr">
        <is>
          <t>+5511991461714</t>
        </is>
      </c>
      <c r="C136" t="inlineStr">
        <is>
          <t>Refill</t>
        </is>
      </c>
      <c r="D136" t="inlineStr">
        <is>
          <t>Primer Cachos</t>
        </is>
      </c>
      <c r="E136" t="n">
        <v>1</v>
      </c>
      <c r="F136" t="inlineStr">
        <is>
          <t>2025-09-27</t>
        </is>
      </c>
      <c r="G136" t="n">
        <v>280</v>
      </c>
      <c r="H136" t="inlineStr">
        <is>
          <t>Y</t>
        </is>
      </c>
      <c r="I136">
        <f>HYPERLINK("https://admin.shopify.com/store/ge-beauty-cosmeticos/customers/8956036448576","abrir")</f>
        <v/>
      </c>
      <c r="J136">
        <f>HYPERLINK("https://www.gebeauty.com.br/products/primer-cachos-definidos?ref=review","review")</f>
        <v/>
      </c>
      <c r="K136" t="inlineStr">
        <is>
          <t>SEND</t>
        </is>
      </c>
    </row>
    <row r="137">
      <c r="A137" t="inlineStr">
        <is>
          <t>Anaisa</t>
        </is>
      </c>
      <c r="B137" t="inlineStr">
        <is>
          <t>+5561999882715</t>
        </is>
      </c>
      <c r="C137" t="inlineStr">
        <is>
          <t>Refill</t>
        </is>
      </c>
      <c r="D137" t="inlineStr">
        <is>
          <t>Primer Cachos</t>
        </is>
      </c>
      <c r="E137" t="n">
        <v>1</v>
      </c>
      <c r="F137" t="inlineStr">
        <is>
          <t>2025-09-27</t>
        </is>
      </c>
      <c r="G137" t="n">
        <v>280</v>
      </c>
      <c r="H137" t="inlineStr">
        <is>
          <t>Y</t>
        </is>
      </c>
      <c r="I137">
        <f>HYPERLINK("https://admin.shopify.com/store/ge-beauty-cosmeticos/customers/9703267107136","abrir")</f>
        <v/>
      </c>
      <c r="J137">
        <f>HYPERLINK("https://www.gebeauty.com.br/products/primer-cachos-definidos?ref=review","review")</f>
        <v/>
      </c>
      <c r="K137" t="inlineStr">
        <is>
          <t>SEND</t>
        </is>
      </c>
    </row>
    <row r="138">
      <c r="A138" t="inlineStr">
        <is>
          <t>Luele</t>
        </is>
      </c>
      <c r="B138" t="inlineStr">
        <is>
          <t>+5511986554047</t>
        </is>
      </c>
      <c r="C138" t="inlineStr">
        <is>
          <t>Refill</t>
        </is>
      </c>
      <c r="D138" t="inlineStr">
        <is>
          <t>Primer Cachos</t>
        </is>
      </c>
      <c r="E138" t="n">
        <v>1</v>
      </c>
      <c r="F138" t="inlineStr">
        <is>
          <t>2025-09-27</t>
        </is>
      </c>
      <c r="G138" t="n">
        <v>280</v>
      </c>
      <c r="H138" t="inlineStr">
        <is>
          <t>Y</t>
        </is>
      </c>
      <c r="I138">
        <f>HYPERLINK("https://admin.shopify.com/store/ge-beauty-cosmeticos/customers/9485097566528","abrir")</f>
        <v/>
      </c>
      <c r="J138">
        <f>HYPERLINK("https://www.gebeauty.com.br/products/primer-cachos-definidos?ref=review","review")</f>
        <v/>
      </c>
      <c r="K138" t="inlineStr">
        <is>
          <t>SEND</t>
        </is>
      </c>
    </row>
    <row r="139">
      <c r="A139" t="inlineStr">
        <is>
          <t>Marina</t>
        </is>
      </c>
      <c r="B139" t="inlineStr">
        <is>
          <t>+5511992636932</t>
        </is>
      </c>
      <c r="C139" t="inlineStr">
        <is>
          <t>Refill</t>
        </is>
      </c>
      <c r="D139" t="inlineStr">
        <is>
          <t>Primer Cachos</t>
        </is>
      </c>
      <c r="E139" t="n">
        <v>1</v>
      </c>
      <c r="F139" t="inlineStr">
        <is>
          <t>2025-09-27</t>
        </is>
      </c>
      <c r="G139" t="n">
        <v>280</v>
      </c>
      <c r="H139" t="inlineStr">
        <is>
          <t>Y</t>
        </is>
      </c>
      <c r="I139">
        <f>HYPERLINK("https://admin.shopify.com/store/ge-beauty-cosmeticos/customers/9703473054016","abrir")</f>
        <v/>
      </c>
      <c r="J139">
        <f>HYPERLINK("https://www.gebeauty.com.br/products/primer-cachos-definidos?ref=review","review")</f>
        <v/>
      </c>
      <c r="K139" t="inlineStr">
        <is>
          <t>SEND</t>
        </is>
      </c>
    </row>
    <row r="140">
      <c r="A140" t="inlineStr">
        <is>
          <t>Ana</t>
        </is>
      </c>
      <c r="B140" t="inlineStr">
        <is>
          <t>+5531991278118</t>
        </is>
      </c>
      <c r="C140" t="inlineStr">
        <is>
          <t>Refill</t>
        </is>
      </c>
      <c r="D140" t="inlineStr">
        <is>
          <t>Primer Cachos</t>
        </is>
      </c>
      <c r="E140" t="n">
        <v>1</v>
      </c>
      <c r="F140" t="inlineStr">
        <is>
          <t>2025-09-28</t>
        </is>
      </c>
      <c r="G140" t="n">
        <v>279</v>
      </c>
      <c r="H140" t="inlineStr">
        <is>
          <t>Y</t>
        </is>
      </c>
      <c r="I140">
        <f>HYPERLINK("https://admin.shopify.com/store/ge-beauty-cosmeticos/customers/9705126658368","abrir")</f>
        <v/>
      </c>
      <c r="J140">
        <f>HYPERLINK("https://www.gebeauty.com.br/products/primer-cachos-definidos?ref=review","review")</f>
        <v/>
      </c>
      <c r="K140" t="inlineStr">
        <is>
          <t>SEND</t>
        </is>
      </c>
    </row>
    <row r="141">
      <c r="A141" t="inlineStr">
        <is>
          <t>Natalia</t>
        </is>
      </c>
      <c r="B141" t="inlineStr">
        <is>
          <t>+5511996839863</t>
        </is>
      </c>
      <c r="C141" t="inlineStr">
        <is>
          <t>Refill</t>
        </is>
      </c>
      <c r="D141" t="inlineStr">
        <is>
          <t>Primer Cachos</t>
        </is>
      </c>
      <c r="E141" t="n">
        <v>1</v>
      </c>
      <c r="F141" t="inlineStr">
        <is>
          <t>2025-09-28</t>
        </is>
      </c>
      <c r="G141" t="n">
        <v>279</v>
      </c>
      <c r="H141" t="inlineStr">
        <is>
          <t>Y</t>
        </is>
      </c>
      <c r="I141">
        <f>HYPERLINK("https://admin.shopify.com/store/ge-beauty-cosmeticos/customers/9707015242048","abrir")</f>
        <v/>
      </c>
      <c r="J141">
        <f>HYPERLINK("https://www.gebeauty.com.br/products/primer-cachos-definidos?ref=review","review")</f>
        <v/>
      </c>
      <c r="K141" t="inlineStr">
        <is>
          <t>HOLDOUT</t>
        </is>
      </c>
    </row>
    <row r="142">
      <c r="A142" t="inlineStr">
        <is>
          <t>Vivian</t>
        </is>
      </c>
      <c r="B142" t="inlineStr">
        <is>
          <t>+5511992037928</t>
        </is>
      </c>
      <c r="C142" t="inlineStr">
        <is>
          <t>Refill</t>
        </is>
      </c>
      <c r="D142" t="inlineStr">
        <is>
          <t>Primer Cachos</t>
        </is>
      </c>
      <c r="E142" t="n">
        <v>1</v>
      </c>
      <c r="F142" t="inlineStr">
        <is>
          <t>2025-09-28</t>
        </is>
      </c>
      <c r="G142" t="n">
        <v>279</v>
      </c>
      <c r="H142" t="inlineStr">
        <is>
          <t>Y</t>
        </is>
      </c>
      <c r="I142">
        <f>HYPERLINK("https://admin.shopify.com/store/ge-beauty-cosmeticos/customers/9707825889600","abrir")</f>
        <v/>
      </c>
      <c r="J142">
        <f>HYPERLINK("https://www.gebeauty.com.br/products/primer-cachos-definidos?ref=review","review")</f>
        <v/>
      </c>
      <c r="K142" t="inlineStr">
        <is>
          <t>SEND</t>
        </is>
      </c>
    </row>
    <row r="143">
      <c r="A143" t="inlineStr">
        <is>
          <t>Marjorie</t>
        </is>
      </c>
      <c r="B143" t="inlineStr">
        <is>
          <t>+5541999908249</t>
        </is>
      </c>
      <c r="C143" t="inlineStr">
        <is>
          <t>Refill</t>
        </is>
      </c>
      <c r="D143" t="inlineStr">
        <is>
          <t>Primer Cachos</t>
        </is>
      </c>
      <c r="E143" t="n">
        <v>1</v>
      </c>
      <c r="F143" t="inlineStr">
        <is>
          <t>2025-09-28</t>
        </is>
      </c>
      <c r="G143" t="n">
        <v>279</v>
      </c>
      <c r="H143" t="inlineStr">
        <is>
          <t>Y</t>
        </is>
      </c>
      <c r="I143">
        <f>HYPERLINK("https://admin.shopify.com/store/ge-beauty-cosmeticos/customers/8512069960000","abrir")</f>
        <v/>
      </c>
      <c r="J143">
        <f>HYPERLINK("https://www.gebeauty.com.br/products/primer-cachos-definidos?ref=review","review")</f>
        <v/>
      </c>
      <c r="K143" t="inlineStr">
        <is>
          <t>SEND</t>
        </is>
      </c>
    </row>
    <row r="144">
      <c r="A144" t="inlineStr">
        <is>
          <t>Vanice</t>
        </is>
      </c>
      <c r="B144" t="inlineStr">
        <is>
          <t>+5581999875839</t>
        </is>
      </c>
      <c r="C144" t="inlineStr">
        <is>
          <t>Refill</t>
        </is>
      </c>
      <c r="D144" t="inlineStr">
        <is>
          <t>Primer Cachos</t>
        </is>
      </c>
      <c r="E144" t="n">
        <v>1</v>
      </c>
      <c r="F144" t="inlineStr">
        <is>
          <t>2025-09-28</t>
        </is>
      </c>
      <c r="G144" t="n">
        <v>279</v>
      </c>
      <c r="H144" t="inlineStr">
        <is>
          <t>Y</t>
        </is>
      </c>
      <c r="I144">
        <f>HYPERLINK("https://admin.shopify.com/store/ge-beauty-cosmeticos/customers/9708151112000","abrir")</f>
        <v/>
      </c>
      <c r="J144">
        <f>HYPERLINK("https://www.gebeauty.com.br/products/primer-cachos-definidos?ref=review","review")</f>
        <v/>
      </c>
      <c r="K144" t="inlineStr">
        <is>
          <t>SEND</t>
        </is>
      </c>
    </row>
    <row r="145">
      <c r="A145" t="inlineStr">
        <is>
          <t>Cristiane</t>
        </is>
      </c>
      <c r="B145" t="inlineStr">
        <is>
          <t>+5511980324039</t>
        </is>
      </c>
      <c r="C145" t="inlineStr">
        <is>
          <t>Refill</t>
        </is>
      </c>
      <c r="D145" t="inlineStr">
        <is>
          <t>Primer Cachos</t>
        </is>
      </c>
      <c r="E145" t="n">
        <v>1</v>
      </c>
      <c r="F145" t="inlineStr">
        <is>
          <t>2025-09-28</t>
        </is>
      </c>
      <c r="G145" t="n">
        <v>279</v>
      </c>
      <c r="H145" t="inlineStr">
        <is>
          <t>Y</t>
        </is>
      </c>
      <c r="I145">
        <f>HYPERLINK("https://admin.shopify.com/store/ge-beauty-cosmeticos/customers/9547628380480","abrir")</f>
        <v/>
      </c>
      <c r="J145">
        <f>HYPERLINK("https://www.gebeauty.com.br/products/primer-cachos-definidos?ref=review","review")</f>
        <v/>
      </c>
      <c r="K145" t="inlineStr">
        <is>
          <t>SEND</t>
        </is>
      </c>
    </row>
    <row r="146">
      <c r="A146" t="inlineStr">
        <is>
          <t>Rogerio</t>
        </is>
      </c>
      <c r="B146" t="inlineStr">
        <is>
          <t>+5581996064470</t>
        </is>
      </c>
      <c r="C146" t="inlineStr">
        <is>
          <t>Refill</t>
        </is>
      </c>
      <c r="D146" t="inlineStr">
        <is>
          <t>Primer Cachos</t>
        </is>
      </c>
      <c r="E146" t="n">
        <v>1</v>
      </c>
      <c r="F146" t="inlineStr">
        <is>
          <t>2025-09-28</t>
        </is>
      </c>
      <c r="G146" t="n">
        <v>279</v>
      </c>
      <c r="H146" t="inlineStr">
        <is>
          <t>Y</t>
        </is>
      </c>
      <c r="I146">
        <f>HYPERLINK("https://admin.shopify.com/store/ge-beauty-cosmeticos/customers/9708548292928","abrir")</f>
        <v/>
      </c>
      <c r="J146">
        <f>HYPERLINK("https://www.gebeauty.com.br/products/primer-cachos-definidos?ref=review","review")</f>
        <v/>
      </c>
      <c r="K146" t="inlineStr">
        <is>
          <t>SEND</t>
        </is>
      </c>
    </row>
    <row r="147">
      <c r="A147" t="inlineStr">
        <is>
          <t>Flávia</t>
        </is>
      </c>
      <c r="B147" t="inlineStr">
        <is>
          <t>+5511981321098</t>
        </is>
      </c>
      <c r="C147" t="inlineStr">
        <is>
          <t>Refill</t>
        </is>
      </c>
      <c r="D147" t="inlineStr">
        <is>
          <t>Primer Cachos</t>
        </is>
      </c>
      <c r="E147" t="n">
        <v>1</v>
      </c>
      <c r="F147" t="inlineStr">
        <is>
          <t>2025-09-28</t>
        </is>
      </c>
      <c r="G147" t="n">
        <v>279</v>
      </c>
      <c r="H147" t="inlineStr">
        <is>
          <t>Y</t>
        </is>
      </c>
      <c r="I147">
        <f>HYPERLINK("https://admin.shopify.com/store/ge-beauty-cosmeticos/customers/9486313652544","abrir")</f>
        <v/>
      </c>
      <c r="J147">
        <f>HYPERLINK("https://www.gebeauty.com.br/products/primer-cachos-definidos?ref=review","review")</f>
        <v/>
      </c>
      <c r="K147" t="inlineStr">
        <is>
          <t>HOLDOUT</t>
        </is>
      </c>
    </row>
    <row r="148">
      <c r="A148" t="inlineStr">
        <is>
          <t>Cecilia</t>
        </is>
      </c>
      <c r="B148" t="inlineStr">
        <is>
          <t>+5582981191508</t>
        </is>
      </c>
      <c r="C148" t="inlineStr">
        <is>
          <t>Refill</t>
        </is>
      </c>
      <c r="D148" t="inlineStr">
        <is>
          <t>Primer Cachos</t>
        </is>
      </c>
      <c r="E148" t="n">
        <v>1</v>
      </c>
      <c r="F148" t="inlineStr">
        <is>
          <t>2025-09-29</t>
        </is>
      </c>
      <c r="G148" t="n">
        <v>278</v>
      </c>
      <c r="H148" t="inlineStr">
        <is>
          <t>Y</t>
        </is>
      </c>
      <c r="I148">
        <f>HYPERLINK("https://admin.shopify.com/store/ge-beauty-cosmeticos/customers/9709156073792","abrir")</f>
        <v/>
      </c>
      <c r="J148">
        <f>HYPERLINK("https://www.gebeauty.com.br/products/primer-cachos-definidos?ref=review","review")</f>
        <v/>
      </c>
      <c r="K148" t="inlineStr">
        <is>
          <t>SEND</t>
        </is>
      </c>
    </row>
    <row r="149">
      <c r="A149" t="inlineStr">
        <is>
          <t>Valentina</t>
        </is>
      </c>
      <c r="B149" t="inlineStr">
        <is>
          <t>+5515981133123</t>
        </is>
      </c>
      <c r="C149" t="inlineStr">
        <is>
          <t>Refill</t>
        </is>
      </c>
      <c r="D149" t="inlineStr">
        <is>
          <t>Primer Cachos</t>
        </is>
      </c>
      <c r="E149" t="n">
        <v>1</v>
      </c>
      <c r="F149" t="inlineStr">
        <is>
          <t>2025-09-29</t>
        </is>
      </c>
      <c r="G149" t="n">
        <v>278</v>
      </c>
      <c r="H149" t="inlineStr">
        <is>
          <t>Y</t>
        </is>
      </c>
      <c r="I149">
        <f>HYPERLINK("https://admin.shopify.com/store/ge-beauty-cosmeticos/customers/9486007173440","abrir")</f>
        <v/>
      </c>
      <c r="J149">
        <f>HYPERLINK("https://www.gebeauty.com.br/products/primer-cachos-definidos?ref=review","review")</f>
        <v/>
      </c>
      <c r="K149" t="inlineStr">
        <is>
          <t>SEND</t>
        </is>
      </c>
    </row>
    <row r="150">
      <c r="A150" t="inlineStr">
        <is>
          <t>Ligia</t>
        </is>
      </c>
      <c r="B150" t="inlineStr">
        <is>
          <t>+5511992229219</t>
        </is>
      </c>
      <c r="C150" t="inlineStr">
        <is>
          <t>Refill</t>
        </is>
      </c>
      <c r="D150" t="inlineStr">
        <is>
          <t>Primer Cachos</t>
        </is>
      </c>
      <c r="E150" t="n">
        <v>1</v>
      </c>
      <c r="F150" t="inlineStr">
        <is>
          <t>2025-09-29</t>
        </is>
      </c>
      <c r="G150" t="n">
        <v>278</v>
      </c>
      <c r="H150" t="inlineStr">
        <is>
          <t>Y</t>
        </is>
      </c>
      <c r="I150">
        <f>HYPERLINK("https://admin.shopify.com/store/ge-beauty-cosmeticos/customers/9689797558592","abrir")</f>
        <v/>
      </c>
      <c r="J150">
        <f>HYPERLINK("https://www.gebeauty.com.br/products/primer-cachos-definidos?ref=review","review")</f>
        <v/>
      </c>
      <c r="K150" t="inlineStr">
        <is>
          <t>SEND</t>
        </is>
      </c>
    </row>
    <row r="151">
      <c r="A151" t="inlineStr">
        <is>
          <t>Maria Júlia</t>
        </is>
      </c>
      <c r="B151" t="inlineStr">
        <is>
          <t>+5587996115655</t>
        </is>
      </c>
      <c r="C151" t="inlineStr">
        <is>
          <t>Refill</t>
        </is>
      </c>
      <c r="D151" t="inlineStr">
        <is>
          <t>Primer Cachos</t>
        </is>
      </c>
      <c r="E151" t="n">
        <v>1</v>
      </c>
      <c r="F151" t="inlineStr">
        <is>
          <t>2025-09-29</t>
        </is>
      </c>
      <c r="G151" t="n">
        <v>278</v>
      </c>
      <c r="H151" t="inlineStr">
        <is>
          <t>Y</t>
        </is>
      </c>
      <c r="I151">
        <f>HYPERLINK("https://admin.shopify.com/store/ge-beauty-cosmeticos/customers/9700771168576","abrir")</f>
        <v/>
      </c>
      <c r="J151">
        <f>HYPERLINK("https://www.gebeauty.com.br/products/primer-cachos-definidos?ref=review","review")</f>
        <v/>
      </c>
      <c r="K151" t="inlineStr">
        <is>
          <t>SEND</t>
        </is>
      </c>
    </row>
    <row r="152">
      <c r="A152" t="inlineStr">
        <is>
          <t>Barbara</t>
        </is>
      </c>
      <c r="B152" t="inlineStr">
        <is>
          <t>+5511982630577</t>
        </is>
      </c>
      <c r="C152" t="inlineStr">
        <is>
          <t>Refill</t>
        </is>
      </c>
      <c r="D152" t="inlineStr">
        <is>
          <t>Primer Cachos</t>
        </is>
      </c>
      <c r="E152" t="n">
        <v>1</v>
      </c>
      <c r="F152" t="inlineStr">
        <is>
          <t>2025-09-30</t>
        </is>
      </c>
      <c r="G152" t="n">
        <v>277</v>
      </c>
      <c r="H152" t="inlineStr">
        <is>
          <t>Y</t>
        </is>
      </c>
      <c r="I152">
        <f>HYPERLINK("https://admin.shopify.com/store/ge-beauty-cosmeticos/customers/7759495332160","abrir")</f>
        <v/>
      </c>
      <c r="J152">
        <f>HYPERLINK("https://www.gebeauty.com.br/products/primer-cachos-definidos?ref=review","review")</f>
        <v/>
      </c>
      <c r="K152" t="inlineStr">
        <is>
          <t>SEND</t>
        </is>
      </c>
    </row>
    <row r="153">
      <c r="A153" t="inlineStr">
        <is>
          <t>Juliana</t>
        </is>
      </c>
      <c r="B153" t="inlineStr">
        <is>
          <t>+5513997087959</t>
        </is>
      </c>
      <c r="C153" t="inlineStr">
        <is>
          <t>Refill</t>
        </is>
      </c>
      <c r="D153" t="inlineStr">
        <is>
          <t>Primer Cachos</t>
        </is>
      </c>
      <c r="E153" t="n">
        <v>1</v>
      </c>
      <c r="F153" t="inlineStr">
        <is>
          <t>2025-09-30</t>
        </is>
      </c>
      <c r="G153" t="n">
        <v>277</v>
      </c>
      <c r="H153" t="inlineStr">
        <is>
          <t>Y</t>
        </is>
      </c>
      <c r="I153">
        <f>HYPERLINK("https://admin.shopify.com/store/ge-beauty-cosmeticos/customers/9720202821952","abrir")</f>
        <v/>
      </c>
      <c r="J153">
        <f>HYPERLINK("https://www.gebeauty.com.br/products/primer-cachos-definidos?ref=review","review")</f>
        <v/>
      </c>
      <c r="K153" t="inlineStr">
        <is>
          <t>HOLDOUT</t>
        </is>
      </c>
    </row>
    <row r="154">
      <c r="A154" t="inlineStr">
        <is>
          <t>Ingrid Carla</t>
        </is>
      </c>
      <c r="B154" t="inlineStr">
        <is>
          <t>+5577988179892</t>
        </is>
      </c>
      <c r="C154" t="inlineStr">
        <is>
          <t>Refill</t>
        </is>
      </c>
      <c r="D154" t="inlineStr">
        <is>
          <t>Primer Cachos</t>
        </is>
      </c>
      <c r="E154" t="n">
        <v>1</v>
      </c>
      <c r="F154" t="inlineStr">
        <is>
          <t>2025-09-30</t>
        </is>
      </c>
      <c r="G154" t="n">
        <v>277</v>
      </c>
      <c r="H154" t="inlineStr">
        <is>
          <t>Y</t>
        </is>
      </c>
      <c r="I154">
        <f>HYPERLINK("https://admin.shopify.com/store/ge-beauty-cosmeticos/customers/9720862998848","abrir")</f>
        <v/>
      </c>
      <c r="J154">
        <f>HYPERLINK("https://www.gebeauty.com.br/products/primer-cachos-definidos?ref=review","review")</f>
        <v/>
      </c>
      <c r="K154" t="inlineStr">
        <is>
          <t>HOLDOUT</t>
        </is>
      </c>
    </row>
    <row r="155">
      <c r="A155" t="inlineStr">
        <is>
          <t>Luciana</t>
        </is>
      </c>
      <c r="B155" t="inlineStr">
        <is>
          <t>+5511993792810</t>
        </is>
      </c>
      <c r="C155" t="inlineStr">
        <is>
          <t>Refill</t>
        </is>
      </c>
      <c r="D155" t="inlineStr">
        <is>
          <t>Primer Cachos</t>
        </is>
      </c>
      <c r="E155" t="n">
        <v>1</v>
      </c>
      <c r="F155" t="inlineStr">
        <is>
          <t>2025-09-30</t>
        </is>
      </c>
      <c r="G155" t="n">
        <v>277</v>
      </c>
      <c r="H155" t="inlineStr">
        <is>
          <t>Y</t>
        </is>
      </c>
      <c r="I155">
        <f>HYPERLINK("https://admin.shopify.com/store/ge-beauty-cosmeticos/customers/8667189215552","abrir")</f>
        <v/>
      </c>
      <c r="J155">
        <f>HYPERLINK("https://www.gebeauty.com.br/products/primer-cachos-definidos?ref=review","review")</f>
        <v/>
      </c>
      <c r="K155" t="inlineStr">
        <is>
          <t>SEND</t>
        </is>
      </c>
    </row>
    <row r="156">
      <c r="A156" t="inlineStr">
        <is>
          <t>Carolina</t>
        </is>
      </c>
      <c r="B156" t="inlineStr">
        <is>
          <t>+5521999916014</t>
        </is>
      </c>
      <c r="C156" t="inlineStr">
        <is>
          <t>Refill</t>
        </is>
      </c>
      <c r="D156" t="inlineStr">
        <is>
          <t>Primer Cachos</t>
        </is>
      </c>
      <c r="E156" t="n">
        <v>1</v>
      </c>
      <c r="F156" t="inlineStr">
        <is>
          <t>2025-09-30</t>
        </is>
      </c>
      <c r="G156" t="n">
        <v>277</v>
      </c>
      <c r="H156" t="inlineStr">
        <is>
          <t>Y</t>
        </is>
      </c>
      <c r="I156">
        <f>HYPERLINK("https://admin.shopify.com/store/ge-beauty-cosmeticos/customers/8238198325568","abrir")</f>
        <v/>
      </c>
      <c r="J156">
        <f>HYPERLINK("https://www.gebeauty.com.br/products/primer-cachos-definidos?ref=review","review")</f>
        <v/>
      </c>
      <c r="K156" t="inlineStr">
        <is>
          <t>SEND</t>
        </is>
      </c>
    </row>
    <row r="157">
      <c r="A157" t="inlineStr">
        <is>
          <t>Josiane</t>
        </is>
      </c>
      <c r="B157" t="inlineStr">
        <is>
          <t>+5511981865217</t>
        </is>
      </c>
      <c r="C157" t="inlineStr">
        <is>
          <t>Refill</t>
        </is>
      </c>
      <c r="D157" t="inlineStr">
        <is>
          <t>Primer Cachos</t>
        </is>
      </c>
      <c r="E157" t="n">
        <v>1</v>
      </c>
      <c r="F157" t="inlineStr">
        <is>
          <t>2025-09-30</t>
        </is>
      </c>
      <c r="G157" t="n">
        <v>277</v>
      </c>
      <c r="H157" t="inlineStr">
        <is>
          <t>Y</t>
        </is>
      </c>
      <c r="I157">
        <f>HYPERLINK("https://admin.shopify.com/store/ge-beauty-cosmeticos/customers/7761814159680","abrir")</f>
        <v/>
      </c>
      <c r="J157">
        <f>HYPERLINK("https://www.gebeauty.com.br/products/primer-cachos-definidos?ref=review","review")</f>
        <v/>
      </c>
      <c r="K157" t="inlineStr">
        <is>
          <t>SEND</t>
        </is>
      </c>
    </row>
    <row r="158">
      <c r="A158" t="inlineStr">
        <is>
          <t>Thais</t>
        </is>
      </c>
      <c r="B158" t="inlineStr">
        <is>
          <t>+5511963317684</t>
        </is>
      </c>
      <c r="C158" t="inlineStr">
        <is>
          <t>Refill</t>
        </is>
      </c>
      <c r="D158" t="inlineStr">
        <is>
          <t>Primer Cachos</t>
        </is>
      </c>
      <c r="E158" t="n">
        <v>1</v>
      </c>
      <c r="F158" t="inlineStr">
        <is>
          <t>2025-10-01</t>
        </is>
      </c>
      <c r="G158" t="n">
        <v>276</v>
      </c>
      <c r="H158" t="inlineStr">
        <is>
          <t>N</t>
        </is>
      </c>
      <c r="I158">
        <f>HYPERLINK("https://admin.shopify.com/store/ge-beauty-cosmeticos/customers/7759828812096","abrir")</f>
        <v/>
      </c>
      <c r="J158">
        <f>HYPERLINK("https://www.gebeauty.com.br/products/primer-cachos-definidos?ref=review","review")</f>
        <v/>
      </c>
      <c r="K158" t="inlineStr">
        <is>
          <t>SEND</t>
        </is>
      </c>
    </row>
    <row r="159">
      <c r="A159" t="inlineStr">
        <is>
          <t>Simone</t>
        </is>
      </c>
      <c r="B159" t="inlineStr">
        <is>
          <t>+5513991122616</t>
        </is>
      </c>
      <c r="C159" t="inlineStr">
        <is>
          <t>Refill</t>
        </is>
      </c>
      <c r="D159" t="inlineStr">
        <is>
          <t>Primer Cachos</t>
        </is>
      </c>
      <c r="E159" t="n">
        <v>1</v>
      </c>
      <c r="F159" t="inlineStr">
        <is>
          <t>2025-10-01</t>
        </is>
      </c>
      <c r="G159" t="n">
        <v>276</v>
      </c>
      <c r="H159" t="inlineStr">
        <is>
          <t>N</t>
        </is>
      </c>
      <c r="I159">
        <f>HYPERLINK("https://admin.shopify.com/store/ge-beauty-cosmeticos/customers/9721922552128","abrir")</f>
        <v/>
      </c>
      <c r="J159">
        <f>HYPERLINK("https://www.gebeauty.com.br/products/primer-cachos-definidos?ref=review","review")</f>
        <v/>
      </c>
      <c r="K159" t="inlineStr">
        <is>
          <t>SEND</t>
        </is>
      </c>
    </row>
    <row r="160">
      <c r="A160" t="inlineStr">
        <is>
          <t>Maria</t>
        </is>
      </c>
      <c r="B160" t="inlineStr">
        <is>
          <t>+5531986769060</t>
        </is>
      </c>
      <c r="C160" t="inlineStr">
        <is>
          <t>Refill</t>
        </is>
      </c>
      <c r="D160" t="inlineStr">
        <is>
          <t>Primer Cachos</t>
        </is>
      </c>
      <c r="E160" t="n">
        <v>1</v>
      </c>
      <c r="F160" t="inlineStr">
        <is>
          <t>2025-10-01</t>
        </is>
      </c>
      <c r="G160" t="n">
        <v>276</v>
      </c>
      <c r="H160" t="inlineStr">
        <is>
          <t>N</t>
        </is>
      </c>
      <c r="I160">
        <f>HYPERLINK("https://admin.shopify.com/store/ge-beauty-cosmeticos/customers/7761991696704","abrir")</f>
        <v/>
      </c>
      <c r="J160">
        <f>HYPERLINK("https://www.gebeauty.com.br/products/primer-cachos-definidos?ref=review","review")</f>
        <v/>
      </c>
      <c r="K160" t="inlineStr">
        <is>
          <t>HOLDOUT</t>
        </is>
      </c>
    </row>
    <row r="161">
      <c r="A161" t="inlineStr">
        <is>
          <t>Fernando</t>
        </is>
      </c>
      <c r="B161" t="inlineStr">
        <is>
          <t>+5599981530525</t>
        </is>
      </c>
      <c r="C161" t="inlineStr">
        <is>
          <t>Refill</t>
        </is>
      </c>
      <c r="D161" t="inlineStr">
        <is>
          <t>Primer Cachos</t>
        </is>
      </c>
      <c r="E161" t="n">
        <v>1</v>
      </c>
      <c r="F161" t="inlineStr">
        <is>
          <t>2025-10-01</t>
        </is>
      </c>
      <c r="G161" t="n">
        <v>276</v>
      </c>
      <c r="H161" t="inlineStr">
        <is>
          <t>Y</t>
        </is>
      </c>
      <c r="I161">
        <f>HYPERLINK("https://admin.shopify.com/store/ge-beauty-cosmeticos/customers/9722677788992","abrir")</f>
        <v/>
      </c>
      <c r="J161">
        <f>HYPERLINK("https://www.gebeauty.com.br/products/primer-cachos-definidos?ref=review","review")</f>
        <v/>
      </c>
      <c r="K161" t="inlineStr">
        <is>
          <t>SEND</t>
        </is>
      </c>
    </row>
    <row r="162">
      <c r="A162" t="inlineStr">
        <is>
          <t>Gabriela</t>
        </is>
      </c>
      <c r="B162" t="inlineStr">
        <is>
          <t>+5511971986136</t>
        </is>
      </c>
      <c r="C162" t="inlineStr">
        <is>
          <t>Refill</t>
        </is>
      </c>
      <c r="D162" t="inlineStr">
        <is>
          <t>Primer Cachos</t>
        </is>
      </c>
      <c r="E162" t="n">
        <v>1</v>
      </c>
      <c r="F162" t="inlineStr">
        <is>
          <t>2025-10-01</t>
        </is>
      </c>
      <c r="G162" t="n">
        <v>276</v>
      </c>
      <c r="H162" t="inlineStr">
        <is>
          <t>Y</t>
        </is>
      </c>
      <c r="I162">
        <f>HYPERLINK("https://admin.shopify.com/store/ge-beauty-cosmeticos/customers/9725102063936","abrir")</f>
        <v/>
      </c>
      <c r="J162">
        <f>HYPERLINK("https://www.gebeauty.com.br/products/primer-cachos-definidos?ref=review","review")</f>
        <v/>
      </c>
      <c r="K162" t="inlineStr">
        <is>
          <t>SEND</t>
        </is>
      </c>
    </row>
    <row r="163">
      <c r="A163" t="inlineStr">
        <is>
          <t>Bruno</t>
        </is>
      </c>
      <c r="B163" t="inlineStr">
        <is>
          <t>+5511917010792</t>
        </is>
      </c>
      <c r="C163" t="inlineStr">
        <is>
          <t>Refill</t>
        </is>
      </c>
      <c r="D163" t="inlineStr">
        <is>
          <t>Primer Cachos</t>
        </is>
      </c>
      <c r="E163" t="n">
        <v>1</v>
      </c>
      <c r="F163" t="inlineStr">
        <is>
          <t>2025-10-01</t>
        </is>
      </c>
      <c r="G163" t="n">
        <v>276</v>
      </c>
      <c r="H163" t="inlineStr">
        <is>
          <t>Y</t>
        </is>
      </c>
      <c r="I163">
        <f>HYPERLINK("https://admin.shopify.com/store/ge-beauty-cosmeticos/customers/9725556851008","abrir")</f>
        <v/>
      </c>
      <c r="J163">
        <f>HYPERLINK("https://www.gebeauty.com.br/products/primer-cachos-definidos?ref=review","review")</f>
        <v/>
      </c>
      <c r="K163" t="inlineStr">
        <is>
          <t>SEND</t>
        </is>
      </c>
    </row>
    <row r="164">
      <c r="A164" t="inlineStr">
        <is>
          <t>Emilia</t>
        </is>
      </c>
      <c r="B164" t="inlineStr">
        <is>
          <t>+5511999408957</t>
        </is>
      </c>
      <c r="C164" t="inlineStr">
        <is>
          <t>Refill</t>
        </is>
      </c>
      <c r="D164" t="inlineStr">
        <is>
          <t>Primer Cachos</t>
        </is>
      </c>
      <c r="E164" t="n">
        <v>1</v>
      </c>
      <c r="F164" t="inlineStr">
        <is>
          <t>2025-10-01</t>
        </is>
      </c>
      <c r="G164" t="n">
        <v>276</v>
      </c>
      <c r="H164" t="inlineStr">
        <is>
          <t>Y</t>
        </is>
      </c>
      <c r="I164">
        <f>HYPERLINK("https://admin.shopify.com/store/ge-beauty-cosmeticos/customers/9324651315520","abrir")</f>
        <v/>
      </c>
      <c r="J164">
        <f>HYPERLINK("https://www.gebeauty.com.br/products/primer-cachos-definidos?ref=review","review")</f>
        <v/>
      </c>
      <c r="K164" t="inlineStr">
        <is>
          <t>SEND</t>
        </is>
      </c>
    </row>
    <row r="165">
      <c r="A165" t="inlineStr">
        <is>
          <t>Paula</t>
        </is>
      </c>
      <c r="B165" t="inlineStr">
        <is>
          <t>+5555991653416</t>
        </is>
      </c>
      <c r="C165" t="inlineStr">
        <is>
          <t>Refill</t>
        </is>
      </c>
      <c r="D165" t="inlineStr">
        <is>
          <t>Primer Cachos</t>
        </is>
      </c>
      <c r="E165" t="n">
        <v>1</v>
      </c>
      <c r="F165" t="inlineStr">
        <is>
          <t>2025-10-01</t>
        </is>
      </c>
      <c r="G165" t="n">
        <v>276</v>
      </c>
      <c r="H165" t="inlineStr">
        <is>
          <t>Y</t>
        </is>
      </c>
      <c r="I165">
        <f>HYPERLINK("https://admin.shopify.com/store/ge-beauty-cosmeticos/customers/7761976918336","abrir")</f>
        <v/>
      </c>
      <c r="J165">
        <f>HYPERLINK("https://www.gebeauty.com.br/products/primer-cachos-definidos?ref=review","review")</f>
        <v/>
      </c>
      <c r="K165" t="inlineStr">
        <is>
          <t>SEND</t>
        </is>
      </c>
    </row>
    <row r="166">
      <c r="A166" t="inlineStr">
        <is>
          <t>Amanda</t>
        </is>
      </c>
      <c r="B166" t="inlineStr">
        <is>
          <t>+5571982037330</t>
        </is>
      </c>
      <c r="C166" t="inlineStr">
        <is>
          <t>Refill</t>
        </is>
      </c>
      <c r="D166" t="inlineStr">
        <is>
          <t>Primer Cachos</t>
        </is>
      </c>
      <c r="E166" t="n">
        <v>1</v>
      </c>
      <c r="F166" t="inlineStr">
        <is>
          <t>2025-10-01</t>
        </is>
      </c>
      <c r="G166" t="n">
        <v>276</v>
      </c>
      <c r="H166" t="inlineStr">
        <is>
          <t>Y</t>
        </is>
      </c>
      <c r="I166">
        <f>HYPERLINK("https://admin.shopify.com/store/ge-beauty-cosmeticos/customers/9688610144576","abrir")</f>
        <v/>
      </c>
      <c r="J166">
        <f>HYPERLINK("https://www.gebeauty.com.br/products/primer-cachos-definidos?ref=review","review")</f>
        <v/>
      </c>
      <c r="K166" t="inlineStr">
        <is>
          <t>SEND</t>
        </is>
      </c>
    </row>
    <row r="167">
      <c r="A167" t="inlineStr">
        <is>
          <t>Vitória</t>
        </is>
      </c>
      <c r="B167" t="inlineStr">
        <is>
          <t>+5551999316262</t>
        </is>
      </c>
      <c r="C167" t="inlineStr">
        <is>
          <t>Refill</t>
        </is>
      </c>
      <c r="D167" t="inlineStr">
        <is>
          <t>Primer Cachos</t>
        </is>
      </c>
      <c r="E167" t="n">
        <v>1</v>
      </c>
      <c r="F167" t="inlineStr">
        <is>
          <t>2025-10-01</t>
        </is>
      </c>
      <c r="G167" t="n">
        <v>276</v>
      </c>
      <c r="H167" t="inlineStr">
        <is>
          <t>Y</t>
        </is>
      </c>
      <c r="I167">
        <f>HYPERLINK("https://admin.shopify.com/store/ge-beauty-cosmeticos/customers/9727057920320","abrir")</f>
        <v/>
      </c>
      <c r="J167">
        <f>HYPERLINK("https://www.gebeauty.com.br/products/primer-cachos-definidos?ref=review","review")</f>
        <v/>
      </c>
      <c r="K167" t="inlineStr">
        <is>
          <t>SEND</t>
        </is>
      </c>
    </row>
    <row r="168">
      <c r="A168" t="inlineStr">
        <is>
          <t>Ana</t>
        </is>
      </c>
      <c r="B168" t="inlineStr">
        <is>
          <t>+5531994133189</t>
        </is>
      </c>
      <c r="C168" t="inlineStr">
        <is>
          <t>Refill</t>
        </is>
      </c>
      <c r="D168" t="inlineStr">
        <is>
          <t>Primer Cachos</t>
        </is>
      </c>
      <c r="E168" t="n">
        <v>1</v>
      </c>
      <c r="F168" t="inlineStr">
        <is>
          <t>2025-10-02</t>
        </is>
      </c>
      <c r="G168" t="n">
        <v>275</v>
      </c>
      <c r="H168" t="inlineStr">
        <is>
          <t>Y</t>
        </is>
      </c>
      <c r="I168">
        <f>HYPERLINK("https://admin.shopify.com/store/ge-beauty-cosmeticos/customers/9729871937856","abrir")</f>
        <v/>
      </c>
      <c r="J168">
        <f>HYPERLINK("https://www.gebeauty.com.br/products/primer-cachos-definidos?ref=review","review")</f>
        <v/>
      </c>
      <c r="K168" t="inlineStr">
        <is>
          <t>SEND</t>
        </is>
      </c>
    </row>
    <row r="169">
      <c r="A169" t="inlineStr">
        <is>
          <t>Ana Maria</t>
        </is>
      </c>
      <c r="B169" t="inlineStr">
        <is>
          <t>+5562992657586</t>
        </is>
      </c>
      <c r="C169" t="inlineStr">
        <is>
          <t>Refill</t>
        </is>
      </c>
      <c r="D169" t="inlineStr">
        <is>
          <t>Primer Cachos</t>
        </is>
      </c>
      <c r="E169" t="n">
        <v>1</v>
      </c>
      <c r="F169" t="inlineStr">
        <is>
          <t>2025-10-02</t>
        </is>
      </c>
      <c r="G169" t="n">
        <v>275</v>
      </c>
      <c r="H169" t="inlineStr">
        <is>
          <t>Y</t>
        </is>
      </c>
      <c r="I169">
        <f>HYPERLINK("https://admin.shopify.com/store/ge-beauty-cosmeticos/customers/9729068958016","abrir")</f>
        <v/>
      </c>
      <c r="J169">
        <f>HYPERLINK("https://www.gebeauty.com.br/products/primer-cachos-definidos?ref=review","review")</f>
        <v/>
      </c>
      <c r="K169" t="inlineStr">
        <is>
          <t>SEND</t>
        </is>
      </c>
    </row>
    <row r="170">
      <c r="A170" t="inlineStr">
        <is>
          <t>Larissa</t>
        </is>
      </c>
      <c r="B170" t="inlineStr">
        <is>
          <t>+5511980556483</t>
        </is>
      </c>
      <c r="C170" t="inlineStr">
        <is>
          <t>Refill</t>
        </is>
      </c>
      <c r="D170" t="inlineStr">
        <is>
          <t>Primer Cachos</t>
        </is>
      </c>
      <c r="E170" t="n">
        <v>1</v>
      </c>
      <c r="F170" t="inlineStr">
        <is>
          <t>2025-10-02</t>
        </is>
      </c>
      <c r="G170" t="n">
        <v>275</v>
      </c>
      <c r="H170" t="inlineStr">
        <is>
          <t>Y</t>
        </is>
      </c>
      <c r="I170">
        <f>HYPERLINK("https://admin.shopify.com/store/ge-beauty-cosmeticos/customers/9485263143232","abrir")</f>
        <v/>
      </c>
      <c r="J170">
        <f>HYPERLINK("https://www.gebeauty.com.br/products/primer-cachos-definidos?ref=review","review")</f>
        <v/>
      </c>
      <c r="K170" t="inlineStr">
        <is>
          <t>SEND</t>
        </is>
      </c>
    </row>
    <row r="171">
      <c r="A171" t="inlineStr">
        <is>
          <t>Carolina</t>
        </is>
      </c>
      <c r="B171" t="inlineStr">
        <is>
          <t>+5514997045533</t>
        </is>
      </c>
      <c r="C171" t="inlineStr">
        <is>
          <t>Refill</t>
        </is>
      </c>
      <c r="D171" t="inlineStr">
        <is>
          <t>Primer Cachos</t>
        </is>
      </c>
      <c r="E171" t="n">
        <v>1</v>
      </c>
      <c r="F171" t="inlineStr">
        <is>
          <t>2025-10-02</t>
        </is>
      </c>
      <c r="G171" t="n">
        <v>275</v>
      </c>
      <c r="H171" t="inlineStr">
        <is>
          <t>Y</t>
        </is>
      </c>
      <c r="I171">
        <f>HYPERLINK("https://admin.shopify.com/store/ge-beauty-cosmeticos/customers/8240439918912","abrir")</f>
        <v/>
      </c>
      <c r="J171">
        <f>HYPERLINK("https://www.gebeauty.com.br/products/primer-cachos-definidos?ref=review","review")</f>
        <v/>
      </c>
      <c r="K171" t="inlineStr">
        <is>
          <t>SEND</t>
        </is>
      </c>
    </row>
    <row r="172">
      <c r="A172" t="inlineStr">
        <is>
          <t>João</t>
        </is>
      </c>
      <c r="B172" t="inlineStr">
        <is>
          <t>+5511998692273</t>
        </is>
      </c>
      <c r="C172" t="inlineStr">
        <is>
          <t>Refill</t>
        </is>
      </c>
      <c r="D172" t="inlineStr">
        <is>
          <t>Primer Cachos</t>
        </is>
      </c>
      <c r="E172" t="n">
        <v>1</v>
      </c>
      <c r="F172" t="inlineStr">
        <is>
          <t>2025-10-03</t>
        </is>
      </c>
      <c r="G172" t="n">
        <v>274</v>
      </c>
      <c r="H172" t="inlineStr">
        <is>
          <t>Y</t>
        </is>
      </c>
      <c r="I172">
        <f>HYPERLINK("https://admin.shopify.com/store/ge-beauty-cosmeticos/customers/9734893535552","abrir")</f>
        <v/>
      </c>
      <c r="J172">
        <f>HYPERLINK("https://www.gebeauty.com.br/products/primer-cachos-definidos?ref=review","review")</f>
        <v/>
      </c>
      <c r="K172" t="inlineStr">
        <is>
          <t>SEND</t>
        </is>
      </c>
    </row>
    <row r="173">
      <c r="A173" t="inlineStr">
        <is>
          <t>Luana</t>
        </is>
      </c>
      <c r="B173" t="inlineStr">
        <is>
          <t>+5511971789343</t>
        </is>
      </c>
      <c r="C173" t="inlineStr">
        <is>
          <t>Refill</t>
        </is>
      </c>
      <c r="D173" t="inlineStr">
        <is>
          <t>Primer Cachos</t>
        </is>
      </c>
      <c r="E173" t="n">
        <v>1</v>
      </c>
      <c r="F173" t="inlineStr">
        <is>
          <t>2025-10-03</t>
        </is>
      </c>
      <c r="G173" t="n">
        <v>274</v>
      </c>
      <c r="H173" t="inlineStr">
        <is>
          <t>Y</t>
        </is>
      </c>
      <c r="I173">
        <f>HYPERLINK("https://admin.shopify.com/store/ge-beauty-cosmeticos/customers/9589135343936","abrir")</f>
        <v/>
      </c>
      <c r="J173">
        <f>HYPERLINK("https://www.gebeauty.com.br/products/primer-cachos-definidos?ref=review","review")</f>
        <v/>
      </c>
      <c r="K173" t="inlineStr">
        <is>
          <t>SEND</t>
        </is>
      </c>
    </row>
    <row r="174">
      <c r="A174" t="inlineStr">
        <is>
          <t>Juliana</t>
        </is>
      </c>
      <c r="B174" t="inlineStr">
        <is>
          <t>+5511994654222</t>
        </is>
      </c>
      <c r="C174" t="inlineStr">
        <is>
          <t>Refill</t>
        </is>
      </c>
      <c r="D174" t="inlineStr">
        <is>
          <t>Primer Cachos</t>
        </is>
      </c>
      <c r="E174" t="n">
        <v>1</v>
      </c>
      <c r="F174" t="inlineStr">
        <is>
          <t>2025-10-03</t>
        </is>
      </c>
      <c r="G174" t="n">
        <v>274</v>
      </c>
      <c r="H174" t="inlineStr">
        <is>
          <t>Y</t>
        </is>
      </c>
      <c r="I174">
        <f>HYPERLINK("https://admin.shopify.com/store/ge-beauty-cosmeticos/customers/9735329251648","abrir")</f>
        <v/>
      </c>
      <c r="J174">
        <f>HYPERLINK("https://www.gebeauty.com.br/products/primer-cachos-definidos?ref=review","review")</f>
        <v/>
      </c>
      <c r="K174" t="inlineStr">
        <is>
          <t>SEND</t>
        </is>
      </c>
    </row>
    <row r="175">
      <c r="A175" t="inlineStr">
        <is>
          <t>Fabiola</t>
        </is>
      </c>
      <c r="B175" t="inlineStr">
        <is>
          <t>+5579991510995</t>
        </is>
      </c>
      <c r="C175" t="inlineStr">
        <is>
          <t>Refill</t>
        </is>
      </c>
      <c r="D175" t="inlineStr">
        <is>
          <t>Primer Cachos</t>
        </is>
      </c>
      <c r="E175" t="n">
        <v>1</v>
      </c>
      <c r="F175" t="inlineStr">
        <is>
          <t>2025-10-03</t>
        </is>
      </c>
      <c r="G175" t="n">
        <v>274</v>
      </c>
      <c r="H175" t="inlineStr">
        <is>
          <t>Y</t>
        </is>
      </c>
      <c r="I175">
        <f>HYPERLINK("https://admin.shopify.com/store/ge-beauty-cosmeticos/customers/9665857945920","abrir")</f>
        <v/>
      </c>
      <c r="J175">
        <f>HYPERLINK("https://www.gebeauty.com.br/products/primer-cachos-definidos?ref=review","review")</f>
        <v/>
      </c>
      <c r="K175" t="inlineStr">
        <is>
          <t>SEND</t>
        </is>
      </c>
    </row>
    <row r="176">
      <c r="A176" t="inlineStr">
        <is>
          <t>Giovanna</t>
        </is>
      </c>
      <c r="B176" t="inlineStr">
        <is>
          <t>+5551997002707</t>
        </is>
      </c>
      <c r="C176" t="inlineStr">
        <is>
          <t>Refill</t>
        </is>
      </c>
      <c r="D176" t="inlineStr">
        <is>
          <t>Primer Cachos</t>
        </is>
      </c>
      <c r="E176" t="n">
        <v>1</v>
      </c>
      <c r="F176" t="inlineStr">
        <is>
          <t>2025-10-03</t>
        </is>
      </c>
      <c r="G176" t="n">
        <v>274</v>
      </c>
      <c r="H176" t="inlineStr">
        <is>
          <t>Y</t>
        </is>
      </c>
      <c r="I176">
        <f>HYPERLINK("https://admin.shopify.com/store/ge-beauty-cosmeticos/customers/9661833183552","abrir")</f>
        <v/>
      </c>
      <c r="J176">
        <f>HYPERLINK("https://www.gebeauty.com.br/products/primer-cachos-definidos?ref=review","review")</f>
        <v/>
      </c>
      <c r="K176" t="inlineStr">
        <is>
          <t>SEND</t>
        </is>
      </c>
    </row>
    <row r="177">
      <c r="A177" t="inlineStr">
        <is>
          <t>Desiree</t>
        </is>
      </c>
      <c r="B177" t="inlineStr">
        <is>
          <t>+5547999623646</t>
        </is>
      </c>
      <c r="C177" t="inlineStr">
        <is>
          <t>Refill</t>
        </is>
      </c>
      <c r="D177" t="inlineStr">
        <is>
          <t>Primer Cachos</t>
        </is>
      </c>
      <c r="E177" t="n">
        <v>1</v>
      </c>
      <c r="F177" t="inlineStr">
        <is>
          <t>2025-10-04</t>
        </is>
      </c>
      <c r="G177" t="n">
        <v>273</v>
      </c>
      <c r="H177" t="inlineStr">
        <is>
          <t>Y</t>
        </is>
      </c>
      <c r="I177">
        <f>HYPERLINK("https://admin.shopify.com/store/ge-beauty-cosmeticos/customers/8451038249280","abrir")</f>
        <v/>
      </c>
      <c r="J177">
        <f>HYPERLINK("https://www.gebeauty.com.br/products/primer-cachos-definidos?ref=review","review")</f>
        <v/>
      </c>
      <c r="K177" t="inlineStr">
        <is>
          <t>SEND</t>
        </is>
      </c>
    </row>
    <row r="178">
      <c r="A178" t="inlineStr">
        <is>
          <t>Karla</t>
        </is>
      </c>
      <c r="B178" t="inlineStr">
        <is>
          <t>+5547999227092</t>
        </is>
      </c>
      <c r="C178" t="inlineStr">
        <is>
          <t>Refill</t>
        </is>
      </c>
      <c r="D178" t="inlineStr">
        <is>
          <t>Primer Cachos</t>
        </is>
      </c>
      <c r="E178" t="n">
        <v>1</v>
      </c>
      <c r="F178" t="inlineStr">
        <is>
          <t>2025-10-04</t>
        </is>
      </c>
      <c r="G178" t="n">
        <v>273</v>
      </c>
      <c r="H178" t="inlineStr">
        <is>
          <t>Y</t>
        </is>
      </c>
      <c r="I178">
        <f>HYPERLINK("https://admin.shopify.com/store/ge-beauty-cosmeticos/customers/9740068389184","abrir")</f>
        <v/>
      </c>
      <c r="J178">
        <f>HYPERLINK("https://www.gebeauty.com.br/products/primer-cachos-definidos?ref=review","review")</f>
        <v/>
      </c>
      <c r="K178" t="inlineStr">
        <is>
          <t>HOLDOUT</t>
        </is>
      </c>
    </row>
    <row r="179">
      <c r="A179" t="inlineStr">
        <is>
          <t>Raquel</t>
        </is>
      </c>
      <c r="B179" t="inlineStr">
        <is>
          <t>+5511996174232</t>
        </is>
      </c>
      <c r="C179" t="inlineStr">
        <is>
          <t>Refill</t>
        </is>
      </c>
      <c r="D179" t="inlineStr">
        <is>
          <t>Primer Cachos</t>
        </is>
      </c>
      <c r="E179" t="n">
        <v>1</v>
      </c>
      <c r="F179" t="inlineStr">
        <is>
          <t>2025-10-04</t>
        </is>
      </c>
      <c r="G179" t="n">
        <v>273</v>
      </c>
      <c r="H179" t="inlineStr">
        <is>
          <t>N</t>
        </is>
      </c>
      <c r="I179">
        <f>HYPERLINK("https://admin.shopify.com/store/ge-beauty-cosmeticos/customers/7760041476416","abrir")</f>
        <v/>
      </c>
      <c r="J179">
        <f>HYPERLINK("https://www.gebeauty.com.br/products/primer-cachos-definidos?ref=review","review")</f>
        <v/>
      </c>
      <c r="K179" t="inlineStr">
        <is>
          <t>SEND</t>
        </is>
      </c>
    </row>
    <row r="180">
      <c r="A180" t="inlineStr">
        <is>
          <t>Luisa</t>
        </is>
      </c>
      <c r="B180" t="inlineStr">
        <is>
          <t>+5554981214932</t>
        </is>
      </c>
      <c r="C180" t="inlineStr">
        <is>
          <t>Refill</t>
        </is>
      </c>
      <c r="D180" t="inlineStr">
        <is>
          <t>Primer Cachos</t>
        </is>
      </c>
      <c r="E180" t="n">
        <v>1</v>
      </c>
      <c r="F180" t="inlineStr">
        <is>
          <t>2025-10-04</t>
        </is>
      </c>
      <c r="G180" t="n">
        <v>273</v>
      </c>
      <c r="H180" t="inlineStr">
        <is>
          <t>Y</t>
        </is>
      </c>
      <c r="I180">
        <f>HYPERLINK("https://admin.shopify.com/store/ge-beauty-cosmeticos/customers/9740208996672","abrir")</f>
        <v/>
      </c>
      <c r="J180">
        <f>HYPERLINK("https://www.gebeauty.com.br/products/primer-cachos-definidos?ref=review","review")</f>
        <v/>
      </c>
      <c r="K180" t="inlineStr">
        <is>
          <t>SEND</t>
        </is>
      </c>
    </row>
    <row r="181">
      <c r="A181" t="inlineStr">
        <is>
          <t>Laura</t>
        </is>
      </c>
      <c r="B181" t="inlineStr">
        <is>
          <t>+5511944461710</t>
        </is>
      </c>
      <c r="C181" t="inlineStr">
        <is>
          <t>Refill</t>
        </is>
      </c>
      <c r="D181" t="inlineStr">
        <is>
          <t>Primer Cachos</t>
        </is>
      </c>
      <c r="E181" t="n">
        <v>1</v>
      </c>
      <c r="F181" t="inlineStr">
        <is>
          <t>2025-12-01</t>
        </is>
      </c>
      <c r="G181" t="n">
        <v>215</v>
      </c>
      <c r="H181" t="inlineStr">
        <is>
          <t>Y</t>
        </is>
      </c>
      <c r="I181">
        <f>HYPERLINK("https://admin.shopify.com/store/ge-beauty-cosmeticos/customers/7762001920320","abrir")</f>
        <v/>
      </c>
      <c r="J181">
        <f>HYPERLINK("https://www.gebeauty.com.br/products/primer-cachos-definidos?ref=review","review")</f>
        <v/>
      </c>
      <c r="K181" t="inlineStr">
        <is>
          <t>SEND</t>
        </is>
      </c>
    </row>
    <row r="182">
      <c r="A182" t="inlineStr">
        <is>
          <t>Vitória</t>
        </is>
      </c>
      <c r="B182" t="inlineStr">
        <is>
          <t>+5513991822954</t>
        </is>
      </c>
      <c r="C182" t="inlineStr">
        <is>
          <t>Refill</t>
        </is>
      </c>
      <c r="D182" t="inlineStr">
        <is>
          <t>Primer Cachos</t>
        </is>
      </c>
      <c r="E182" t="n">
        <v>1</v>
      </c>
      <c r="F182" t="inlineStr">
        <is>
          <t>2025-10-04</t>
        </is>
      </c>
      <c r="G182" t="n">
        <v>273</v>
      </c>
      <c r="H182" t="inlineStr">
        <is>
          <t>Y</t>
        </is>
      </c>
      <c r="I182">
        <f>HYPERLINK("https://admin.shopify.com/store/ge-beauty-cosmeticos/customers/9486389739840","abrir")</f>
        <v/>
      </c>
      <c r="J182">
        <f>HYPERLINK("https://www.gebeauty.com.br/products/primer-cachos-definidos?ref=review","review")</f>
        <v/>
      </c>
      <c r="K182" t="inlineStr">
        <is>
          <t>SEND</t>
        </is>
      </c>
    </row>
    <row r="183">
      <c r="A183" t="inlineStr">
        <is>
          <t>Lara</t>
        </is>
      </c>
      <c r="B183" t="inlineStr">
        <is>
          <t>+5565999386432</t>
        </is>
      </c>
      <c r="C183" t="inlineStr">
        <is>
          <t>Refill</t>
        </is>
      </c>
      <c r="D183" t="inlineStr">
        <is>
          <t>Primer Cachos</t>
        </is>
      </c>
      <c r="E183" t="n">
        <v>1</v>
      </c>
      <c r="F183" t="inlineStr">
        <is>
          <t>2025-10-04</t>
        </is>
      </c>
      <c r="G183" t="n">
        <v>273</v>
      </c>
      <c r="H183" t="inlineStr">
        <is>
          <t>Y</t>
        </is>
      </c>
      <c r="I183">
        <f>HYPERLINK("https://admin.shopify.com/store/ge-beauty-cosmeticos/customers/9740387451200","abrir")</f>
        <v/>
      </c>
      <c r="J183">
        <f>HYPERLINK("https://www.gebeauty.com.br/products/primer-cachos-definidos?ref=review","review")</f>
        <v/>
      </c>
      <c r="K183" t="inlineStr">
        <is>
          <t>SEND</t>
        </is>
      </c>
    </row>
    <row r="184">
      <c r="A184" t="inlineStr">
        <is>
          <t>Gabriela</t>
        </is>
      </c>
      <c r="B184" t="inlineStr">
        <is>
          <t>+5571988965908</t>
        </is>
      </c>
      <c r="C184" t="inlineStr">
        <is>
          <t>Refill</t>
        </is>
      </c>
      <c r="D184" t="inlineStr">
        <is>
          <t>Primer Cachos</t>
        </is>
      </c>
      <c r="E184" t="n">
        <v>1</v>
      </c>
      <c r="F184" t="inlineStr">
        <is>
          <t>2025-10-04</t>
        </is>
      </c>
      <c r="G184" t="n">
        <v>273</v>
      </c>
      <c r="H184" t="inlineStr">
        <is>
          <t>Y</t>
        </is>
      </c>
      <c r="I184">
        <f>HYPERLINK("https://admin.shopify.com/store/ge-beauty-cosmeticos/customers/9740442206528","abrir")</f>
        <v/>
      </c>
      <c r="J184">
        <f>HYPERLINK("https://www.gebeauty.com.br/products/primer-cachos-definidos?ref=review","review")</f>
        <v/>
      </c>
      <c r="K184" t="inlineStr">
        <is>
          <t>SEND</t>
        </is>
      </c>
    </row>
    <row r="185">
      <c r="A185" t="inlineStr">
        <is>
          <t>Sabrina</t>
        </is>
      </c>
      <c r="B185" t="inlineStr">
        <is>
          <t>+5524992834683</t>
        </is>
      </c>
      <c r="C185" t="inlineStr">
        <is>
          <t>Refill</t>
        </is>
      </c>
      <c r="D185" t="inlineStr">
        <is>
          <t>Primer Cachos</t>
        </is>
      </c>
      <c r="E185" t="n">
        <v>1</v>
      </c>
      <c r="F185" t="inlineStr">
        <is>
          <t>2025-10-04</t>
        </is>
      </c>
      <c r="G185" t="n">
        <v>273</v>
      </c>
      <c r="H185" t="inlineStr">
        <is>
          <t>Y</t>
        </is>
      </c>
      <c r="I185">
        <f>HYPERLINK("https://admin.shopify.com/store/ge-beauty-cosmeticos/customers/9740485067072","abrir")</f>
        <v/>
      </c>
      <c r="J185">
        <f>HYPERLINK("https://www.gebeauty.com.br/products/primer-cachos-definidos?ref=review","review")</f>
        <v/>
      </c>
      <c r="K185" t="inlineStr">
        <is>
          <t>SEND</t>
        </is>
      </c>
    </row>
    <row r="186">
      <c r="A186" t="inlineStr">
        <is>
          <t>Daniela</t>
        </is>
      </c>
      <c r="B186" t="inlineStr">
        <is>
          <t>+5511983934311</t>
        </is>
      </c>
      <c r="C186" t="inlineStr">
        <is>
          <t>Refill</t>
        </is>
      </c>
      <c r="D186" t="inlineStr">
        <is>
          <t>Primer Cachos</t>
        </is>
      </c>
      <c r="E186" t="n">
        <v>1</v>
      </c>
      <c r="F186" t="inlineStr">
        <is>
          <t>2025-10-04</t>
        </is>
      </c>
      <c r="G186" t="n">
        <v>273</v>
      </c>
      <c r="H186" t="inlineStr">
        <is>
          <t>Y</t>
        </is>
      </c>
      <c r="I186">
        <f>HYPERLINK("https://admin.shopify.com/store/ge-beauty-cosmeticos/customers/9486167802176","abrir")</f>
        <v/>
      </c>
      <c r="J186">
        <f>HYPERLINK("https://www.gebeauty.com.br/products/primer-cachos-definidos?ref=review","review")</f>
        <v/>
      </c>
      <c r="K186" t="inlineStr">
        <is>
          <t>SEND</t>
        </is>
      </c>
    </row>
    <row r="187">
      <c r="A187" t="inlineStr">
        <is>
          <t>Matheus</t>
        </is>
      </c>
      <c r="B187" t="inlineStr">
        <is>
          <t>+5521971551225</t>
        </is>
      </c>
      <c r="C187" t="inlineStr">
        <is>
          <t>Refill</t>
        </is>
      </c>
      <c r="D187" t="inlineStr">
        <is>
          <t>Primer Cachos</t>
        </is>
      </c>
      <c r="E187" t="n">
        <v>1</v>
      </c>
      <c r="F187" t="inlineStr">
        <is>
          <t>2025-10-04</t>
        </is>
      </c>
      <c r="G187" t="n">
        <v>273</v>
      </c>
      <c r="H187" t="inlineStr">
        <is>
          <t>Y</t>
        </is>
      </c>
      <c r="I187">
        <f>HYPERLINK("https://admin.shopify.com/store/ge-beauty-cosmeticos/customers/9740662538560","abrir")</f>
        <v/>
      </c>
      <c r="J187">
        <f>HYPERLINK("https://www.gebeauty.com.br/products/primer-cachos-definidos?ref=review","review")</f>
        <v/>
      </c>
      <c r="K187" t="inlineStr">
        <is>
          <t>SEND</t>
        </is>
      </c>
    </row>
    <row r="188">
      <c r="A188" t="inlineStr">
        <is>
          <t>Marcos</t>
        </is>
      </c>
      <c r="B188" t="inlineStr">
        <is>
          <t>+5511984225272</t>
        </is>
      </c>
      <c r="C188" t="inlineStr">
        <is>
          <t>Refill</t>
        </is>
      </c>
      <c r="D188" t="inlineStr">
        <is>
          <t>Primer Cachos</t>
        </is>
      </c>
      <c r="E188" t="n">
        <v>1</v>
      </c>
      <c r="F188" t="inlineStr">
        <is>
          <t>2025-10-05</t>
        </is>
      </c>
      <c r="G188" t="n">
        <v>272</v>
      </c>
      <c r="H188" t="inlineStr">
        <is>
          <t>Y</t>
        </is>
      </c>
      <c r="I188">
        <f>HYPERLINK("https://admin.shopify.com/store/ge-beauty-cosmeticos/customers/9740831719744","abrir")</f>
        <v/>
      </c>
      <c r="J188">
        <f>HYPERLINK("https://www.gebeauty.com.br/products/primer-cachos-definidos?ref=review","review")</f>
        <v/>
      </c>
      <c r="K188" t="inlineStr">
        <is>
          <t>SEND</t>
        </is>
      </c>
    </row>
    <row r="189">
      <c r="A189" t="inlineStr">
        <is>
          <t>Camila</t>
        </is>
      </c>
      <c r="B189" t="inlineStr">
        <is>
          <t>+5511984325370</t>
        </is>
      </c>
      <c r="C189" t="inlineStr">
        <is>
          <t>Refill</t>
        </is>
      </c>
      <c r="D189" t="inlineStr">
        <is>
          <t>Primer Cachos</t>
        </is>
      </c>
      <c r="E189" t="n">
        <v>1</v>
      </c>
      <c r="F189" t="inlineStr">
        <is>
          <t>2025-10-05</t>
        </is>
      </c>
      <c r="G189" t="n">
        <v>272</v>
      </c>
      <c r="H189" t="inlineStr">
        <is>
          <t>Y</t>
        </is>
      </c>
      <c r="I189">
        <f>HYPERLINK("https://admin.shopify.com/store/ge-beauty-cosmeticos/customers/9743838347584","abrir")</f>
        <v/>
      </c>
      <c r="J189">
        <f>HYPERLINK("https://www.gebeauty.com.br/products/primer-cachos-definidos?ref=review","review")</f>
        <v/>
      </c>
      <c r="K189" t="inlineStr">
        <is>
          <t>SEND</t>
        </is>
      </c>
    </row>
    <row r="190">
      <c r="A190" t="inlineStr">
        <is>
          <t>Heloise</t>
        </is>
      </c>
      <c r="B190" t="inlineStr">
        <is>
          <t>+5561981071144</t>
        </is>
      </c>
      <c r="C190" t="inlineStr">
        <is>
          <t>Refill</t>
        </is>
      </c>
      <c r="D190" t="inlineStr">
        <is>
          <t>Primer Cachos</t>
        </is>
      </c>
      <c r="E190" t="n">
        <v>1</v>
      </c>
      <c r="F190" t="inlineStr">
        <is>
          <t>2025-10-05</t>
        </is>
      </c>
      <c r="G190" t="n">
        <v>272</v>
      </c>
      <c r="H190" t="inlineStr">
        <is>
          <t>Y</t>
        </is>
      </c>
      <c r="I190">
        <f>HYPERLINK("https://admin.shopify.com/store/ge-beauty-cosmeticos/customers/9485051822400","abrir")</f>
        <v/>
      </c>
      <c r="J190">
        <f>HYPERLINK("https://www.gebeauty.com.br/products/primer-cachos-definidos?ref=review","review")</f>
        <v/>
      </c>
      <c r="K190" t="inlineStr">
        <is>
          <t>SEND</t>
        </is>
      </c>
    </row>
    <row r="191">
      <c r="A191" t="inlineStr">
        <is>
          <t>Ive</t>
        </is>
      </c>
      <c r="B191" t="inlineStr">
        <is>
          <t>+5511992272258</t>
        </is>
      </c>
      <c r="C191" t="inlineStr">
        <is>
          <t>Refill</t>
        </is>
      </c>
      <c r="D191" t="inlineStr">
        <is>
          <t>Primer Cachos</t>
        </is>
      </c>
      <c r="E191" t="n">
        <v>1</v>
      </c>
      <c r="F191" t="inlineStr">
        <is>
          <t>2025-10-06</t>
        </is>
      </c>
      <c r="G191" t="n">
        <v>271</v>
      </c>
      <c r="H191" t="inlineStr">
        <is>
          <t>Y</t>
        </is>
      </c>
      <c r="I191">
        <f>HYPERLINK("https://admin.shopify.com/store/ge-beauty-cosmeticos/customers/7759106703680","abrir")</f>
        <v/>
      </c>
      <c r="J191">
        <f>HYPERLINK("https://www.gebeauty.com.br/products/primer-cachos-definidos?ref=review","review")</f>
        <v/>
      </c>
      <c r="K191" t="inlineStr">
        <is>
          <t>SEND</t>
        </is>
      </c>
    </row>
    <row r="192">
      <c r="A192" t="inlineStr">
        <is>
          <t>Marina</t>
        </is>
      </c>
      <c r="B192" t="inlineStr">
        <is>
          <t>+5586999818092</t>
        </is>
      </c>
      <c r="C192" t="inlineStr">
        <is>
          <t>Refill</t>
        </is>
      </c>
      <c r="D192" t="inlineStr">
        <is>
          <t>Primer Cachos</t>
        </is>
      </c>
      <c r="E192" t="n">
        <v>1</v>
      </c>
      <c r="F192" t="inlineStr">
        <is>
          <t>2025-10-06</t>
        </is>
      </c>
      <c r="G192" t="n">
        <v>271</v>
      </c>
      <c r="H192" t="inlineStr">
        <is>
          <t>Y</t>
        </is>
      </c>
      <c r="I192">
        <f>HYPERLINK("https://admin.shopify.com/store/ge-beauty-cosmeticos/customers/7762121589056","abrir")</f>
        <v/>
      </c>
      <c r="J192">
        <f>HYPERLINK("https://www.gebeauty.com.br/products/primer-cachos-definidos?ref=review","review")</f>
        <v/>
      </c>
      <c r="K192" t="inlineStr">
        <is>
          <t>SEND</t>
        </is>
      </c>
    </row>
    <row r="193">
      <c r="A193" t="inlineStr">
        <is>
          <t>Rayane</t>
        </is>
      </c>
      <c r="B193" t="inlineStr">
        <is>
          <t>+5585987658560</t>
        </is>
      </c>
      <c r="C193" t="inlineStr">
        <is>
          <t>Refill</t>
        </is>
      </c>
      <c r="D193" t="inlineStr">
        <is>
          <t>Primer Cachos</t>
        </is>
      </c>
      <c r="E193" t="n">
        <v>1</v>
      </c>
      <c r="F193" t="inlineStr">
        <is>
          <t>2025-10-06</t>
        </is>
      </c>
      <c r="G193" t="n">
        <v>271</v>
      </c>
      <c r="H193" t="inlineStr">
        <is>
          <t>Y</t>
        </is>
      </c>
      <c r="I193">
        <f>HYPERLINK("https://admin.shopify.com/store/ge-beauty-cosmeticos/customers/9745912791360","abrir")</f>
        <v/>
      </c>
      <c r="J193">
        <f>HYPERLINK("https://www.gebeauty.com.br/products/primer-cachos-definidos?ref=review","review")</f>
        <v/>
      </c>
      <c r="K193" t="inlineStr">
        <is>
          <t>HOLDOUT</t>
        </is>
      </c>
    </row>
    <row r="194">
      <c r="A194" t="inlineStr">
        <is>
          <t>Helena</t>
        </is>
      </c>
      <c r="B194" t="inlineStr">
        <is>
          <t>+5511964491491</t>
        </is>
      </c>
      <c r="C194" t="inlineStr">
        <is>
          <t>Refill</t>
        </is>
      </c>
      <c r="D194" t="inlineStr">
        <is>
          <t>Primer Cachos</t>
        </is>
      </c>
      <c r="E194" t="n">
        <v>1</v>
      </c>
      <c r="F194" t="inlineStr">
        <is>
          <t>2025-10-06</t>
        </is>
      </c>
      <c r="G194" t="n">
        <v>271</v>
      </c>
      <c r="H194" t="inlineStr">
        <is>
          <t>Y</t>
        </is>
      </c>
      <c r="I194">
        <f>HYPERLINK("https://admin.shopify.com/store/ge-beauty-cosmeticos/customers/9662044275008","abrir")</f>
        <v/>
      </c>
      <c r="J194">
        <f>HYPERLINK("https://www.gebeauty.com.br/products/primer-cachos-definidos?ref=review","review")</f>
        <v/>
      </c>
      <c r="K194" t="inlineStr">
        <is>
          <t>SEND</t>
        </is>
      </c>
    </row>
    <row r="195">
      <c r="A195" t="inlineStr">
        <is>
          <t>Marcela</t>
        </is>
      </c>
      <c r="B195" t="inlineStr">
        <is>
          <t>+5511973365757</t>
        </is>
      </c>
      <c r="C195" t="inlineStr">
        <is>
          <t>Refill</t>
        </is>
      </c>
      <c r="D195" t="inlineStr">
        <is>
          <t>Primer Cachos</t>
        </is>
      </c>
      <c r="E195" t="n">
        <v>1</v>
      </c>
      <c r="F195" t="inlineStr">
        <is>
          <t>2025-10-07</t>
        </is>
      </c>
      <c r="G195" t="n">
        <v>270</v>
      </c>
      <c r="H195" t="inlineStr">
        <is>
          <t>Y</t>
        </is>
      </c>
      <c r="I195">
        <f>HYPERLINK("https://admin.shopify.com/store/ge-beauty-cosmeticos/customers/9746173362496","abrir")</f>
        <v/>
      </c>
      <c r="J195">
        <f>HYPERLINK("https://www.gebeauty.com.br/products/primer-cachos-definidos?ref=review","review")</f>
        <v/>
      </c>
      <c r="K195" t="inlineStr">
        <is>
          <t>SEND</t>
        </is>
      </c>
    </row>
    <row r="196">
      <c r="A196" t="inlineStr">
        <is>
          <t>Carolina</t>
        </is>
      </c>
      <c r="B196" t="inlineStr">
        <is>
          <t>+5511971556847</t>
        </is>
      </c>
      <c r="C196" t="inlineStr">
        <is>
          <t>Refill</t>
        </is>
      </c>
      <c r="D196" t="inlineStr">
        <is>
          <t>Primer Cachos</t>
        </is>
      </c>
      <c r="E196" t="n">
        <v>1</v>
      </c>
      <c r="F196" t="inlineStr">
        <is>
          <t>2025-10-07</t>
        </is>
      </c>
      <c r="G196" t="n">
        <v>270</v>
      </c>
      <c r="H196" t="inlineStr">
        <is>
          <t>Y</t>
        </is>
      </c>
      <c r="I196">
        <f>HYPERLINK("https://admin.shopify.com/store/ge-beauty-cosmeticos/customers/8667906212160","abrir")</f>
        <v/>
      </c>
      <c r="J196">
        <f>HYPERLINK("https://www.gebeauty.com.br/products/primer-cachos-definidos?ref=review","review")</f>
        <v/>
      </c>
      <c r="K196" t="inlineStr">
        <is>
          <t>SEND</t>
        </is>
      </c>
    </row>
    <row r="197">
      <c r="A197" t="inlineStr">
        <is>
          <t>Ana Elisa</t>
        </is>
      </c>
      <c r="B197" t="inlineStr">
        <is>
          <t>+5521998861775</t>
        </is>
      </c>
      <c r="C197" t="inlineStr">
        <is>
          <t>Refill</t>
        </is>
      </c>
      <c r="D197" t="inlineStr">
        <is>
          <t>Primer Cachos</t>
        </is>
      </c>
      <c r="E197" t="n">
        <v>1</v>
      </c>
      <c r="F197" t="inlineStr">
        <is>
          <t>2025-10-07</t>
        </is>
      </c>
      <c r="G197" t="n">
        <v>270</v>
      </c>
      <c r="H197" t="inlineStr">
        <is>
          <t>Y</t>
        </is>
      </c>
      <c r="I197">
        <f>HYPERLINK("https://admin.shopify.com/store/ge-beauty-cosmeticos/customers/8238775992640","abrir")</f>
        <v/>
      </c>
      <c r="J197">
        <f>HYPERLINK("https://www.gebeauty.com.br/products/primer-cachos-definidos?ref=review","review")</f>
        <v/>
      </c>
      <c r="K197" t="inlineStr">
        <is>
          <t>HOLDOUT</t>
        </is>
      </c>
    </row>
    <row r="198">
      <c r="A198" t="inlineStr">
        <is>
          <t>Bruno</t>
        </is>
      </c>
      <c r="B198" t="inlineStr">
        <is>
          <t>+5521995654530</t>
        </is>
      </c>
      <c r="C198" t="inlineStr">
        <is>
          <t>Refill</t>
        </is>
      </c>
      <c r="D198" t="inlineStr">
        <is>
          <t>Primer Cachos</t>
        </is>
      </c>
      <c r="E198" t="n">
        <v>1</v>
      </c>
      <c r="F198" t="inlineStr">
        <is>
          <t>2025-10-07</t>
        </is>
      </c>
      <c r="G198" t="n">
        <v>270</v>
      </c>
      <c r="H198" t="inlineStr">
        <is>
          <t>Y</t>
        </is>
      </c>
      <c r="I198">
        <f>HYPERLINK("https://admin.shopify.com/store/ge-beauty-cosmeticos/customers/9748301480256","abrir")</f>
        <v/>
      </c>
      <c r="J198">
        <f>HYPERLINK("https://www.gebeauty.com.br/products/primer-cachos-definidos?ref=review","review")</f>
        <v/>
      </c>
      <c r="K198" t="inlineStr">
        <is>
          <t>SEND</t>
        </is>
      </c>
    </row>
    <row r="199">
      <c r="A199" t="inlineStr">
        <is>
          <t>Marcela</t>
        </is>
      </c>
      <c r="B199" t="inlineStr">
        <is>
          <t>+5511996423697</t>
        </is>
      </c>
      <c r="C199" t="inlineStr">
        <is>
          <t>Refill</t>
        </is>
      </c>
      <c r="D199" t="inlineStr">
        <is>
          <t>Primer Cachos</t>
        </is>
      </c>
      <c r="E199" t="n">
        <v>1</v>
      </c>
      <c r="F199" t="inlineStr">
        <is>
          <t>2025-10-07</t>
        </is>
      </c>
      <c r="G199" t="n">
        <v>270</v>
      </c>
      <c r="H199" t="inlineStr">
        <is>
          <t>Y</t>
        </is>
      </c>
      <c r="I199">
        <f>HYPERLINK("https://admin.shopify.com/store/ge-beauty-cosmeticos/customers/9748281622848","abrir")</f>
        <v/>
      </c>
      <c r="J199">
        <f>HYPERLINK("https://www.gebeauty.com.br/products/primer-cachos-definidos?ref=review","review")</f>
        <v/>
      </c>
      <c r="K199" t="inlineStr">
        <is>
          <t>SEND</t>
        </is>
      </c>
    </row>
    <row r="200">
      <c r="A200" t="inlineStr">
        <is>
          <t>Ana Cláudia</t>
        </is>
      </c>
      <c r="B200" t="inlineStr">
        <is>
          <t>+5583999213435</t>
        </is>
      </c>
      <c r="C200" t="inlineStr">
        <is>
          <t>Refill</t>
        </is>
      </c>
      <c r="D200" t="inlineStr">
        <is>
          <t>Primer Cachos</t>
        </is>
      </c>
      <c r="E200" t="n">
        <v>1</v>
      </c>
      <c r="F200" t="inlineStr">
        <is>
          <t>2025-10-07</t>
        </is>
      </c>
      <c r="G200" t="n">
        <v>270</v>
      </c>
      <c r="H200" t="inlineStr">
        <is>
          <t>Y</t>
        </is>
      </c>
      <c r="I200">
        <f>HYPERLINK("https://admin.shopify.com/store/ge-beauty-cosmeticos/customers/8122805977408","abrir")</f>
        <v/>
      </c>
      <c r="J200">
        <f>HYPERLINK("https://www.gebeauty.com.br/products/primer-cachos-definidos?ref=review","review")</f>
        <v/>
      </c>
      <c r="K200" t="inlineStr">
        <is>
          <t>SEND</t>
        </is>
      </c>
    </row>
    <row r="201">
      <c r="A201" t="inlineStr">
        <is>
          <t>Catarina</t>
        </is>
      </c>
      <c r="B201" t="inlineStr">
        <is>
          <t>+5581994043748</t>
        </is>
      </c>
      <c r="C201" t="inlineStr">
        <is>
          <t>Refill</t>
        </is>
      </c>
      <c r="D201" t="inlineStr">
        <is>
          <t>Primer Cachos</t>
        </is>
      </c>
      <c r="E201" t="n">
        <v>1</v>
      </c>
      <c r="F201" t="inlineStr">
        <is>
          <t>2025-10-08</t>
        </is>
      </c>
      <c r="G201" t="n">
        <v>269</v>
      </c>
      <c r="H201" t="inlineStr">
        <is>
          <t>Y</t>
        </is>
      </c>
      <c r="I201">
        <f>HYPERLINK("https://admin.shopify.com/store/ge-beauty-cosmeticos/customers/9642656891200","abrir")</f>
        <v/>
      </c>
      <c r="J201">
        <f>HYPERLINK("https://www.gebeauty.com.br/products/primer-cachos-definidos?ref=review","review")</f>
        <v/>
      </c>
      <c r="K201" t="inlineStr">
        <is>
          <t>SEND</t>
        </is>
      </c>
    </row>
    <row r="202">
      <c r="A202" t="inlineStr">
        <is>
          <t>Lialian</t>
        </is>
      </c>
      <c r="B202" t="inlineStr">
        <is>
          <t>+5585912841041</t>
        </is>
      </c>
      <c r="C202" t="inlineStr">
        <is>
          <t>Refill</t>
        </is>
      </c>
      <c r="D202" t="inlineStr">
        <is>
          <t>Primer Cachos</t>
        </is>
      </c>
      <c r="E202" t="n">
        <v>1</v>
      </c>
      <c r="F202" t="inlineStr">
        <is>
          <t>2025-10-08</t>
        </is>
      </c>
      <c r="G202" t="n">
        <v>269</v>
      </c>
      <c r="H202" t="inlineStr">
        <is>
          <t>Y</t>
        </is>
      </c>
      <c r="I202">
        <f>HYPERLINK("https://admin.shopify.com/store/ge-beauty-cosmeticos/customers/9750665363776","abrir")</f>
        <v/>
      </c>
      <c r="J202">
        <f>HYPERLINK("https://www.gebeauty.com.br/products/primer-cachos-definidos?ref=review","review")</f>
        <v/>
      </c>
      <c r="K202" t="inlineStr">
        <is>
          <t>SEND</t>
        </is>
      </c>
    </row>
    <row r="203">
      <c r="A203" t="inlineStr">
        <is>
          <t>Juliana</t>
        </is>
      </c>
      <c r="B203" t="inlineStr">
        <is>
          <t>+5521988813204</t>
        </is>
      </c>
      <c r="C203" t="inlineStr">
        <is>
          <t>Refill</t>
        </is>
      </c>
      <c r="D203" t="inlineStr">
        <is>
          <t>Primer Cachos</t>
        </is>
      </c>
      <c r="E203" t="n">
        <v>1</v>
      </c>
      <c r="F203" t="inlineStr">
        <is>
          <t>2025-10-08</t>
        </is>
      </c>
      <c r="G203" t="n">
        <v>269</v>
      </c>
      <c r="H203" t="inlineStr">
        <is>
          <t>Y</t>
        </is>
      </c>
      <c r="I203">
        <f>HYPERLINK("https://admin.shopify.com/store/ge-beauty-cosmeticos/customers/9750955524416","abrir")</f>
        <v/>
      </c>
      <c r="J203">
        <f>HYPERLINK("https://www.gebeauty.com.br/products/primer-cachos-definidos?ref=review","review")</f>
        <v/>
      </c>
      <c r="K203" t="inlineStr">
        <is>
          <t>SEND</t>
        </is>
      </c>
    </row>
    <row r="204">
      <c r="A204" t="inlineStr">
        <is>
          <t>Luciana</t>
        </is>
      </c>
      <c r="B204" t="inlineStr">
        <is>
          <t>+5517997748652</t>
        </is>
      </c>
      <c r="C204" t="inlineStr">
        <is>
          <t>Refill</t>
        </is>
      </c>
      <c r="D204" t="inlineStr">
        <is>
          <t>Primer Cachos</t>
        </is>
      </c>
      <c r="E204" t="n">
        <v>1</v>
      </c>
      <c r="F204" t="inlineStr">
        <is>
          <t>2025-10-08</t>
        </is>
      </c>
      <c r="G204" t="n">
        <v>269</v>
      </c>
      <c r="H204" t="inlineStr">
        <is>
          <t>Y</t>
        </is>
      </c>
      <c r="I204">
        <f>HYPERLINK("https://admin.shopify.com/store/ge-beauty-cosmeticos/customers/9751205019968","abrir")</f>
        <v/>
      </c>
      <c r="J204">
        <f>HYPERLINK("https://www.gebeauty.com.br/products/primer-cachos-definidos?ref=review","review")</f>
        <v/>
      </c>
      <c r="K204" t="inlineStr">
        <is>
          <t>SEND</t>
        </is>
      </c>
    </row>
    <row r="205">
      <c r="A205" t="inlineStr">
        <is>
          <t>Alexsandria</t>
        </is>
      </c>
      <c r="B205" t="inlineStr">
        <is>
          <t>+5511992896079</t>
        </is>
      </c>
      <c r="C205" t="inlineStr">
        <is>
          <t>Refill</t>
        </is>
      </c>
      <c r="D205" t="inlineStr">
        <is>
          <t>Primer Cachos</t>
        </is>
      </c>
      <c r="E205" t="n">
        <v>1</v>
      </c>
      <c r="F205" t="inlineStr">
        <is>
          <t>2025-10-09</t>
        </is>
      </c>
      <c r="G205" t="n">
        <v>268</v>
      </c>
      <c r="H205" t="inlineStr">
        <is>
          <t>Y</t>
        </is>
      </c>
      <c r="I205">
        <f>HYPERLINK("https://admin.shopify.com/store/ge-beauty-cosmeticos/customers/9751559373120","abrir")</f>
        <v/>
      </c>
      <c r="J205">
        <f>HYPERLINK("https://www.gebeauty.com.br/products/primer-cachos-definidos?ref=review","review")</f>
        <v/>
      </c>
      <c r="K205" t="inlineStr">
        <is>
          <t>SEND</t>
        </is>
      </c>
    </row>
    <row r="206">
      <c r="A206" t="inlineStr">
        <is>
          <t>Ítala</t>
        </is>
      </c>
      <c r="B206" t="inlineStr">
        <is>
          <t>+5581997735937</t>
        </is>
      </c>
      <c r="C206" t="inlineStr">
        <is>
          <t>Refill</t>
        </is>
      </c>
      <c r="D206" t="inlineStr">
        <is>
          <t>Primer Cachos</t>
        </is>
      </c>
      <c r="E206" t="n">
        <v>1</v>
      </c>
      <c r="F206" t="inlineStr">
        <is>
          <t>2025-10-09</t>
        </is>
      </c>
      <c r="G206" t="n">
        <v>268</v>
      </c>
      <c r="H206" t="inlineStr">
        <is>
          <t>Y</t>
        </is>
      </c>
      <c r="I206">
        <f>HYPERLINK("https://admin.shopify.com/store/ge-beauty-cosmeticos/customers/9752713986368","abrir")</f>
        <v/>
      </c>
      <c r="J206">
        <f>HYPERLINK("https://www.gebeauty.com.br/products/primer-cachos-definidos?ref=review","review")</f>
        <v/>
      </c>
      <c r="K206" t="inlineStr">
        <is>
          <t>SEND</t>
        </is>
      </c>
    </row>
    <row r="207">
      <c r="A207" t="inlineStr">
        <is>
          <t>Laura</t>
        </is>
      </c>
      <c r="B207" t="inlineStr">
        <is>
          <t>+5511910781493</t>
        </is>
      </c>
      <c r="C207" t="inlineStr">
        <is>
          <t>Refill</t>
        </is>
      </c>
      <c r="D207" t="inlineStr">
        <is>
          <t>Primer Cachos</t>
        </is>
      </c>
      <c r="E207" t="n">
        <v>1</v>
      </c>
      <c r="F207" t="inlineStr">
        <is>
          <t>2025-10-09</t>
        </is>
      </c>
      <c r="G207" t="n">
        <v>268</v>
      </c>
      <c r="H207" t="inlineStr">
        <is>
          <t>Y</t>
        </is>
      </c>
      <c r="I207">
        <f>HYPERLINK("https://admin.shopify.com/store/ge-beauty-cosmeticos/customers/9659589034304","abrir")</f>
        <v/>
      </c>
      <c r="J207">
        <f>HYPERLINK("https://www.gebeauty.com.br/products/primer-cachos-definidos?ref=review","review")</f>
        <v/>
      </c>
      <c r="K207" t="inlineStr">
        <is>
          <t>SEND</t>
        </is>
      </c>
    </row>
    <row r="208">
      <c r="A208" t="inlineStr">
        <is>
          <t>Gabriela</t>
        </is>
      </c>
      <c r="B208" t="inlineStr">
        <is>
          <t>+5516999991305</t>
        </is>
      </c>
      <c r="C208" t="inlineStr">
        <is>
          <t>Refill</t>
        </is>
      </c>
      <c r="D208" t="inlineStr">
        <is>
          <t>Primer Cachos</t>
        </is>
      </c>
      <c r="E208" t="n">
        <v>1</v>
      </c>
      <c r="F208" t="inlineStr">
        <is>
          <t>2025-10-10</t>
        </is>
      </c>
      <c r="G208" t="n">
        <v>267</v>
      </c>
      <c r="H208" t="inlineStr">
        <is>
          <t>Y</t>
        </is>
      </c>
      <c r="I208">
        <f>HYPERLINK("https://admin.shopify.com/store/ge-beauty-cosmeticos/customers/9686641246528","abrir")</f>
        <v/>
      </c>
      <c r="J208">
        <f>HYPERLINK("https://www.gebeauty.com.br/products/primer-cachos-definidos?ref=review","review")</f>
        <v/>
      </c>
      <c r="K208" t="inlineStr">
        <is>
          <t>SEND</t>
        </is>
      </c>
    </row>
    <row r="209">
      <c r="A209" t="inlineStr">
        <is>
          <t>Elaine</t>
        </is>
      </c>
      <c r="B209" t="inlineStr">
        <is>
          <t>+5511992409159</t>
        </is>
      </c>
      <c r="C209" t="inlineStr">
        <is>
          <t>Refill</t>
        </is>
      </c>
      <c r="D209" t="inlineStr">
        <is>
          <t>Primer Cachos</t>
        </is>
      </c>
      <c r="E209" t="n">
        <v>1</v>
      </c>
      <c r="F209" t="inlineStr">
        <is>
          <t>2025-10-10</t>
        </is>
      </c>
      <c r="G209" t="n">
        <v>267</v>
      </c>
      <c r="H209" t="inlineStr">
        <is>
          <t>Y</t>
        </is>
      </c>
      <c r="I209">
        <f>HYPERLINK("https://admin.shopify.com/store/ge-beauty-cosmeticos/customers/9753326944576","abrir")</f>
        <v/>
      </c>
      <c r="J209">
        <f>HYPERLINK("https://www.gebeauty.com.br/products/primer-cachos-definidos?ref=review","review")</f>
        <v/>
      </c>
      <c r="K209" t="inlineStr">
        <is>
          <t>HOLDOUT</t>
        </is>
      </c>
    </row>
    <row r="210">
      <c r="A210" t="inlineStr">
        <is>
          <t>Bianca</t>
        </is>
      </c>
      <c r="B210" t="inlineStr">
        <is>
          <t>+5511955543534</t>
        </is>
      </c>
      <c r="C210" t="inlineStr">
        <is>
          <t>Refill</t>
        </is>
      </c>
      <c r="D210" t="inlineStr">
        <is>
          <t>Primer Cachos</t>
        </is>
      </c>
      <c r="E210" t="n">
        <v>1</v>
      </c>
      <c r="F210" t="inlineStr">
        <is>
          <t>2025-10-10</t>
        </is>
      </c>
      <c r="G210" t="n">
        <v>267</v>
      </c>
      <c r="H210" t="inlineStr">
        <is>
          <t>Y</t>
        </is>
      </c>
      <c r="I210">
        <f>HYPERLINK("https://admin.shopify.com/store/ge-beauty-cosmeticos/customers/9486364836160","abrir")</f>
        <v/>
      </c>
      <c r="J210">
        <f>HYPERLINK("https://www.gebeauty.com.br/products/primer-cachos-definidos?ref=review","review")</f>
        <v/>
      </c>
      <c r="K210" t="inlineStr">
        <is>
          <t>HOLDOUT</t>
        </is>
      </c>
    </row>
    <row r="211">
      <c r="A211" t="inlineStr">
        <is>
          <t>Lucy</t>
        </is>
      </c>
      <c r="B211" t="inlineStr">
        <is>
          <t>+5511991617070</t>
        </is>
      </c>
      <c r="C211" t="inlineStr">
        <is>
          <t>Refill</t>
        </is>
      </c>
      <c r="D211" t="inlineStr">
        <is>
          <t>Primer Cachos</t>
        </is>
      </c>
      <c r="E211" t="n">
        <v>1</v>
      </c>
      <c r="F211" t="inlineStr">
        <is>
          <t>2025-10-10</t>
        </is>
      </c>
      <c r="G211" t="n">
        <v>267</v>
      </c>
      <c r="H211" t="inlineStr">
        <is>
          <t>Y</t>
        </is>
      </c>
      <c r="I211">
        <f>HYPERLINK("https://admin.shopify.com/store/ge-beauty-cosmeticos/customers/9752168497472","abrir")</f>
        <v/>
      </c>
      <c r="J211">
        <f>HYPERLINK("https://www.gebeauty.com.br/products/primer-cachos-definidos?ref=review","review")</f>
        <v/>
      </c>
      <c r="K211" t="inlineStr">
        <is>
          <t>SEND</t>
        </is>
      </c>
    </row>
    <row r="212">
      <c r="A212" t="inlineStr">
        <is>
          <t>Raicilane</t>
        </is>
      </c>
      <c r="B212" t="inlineStr">
        <is>
          <t>+5551980432713</t>
        </is>
      </c>
      <c r="C212" t="inlineStr">
        <is>
          <t>Refill</t>
        </is>
      </c>
      <c r="D212" t="inlineStr">
        <is>
          <t>Primer Cachos</t>
        </is>
      </c>
      <c r="E212" t="n">
        <v>1</v>
      </c>
      <c r="F212" t="inlineStr">
        <is>
          <t>2025-10-10</t>
        </is>
      </c>
      <c r="G212" t="n">
        <v>267</v>
      </c>
      <c r="H212" t="inlineStr">
        <is>
          <t>Y</t>
        </is>
      </c>
      <c r="I212">
        <f>HYPERLINK("https://admin.shopify.com/store/ge-beauty-cosmeticos/customers/8908371951936","abrir")</f>
        <v/>
      </c>
      <c r="J212">
        <f>HYPERLINK("https://www.gebeauty.com.br/products/primer-cachos-definidos?ref=review","review")</f>
        <v/>
      </c>
      <c r="K212" t="inlineStr">
        <is>
          <t>SEND</t>
        </is>
      </c>
    </row>
    <row r="213">
      <c r="A213" t="inlineStr">
        <is>
          <t>Bruna</t>
        </is>
      </c>
      <c r="B213" t="inlineStr">
        <is>
          <t>+5511941121979</t>
        </is>
      </c>
      <c r="C213" t="inlineStr">
        <is>
          <t>Refill</t>
        </is>
      </c>
      <c r="D213" t="inlineStr">
        <is>
          <t>Primer Cachos</t>
        </is>
      </c>
      <c r="E213" t="n">
        <v>1</v>
      </c>
      <c r="F213" t="inlineStr">
        <is>
          <t>2025-10-10</t>
        </is>
      </c>
      <c r="G213" t="n">
        <v>267</v>
      </c>
      <c r="H213" t="inlineStr">
        <is>
          <t>Y</t>
        </is>
      </c>
      <c r="I213">
        <f>HYPERLINK("https://admin.shopify.com/store/ge-beauty-cosmeticos/customers/9754813563200","abrir")</f>
        <v/>
      </c>
      <c r="J213">
        <f>HYPERLINK("https://www.gebeauty.com.br/products/primer-cachos-definidos?ref=review","review")</f>
        <v/>
      </c>
      <c r="K213" t="inlineStr">
        <is>
          <t>SEND</t>
        </is>
      </c>
    </row>
    <row r="214">
      <c r="A214" t="inlineStr">
        <is>
          <t>Larissa</t>
        </is>
      </c>
      <c r="B214" t="inlineStr">
        <is>
          <t>+5541988517998</t>
        </is>
      </c>
      <c r="C214" t="inlineStr">
        <is>
          <t>Refill</t>
        </is>
      </c>
      <c r="D214" t="inlineStr">
        <is>
          <t>Primer Cachos</t>
        </is>
      </c>
      <c r="E214" t="n">
        <v>1</v>
      </c>
      <c r="F214" t="inlineStr">
        <is>
          <t>2025-10-10</t>
        </is>
      </c>
      <c r="G214" t="n">
        <v>267</v>
      </c>
      <c r="H214" t="inlineStr">
        <is>
          <t>Y</t>
        </is>
      </c>
      <c r="I214">
        <f>HYPERLINK("https://admin.shopify.com/store/ge-beauty-cosmeticos/customers/9754958397760","abrir")</f>
        <v/>
      </c>
      <c r="J214">
        <f>HYPERLINK("https://www.gebeauty.com.br/products/primer-cachos-definidos?ref=review","review")</f>
        <v/>
      </c>
      <c r="K214" t="inlineStr">
        <is>
          <t>HOLDOUT</t>
        </is>
      </c>
    </row>
    <row r="215">
      <c r="A215" t="inlineStr">
        <is>
          <t>Julia</t>
        </is>
      </c>
      <c r="B215" t="inlineStr">
        <is>
          <t>+5541991181911</t>
        </is>
      </c>
      <c r="C215" t="inlineStr">
        <is>
          <t>Refill</t>
        </is>
      </c>
      <c r="D215" t="inlineStr">
        <is>
          <t>Primer Cachos</t>
        </is>
      </c>
      <c r="E215" t="n">
        <v>1</v>
      </c>
      <c r="F215" t="inlineStr">
        <is>
          <t>2025-10-10</t>
        </is>
      </c>
      <c r="G215" t="n">
        <v>267</v>
      </c>
      <c r="H215" t="inlineStr">
        <is>
          <t>Y</t>
        </is>
      </c>
      <c r="I215">
        <f>HYPERLINK("https://admin.shopify.com/store/ge-beauty-cosmeticos/customers/9702658867520","abrir")</f>
        <v/>
      </c>
      <c r="J215">
        <f>HYPERLINK("https://www.gebeauty.com.br/products/primer-cachos-definidos?ref=review","review")</f>
        <v/>
      </c>
      <c r="K215" t="inlineStr">
        <is>
          <t>SEND</t>
        </is>
      </c>
    </row>
    <row r="216">
      <c r="A216" t="inlineStr">
        <is>
          <t>Mírian</t>
        </is>
      </c>
      <c r="B216" t="inlineStr">
        <is>
          <t>+5521999166337</t>
        </is>
      </c>
      <c r="C216" t="inlineStr">
        <is>
          <t>Refill</t>
        </is>
      </c>
      <c r="D216" t="inlineStr">
        <is>
          <t>Primer Cachos</t>
        </is>
      </c>
      <c r="E216" t="n">
        <v>1</v>
      </c>
      <c r="F216" t="inlineStr">
        <is>
          <t>2025-10-11</t>
        </is>
      </c>
      <c r="G216" t="n">
        <v>266</v>
      </c>
      <c r="H216" t="inlineStr">
        <is>
          <t>Y</t>
        </is>
      </c>
      <c r="I216">
        <f>HYPERLINK("https://admin.shopify.com/store/ge-beauty-cosmeticos/customers/9755228307776","abrir")</f>
        <v/>
      </c>
      <c r="J216">
        <f>HYPERLINK("https://www.gebeauty.com.br/products/primer-cachos-definidos?ref=review","review")</f>
        <v/>
      </c>
      <c r="K216" t="inlineStr">
        <is>
          <t>HOLDOUT</t>
        </is>
      </c>
    </row>
    <row r="217">
      <c r="A217" t="inlineStr">
        <is>
          <t>Marcia</t>
        </is>
      </c>
      <c r="B217" t="inlineStr">
        <is>
          <t>+5524999134894</t>
        </is>
      </c>
      <c r="C217" t="inlineStr">
        <is>
          <t>Refill</t>
        </is>
      </c>
      <c r="D217" t="inlineStr">
        <is>
          <t>Primer Cachos</t>
        </is>
      </c>
      <c r="E217" t="n">
        <v>1</v>
      </c>
      <c r="F217" t="inlineStr">
        <is>
          <t>2025-10-11</t>
        </is>
      </c>
      <c r="G217" t="n">
        <v>266</v>
      </c>
      <c r="H217" t="inlineStr">
        <is>
          <t>Y</t>
        </is>
      </c>
      <c r="I217">
        <f>HYPERLINK("https://admin.shopify.com/store/ge-beauty-cosmeticos/customers/9756927426880","abrir")</f>
        <v/>
      </c>
      <c r="J217">
        <f>HYPERLINK("https://www.gebeauty.com.br/products/primer-cachos-definidos?ref=review","review")</f>
        <v/>
      </c>
      <c r="K217" t="inlineStr">
        <is>
          <t>SEND</t>
        </is>
      </c>
    </row>
    <row r="218">
      <c r="A218" t="inlineStr">
        <is>
          <t>Giulia</t>
        </is>
      </c>
      <c r="B218" t="inlineStr">
        <is>
          <t>+5511975377521</t>
        </is>
      </c>
      <c r="C218" t="inlineStr">
        <is>
          <t>Refill</t>
        </is>
      </c>
      <c r="D218" t="inlineStr">
        <is>
          <t>Primer Cachos</t>
        </is>
      </c>
      <c r="E218" t="n">
        <v>1</v>
      </c>
      <c r="F218" t="inlineStr">
        <is>
          <t>2025-10-11</t>
        </is>
      </c>
      <c r="G218" t="n">
        <v>266</v>
      </c>
      <c r="H218" t="inlineStr">
        <is>
          <t>Y</t>
        </is>
      </c>
      <c r="I218">
        <f>HYPERLINK("https://admin.shopify.com/store/ge-beauty-cosmeticos/customers/9755229946176","abrir")</f>
        <v/>
      </c>
      <c r="J218">
        <f>HYPERLINK("https://www.gebeauty.com.br/products/primer-cachos-definidos?ref=review","review")</f>
        <v/>
      </c>
      <c r="K218" t="inlineStr">
        <is>
          <t>SEND</t>
        </is>
      </c>
    </row>
    <row r="219">
      <c r="A219" t="inlineStr">
        <is>
          <t>André</t>
        </is>
      </c>
      <c r="B219" t="inlineStr">
        <is>
          <t>+5511994095551</t>
        </is>
      </c>
      <c r="C219" t="inlineStr">
        <is>
          <t>Refill</t>
        </is>
      </c>
      <c r="D219" t="inlineStr">
        <is>
          <t>Primer Cachos</t>
        </is>
      </c>
      <c r="E219" t="n">
        <v>1</v>
      </c>
      <c r="F219" t="inlineStr">
        <is>
          <t>2025-10-11</t>
        </is>
      </c>
      <c r="G219" t="n">
        <v>266</v>
      </c>
      <c r="H219" t="inlineStr">
        <is>
          <t>Y</t>
        </is>
      </c>
      <c r="I219">
        <f>HYPERLINK("https://admin.shopify.com/store/ge-beauty-cosmeticos/customers/9757083631936","abrir")</f>
        <v/>
      </c>
      <c r="J219">
        <f>HYPERLINK("https://www.gebeauty.com.br/products/primer-cachos-definidos?ref=review","review")</f>
        <v/>
      </c>
      <c r="K219" t="inlineStr">
        <is>
          <t>SEND</t>
        </is>
      </c>
    </row>
    <row r="220">
      <c r="A220" t="inlineStr">
        <is>
          <t>Camilla</t>
        </is>
      </c>
      <c r="B220" t="inlineStr">
        <is>
          <t>+5581999130610</t>
        </is>
      </c>
      <c r="C220" t="inlineStr">
        <is>
          <t>Refill</t>
        </is>
      </c>
      <c r="D220" t="inlineStr">
        <is>
          <t>Primer Cachos</t>
        </is>
      </c>
      <c r="E220" t="n">
        <v>1</v>
      </c>
      <c r="F220" t="inlineStr">
        <is>
          <t>2025-10-11</t>
        </is>
      </c>
      <c r="G220" t="n">
        <v>266</v>
      </c>
      <c r="H220" t="inlineStr">
        <is>
          <t>Y</t>
        </is>
      </c>
      <c r="I220">
        <f>HYPERLINK("https://admin.shopify.com/store/ge-beauty-cosmeticos/customers/7760615014720","abrir")</f>
        <v/>
      </c>
      <c r="J220">
        <f>HYPERLINK("https://www.gebeauty.com.br/products/primer-cachos-definidos?ref=review","review")</f>
        <v/>
      </c>
      <c r="K220" t="inlineStr">
        <is>
          <t>SEND</t>
        </is>
      </c>
    </row>
    <row r="221">
      <c r="A221" t="inlineStr">
        <is>
          <t>Amanda</t>
        </is>
      </c>
      <c r="B221" t="inlineStr">
        <is>
          <t>+5511963854131</t>
        </is>
      </c>
      <c r="C221" t="inlineStr">
        <is>
          <t>Refill</t>
        </is>
      </c>
      <c r="D221" t="inlineStr">
        <is>
          <t>Primer Cachos</t>
        </is>
      </c>
      <c r="E221" t="n">
        <v>1</v>
      </c>
      <c r="F221" t="inlineStr">
        <is>
          <t>2025-10-12</t>
        </is>
      </c>
      <c r="G221" t="n">
        <v>265</v>
      </c>
      <c r="H221" t="inlineStr">
        <is>
          <t>Y</t>
        </is>
      </c>
      <c r="I221">
        <f>HYPERLINK("https://admin.shopify.com/store/ge-beauty-cosmeticos/customers/9758646829376","abrir")</f>
        <v/>
      </c>
      <c r="J221">
        <f>HYPERLINK("https://www.gebeauty.com.br/products/primer-cachos-definidos?ref=review","review")</f>
        <v/>
      </c>
      <c r="K221" t="inlineStr">
        <is>
          <t>SEND</t>
        </is>
      </c>
    </row>
    <row r="222">
      <c r="A222" t="inlineStr">
        <is>
          <t>Astrid</t>
        </is>
      </c>
      <c r="B222" t="inlineStr">
        <is>
          <t>+5511970792828</t>
        </is>
      </c>
      <c r="C222" t="inlineStr">
        <is>
          <t>Refill</t>
        </is>
      </c>
      <c r="D222" t="inlineStr">
        <is>
          <t>Primer Cachos</t>
        </is>
      </c>
      <c r="E222" t="n">
        <v>1</v>
      </c>
      <c r="F222" t="inlineStr">
        <is>
          <t>2025-10-12</t>
        </is>
      </c>
      <c r="G222" t="n">
        <v>265</v>
      </c>
      <c r="H222" t="inlineStr">
        <is>
          <t>Y</t>
        </is>
      </c>
      <c r="I222">
        <f>HYPERLINK("https://admin.shopify.com/store/ge-beauty-cosmeticos/customers/9486113046848","abrir")</f>
        <v/>
      </c>
      <c r="J222">
        <f>HYPERLINK("https://www.gebeauty.com.br/products/primer-cachos-definidos?ref=review","review")</f>
        <v/>
      </c>
      <c r="K222" t="inlineStr">
        <is>
          <t>SEND</t>
        </is>
      </c>
    </row>
    <row r="223">
      <c r="A223" t="inlineStr">
        <is>
          <t>Debora</t>
        </is>
      </c>
      <c r="B223" t="inlineStr">
        <is>
          <t>+5515991414292</t>
        </is>
      </c>
      <c r="C223" t="inlineStr">
        <is>
          <t>Refill</t>
        </is>
      </c>
      <c r="D223" t="inlineStr">
        <is>
          <t>Primer Cachos</t>
        </is>
      </c>
      <c r="E223" t="n">
        <v>1</v>
      </c>
      <c r="F223" t="inlineStr">
        <is>
          <t>2025-10-12</t>
        </is>
      </c>
      <c r="G223" t="n">
        <v>265</v>
      </c>
      <c r="H223" t="inlineStr">
        <is>
          <t>Y</t>
        </is>
      </c>
      <c r="I223">
        <f>HYPERLINK("https://admin.shopify.com/store/ge-beauty-cosmeticos/customers/9759194546496","abrir")</f>
        <v/>
      </c>
      <c r="J223">
        <f>HYPERLINK("https://www.gebeauty.com.br/products/primer-cachos-definidos?ref=review","review")</f>
        <v/>
      </c>
      <c r="K223" t="inlineStr">
        <is>
          <t>HOLDOUT</t>
        </is>
      </c>
    </row>
    <row r="224">
      <c r="A224" t="inlineStr">
        <is>
          <t>Yamuna</t>
        </is>
      </c>
      <c r="B224" t="inlineStr">
        <is>
          <t>+5531996826463</t>
        </is>
      </c>
      <c r="C224" t="inlineStr">
        <is>
          <t>Refill</t>
        </is>
      </c>
      <c r="D224" t="inlineStr">
        <is>
          <t>Primer Cachos</t>
        </is>
      </c>
      <c r="E224" t="n">
        <v>1</v>
      </c>
      <c r="F224" t="inlineStr">
        <is>
          <t>2025-10-12</t>
        </is>
      </c>
      <c r="G224" t="n">
        <v>265</v>
      </c>
      <c r="H224" t="inlineStr">
        <is>
          <t>Y</t>
        </is>
      </c>
      <c r="I224">
        <f>HYPERLINK("https://admin.shopify.com/store/ge-beauty-cosmeticos/customers/9759194480960","abrir")</f>
        <v/>
      </c>
      <c r="J224">
        <f>HYPERLINK("https://www.gebeauty.com.br/products/primer-cachos-definidos?ref=review","review")</f>
        <v/>
      </c>
      <c r="K224" t="inlineStr">
        <is>
          <t>SEND</t>
        </is>
      </c>
    </row>
    <row r="225">
      <c r="A225" t="inlineStr">
        <is>
          <t>Flavia</t>
        </is>
      </c>
      <c r="B225" t="inlineStr">
        <is>
          <t>+5511992421905</t>
        </is>
      </c>
      <c r="C225" t="inlineStr">
        <is>
          <t>Refill</t>
        </is>
      </c>
      <c r="D225" t="inlineStr">
        <is>
          <t>Primer Cachos</t>
        </is>
      </c>
      <c r="E225" t="n">
        <v>1</v>
      </c>
      <c r="F225" t="inlineStr">
        <is>
          <t>2025-10-12</t>
        </is>
      </c>
      <c r="G225" t="n">
        <v>265</v>
      </c>
      <c r="H225" t="inlineStr">
        <is>
          <t>Y</t>
        </is>
      </c>
      <c r="I225">
        <f>HYPERLINK("https://admin.shopify.com/store/ge-beauty-cosmeticos/customers/9759575343424","abrir")</f>
        <v/>
      </c>
      <c r="J225">
        <f>HYPERLINK("https://www.gebeauty.com.br/products/primer-cachos-definidos?ref=review","review")</f>
        <v/>
      </c>
      <c r="K225" t="inlineStr">
        <is>
          <t>SEND</t>
        </is>
      </c>
    </row>
    <row r="226">
      <c r="A226" t="inlineStr">
        <is>
          <t>Bianca</t>
        </is>
      </c>
      <c r="B226" t="inlineStr">
        <is>
          <t>+5581999680582</t>
        </is>
      </c>
      <c r="C226" t="inlineStr">
        <is>
          <t>Refill</t>
        </is>
      </c>
      <c r="D226" t="inlineStr">
        <is>
          <t>Primer Cachos</t>
        </is>
      </c>
      <c r="E226" t="n">
        <v>1</v>
      </c>
      <c r="F226" t="inlineStr">
        <is>
          <t>2025-10-12</t>
        </is>
      </c>
      <c r="G226" t="n">
        <v>265</v>
      </c>
      <c r="H226" t="inlineStr">
        <is>
          <t>Y</t>
        </is>
      </c>
      <c r="I226">
        <f>HYPERLINK("https://admin.shopify.com/store/ge-beauty-cosmeticos/customers/9736024293696","abrir")</f>
        <v/>
      </c>
      <c r="J226">
        <f>HYPERLINK("https://www.gebeauty.com.br/products/primer-cachos-definidos?ref=review","review")</f>
        <v/>
      </c>
      <c r="K226" t="inlineStr">
        <is>
          <t>SEND</t>
        </is>
      </c>
    </row>
    <row r="227">
      <c r="A227" t="inlineStr">
        <is>
          <t>Alessandra</t>
        </is>
      </c>
      <c r="B227" t="inlineStr">
        <is>
          <t>+5511991165207</t>
        </is>
      </c>
      <c r="C227" t="inlineStr">
        <is>
          <t>Refill</t>
        </is>
      </c>
      <c r="D227" t="inlineStr">
        <is>
          <t>Primer Cachos</t>
        </is>
      </c>
      <c r="E227" t="n">
        <v>1</v>
      </c>
      <c r="F227" t="inlineStr">
        <is>
          <t>2025-10-13</t>
        </is>
      </c>
      <c r="G227" t="n">
        <v>264</v>
      </c>
      <c r="H227" t="inlineStr">
        <is>
          <t>N</t>
        </is>
      </c>
      <c r="I227">
        <f>HYPERLINK("https://admin.shopify.com/store/ge-beauty-cosmeticos/customers/9759823561024","abrir")</f>
        <v/>
      </c>
      <c r="J227">
        <f>HYPERLINK("https://www.gebeauty.com.br/products/primer-cachos-definidos?ref=review","review")</f>
        <v/>
      </c>
      <c r="K227" t="inlineStr">
        <is>
          <t>SEND</t>
        </is>
      </c>
    </row>
    <row r="228">
      <c r="A228" t="inlineStr">
        <is>
          <t>Marina</t>
        </is>
      </c>
      <c r="B228" t="inlineStr">
        <is>
          <t>+5542998122975</t>
        </is>
      </c>
      <c r="C228" t="inlineStr">
        <is>
          <t>Refill</t>
        </is>
      </c>
      <c r="D228" t="inlineStr">
        <is>
          <t>Primer Cachos</t>
        </is>
      </c>
      <c r="E228" t="n">
        <v>1</v>
      </c>
      <c r="F228" t="inlineStr">
        <is>
          <t>2025-10-13</t>
        </is>
      </c>
      <c r="G228" t="n">
        <v>264</v>
      </c>
      <c r="H228" t="inlineStr">
        <is>
          <t>Y</t>
        </is>
      </c>
      <c r="I228">
        <f>HYPERLINK("https://admin.shopify.com/store/ge-beauty-cosmeticos/customers/9759339708736","abrir")</f>
        <v/>
      </c>
      <c r="J228">
        <f>HYPERLINK("https://www.gebeauty.com.br/products/primer-cachos-definidos?ref=review","review")</f>
        <v/>
      </c>
      <c r="K228" t="inlineStr">
        <is>
          <t>HOLDOUT</t>
        </is>
      </c>
    </row>
    <row r="229">
      <c r="A229" t="inlineStr">
        <is>
          <t>Gabriela</t>
        </is>
      </c>
      <c r="B229" t="inlineStr">
        <is>
          <t>+5581995396446</t>
        </is>
      </c>
      <c r="C229" t="inlineStr">
        <is>
          <t>Refill</t>
        </is>
      </c>
      <c r="D229" t="inlineStr">
        <is>
          <t>Primer Cachos</t>
        </is>
      </c>
      <c r="E229" t="n">
        <v>1</v>
      </c>
      <c r="F229" t="inlineStr">
        <is>
          <t>2025-10-13</t>
        </is>
      </c>
      <c r="G229" t="n">
        <v>264</v>
      </c>
      <c r="H229" t="inlineStr">
        <is>
          <t>Y</t>
        </is>
      </c>
      <c r="I229">
        <f>HYPERLINK("https://admin.shopify.com/store/ge-beauty-cosmeticos/customers/9759614894400","abrir")</f>
        <v/>
      </c>
      <c r="J229">
        <f>HYPERLINK("https://www.gebeauty.com.br/products/primer-cachos-definidos?ref=review","review")</f>
        <v/>
      </c>
      <c r="K229" t="inlineStr">
        <is>
          <t>SEND</t>
        </is>
      </c>
    </row>
    <row r="230">
      <c r="A230" t="inlineStr">
        <is>
          <t>Luiza</t>
        </is>
      </c>
      <c r="B230" t="inlineStr">
        <is>
          <t>+5551991315282</t>
        </is>
      </c>
      <c r="C230" t="inlineStr">
        <is>
          <t>Refill</t>
        </is>
      </c>
      <c r="D230" t="inlineStr">
        <is>
          <t>Primer Cachos</t>
        </is>
      </c>
      <c r="E230" t="n">
        <v>1</v>
      </c>
      <c r="F230" t="inlineStr">
        <is>
          <t>2025-10-13</t>
        </is>
      </c>
      <c r="G230" t="n">
        <v>264</v>
      </c>
      <c r="H230" t="inlineStr">
        <is>
          <t>Y</t>
        </is>
      </c>
      <c r="I230">
        <f>HYPERLINK("https://admin.shopify.com/store/ge-beauty-cosmeticos/customers/9760687685952","abrir")</f>
        <v/>
      </c>
      <c r="J230">
        <f>HYPERLINK("https://www.gebeauty.com.br/products/primer-cachos-definidos?ref=review","review")</f>
        <v/>
      </c>
      <c r="K230" t="inlineStr">
        <is>
          <t>SEND</t>
        </is>
      </c>
    </row>
    <row r="231">
      <c r="A231" t="inlineStr">
        <is>
          <t>Ligia</t>
        </is>
      </c>
      <c r="B231" t="inlineStr">
        <is>
          <t>+5511974191990</t>
        </is>
      </c>
      <c r="C231" t="inlineStr">
        <is>
          <t>Refill</t>
        </is>
      </c>
      <c r="D231" t="inlineStr">
        <is>
          <t>Primer Cachos</t>
        </is>
      </c>
      <c r="E231" t="n">
        <v>1</v>
      </c>
      <c r="F231" t="inlineStr">
        <is>
          <t>2025-10-13</t>
        </is>
      </c>
      <c r="G231" t="n">
        <v>264</v>
      </c>
      <c r="H231" t="inlineStr">
        <is>
          <t>Y</t>
        </is>
      </c>
      <c r="I231">
        <f>HYPERLINK("https://admin.shopify.com/store/ge-beauty-cosmeticos/customers/9760908345664","abrir")</f>
        <v/>
      </c>
      <c r="J231">
        <f>HYPERLINK("https://www.gebeauty.com.br/products/primer-cachos-definidos?ref=review","review")</f>
        <v/>
      </c>
      <c r="K231" t="inlineStr">
        <is>
          <t>SEND</t>
        </is>
      </c>
    </row>
    <row r="232">
      <c r="A232" t="inlineStr">
        <is>
          <t>Ana Laura</t>
        </is>
      </c>
      <c r="B232" t="inlineStr">
        <is>
          <t>+5511942143434</t>
        </is>
      </c>
      <c r="C232" t="inlineStr">
        <is>
          <t>Refill</t>
        </is>
      </c>
      <c r="D232" t="inlineStr">
        <is>
          <t>Primer Cachos</t>
        </is>
      </c>
      <c r="E232" t="n">
        <v>1</v>
      </c>
      <c r="F232" t="inlineStr">
        <is>
          <t>2025-10-13</t>
        </is>
      </c>
      <c r="G232" t="n">
        <v>264</v>
      </c>
      <c r="H232" t="inlineStr">
        <is>
          <t>Y</t>
        </is>
      </c>
      <c r="I232">
        <f>HYPERLINK("https://admin.shopify.com/store/ge-beauty-cosmeticos/customers/9031514227008","abrir")</f>
        <v/>
      </c>
      <c r="J232">
        <f>HYPERLINK("https://www.gebeauty.com.br/products/primer-cachos-definidos?ref=review","review")</f>
        <v/>
      </c>
      <c r="K232" t="inlineStr">
        <is>
          <t>SEND</t>
        </is>
      </c>
    </row>
    <row r="233">
      <c r="A233" t="inlineStr">
        <is>
          <t>Eloisa</t>
        </is>
      </c>
      <c r="B233" t="inlineStr">
        <is>
          <t>+5511992263844</t>
        </is>
      </c>
      <c r="C233" t="inlineStr">
        <is>
          <t>Refill</t>
        </is>
      </c>
      <c r="D233" t="inlineStr">
        <is>
          <t>Primer Cachos</t>
        </is>
      </c>
      <c r="E233" t="n">
        <v>1</v>
      </c>
      <c r="F233" t="inlineStr">
        <is>
          <t>2025-10-13</t>
        </is>
      </c>
      <c r="G233" t="n">
        <v>264</v>
      </c>
      <c r="H233" t="inlineStr">
        <is>
          <t>Y</t>
        </is>
      </c>
      <c r="I233">
        <f>HYPERLINK("https://admin.shopify.com/store/ge-beauty-cosmeticos/customers/9761463173440","abrir")</f>
        <v/>
      </c>
      <c r="J233">
        <f>HYPERLINK("https://www.gebeauty.com.br/products/primer-cachos-definidos?ref=review","review")</f>
        <v/>
      </c>
      <c r="K233" t="inlineStr">
        <is>
          <t>SEND</t>
        </is>
      </c>
    </row>
    <row r="234">
      <c r="A234" t="inlineStr">
        <is>
          <t>Francisca</t>
        </is>
      </c>
      <c r="B234" t="inlineStr">
        <is>
          <t>+5585996254612</t>
        </is>
      </c>
      <c r="C234" t="inlineStr">
        <is>
          <t>Refill</t>
        </is>
      </c>
      <c r="D234" t="inlineStr">
        <is>
          <t>Primer Cachos</t>
        </is>
      </c>
      <c r="E234" t="n">
        <v>1</v>
      </c>
      <c r="F234" t="inlineStr">
        <is>
          <t>2025-10-14</t>
        </is>
      </c>
      <c r="G234" t="n">
        <v>263</v>
      </c>
      <c r="H234" t="inlineStr">
        <is>
          <t>Y</t>
        </is>
      </c>
      <c r="I234">
        <f>HYPERLINK("https://admin.shopify.com/store/ge-beauty-cosmeticos/customers/9748671103296","abrir")</f>
        <v/>
      </c>
      <c r="J234">
        <f>HYPERLINK("https://www.gebeauty.com.br/products/primer-cachos-definidos?ref=review","review")</f>
        <v/>
      </c>
      <c r="K234" t="inlineStr">
        <is>
          <t>SEND</t>
        </is>
      </c>
    </row>
    <row r="235">
      <c r="A235" t="inlineStr">
        <is>
          <t>Ylle</t>
        </is>
      </c>
      <c r="B235" t="inlineStr">
        <is>
          <t>+5585981868181</t>
        </is>
      </c>
      <c r="C235" t="inlineStr">
        <is>
          <t>Refill</t>
        </is>
      </c>
      <c r="D235" t="inlineStr">
        <is>
          <t>Primer Cachos</t>
        </is>
      </c>
      <c r="E235" t="n">
        <v>1</v>
      </c>
      <c r="F235" t="inlineStr">
        <is>
          <t>2025-10-14</t>
        </is>
      </c>
      <c r="G235" t="n">
        <v>263</v>
      </c>
      <c r="H235" t="inlineStr">
        <is>
          <t>Y</t>
        </is>
      </c>
      <c r="I235">
        <f>HYPERLINK("https://admin.shopify.com/store/ge-beauty-cosmeticos/customers/9486388003136","abrir")</f>
        <v/>
      </c>
      <c r="J235">
        <f>HYPERLINK("https://www.gebeauty.com.br/products/primer-cachos-definidos?ref=review","review")</f>
        <v/>
      </c>
      <c r="K235" t="inlineStr">
        <is>
          <t>SEND</t>
        </is>
      </c>
    </row>
    <row r="236">
      <c r="A236" t="inlineStr">
        <is>
          <t>Thainá</t>
        </is>
      </c>
      <c r="B236" t="inlineStr">
        <is>
          <t>+5511970445514</t>
        </is>
      </c>
      <c r="C236" t="inlineStr">
        <is>
          <t>Refill</t>
        </is>
      </c>
      <c r="D236" t="inlineStr">
        <is>
          <t>Primer Cachos</t>
        </is>
      </c>
      <c r="E236" t="n">
        <v>1</v>
      </c>
      <c r="F236" t="inlineStr">
        <is>
          <t>2025-10-14</t>
        </is>
      </c>
      <c r="G236" t="n">
        <v>263</v>
      </c>
      <c r="H236" t="inlineStr">
        <is>
          <t>Y</t>
        </is>
      </c>
      <c r="I236">
        <f>HYPERLINK("https://admin.shopify.com/store/ge-beauty-cosmeticos/customers/8910738686272","abrir")</f>
        <v/>
      </c>
      <c r="J236">
        <f>HYPERLINK("https://www.gebeauty.com.br/products/primer-cachos-definidos?ref=review","review")</f>
        <v/>
      </c>
      <c r="K236" t="inlineStr">
        <is>
          <t>SEND</t>
        </is>
      </c>
    </row>
    <row r="237">
      <c r="A237" t="inlineStr">
        <is>
          <t>Carolina</t>
        </is>
      </c>
      <c r="B237" t="inlineStr">
        <is>
          <t>+5511971369410</t>
        </is>
      </c>
      <c r="C237" t="inlineStr">
        <is>
          <t>Refill</t>
        </is>
      </c>
      <c r="D237" t="inlineStr">
        <is>
          <t>Primer Cachos</t>
        </is>
      </c>
      <c r="E237" t="n">
        <v>1</v>
      </c>
      <c r="F237" t="inlineStr">
        <is>
          <t>2025-10-14</t>
        </is>
      </c>
      <c r="G237" t="n">
        <v>263</v>
      </c>
      <c r="H237" t="inlineStr">
        <is>
          <t>Y</t>
        </is>
      </c>
      <c r="I237">
        <f>HYPERLINK("https://admin.shopify.com/store/ge-beauty-cosmeticos/customers/9577793519936","abrir")</f>
        <v/>
      </c>
      <c r="J237">
        <f>HYPERLINK("https://www.gebeauty.com.br/products/primer-cachos-definidos?ref=review","review")</f>
        <v/>
      </c>
      <c r="K237" t="inlineStr">
        <is>
          <t>HOLDOUT</t>
        </is>
      </c>
    </row>
    <row r="238">
      <c r="A238" t="inlineStr">
        <is>
          <t>Alline</t>
        </is>
      </c>
      <c r="B238" t="inlineStr">
        <is>
          <t>+5511997153047</t>
        </is>
      </c>
      <c r="C238" t="inlineStr">
        <is>
          <t>Refill</t>
        </is>
      </c>
      <c r="D238" t="inlineStr">
        <is>
          <t>Primer Cachos</t>
        </is>
      </c>
      <c r="E238" t="n">
        <v>1</v>
      </c>
      <c r="F238" t="inlineStr">
        <is>
          <t>2025-10-14</t>
        </is>
      </c>
      <c r="G238" t="n">
        <v>263</v>
      </c>
      <c r="H238" t="inlineStr">
        <is>
          <t>Y</t>
        </is>
      </c>
      <c r="I238">
        <f>HYPERLINK("https://admin.shopify.com/store/ge-beauty-cosmeticos/customers/9763410575680","abrir")</f>
        <v/>
      </c>
      <c r="J238">
        <f>HYPERLINK("https://www.gebeauty.com.br/products/primer-cachos-definidos?ref=review","review")</f>
        <v/>
      </c>
      <c r="K238" t="inlineStr">
        <is>
          <t>SEND</t>
        </is>
      </c>
    </row>
    <row r="239">
      <c r="A239" t="inlineStr">
        <is>
          <t>Isadora</t>
        </is>
      </c>
      <c r="B239" t="inlineStr">
        <is>
          <t>+5562981020660</t>
        </is>
      </c>
      <c r="C239" t="inlineStr">
        <is>
          <t>Refill</t>
        </is>
      </c>
      <c r="D239" t="inlineStr">
        <is>
          <t>Primer Cachos</t>
        </is>
      </c>
      <c r="E239" t="n">
        <v>1</v>
      </c>
      <c r="F239" t="inlineStr">
        <is>
          <t>2025-10-14</t>
        </is>
      </c>
      <c r="G239" t="n">
        <v>263</v>
      </c>
      <c r="H239" t="inlineStr">
        <is>
          <t>Y</t>
        </is>
      </c>
      <c r="I239">
        <f>HYPERLINK("https://admin.shopify.com/store/ge-beauty-cosmeticos/customers/9763771744576","abrir")</f>
        <v/>
      </c>
      <c r="J239">
        <f>HYPERLINK("https://www.gebeauty.com.br/products/primer-cachos-definidos?ref=review","review")</f>
        <v/>
      </c>
      <c r="K239" t="inlineStr">
        <is>
          <t>SEND</t>
        </is>
      </c>
    </row>
    <row r="240">
      <c r="A240" t="inlineStr">
        <is>
          <t>Elizandra</t>
        </is>
      </c>
      <c r="B240" t="inlineStr">
        <is>
          <t>+5519992477370</t>
        </is>
      </c>
      <c r="C240" t="inlineStr">
        <is>
          <t>Refill</t>
        </is>
      </c>
      <c r="D240" t="inlineStr">
        <is>
          <t>Primer Cachos</t>
        </is>
      </c>
      <c r="E240" t="n">
        <v>1</v>
      </c>
      <c r="F240" t="inlineStr">
        <is>
          <t>2025-10-15</t>
        </is>
      </c>
      <c r="G240" t="n">
        <v>262</v>
      </c>
      <c r="H240" t="inlineStr">
        <is>
          <t>Y</t>
        </is>
      </c>
      <c r="I240">
        <f>HYPERLINK("https://admin.shopify.com/store/ge-beauty-cosmeticos/customers/9764122165568","abrir")</f>
        <v/>
      </c>
      <c r="J240">
        <f>HYPERLINK("https://www.gebeauty.com.br/products/primer-cachos-definidos?ref=review","review")</f>
        <v/>
      </c>
      <c r="K240" t="inlineStr">
        <is>
          <t>SEND</t>
        </is>
      </c>
    </row>
    <row r="241">
      <c r="A241" t="inlineStr">
        <is>
          <t>Fernanda</t>
        </is>
      </c>
      <c r="B241" t="inlineStr">
        <is>
          <t>+5561999984476</t>
        </is>
      </c>
      <c r="C241" t="inlineStr">
        <is>
          <t>Refill</t>
        </is>
      </c>
      <c r="D241" t="inlineStr">
        <is>
          <t>Primer Cachos</t>
        </is>
      </c>
      <c r="E241" t="n">
        <v>1</v>
      </c>
      <c r="F241" t="inlineStr">
        <is>
          <t>2025-10-15</t>
        </is>
      </c>
      <c r="G241" t="n">
        <v>262</v>
      </c>
      <c r="H241" t="inlineStr">
        <is>
          <t>Y</t>
        </is>
      </c>
      <c r="I241">
        <f>HYPERLINK("https://admin.shopify.com/store/ge-beauty-cosmeticos/customers/9766203130176","abrir")</f>
        <v/>
      </c>
      <c r="J241">
        <f>HYPERLINK("https://www.gebeauty.com.br/products/primer-cachos-definidos?ref=review","review")</f>
        <v/>
      </c>
      <c r="K241" t="inlineStr">
        <is>
          <t>SEND</t>
        </is>
      </c>
    </row>
    <row r="242">
      <c r="A242" t="inlineStr">
        <is>
          <t>Helena</t>
        </is>
      </c>
      <c r="B242" t="inlineStr">
        <is>
          <t>+5581981841911</t>
        </is>
      </c>
      <c r="C242" t="inlineStr">
        <is>
          <t>Refill</t>
        </is>
      </c>
      <c r="D242" t="inlineStr">
        <is>
          <t>Primer Cachos</t>
        </is>
      </c>
      <c r="E242" t="n">
        <v>1</v>
      </c>
      <c r="F242" t="inlineStr">
        <is>
          <t>2025-10-15</t>
        </is>
      </c>
      <c r="G242" t="n">
        <v>262</v>
      </c>
      <c r="H242" t="inlineStr">
        <is>
          <t>Y</t>
        </is>
      </c>
      <c r="I242">
        <f>HYPERLINK("https://admin.shopify.com/store/ge-beauty-cosmeticos/customers/9768134902080","abrir")</f>
        <v/>
      </c>
      <c r="J242">
        <f>HYPERLINK("https://www.gebeauty.com.br/products/primer-cachos-definidos?ref=review","review")</f>
        <v/>
      </c>
      <c r="K242" t="inlineStr">
        <is>
          <t>HOLDOUT</t>
        </is>
      </c>
    </row>
    <row r="243">
      <c r="A243" t="inlineStr">
        <is>
          <t>Bruna</t>
        </is>
      </c>
      <c r="B243" t="inlineStr">
        <is>
          <t>+5521975319972</t>
        </is>
      </c>
      <c r="C243" t="inlineStr">
        <is>
          <t>Refill</t>
        </is>
      </c>
      <c r="D243" t="inlineStr">
        <is>
          <t>Primer Cachos</t>
        </is>
      </c>
      <c r="E243" t="n">
        <v>1</v>
      </c>
      <c r="F243" t="inlineStr">
        <is>
          <t>2025-10-15</t>
        </is>
      </c>
      <c r="G243" t="n">
        <v>262</v>
      </c>
      <c r="H243" t="inlineStr">
        <is>
          <t>Y</t>
        </is>
      </c>
      <c r="I243">
        <f>HYPERLINK("https://admin.shopify.com/store/ge-beauty-cosmeticos/customers/9768676557120","abrir")</f>
        <v/>
      </c>
      <c r="J243">
        <f>HYPERLINK("https://www.gebeauty.com.br/products/primer-cachos-definidos?ref=review","review")</f>
        <v/>
      </c>
      <c r="K243" t="inlineStr">
        <is>
          <t>SEND</t>
        </is>
      </c>
    </row>
    <row r="244">
      <c r="A244" t="inlineStr">
        <is>
          <t>Vivian</t>
        </is>
      </c>
      <c r="B244" t="inlineStr">
        <is>
          <t>+5561983546541</t>
        </is>
      </c>
      <c r="C244" t="inlineStr">
        <is>
          <t>Refill</t>
        </is>
      </c>
      <c r="D244" t="inlineStr">
        <is>
          <t>Primer Cachos</t>
        </is>
      </c>
      <c r="E244" t="n">
        <v>1</v>
      </c>
      <c r="F244" t="inlineStr">
        <is>
          <t>2025-10-15</t>
        </is>
      </c>
      <c r="G244" t="n">
        <v>262</v>
      </c>
      <c r="H244" t="inlineStr">
        <is>
          <t>Y</t>
        </is>
      </c>
      <c r="I244">
        <f>HYPERLINK("https://admin.shopify.com/store/ge-beauty-cosmeticos/customers/9768902066496","abrir")</f>
        <v/>
      </c>
      <c r="J244">
        <f>HYPERLINK("https://www.gebeauty.com.br/products/primer-cachos-definidos?ref=review","review")</f>
        <v/>
      </c>
      <c r="K244" t="inlineStr">
        <is>
          <t>SEND</t>
        </is>
      </c>
    </row>
    <row r="245">
      <c r="A245" t="inlineStr">
        <is>
          <t>Soledad</t>
        </is>
      </c>
      <c r="B245" t="inlineStr">
        <is>
          <t>+5511971796466</t>
        </is>
      </c>
      <c r="C245" t="inlineStr">
        <is>
          <t>Refill</t>
        </is>
      </c>
      <c r="D245" t="inlineStr">
        <is>
          <t>Primer Cachos</t>
        </is>
      </c>
      <c r="E245" t="n">
        <v>1</v>
      </c>
      <c r="F245" t="inlineStr">
        <is>
          <t>2025-10-16</t>
        </is>
      </c>
      <c r="G245" t="n">
        <v>261</v>
      </c>
      <c r="H245" t="inlineStr">
        <is>
          <t>Y</t>
        </is>
      </c>
      <c r="I245">
        <f>HYPERLINK("https://admin.shopify.com/store/ge-beauty-cosmeticos/customers/9699573530944","abrir")</f>
        <v/>
      </c>
      <c r="J245">
        <f>HYPERLINK("https://www.gebeauty.com.br/products/primer-cachos-definidos?ref=review","review")</f>
        <v/>
      </c>
      <c r="K245" t="inlineStr">
        <is>
          <t>SEND</t>
        </is>
      </c>
    </row>
    <row r="246">
      <c r="A246" t="inlineStr">
        <is>
          <t>Juliana</t>
        </is>
      </c>
      <c r="B246" t="inlineStr">
        <is>
          <t>+5521995251112</t>
        </is>
      </c>
      <c r="C246" t="inlineStr">
        <is>
          <t>Refill</t>
        </is>
      </c>
      <c r="D246" t="inlineStr">
        <is>
          <t>Primer Cachos</t>
        </is>
      </c>
      <c r="E246" t="n">
        <v>1</v>
      </c>
      <c r="F246" t="inlineStr">
        <is>
          <t>2025-10-16</t>
        </is>
      </c>
      <c r="G246" t="n">
        <v>261</v>
      </c>
      <c r="H246" t="inlineStr">
        <is>
          <t>Y</t>
        </is>
      </c>
      <c r="I246">
        <f>HYPERLINK("https://admin.shopify.com/store/ge-beauty-cosmeticos/customers/9774399062336","abrir")</f>
        <v/>
      </c>
      <c r="J246">
        <f>HYPERLINK("https://www.gebeauty.com.br/products/primer-cachos-definidos?ref=review","review")</f>
        <v/>
      </c>
      <c r="K246" t="inlineStr">
        <is>
          <t>SEND</t>
        </is>
      </c>
    </row>
    <row r="247">
      <c r="A247" t="inlineStr">
        <is>
          <t>Juliana</t>
        </is>
      </c>
      <c r="B247" t="inlineStr">
        <is>
          <t>+5543999376062</t>
        </is>
      </c>
      <c r="C247" t="inlineStr">
        <is>
          <t>Refill</t>
        </is>
      </c>
      <c r="D247" t="inlineStr">
        <is>
          <t>Primer Cachos</t>
        </is>
      </c>
      <c r="E247" t="n">
        <v>1</v>
      </c>
      <c r="F247" t="inlineStr">
        <is>
          <t>2025-10-16</t>
        </is>
      </c>
      <c r="G247" t="n">
        <v>261</v>
      </c>
      <c r="H247" t="inlineStr">
        <is>
          <t>Y</t>
        </is>
      </c>
      <c r="I247">
        <f>HYPERLINK("https://admin.shopify.com/store/ge-beauty-cosmeticos/customers/9774882619712","abrir")</f>
        <v/>
      </c>
      <c r="J247">
        <f>HYPERLINK("https://www.gebeauty.com.br/products/primer-cachos-definidos?ref=review","review")</f>
        <v/>
      </c>
      <c r="K247" t="inlineStr">
        <is>
          <t>SEND</t>
        </is>
      </c>
    </row>
    <row r="248">
      <c r="A248" t="inlineStr">
        <is>
          <t>Marcele</t>
        </is>
      </c>
      <c r="B248" t="inlineStr">
        <is>
          <t>+5521981488654</t>
        </is>
      </c>
      <c r="C248" t="inlineStr">
        <is>
          <t>Refill</t>
        </is>
      </c>
      <c r="D248" t="inlineStr">
        <is>
          <t>Primer Cachos</t>
        </is>
      </c>
      <c r="E248" t="n">
        <v>1</v>
      </c>
      <c r="F248" t="inlineStr">
        <is>
          <t>2025-10-16</t>
        </is>
      </c>
      <c r="G248" t="n">
        <v>261</v>
      </c>
      <c r="H248" t="inlineStr">
        <is>
          <t>Y</t>
        </is>
      </c>
      <c r="I248">
        <f>HYPERLINK("https://admin.shopify.com/store/ge-beauty-cosmeticos/customers/9775887352128","abrir")</f>
        <v/>
      </c>
      <c r="J248">
        <f>HYPERLINK("https://www.gebeauty.com.br/products/primer-cachos-definidos?ref=review","review")</f>
        <v/>
      </c>
      <c r="K248" t="inlineStr">
        <is>
          <t>SEND</t>
        </is>
      </c>
    </row>
    <row r="249">
      <c r="A249" t="inlineStr">
        <is>
          <t>Thabata</t>
        </is>
      </c>
      <c r="B249" t="inlineStr">
        <is>
          <t>+5511981283000</t>
        </is>
      </c>
      <c r="C249" t="inlineStr">
        <is>
          <t>Refill</t>
        </is>
      </c>
      <c r="D249" t="inlineStr">
        <is>
          <t>Primer Cachos</t>
        </is>
      </c>
      <c r="E249" t="n">
        <v>1</v>
      </c>
      <c r="F249" t="inlineStr">
        <is>
          <t>2025-10-16</t>
        </is>
      </c>
      <c r="G249" t="n">
        <v>261</v>
      </c>
      <c r="H249" t="inlineStr">
        <is>
          <t>Y</t>
        </is>
      </c>
      <c r="I249">
        <f>HYPERLINK("https://admin.shopify.com/store/ge-beauty-cosmeticos/customers/9777587847488","abrir")</f>
        <v/>
      </c>
      <c r="J249">
        <f>HYPERLINK("https://www.gebeauty.com.br/products/primer-cachos-definidos?ref=review","review")</f>
        <v/>
      </c>
      <c r="K249" t="inlineStr">
        <is>
          <t>SEND</t>
        </is>
      </c>
    </row>
    <row r="250">
      <c r="A250" t="inlineStr">
        <is>
          <t>Gabriela</t>
        </is>
      </c>
      <c r="B250" t="inlineStr">
        <is>
          <t>+5516997144704</t>
        </is>
      </c>
      <c r="C250" t="inlineStr">
        <is>
          <t>Refill</t>
        </is>
      </c>
      <c r="D250" t="inlineStr">
        <is>
          <t>Primer Cachos</t>
        </is>
      </c>
      <c r="E250" t="n">
        <v>1</v>
      </c>
      <c r="F250" t="inlineStr">
        <is>
          <t>2025-10-16</t>
        </is>
      </c>
      <c r="G250" t="n">
        <v>261</v>
      </c>
      <c r="H250" t="inlineStr">
        <is>
          <t>Y</t>
        </is>
      </c>
      <c r="I250">
        <f>HYPERLINK("https://admin.shopify.com/store/ge-beauty-cosmeticos/customers/9777903763776","abrir")</f>
        <v/>
      </c>
      <c r="J250">
        <f>HYPERLINK("https://www.gebeauty.com.br/products/primer-cachos-definidos?ref=review","review")</f>
        <v/>
      </c>
      <c r="K250" t="inlineStr">
        <is>
          <t>SEND</t>
        </is>
      </c>
    </row>
    <row r="251">
      <c r="A251" t="inlineStr">
        <is>
          <t>Manuela</t>
        </is>
      </c>
      <c r="B251" t="inlineStr">
        <is>
          <t>+5581999227136</t>
        </is>
      </c>
      <c r="C251" t="inlineStr">
        <is>
          <t>Refill</t>
        </is>
      </c>
      <c r="D251" t="inlineStr">
        <is>
          <t>Primer Cachos</t>
        </is>
      </c>
      <c r="E251" t="n">
        <v>1</v>
      </c>
      <c r="F251" t="inlineStr">
        <is>
          <t>2025-10-17</t>
        </is>
      </c>
      <c r="G251" t="n">
        <v>260</v>
      </c>
      <c r="H251" t="inlineStr">
        <is>
          <t>Y</t>
        </is>
      </c>
      <c r="I251">
        <f>HYPERLINK("https://admin.shopify.com/store/ge-beauty-cosmeticos/customers/9777998332224","abrir")</f>
        <v/>
      </c>
      <c r="J251">
        <f>HYPERLINK("https://www.gebeauty.com.br/products/primer-cachos-definidos?ref=review","review")</f>
        <v/>
      </c>
      <c r="K251" t="inlineStr">
        <is>
          <t>SEND</t>
        </is>
      </c>
    </row>
    <row r="252">
      <c r="A252" t="inlineStr">
        <is>
          <t>Juliana</t>
        </is>
      </c>
      <c r="B252" t="inlineStr">
        <is>
          <t>+5531984827858</t>
        </is>
      </c>
      <c r="C252" t="inlineStr">
        <is>
          <t>Refill</t>
        </is>
      </c>
      <c r="D252" t="inlineStr">
        <is>
          <t>Primer Cachos</t>
        </is>
      </c>
      <c r="E252" t="n">
        <v>1</v>
      </c>
      <c r="F252" t="inlineStr">
        <is>
          <t>2025-10-17</t>
        </is>
      </c>
      <c r="G252" t="n">
        <v>260</v>
      </c>
      <c r="H252" t="inlineStr">
        <is>
          <t>Y</t>
        </is>
      </c>
      <c r="I252">
        <f>HYPERLINK("https://admin.shopify.com/store/ge-beauty-cosmeticos/customers/9778058035520","abrir")</f>
        <v/>
      </c>
      <c r="J252">
        <f>HYPERLINK("https://www.gebeauty.com.br/products/primer-cachos-definidos?ref=review","review")</f>
        <v/>
      </c>
      <c r="K252" t="inlineStr">
        <is>
          <t>SEND</t>
        </is>
      </c>
    </row>
    <row r="253">
      <c r="A253" t="inlineStr">
        <is>
          <t>Annye</t>
        </is>
      </c>
      <c r="B253" t="inlineStr">
        <is>
          <t>+5519991359728</t>
        </is>
      </c>
      <c r="C253" t="inlineStr">
        <is>
          <t>Refill</t>
        </is>
      </c>
      <c r="D253" t="inlineStr">
        <is>
          <t>Primer Cachos</t>
        </is>
      </c>
      <c r="E253" t="n">
        <v>1</v>
      </c>
      <c r="F253" t="inlineStr">
        <is>
          <t>2025-10-17</t>
        </is>
      </c>
      <c r="G253" t="n">
        <v>260</v>
      </c>
      <c r="H253" t="inlineStr">
        <is>
          <t>Y</t>
        </is>
      </c>
      <c r="I253">
        <f>HYPERLINK("https://admin.shopify.com/store/ge-beauty-cosmeticos/customers/7762265112896","abrir")</f>
        <v/>
      </c>
      <c r="J253">
        <f>HYPERLINK("https://www.gebeauty.com.br/products/primer-cachos-definidos?ref=review","review")</f>
        <v/>
      </c>
      <c r="K253" t="inlineStr">
        <is>
          <t>HOLDOUT</t>
        </is>
      </c>
    </row>
    <row r="254">
      <c r="A254" t="inlineStr">
        <is>
          <t>Flavia</t>
        </is>
      </c>
      <c r="B254" t="inlineStr">
        <is>
          <t>+5583991155648</t>
        </is>
      </c>
      <c r="C254" t="inlineStr">
        <is>
          <t>Refill</t>
        </is>
      </c>
      <c r="D254" t="inlineStr">
        <is>
          <t>Primer Cachos</t>
        </is>
      </c>
      <c r="E254" t="n">
        <v>1</v>
      </c>
      <c r="F254" t="inlineStr">
        <is>
          <t>2025-10-17</t>
        </is>
      </c>
      <c r="G254" t="n">
        <v>260</v>
      </c>
      <c r="H254" t="inlineStr">
        <is>
          <t>Y</t>
        </is>
      </c>
      <c r="I254">
        <f>HYPERLINK("https://admin.shopify.com/store/ge-beauty-cosmeticos/customers/8194327839040","abrir")</f>
        <v/>
      </c>
      <c r="J254">
        <f>HYPERLINK("https://www.gebeauty.com.br/products/primer-cachos-definidos?ref=review","review")</f>
        <v/>
      </c>
      <c r="K254" t="inlineStr">
        <is>
          <t>HOLDOUT</t>
        </is>
      </c>
    </row>
    <row r="255">
      <c r="A255" t="inlineStr">
        <is>
          <t>Adriana</t>
        </is>
      </c>
      <c r="B255" t="inlineStr">
        <is>
          <t>+5586994752032</t>
        </is>
      </c>
      <c r="C255" t="inlineStr">
        <is>
          <t>Refill</t>
        </is>
      </c>
      <c r="D255" t="inlineStr">
        <is>
          <t>Primer Cachos</t>
        </is>
      </c>
      <c r="E255" t="n">
        <v>1</v>
      </c>
      <c r="F255" t="inlineStr">
        <is>
          <t>2025-10-17</t>
        </is>
      </c>
      <c r="G255" t="n">
        <v>260</v>
      </c>
      <c r="H255" t="inlineStr">
        <is>
          <t>Y</t>
        </is>
      </c>
      <c r="I255">
        <f>HYPERLINK("https://admin.shopify.com/store/ge-beauty-cosmeticos/customers/7760437936448","abrir")</f>
        <v/>
      </c>
      <c r="J255">
        <f>HYPERLINK("https://www.gebeauty.com.br/products/primer-cachos-definidos?ref=review","review")</f>
        <v/>
      </c>
      <c r="K255" t="inlineStr">
        <is>
          <t>SEND</t>
        </is>
      </c>
    </row>
    <row r="256">
      <c r="A256" t="inlineStr">
        <is>
          <t>Patricia</t>
        </is>
      </c>
      <c r="B256" t="inlineStr">
        <is>
          <t>+5511981338053</t>
        </is>
      </c>
      <c r="C256" t="inlineStr">
        <is>
          <t>Refill</t>
        </is>
      </c>
      <c r="D256" t="inlineStr">
        <is>
          <t>Primer Cachos</t>
        </is>
      </c>
      <c r="E256" t="n">
        <v>1</v>
      </c>
      <c r="F256" t="inlineStr">
        <is>
          <t>2025-10-17</t>
        </is>
      </c>
      <c r="G256" t="n">
        <v>260</v>
      </c>
      <c r="H256" t="inlineStr">
        <is>
          <t>Y</t>
        </is>
      </c>
      <c r="I256">
        <f>HYPERLINK("https://admin.shopify.com/store/ge-beauty-cosmeticos/customers/9779699515712","abrir")</f>
        <v/>
      </c>
      <c r="J256">
        <f>HYPERLINK("https://www.gebeauty.com.br/products/primer-cachos-definidos?ref=review","review")</f>
        <v/>
      </c>
      <c r="K256" t="inlineStr">
        <is>
          <t>SEND</t>
        </is>
      </c>
    </row>
    <row r="257">
      <c r="A257" t="inlineStr">
        <is>
          <t>Clarissa</t>
        </is>
      </c>
      <c r="B257" t="inlineStr">
        <is>
          <t>+5585999821687</t>
        </is>
      </c>
      <c r="C257" t="inlineStr">
        <is>
          <t>Refill</t>
        </is>
      </c>
      <c r="D257" t="inlineStr">
        <is>
          <t>Primer Cachos</t>
        </is>
      </c>
      <c r="E257" t="n">
        <v>1</v>
      </c>
      <c r="F257" t="inlineStr">
        <is>
          <t>2025-10-18</t>
        </is>
      </c>
      <c r="G257" t="n">
        <v>259</v>
      </c>
      <c r="H257" t="inlineStr">
        <is>
          <t>Y</t>
        </is>
      </c>
      <c r="I257">
        <f>HYPERLINK("https://admin.shopify.com/store/ge-beauty-cosmeticos/customers/9104359096640","abrir")</f>
        <v/>
      </c>
      <c r="J257">
        <f>HYPERLINK("https://www.gebeauty.com.br/products/primer-cachos-definidos?ref=review","review")</f>
        <v/>
      </c>
      <c r="K257" t="inlineStr">
        <is>
          <t>SEND</t>
        </is>
      </c>
    </row>
    <row r="258">
      <c r="A258" t="inlineStr">
        <is>
          <t>Carolina</t>
        </is>
      </c>
      <c r="B258" t="inlineStr">
        <is>
          <t>+5521987556602</t>
        </is>
      </c>
      <c r="C258" t="inlineStr">
        <is>
          <t>Refill</t>
        </is>
      </c>
      <c r="D258" t="inlineStr">
        <is>
          <t>Primer Cachos</t>
        </is>
      </c>
      <c r="E258" t="n">
        <v>1</v>
      </c>
      <c r="F258" t="inlineStr">
        <is>
          <t>2025-10-19</t>
        </is>
      </c>
      <c r="G258" t="n">
        <v>258</v>
      </c>
      <c r="H258" t="inlineStr">
        <is>
          <t>Y</t>
        </is>
      </c>
      <c r="I258">
        <f>HYPERLINK("https://admin.shopify.com/store/ge-beauty-cosmeticos/customers/9781559394624","abrir")</f>
        <v/>
      </c>
      <c r="J258">
        <f>HYPERLINK("https://www.gebeauty.com.br/products/primer-cachos-definidos?ref=review","review")</f>
        <v/>
      </c>
      <c r="K258" t="inlineStr">
        <is>
          <t>SEND</t>
        </is>
      </c>
    </row>
    <row r="259">
      <c r="A259" t="inlineStr">
        <is>
          <t>Angela</t>
        </is>
      </c>
      <c r="B259" t="inlineStr">
        <is>
          <t>+5511994323852</t>
        </is>
      </c>
      <c r="C259" t="inlineStr">
        <is>
          <t>Refill</t>
        </is>
      </c>
      <c r="D259" t="inlineStr">
        <is>
          <t>Primer Cachos</t>
        </is>
      </c>
      <c r="E259" t="n">
        <v>1</v>
      </c>
      <c r="F259" t="inlineStr">
        <is>
          <t>2025-10-19</t>
        </is>
      </c>
      <c r="G259" t="n">
        <v>258</v>
      </c>
      <c r="H259" t="inlineStr">
        <is>
          <t>Y</t>
        </is>
      </c>
      <c r="I259">
        <f>HYPERLINK("https://admin.shopify.com/store/ge-beauty-cosmeticos/customers/9782340124992","abrir")</f>
        <v/>
      </c>
      <c r="J259">
        <f>HYPERLINK("https://www.gebeauty.com.br/products/primer-cachos-definidos?ref=review","review")</f>
        <v/>
      </c>
      <c r="K259" t="inlineStr">
        <is>
          <t>HOLDOUT</t>
        </is>
      </c>
    </row>
    <row r="260">
      <c r="A260" t="inlineStr">
        <is>
          <t>Jaquelline</t>
        </is>
      </c>
      <c r="B260" t="inlineStr">
        <is>
          <t>+5562998391666</t>
        </is>
      </c>
      <c r="C260" t="inlineStr">
        <is>
          <t>Refill</t>
        </is>
      </c>
      <c r="D260" t="inlineStr">
        <is>
          <t>Primer Cachos</t>
        </is>
      </c>
      <c r="E260" t="n">
        <v>1</v>
      </c>
      <c r="F260" t="inlineStr">
        <is>
          <t>2025-10-19</t>
        </is>
      </c>
      <c r="G260" t="n">
        <v>258</v>
      </c>
      <c r="H260" t="inlineStr">
        <is>
          <t>Y</t>
        </is>
      </c>
      <c r="I260">
        <f>HYPERLINK("https://admin.shopify.com/store/ge-beauty-cosmeticos/customers/9782640017728","abrir")</f>
        <v/>
      </c>
      <c r="J260">
        <f>HYPERLINK("https://www.gebeauty.com.br/products/primer-cachos-definidos?ref=review","review")</f>
        <v/>
      </c>
      <c r="K260" t="inlineStr">
        <is>
          <t>SEND</t>
        </is>
      </c>
    </row>
    <row r="261">
      <c r="A261" t="inlineStr">
        <is>
          <t>Ana</t>
        </is>
      </c>
      <c r="B261" t="inlineStr">
        <is>
          <t>+5511983384455</t>
        </is>
      </c>
      <c r="C261" t="inlineStr">
        <is>
          <t>Refill</t>
        </is>
      </c>
      <c r="D261" t="inlineStr">
        <is>
          <t>Primer Cachos</t>
        </is>
      </c>
      <c r="E261" t="n">
        <v>1</v>
      </c>
      <c r="F261" t="inlineStr">
        <is>
          <t>2025-10-19</t>
        </is>
      </c>
      <c r="G261" t="n">
        <v>258</v>
      </c>
      <c r="H261" t="inlineStr">
        <is>
          <t>Y</t>
        </is>
      </c>
      <c r="I261">
        <f>HYPERLINK("https://admin.shopify.com/store/ge-beauty-cosmeticos/customers/9782858842432","abrir")</f>
        <v/>
      </c>
      <c r="J261">
        <f>HYPERLINK("https://www.gebeauty.com.br/products/primer-cachos-definidos?ref=review","review")</f>
        <v/>
      </c>
      <c r="K261" t="inlineStr">
        <is>
          <t>SEND</t>
        </is>
      </c>
    </row>
    <row r="262">
      <c r="A262" t="inlineStr">
        <is>
          <t>Mariano</t>
        </is>
      </c>
      <c r="B262" t="inlineStr">
        <is>
          <t>+5531991225810</t>
        </is>
      </c>
      <c r="C262" t="inlineStr">
        <is>
          <t>Refill</t>
        </is>
      </c>
      <c r="D262" t="inlineStr">
        <is>
          <t>Primer Cachos</t>
        </is>
      </c>
      <c r="E262" t="n">
        <v>1</v>
      </c>
      <c r="F262" t="inlineStr">
        <is>
          <t>2025-10-19</t>
        </is>
      </c>
      <c r="G262" t="n">
        <v>258</v>
      </c>
      <c r="H262" t="inlineStr">
        <is>
          <t>Y</t>
        </is>
      </c>
      <c r="I262">
        <f>HYPERLINK("https://admin.shopify.com/store/ge-beauty-cosmeticos/customers/9783170466112","abrir")</f>
        <v/>
      </c>
      <c r="J262">
        <f>HYPERLINK("https://www.gebeauty.com.br/products/primer-cachos-definidos?ref=review","review")</f>
        <v/>
      </c>
      <c r="K262" t="inlineStr">
        <is>
          <t>SEND</t>
        </is>
      </c>
    </row>
    <row r="263">
      <c r="A263" t="inlineStr">
        <is>
          <t>Leticia</t>
        </is>
      </c>
      <c r="B263" t="inlineStr">
        <is>
          <t>+5541987219180</t>
        </is>
      </c>
      <c r="C263" t="inlineStr">
        <is>
          <t>Refill</t>
        </is>
      </c>
      <c r="D263" t="inlineStr">
        <is>
          <t>Primer Cachos</t>
        </is>
      </c>
      <c r="E263" t="n">
        <v>1</v>
      </c>
      <c r="F263" t="inlineStr">
        <is>
          <t>2025-10-20</t>
        </is>
      </c>
      <c r="G263" t="n">
        <v>257</v>
      </c>
      <c r="H263" t="inlineStr">
        <is>
          <t>Y</t>
        </is>
      </c>
      <c r="I263">
        <f>HYPERLINK("https://admin.shopify.com/store/ge-beauty-cosmeticos/customers/9783423172928","abrir")</f>
        <v/>
      </c>
      <c r="J263">
        <f>HYPERLINK("https://www.gebeauty.com.br/products/primer-cachos-definidos?ref=review","review")</f>
        <v/>
      </c>
      <c r="K263" t="inlineStr">
        <is>
          <t>SEND</t>
        </is>
      </c>
    </row>
    <row r="264">
      <c r="A264" t="inlineStr">
        <is>
          <t>Mayara</t>
        </is>
      </c>
      <c r="B264" t="inlineStr">
        <is>
          <t>+5511963992317</t>
        </is>
      </c>
      <c r="C264" t="inlineStr">
        <is>
          <t>Refill</t>
        </is>
      </c>
      <c r="D264" t="inlineStr">
        <is>
          <t>Primer Cachos</t>
        </is>
      </c>
      <c r="E264" t="n">
        <v>1</v>
      </c>
      <c r="F264" t="inlineStr">
        <is>
          <t>2025-10-20</t>
        </is>
      </c>
      <c r="G264" t="n">
        <v>257</v>
      </c>
      <c r="H264" t="inlineStr">
        <is>
          <t>N</t>
        </is>
      </c>
      <c r="I264">
        <f>HYPERLINK("https://admin.shopify.com/store/ge-beauty-cosmeticos/customers/9784345067840","abrir")</f>
        <v/>
      </c>
      <c r="J264">
        <f>HYPERLINK("https://www.gebeauty.com.br/products/primer-cachos-definidos?ref=review","review")</f>
        <v/>
      </c>
      <c r="K264" t="inlineStr">
        <is>
          <t>SEND</t>
        </is>
      </c>
    </row>
    <row r="265">
      <c r="A265" t="inlineStr">
        <is>
          <t>Cintia</t>
        </is>
      </c>
      <c r="B265" t="inlineStr">
        <is>
          <t>+5531997746956</t>
        </is>
      </c>
      <c r="C265" t="inlineStr">
        <is>
          <t>Refill</t>
        </is>
      </c>
      <c r="D265" t="inlineStr">
        <is>
          <t>Primer Cachos</t>
        </is>
      </c>
      <c r="E265" t="n">
        <v>1</v>
      </c>
      <c r="F265" t="inlineStr">
        <is>
          <t>2025-10-20</t>
        </is>
      </c>
      <c r="G265" t="n">
        <v>257</v>
      </c>
      <c r="H265" t="inlineStr">
        <is>
          <t>Y</t>
        </is>
      </c>
      <c r="I265">
        <f>HYPERLINK("https://admin.shopify.com/store/ge-beauty-cosmeticos/customers/9785179537728","abrir")</f>
        <v/>
      </c>
      <c r="J265">
        <f>HYPERLINK("https://www.gebeauty.com.br/products/primer-cachos-definidos?ref=review","review")</f>
        <v/>
      </c>
      <c r="K265" t="inlineStr">
        <is>
          <t>SEND</t>
        </is>
      </c>
    </row>
    <row r="266">
      <c r="A266" t="inlineStr">
        <is>
          <t>Vitória</t>
        </is>
      </c>
      <c r="B266" t="inlineStr">
        <is>
          <t>+5534988361379</t>
        </is>
      </c>
      <c r="C266" t="inlineStr">
        <is>
          <t>Refill</t>
        </is>
      </c>
      <c r="D266" t="inlineStr">
        <is>
          <t>Primer Cachos</t>
        </is>
      </c>
      <c r="E266" t="n">
        <v>1</v>
      </c>
      <c r="F266" t="inlineStr">
        <is>
          <t>2025-10-20</t>
        </is>
      </c>
      <c r="G266" t="n">
        <v>257</v>
      </c>
      <c r="H266" t="inlineStr">
        <is>
          <t>Y</t>
        </is>
      </c>
      <c r="I266">
        <f>HYPERLINK("https://admin.shopify.com/store/ge-beauty-cosmeticos/customers/9486104822080","abrir")</f>
        <v/>
      </c>
      <c r="J266">
        <f>HYPERLINK("https://www.gebeauty.com.br/products/primer-cachos-definidos?ref=review","review")</f>
        <v/>
      </c>
      <c r="K266" t="inlineStr">
        <is>
          <t>SEND</t>
        </is>
      </c>
    </row>
    <row r="267">
      <c r="A267" t="inlineStr">
        <is>
          <t>Elida</t>
        </is>
      </c>
      <c r="B267" t="inlineStr">
        <is>
          <t>+5579998682646</t>
        </is>
      </c>
      <c r="C267" t="inlineStr">
        <is>
          <t>Refill</t>
        </is>
      </c>
      <c r="D267" t="inlineStr">
        <is>
          <t>Primer Cachos</t>
        </is>
      </c>
      <c r="E267" t="n">
        <v>1</v>
      </c>
      <c r="F267" t="inlineStr">
        <is>
          <t>2025-10-21</t>
        </is>
      </c>
      <c r="G267" t="n">
        <v>256</v>
      </c>
      <c r="H267" t="inlineStr">
        <is>
          <t>Y</t>
        </is>
      </c>
      <c r="I267">
        <f>HYPERLINK("https://admin.shopify.com/store/ge-beauty-cosmeticos/customers/8647141720384","abrir")</f>
        <v/>
      </c>
      <c r="J267">
        <f>HYPERLINK("https://www.gebeauty.com.br/products/primer-cachos-definidos?ref=review","review")</f>
        <v/>
      </c>
      <c r="K267" t="inlineStr">
        <is>
          <t>SEND</t>
        </is>
      </c>
    </row>
    <row r="268">
      <c r="A268" t="inlineStr">
        <is>
          <t>Glauce</t>
        </is>
      </c>
      <c r="B268" t="inlineStr">
        <is>
          <t>+5591981433312</t>
        </is>
      </c>
      <c r="C268" t="inlineStr">
        <is>
          <t>Refill</t>
        </is>
      </c>
      <c r="D268" t="inlineStr">
        <is>
          <t>Primer Cachos</t>
        </is>
      </c>
      <c r="E268" t="n">
        <v>1</v>
      </c>
      <c r="F268" t="inlineStr">
        <is>
          <t>2025-10-21</t>
        </is>
      </c>
      <c r="G268" t="n">
        <v>256</v>
      </c>
      <c r="H268" t="inlineStr">
        <is>
          <t>Y</t>
        </is>
      </c>
      <c r="I268">
        <f>HYPERLINK("https://admin.shopify.com/store/ge-beauty-cosmeticos/customers/9786454049088","abrir")</f>
        <v/>
      </c>
      <c r="J268">
        <f>HYPERLINK("https://www.gebeauty.com.br/products/primer-cachos-definidos?ref=review","review")</f>
        <v/>
      </c>
      <c r="K268" t="inlineStr">
        <is>
          <t>SEND</t>
        </is>
      </c>
    </row>
    <row r="269">
      <c r="A269" t="inlineStr">
        <is>
          <t>Flavia</t>
        </is>
      </c>
      <c r="B269" t="inlineStr">
        <is>
          <t>+5516996347944</t>
        </is>
      </c>
      <c r="C269" t="inlineStr">
        <is>
          <t>Refill</t>
        </is>
      </c>
      <c r="D269" t="inlineStr">
        <is>
          <t>Primer Cachos</t>
        </is>
      </c>
      <c r="E269" t="n">
        <v>1</v>
      </c>
      <c r="F269" t="inlineStr">
        <is>
          <t>2025-10-21</t>
        </is>
      </c>
      <c r="G269" t="n">
        <v>256</v>
      </c>
      <c r="H269" t="inlineStr">
        <is>
          <t>N</t>
        </is>
      </c>
      <c r="I269">
        <f>HYPERLINK("https://admin.shopify.com/store/ge-beauty-cosmeticos/customers/9753064374592","abrir")</f>
        <v/>
      </c>
      <c r="J269">
        <f>HYPERLINK("https://www.gebeauty.com.br/products/primer-cachos-definidos?ref=review","review")</f>
        <v/>
      </c>
      <c r="K269" t="inlineStr">
        <is>
          <t>SEND</t>
        </is>
      </c>
    </row>
    <row r="270">
      <c r="A270" t="inlineStr">
        <is>
          <t>Ana Carolina</t>
        </is>
      </c>
      <c r="B270" t="inlineStr">
        <is>
          <t>+5511933107080</t>
        </is>
      </c>
      <c r="C270" t="inlineStr">
        <is>
          <t>Refill</t>
        </is>
      </c>
      <c r="D270" t="inlineStr">
        <is>
          <t>Primer Cachos</t>
        </is>
      </c>
      <c r="E270" t="n">
        <v>1</v>
      </c>
      <c r="F270" t="inlineStr">
        <is>
          <t>2025-10-21</t>
        </is>
      </c>
      <c r="G270" t="n">
        <v>256</v>
      </c>
      <c r="H270" t="inlineStr">
        <is>
          <t>Y</t>
        </is>
      </c>
      <c r="I270">
        <f>HYPERLINK("https://admin.shopify.com/store/ge-beauty-cosmeticos/customers/9786362331456","abrir")</f>
        <v/>
      </c>
      <c r="J270">
        <f>HYPERLINK("https://www.gebeauty.com.br/products/primer-cachos-definidos?ref=review","review")</f>
        <v/>
      </c>
      <c r="K270" t="inlineStr">
        <is>
          <t>HOLDOUT</t>
        </is>
      </c>
    </row>
    <row r="271">
      <c r="A271" t="inlineStr">
        <is>
          <t>Gabriela</t>
        </is>
      </c>
      <c r="B271" t="inlineStr">
        <is>
          <t>+5519991890763</t>
        </is>
      </c>
      <c r="C271" t="inlineStr">
        <is>
          <t>Refill</t>
        </is>
      </c>
      <c r="D271" t="inlineStr">
        <is>
          <t>Primer Cachos</t>
        </is>
      </c>
      <c r="E271" t="n">
        <v>1</v>
      </c>
      <c r="F271" t="inlineStr">
        <is>
          <t>2025-10-21</t>
        </is>
      </c>
      <c r="G271" t="n">
        <v>256</v>
      </c>
      <c r="H271" t="inlineStr">
        <is>
          <t>Y</t>
        </is>
      </c>
      <c r="I271">
        <f>HYPERLINK("https://admin.shopify.com/store/ge-beauty-cosmeticos/customers/9786867155264","abrir")</f>
        <v/>
      </c>
      <c r="J271">
        <f>HYPERLINK("https://www.gebeauty.com.br/products/primer-cachos-definidos?ref=review","review")</f>
        <v/>
      </c>
      <c r="K271" t="inlineStr">
        <is>
          <t>SEND</t>
        </is>
      </c>
    </row>
    <row r="272">
      <c r="A272" t="inlineStr">
        <is>
          <t>Lorena</t>
        </is>
      </c>
      <c r="B272" t="inlineStr">
        <is>
          <t>+5581996929805</t>
        </is>
      </c>
      <c r="C272" t="inlineStr">
        <is>
          <t>Refill</t>
        </is>
      </c>
      <c r="D272" t="inlineStr">
        <is>
          <t>Primer Cachos</t>
        </is>
      </c>
      <c r="E272" t="n">
        <v>1</v>
      </c>
      <c r="F272" t="inlineStr">
        <is>
          <t>2025-10-22</t>
        </is>
      </c>
      <c r="G272" t="n">
        <v>255</v>
      </c>
      <c r="H272" t="inlineStr">
        <is>
          <t>Y</t>
        </is>
      </c>
      <c r="I272">
        <f>HYPERLINK("https://admin.shopify.com/store/ge-beauty-cosmeticos/customers/9291397988672","abrir")</f>
        <v/>
      </c>
      <c r="J272">
        <f>HYPERLINK("https://www.gebeauty.com.br/products/primer-cachos-definidos?ref=review","review")</f>
        <v/>
      </c>
      <c r="K272" t="inlineStr">
        <is>
          <t>SEND</t>
        </is>
      </c>
    </row>
    <row r="273">
      <c r="A273" t="inlineStr">
        <is>
          <t>Bruna</t>
        </is>
      </c>
      <c r="B273" t="inlineStr">
        <is>
          <t>+5521998665402</t>
        </is>
      </c>
      <c r="C273" t="inlineStr">
        <is>
          <t>Refill</t>
        </is>
      </c>
      <c r="D273" t="inlineStr">
        <is>
          <t>Primer Cachos</t>
        </is>
      </c>
      <c r="E273" t="n">
        <v>1</v>
      </c>
      <c r="F273" t="inlineStr">
        <is>
          <t>2025-10-22</t>
        </is>
      </c>
      <c r="G273" t="n">
        <v>255</v>
      </c>
      <c r="H273" t="inlineStr">
        <is>
          <t>Y</t>
        </is>
      </c>
      <c r="I273">
        <f>HYPERLINK("https://admin.shopify.com/store/ge-beauty-cosmeticos/customers/8253578182976","abrir")</f>
        <v/>
      </c>
      <c r="J273">
        <f>HYPERLINK("https://www.gebeauty.com.br/products/primer-cachos-definidos?ref=review","review")</f>
        <v/>
      </c>
      <c r="K273" t="inlineStr">
        <is>
          <t>SEND</t>
        </is>
      </c>
    </row>
    <row r="274">
      <c r="A274" t="inlineStr">
        <is>
          <t>Gisele</t>
        </is>
      </c>
      <c r="B274" t="inlineStr">
        <is>
          <t>+5531993362531</t>
        </is>
      </c>
      <c r="C274" t="inlineStr">
        <is>
          <t>Refill</t>
        </is>
      </c>
      <c r="D274" t="inlineStr">
        <is>
          <t>Primer Cachos</t>
        </is>
      </c>
      <c r="E274" t="n">
        <v>1</v>
      </c>
      <c r="F274" t="inlineStr">
        <is>
          <t>2025-10-22</t>
        </is>
      </c>
      <c r="G274" t="n">
        <v>255</v>
      </c>
      <c r="H274" t="inlineStr">
        <is>
          <t>Y</t>
        </is>
      </c>
      <c r="I274">
        <f>HYPERLINK("https://admin.shopify.com/store/ge-beauty-cosmeticos/customers/7760422732096","abrir")</f>
        <v/>
      </c>
      <c r="J274">
        <f>HYPERLINK("https://www.gebeauty.com.br/products/primer-cachos-definidos?ref=review","review")</f>
        <v/>
      </c>
      <c r="K274" t="inlineStr">
        <is>
          <t>SEND</t>
        </is>
      </c>
    </row>
    <row r="275">
      <c r="A275" t="inlineStr">
        <is>
          <t>Laura</t>
        </is>
      </c>
      <c r="B275" t="inlineStr">
        <is>
          <t>+5511989289992</t>
        </is>
      </c>
      <c r="C275" t="inlineStr">
        <is>
          <t>Refill</t>
        </is>
      </c>
      <c r="D275" t="inlineStr">
        <is>
          <t>Primer Cachos</t>
        </is>
      </c>
      <c r="E275" t="n">
        <v>1</v>
      </c>
      <c r="F275" t="inlineStr">
        <is>
          <t>2025-10-23</t>
        </is>
      </c>
      <c r="G275" t="n">
        <v>254</v>
      </c>
      <c r="H275" t="inlineStr">
        <is>
          <t>Y</t>
        </is>
      </c>
      <c r="I275">
        <f>HYPERLINK("https://admin.shopify.com/store/ge-beauty-cosmeticos/customers/9789445177664","abrir")</f>
        <v/>
      </c>
      <c r="J275">
        <f>HYPERLINK("https://www.gebeauty.com.br/products/primer-cachos-definidos?ref=review","review")</f>
        <v/>
      </c>
      <c r="K275" t="inlineStr">
        <is>
          <t>SEND</t>
        </is>
      </c>
    </row>
    <row r="276">
      <c r="A276" t="inlineStr">
        <is>
          <t>Gabriela</t>
        </is>
      </c>
      <c r="B276" t="inlineStr">
        <is>
          <t>+5518996508488</t>
        </is>
      </c>
      <c r="C276" t="inlineStr">
        <is>
          <t>Refill</t>
        </is>
      </c>
      <c r="D276" t="inlineStr">
        <is>
          <t>Primer Cachos</t>
        </is>
      </c>
      <c r="E276" t="n">
        <v>1</v>
      </c>
      <c r="F276" t="inlineStr">
        <is>
          <t>2025-10-23</t>
        </is>
      </c>
      <c r="G276" t="n">
        <v>254</v>
      </c>
      <c r="H276" t="inlineStr">
        <is>
          <t>Y</t>
        </is>
      </c>
      <c r="I276">
        <f>HYPERLINK("https://admin.shopify.com/store/ge-beauty-cosmeticos/customers/9477034737984","abrir")</f>
        <v/>
      </c>
      <c r="J276">
        <f>HYPERLINK("https://www.gebeauty.com.br/products/primer-cachos-definidos?ref=review","review")</f>
        <v/>
      </c>
      <c r="K276" t="inlineStr">
        <is>
          <t>SEND</t>
        </is>
      </c>
    </row>
    <row r="277">
      <c r="A277" t="inlineStr">
        <is>
          <t>Isabela</t>
        </is>
      </c>
      <c r="B277" t="inlineStr">
        <is>
          <t>+5592993769523</t>
        </is>
      </c>
      <c r="C277" t="inlineStr">
        <is>
          <t>Refill</t>
        </is>
      </c>
      <c r="D277" t="inlineStr">
        <is>
          <t>Primer Cachos</t>
        </is>
      </c>
      <c r="E277" t="n">
        <v>1</v>
      </c>
      <c r="F277" t="inlineStr">
        <is>
          <t>2025-10-23</t>
        </is>
      </c>
      <c r="G277" t="n">
        <v>254</v>
      </c>
      <c r="H277" t="inlineStr">
        <is>
          <t>Y</t>
        </is>
      </c>
      <c r="I277">
        <f>HYPERLINK("https://admin.shopify.com/store/ge-beauty-cosmeticos/customers/9790656381248","abrir")</f>
        <v/>
      </c>
      <c r="J277">
        <f>HYPERLINK("https://www.gebeauty.com.br/products/primer-cachos-definidos?ref=review","review")</f>
        <v/>
      </c>
      <c r="K277" t="inlineStr">
        <is>
          <t>SEND</t>
        </is>
      </c>
    </row>
    <row r="278">
      <c r="A278" t="inlineStr">
        <is>
          <t>Antonella</t>
        </is>
      </c>
      <c r="B278" t="inlineStr">
        <is>
          <t>+5519999442310</t>
        </is>
      </c>
      <c r="C278" t="inlineStr">
        <is>
          <t>Refill</t>
        </is>
      </c>
      <c r="D278" t="inlineStr">
        <is>
          <t>Primer Cachos</t>
        </is>
      </c>
      <c r="E278" t="n">
        <v>1</v>
      </c>
      <c r="F278" t="inlineStr">
        <is>
          <t>2025-10-23</t>
        </is>
      </c>
      <c r="G278" t="n">
        <v>254</v>
      </c>
      <c r="H278" t="inlineStr">
        <is>
          <t>Y</t>
        </is>
      </c>
      <c r="I278">
        <f>HYPERLINK("https://admin.shopify.com/store/ge-beauty-cosmeticos/customers/9791152390464","abrir")</f>
        <v/>
      </c>
      <c r="J278">
        <f>HYPERLINK("https://www.gebeauty.com.br/products/primer-cachos-definidos?ref=review","review")</f>
        <v/>
      </c>
      <c r="K278" t="inlineStr">
        <is>
          <t>SEND</t>
        </is>
      </c>
    </row>
    <row r="279">
      <c r="A279" t="inlineStr">
        <is>
          <t>Danielle</t>
        </is>
      </c>
      <c r="B279" t="inlineStr">
        <is>
          <t>+5511995093738</t>
        </is>
      </c>
      <c r="C279" t="inlineStr">
        <is>
          <t>Refill</t>
        </is>
      </c>
      <c r="D279" t="inlineStr">
        <is>
          <t>Primer Cachos</t>
        </is>
      </c>
      <c r="E279" t="n">
        <v>1</v>
      </c>
      <c r="F279" t="inlineStr">
        <is>
          <t>2025-10-24</t>
        </is>
      </c>
      <c r="G279" t="n">
        <v>253</v>
      </c>
      <c r="H279" t="inlineStr">
        <is>
          <t>Y</t>
        </is>
      </c>
      <c r="I279">
        <f>HYPERLINK("https://admin.shopify.com/store/ge-beauty-cosmeticos/customers/9791731695936","abrir")</f>
        <v/>
      </c>
      <c r="J279">
        <f>HYPERLINK("https://www.gebeauty.com.br/products/primer-cachos-definidos?ref=review","review")</f>
        <v/>
      </c>
      <c r="K279" t="inlineStr">
        <is>
          <t>SEND</t>
        </is>
      </c>
    </row>
    <row r="280">
      <c r="A280" t="inlineStr">
        <is>
          <t>Carolina</t>
        </is>
      </c>
      <c r="B280" t="inlineStr">
        <is>
          <t>+5527996863383</t>
        </is>
      </c>
      <c r="C280" t="inlineStr">
        <is>
          <t>Refill</t>
        </is>
      </c>
      <c r="D280" t="inlineStr">
        <is>
          <t>Primer Cachos</t>
        </is>
      </c>
      <c r="E280" t="n">
        <v>1</v>
      </c>
      <c r="F280" t="inlineStr">
        <is>
          <t>2025-10-24</t>
        </is>
      </c>
      <c r="G280" t="n">
        <v>253</v>
      </c>
      <c r="H280" t="inlineStr">
        <is>
          <t>Y</t>
        </is>
      </c>
      <c r="I280">
        <f>HYPERLINK("https://admin.shopify.com/store/ge-beauty-cosmeticos/customers/9783545725248","abrir")</f>
        <v/>
      </c>
      <c r="J280">
        <f>HYPERLINK("https://www.gebeauty.com.br/products/primer-cachos-definidos?ref=review","review")</f>
        <v/>
      </c>
      <c r="K280" t="inlineStr">
        <is>
          <t>HOLDOUT</t>
        </is>
      </c>
    </row>
    <row r="281">
      <c r="A281" t="inlineStr">
        <is>
          <t>Juliana</t>
        </is>
      </c>
      <c r="B281" t="inlineStr">
        <is>
          <t>+5517991695692</t>
        </is>
      </c>
      <c r="C281" t="inlineStr">
        <is>
          <t>Refill</t>
        </is>
      </c>
      <c r="D281" t="inlineStr">
        <is>
          <t>Primer Cachos</t>
        </is>
      </c>
      <c r="E281" t="n">
        <v>1</v>
      </c>
      <c r="F281" t="inlineStr">
        <is>
          <t>2025-10-24</t>
        </is>
      </c>
      <c r="G281" t="n">
        <v>253</v>
      </c>
      <c r="H281" t="inlineStr">
        <is>
          <t>Y</t>
        </is>
      </c>
      <c r="I281">
        <f>HYPERLINK("https://admin.shopify.com/store/ge-beauty-cosmeticos/customers/9792792592704","abrir")</f>
        <v/>
      </c>
      <c r="J281">
        <f>HYPERLINK("https://www.gebeauty.com.br/products/primer-cachos-definidos?ref=review","review")</f>
        <v/>
      </c>
      <c r="K281" t="inlineStr">
        <is>
          <t>SEND</t>
        </is>
      </c>
    </row>
    <row r="282">
      <c r="A282" t="inlineStr">
        <is>
          <t>Mayrana</t>
        </is>
      </c>
      <c r="B282" t="inlineStr">
        <is>
          <t>+5511993132083</t>
        </is>
      </c>
      <c r="C282" t="inlineStr">
        <is>
          <t>Refill</t>
        </is>
      </c>
      <c r="D282" t="inlineStr">
        <is>
          <t>Primer Cachos</t>
        </is>
      </c>
      <c r="E282" t="n">
        <v>1</v>
      </c>
      <c r="F282" t="inlineStr">
        <is>
          <t>2025-10-24</t>
        </is>
      </c>
      <c r="G282" t="n">
        <v>253</v>
      </c>
      <c r="H282" t="inlineStr">
        <is>
          <t>Y</t>
        </is>
      </c>
      <c r="I282">
        <f>HYPERLINK("https://admin.shopify.com/store/ge-beauty-cosmeticos/customers/9793702035776","abrir")</f>
        <v/>
      </c>
      <c r="J282">
        <f>HYPERLINK("https://www.gebeauty.com.br/products/primer-cachos-definidos?ref=review","review")</f>
        <v/>
      </c>
      <c r="K282" t="inlineStr">
        <is>
          <t>SEND</t>
        </is>
      </c>
    </row>
    <row r="283">
      <c r="A283" t="inlineStr">
        <is>
          <t>Fernanda</t>
        </is>
      </c>
      <c r="B283" t="inlineStr">
        <is>
          <t>+5511999603938</t>
        </is>
      </c>
      <c r="C283" t="inlineStr">
        <is>
          <t>Refill</t>
        </is>
      </c>
      <c r="D283" t="inlineStr">
        <is>
          <t>Primer Cachos</t>
        </is>
      </c>
      <c r="E283" t="n">
        <v>1</v>
      </c>
      <c r="F283" t="inlineStr">
        <is>
          <t>2025-10-25</t>
        </is>
      </c>
      <c r="G283" t="n">
        <v>252</v>
      </c>
      <c r="H283" t="inlineStr">
        <is>
          <t>Y</t>
        </is>
      </c>
      <c r="I283">
        <f>HYPERLINK("https://admin.shopify.com/store/ge-beauty-cosmeticos/customers/7759890415936","abrir")</f>
        <v/>
      </c>
      <c r="J283">
        <f>HYPERLINK("https://www.gebeauty.com.br/products/primer-cachos-definidos?ref=review","review")</f>
        <v/>
      </c>
      <c r="K283" t="inlineStr">
        <is>
          <t>SEND</t>
        </is>
      </c>
    </row>
    <row r="284">
      <c r="A284" t="inlineStr">
        <is>
          <t>Veronica</t>
        </is>
      </c>
      <c r="B284" t="inlineStr">
        <is>
          <t>+5511987323158</t>
        </is>
      </c>
      <c r="C284" t="inlineStr">
        <is>
          <t>Refill</t>
        </is>
      </c>
      <c r="D284" t="inlineStr">
        <is>
          <t>Primer Cachos</t>
        </is>
      </c>
      <c r="E284" t="n">
        <v>1</v>
      </c>
      <c r="F284" t="inlineStr">
        <is>
          <t>2025-10-25</t>
        </is>
      </c>
      <c r="G284" t="n">
        <v>252</v>
      </c>
      <c r="H284" t="inlineStr">
        <is>
          <t>Y</t>
        </is>
      </c>
      <c r="I284">
        <f>HYPERLINK("https://admin.shopify.com/store/ge-beauty-cosmeticos/customers/9795258810688","abrir")</f>
        <v/>
      </c>
      <c r="J284">
        <f>HYPERLINK("https://www.gebeauty.com.br/products/primer-cachos-definidos?ref=review","review")</f>
        <v/>
      </c>
      <c r="K284" t="inlineStr">
        <is>
          <t>SEND</t>
        </is>
      </c>
    </row>
    <row r="285">
      <c r="A285" t="inlineStr">
        <is>
          <t>Karla</t>
        </is>
      </c>
      <c r="B285" t="inlineStr">
        <is>
          <t>+5511982457234</t>
        </is>
      </c>
      <c r="C285" t="inlineStr">
        <is>
          <t>Refill</t>
        </is>
      </c>
      <c r="D285" t="inlineStr">
        <is>
          <t>Primer Cachos</t>
        </is>
      </c>
      <c r="E285" t="n">
        <v>1</v>
      </c>
      <c r="F285" t="inlineStr">
        <is>
          <t>2025-10-25</t>
        </is>
      </c>
      <c r="G285" t="n">
        <v>252</v>
      </c>
      <c r="H285" t="inlineStr">
        <is>
          <t>Y</t>
        </is>
      </c>
      <c r="I285">
        <f>HYPERLINK("https://admin.shopify.com/store/ge-beauty-cosmeticos/customers/9795386802496","abrir")</f>
        <v/>
      </c>
      <c r="J285">
        <f>HYPERLINK("https://www.gebeauty.com.br/products/primer-cachos-definidos?ref=review","review")</f>
        <v/>
      </c>
      <c r="K285" t="inlineStr">
        <is>
          <t>SEND</t>
        </is>
      </c>
    </row>
    <row r="286">
      <c r="A286" t="inlineStr">
        <is>
          <t>Thais</t>
        </is>
      </c>
      <c r="B286" t="inlineStr">
        <is>
          <t>+5511971951553</t>
        </is>
      </c>
      <c r="C286" t="inlineStr">
        <is>
          <t>Refill</t>
        </is>
      </c>
      <c r="D286" t="inlineStr">
        <is>
          <t>Primer Cachos</t>
        </is>
      </c>
      <c r="E286" t="n">
        <v>1</v>
      </c>
      <c r="F286" t="inlineStr">
        <is>
          <t>2025-10-25</t>
        </is>
      </c>
      <c r="G286" t="n">
        <v>252</v>
      </c>
      <c r="H286" t="inlineStr">
        <is>
          <t>Y</t>
        </is>
      </c>
      <c r="I286">
        <f>HYPERLINK("https://admin.shopify.com/store/ge-beauty-cosmeticos/customers/9795646095680","abrir")</f>
        <v/>
      </c>
      <c r="J286">
        <f>HYPERLINK("https://www.gebeauty.com.br/products/primer-cachos-definidos?ref=review","review")</f>
        <v/>
      </c>
      <c r="K286" t="inlineStr">
        <is>
          <t>SEND</t>
        </is>
      </c>
    </row>
    <row r="287">
      <c r="A287" t="inlineStr">
        <is>
          <t>Marilia</t>
        </is>
      </c>
      <c r="B287" t="inlineStr">
        <is>
          <t>+5511964083845</t>
        </is>
      </c>
      <c r="C287" t="inlineStr">
        <is>
          <t>Refill</t>
        </is>
      </c>
      <c r="D287" t="inlineStr">
        <is>
          <t>Primer Cachos</t>
        </is>
      </c>
      <c r="E287" t="n">
        <v>1</v>
      </c>
      <c r="F287" t="inlineStr">
        <is>
          <t>2025-10-26</t>
        </is>
      </c>
      <c r="G287" t="n">
        <v>251</v>
      </c>
      <c r="H287" t="inlineStr">
        <is>
          <t>Y</t>
        </is>
      </c>
      <c r="I287">
        <f>HYPERLINK("https://admin.shopify.com/store/ge-beauty-cosmeticos/customers/9485996196160","abrir")</f>
        <v/>
      </c>
      <c r="J287">
        <f>HYPERLINK("https://www.gebeauty.com.br/products/primer-cachos-definidos?ref=review","review")</f>
        <v/>
      </c>
      <c r="K287" t="inlineStr">
        <is>
          <t>SEND</t>
        </is>
      </c>
    </row>
    <row r="288">
      <c r="A288" t="inlineStr">
        <is>
          <t>Vanessa</t>
        </is>
      </c>
      <c r="B288" t="inlineStr">
        <is>
          <t>+5582996145511</t>
        </is>
      </c>
      <c r="C288" t="inlineStr">
        <is>
          <t>Refill</t>
        </is>
      </c>
      <c r="D288" t="inlineStr">
        <is>
          <t>Primer Cachos</t>
        </is>
      </c>
      <c r="E288" t="n">
        <v>1</v>
      </c>
      <c r="F288" t="inlineStr">
        <is>
          <t>2025-10-26</t>
        </is>
      </c>
      <c r="G288" t="n">
        <v>251</v>
      </c>
      <c r="H288" t="inlineStr">
        <is>
          <t>Y</t>
        </is>
      </c>
      <c r="I288">
        <f>HYPERLINK("https://admin.shopify.com/store/ge-beauty-cosmeticos/customers/9797381521728","abrir")</f>
        <v/>
      </c>
      <c r="J288">
        <f>HYPERLINK("https://www.gebeauty.com.br/products/primer-cachos-definidos?ref=review","review")</f>
        <v/>
      </c>
      <c r="K288" t="inlineStr">
        <is>
          <t>SEND</t>
        </is>
      </c>
    </row>
    <row r="289">
      <c r="A289" t="inlineStr">
        <is>
          <t>Natalia</t>
        </is>
      </c>
      <c r="B289" t="inlineStr">
        <is>
          <t>+5511996309735</t>
        </is>
      </c>
      <c r="C289" t="inlineStr">
        <is>
          <t>Refill</t>
        </is>
      </c>
      <c r="D289" t="inlineStr">
        <is>
          <t>Primer Cachos</t>
        </is>
      </c>
      <c r="E289" t="n">
        <v>1</v>
      </c>
      <c r="F289" t="inlineStr">
        <is>
          <t>2025-10-26</t>
        </is>
      </c>
      <c r="G289" t="n">
        <v>251</v>
      </c>
      <c r="H289" t="inlineStr">
        <is>
          <t>Y</t>
        </is>
      </c>
      <c r="I289">
        <f>HYPERLINK("https://admin.shopify.com/store/ge-beauty-cosmeticos/customers/9797430378816","abrir")</f>
        <v/>
      </c>
      <c r="J289">
        <f>HYPERLINK("https://www.gebeauty.com.br/products/primer-cachos-definidos?ref=review","review")</f>
        <v/>
      </c>
      <c r="K289" t="inlineStr">
        <is>
          <t>SEND</t>
        </is>
      </c>
    </row>
    <row r="290">
      <c r="A290" t="inlineStr">
        <is>
          <t>Beatriz</t>
        </is>
      </c>
      <c r="B290" t="inlineStr">
        <is>
          <t>+5513996411581</t>
        </is>
      </c>
      <c r="C290" t="inlineStr">
        <is>
          <t>Refill</t>
        </is>
      </c>
      <c r="D290" t="inlineStr">
        <is>
          <t>Primer Cachos</t>
        </is>
      </c>
      <c r="E290" t="n">
        <v>1</v>
      </c>
      <c r="F290" t="inlineStr">
        <is>
          <t>2025-10-27</t>
        </is>
      </c>
      <c r="G290" t="n">
        <v>250</v>
      </c>
      <c r="H290" t="inlineStr">
        <is>
          <t>Y</t>
        </is>
      </c>
      <c r="I290">
        <f>HYPERLINK("https://admin.shopify.com/store/ge-beauty-cosmeticos/customers/9436920316224","abrir")</f>
        <v/>
      </c>
      <c r="J290">
        <f>HYPERLINK("https://www.gebeauty.com.br/products/primer-cachos-definidos?ref=review","review")</f>
        <v/>
      </c>
      <c r="K290" t="inlineStr">
        <is>
          <t>SEND</t>
        </is>
      </c>
    </row>
    <row r="291">
      <c r="A291" t="inlineStr">
        <is>
          <t>Ana</t>
        </is>
      </c>
      <c r="B291" t="inlineStr">
        <is>
          <t>+5511996731429</t>
        </is>
      </c>
      <c r="C291" t="inlineStr">
        <is>
          <t>Refill</t>
        </is>
      </c>
      <c r="D291" t="inlineStr">
        <is>
          <t>Primer Cachos</t>
        </is>
      </c>
      <c r="E291" t="n">
        <v>1</v>
      </c>
      <c r="F291" t="inlineStr">
        <is>
          <t>2025-10-27</t>
        </is>
      </c>
      <c r="G291" t="n">
        <v>250</v>
      </c>
      <c r="H291" t="inlineStr">
        <is>
          <t>Y</t>
        </is>
      </c>
      <c r="I291">
        <f>HYPERLINK("https://admin.shopify.com/store/ge-beauty-cosmeticos/customers/7760990306624","abrir")</f>
        <v/>
      </c>
      <c r="J291">
        <f>HYPERLINK("https://www.gebeauty.com.br/products/primer-cachos-definidos?ref=review","review")</f>
        <v/>
      </c>
      <c r="K291" t="inlineStr">
        <is>
          <t>HOLDOUT</t>
        </is>
      </c>
    </row>
    <row r="292">
      <c r="A292" t="inlineStr">
        <is>
          <t>Giulia</t>
        </is>
      </c>
      <c r="B292" t="inlineStr">
        <is>
          <t>+5581999775535</t>
        </is>
      </c>
      <c r="C292" t="inlineStr">
        <is>
          <t>Refill</t>
        </is>
      </c>
      <c r="D292" t="inlineStr">
        <is>
          <t>Primer Cachos</t>
        </is>
      </c>
      <c r="E292" t="n">
        <v>1</v>
      </c>
      <c r="F292" t="inlineStr">
        <is>
          <t>2025-10-27</t>
        </is>
      </c>
      <c r="G292" t="n">
        <v>250</v>
      </c>
      <c r="H292" t="inlineStr">
        <is>
          <t>Y</t>
        </is>
      </c>
      <c r="I292">
        <f>HYPERLINK("https://admin.shopify.com/store/ge-beauty-cosmeticos/customers/7759597928768","abrir")</f>
        <v/>
      </c>
      <c r="J292">
        <f>HYPERLINK("https://www.gebeauty.com.br/products/primer-cachos-definidos?ref=review","review")</f>
        <v/>
      </c>
      <c r="K292" t="inlineStr">
        <is>
          <t>SEND</t>
        </is>
      </c>
    </row>
    <row r="293">
      <c r="A293" t="inlineStr">
        <is>
          <t>Fabiana</t>
        </is>
      </c>
      <c r="B293" t="inlineStr">
        <is>
          <t>+5565999898591</t>
        </is>
      </c>
      <c r="C293" t="inlineStr">
        <is>
          <t>Refill</t>
        </is>
      </c>
      <c r="D293" t="inlineStr">
        <is>
          <t>Primer Cachos</t>
        </is>
      </c>
      <c r="E293" t="n">
        <v>1</v>
      </c>
      <c r="F293" t="inlineStr">
        <is>
          <t>2025-10-27</t>
        </is>
      </c>
      <c r="G293" t="n">
        <v>250</v>
      </c>
      <c r="H293" t="inlineStr">
        <is>
          <t>Y</t>
        </is>
      </c>
      <c r="I293">
        <f>HYPERLINK("https://admin.shopify.com/store/ge-beauty-cosmeticos/customers/9800630042944","abrir")</f>
        <v/>
      </c>
      <c r="J293">
        <f>HYPERLINK("https://www.gebeauty.com.br/products/primer-cachos-definidos?ref=review","review")</f>
        <v/>
      </c>
      <c r="K293" t="inlineStr">
        <is>
          <t>HOLDOUT</t>
        </is>
      </c>
    </row>
    <row r="294">
      <c r="A294" t="inlineStr">
        <is>
          <t>Maria</t>
        </is>
      </c>
      <c r="B294" t="inlineStr">
        <is>
          <t>+5511965650902</t>
        </is>
      </c>
      <c r="C294" t="inlineStr">
        <is>
          <t>Refill</t>
        </is>
      </c>
      <c r="D294" t="inlineStr">
        <is>
          <t>Primer Cachos</t>
        </is>
      </c>
      <c r="E294" t="n">
        <v>1</v>
      </c>
      <c r="F294" t="inlineStr">
        <is>
          <t>2025-10-27</t>
        </is>
      </c>
      <c r="G294" t="n">
        <v>250</v>
      </c>
      <c r="H294" t="inlineStr">
        <is>
          <t>Y</t>
        </is>
      </c>
      <c r="I294">
        <f>HYPERLINK("https://admin.shopify.com/store/ge-beauty-cosmeticos/customers/9253356568896","abrir")</f>
        <v/>
      </c>
      <c r="J294">
        <f>HYPERLINK("https://www.gebeauty.com.br/products/primer-cachos-definidos?ref=review","review")</f>
        <v/>
      </c>
      <c r="K294" t="inlineStr">
        <is>
          <t>SEND</t>
        </is>
      </c>
    </row>
    <row r="295">
      <c r="A295" t="inlineStr">
        <is>
          <t>Roberta</t>
        </is>
      </c>
      <c r="B295" t="inlineStr">
        <is>
          <t>+5511999649241</t>
        </is>
      </c>
      <c r="C295" t="inlineStr">
        <is>
          <t>Refill</t>
        </is>
      </c>
      <c r="D295" t="inlineStr">
        <is>
          <t>Primer Cachos</t>
        </is>
      </c>
      <c r="E295" t="n">
        <v>1</v>
      </c>
      <c r="F295" t="inlineStr">
        <is>
          <t>2025-10-27</t>
        </is>
      </c>
      <c r="G295" t="n">
        <v>250</v>
      </c>
      <c r="H295" t="inlineStr">
        <is>
          <t>Y</t>
        </is>
      </c>
      <c r="I295">
        <f>HYPERLINK("https://admin.shopify.com/store/ge-beauty-cosmeticos/customers/8219208417600","abrir")</f>
        <v/>
      </c>
      <c r="J295">
        <f>HYPERLINK("https://www.gebeauty.com.br/products/primer-cachos-definidos?ref=review","review")</f>
        <v/>
      </c>
      <c r="K295" t="inlineStr">
        <is>
          <t>SEND</t>
        </is>
      </c>
    </row>
    <row r="296">
      <c r="A296" t="inlineStr">
        <is>
          <t>Marina</t>
        </is>
      </c>
      <c r="B296" t="inlineStr">
        <is>
          <t>+5554991647816</t>
        </is>
      </c>
      <c r="C296" t="inlineStr">
        <is>
          <t>Refill</t>
        </is>
      </c>
      <c r="D296" t="inlineStr">
        <is>
          <t>Primer Cachos</t>
        </is>
      </c>
      <c r="E296" t="n">
        <v>1</v>
      </c>
      <c r="F296" t="inlineStr">
        <is>
          <t>2025-10-28</t>
        </is>
      </c>
      <c r="G296" t="n">
        <v>249</v>
      </c>
      <c r="H296" t="inlineStr">
        <is>
          <t>Y</t>
        </is>
      </c>
      <c r="I296">
        <f>HYPERLINK("https://admin.shopify.com/store/ge-beauty-cosmeticos/customers/9803437769024","abrir")</f>
        <v/>
      </c>
      <c r="J296">
        <f>HYPERLINK("https://www.gebeauty.com.br/products/primer-cachos-definidos?ref=review","review")</f>
        <v/>
      </c>
      <c r="K296" t="inlineStr">
        <is>
          <t>SEND</t>
        </is>
      </c>
    </row>
    <row r="297">
      <c r="A297" t="inlineStr">
        <is>
          <t>Lucas</t>
        </is>
      </c>
      <c r="B297" t="inlineStr">
        <is>
          <t>+5511976324095</t>
        </is>
      </c>
      <c r="C297" t="inlineStr">
        <is>
          <t>Refill</t>
        </is>
      </c>
      <c r="D297" t="inlineStr">
        <is>
          <t>Primer Cachos</t>
        </is>
      </c>
      <c r="E297" t="n">
        <v>1</v>
      </c>
      <c r="F297" t="inlineStr">
        <is>
          <t>2025-10-28</t>
        </is>
      </c>
      <c r="G297" t="n">
        <v>249</v>
      </c>
      <c r="H297" t="inlineStr">
        <is>
          <t>Y</t>
        </is>
      </c>
      <c r="I297">
        <f>HYPERLINK("https://admin.shopify.com/store/ge-beauty-cosmeticos/customers/9805459816768","abrir")</f>
        <v/>
      </c>
      <c r="J297">
        <f>HYPERLINK("https://www.gebeauty.com.br/products/primer-cachos-definidos?ref=review","review")</f>
        <v/>
      </c>
      <c r="K297" t="inlineStr">
        <is>
          <t>SEND</t>
        </is>
      </c>
    </row>
    <row r="298">
      <c r="A298" t="inlineStr">
        <is>
          <t>Marcia Regina</t>
        </is>
      </c>
      <c r="B298" t="inlineStr">
        <is>
          <t>+5548999602620</t>
        </is>
      </c>
      <c r="C298" t="inlineStr">
        <is>
          <t>Refill</t>
        </is>
      </c>
      <c r="D298" t="inlineStr">
        <is>
          <t>Primer Cachos</t>
        </is>
      </c>
      <c r="E298" t="n">
        <v>1</v>
      </c>
      <c r="F298" t="inlineStr">
        <is>
          <t>2025-10-28</t>
        </is>
      </c>
      <c r="G298" t="n">
        <v>249</v>
      </c>
      <c r="H298" t="inlineStr">
        <is>
          <t>Y</t>
        </is>
      </c>
      <c r="I298">
        <f>HYPERLINK("https://admin.shopify.com/store/ge-beauty-cosmeticos/customers/9726635835712","abrir")</f>
        <v/>
      </c>
      <c r="J298">
        <f>HYPERLINK("https://www.gebeauty.com.br/products/primer-cachos-definidos?ref=review","review")</f>
        <v/>
      </c>
      <c r="K298" t="inlineStr">
        <is>
          <t>SEND</t>
        </is>
      </c>
    </row>
    <row r="299">
      <c r="A299" t="inlineStr">
        <is>
          <t>Fabiana</t>
        </is>
      </c>
      <c r="B299" t="inlineStr">
        <is>
          <t>+5511993110678</t>
        </is>
      </c>
      <c r="C299" t="inlineStr">
        <is>
          <t>Refill</t>
        </is>
      </c>
      <c r="D299" t="inlineStr">
        <is>
          <t>Primer Cachos</t>
        </is>
      </c>
      <c r="E299" t="n">
        <v>1</v>
      </c>
      <c r="F299" t="inlineStr">
        <is>
          <t>2025-10-29</t>
        </is>
      </c>
      <c r="G299" t="n">
        <v>248</v>
      </c>
      <c r="H299" t="inlineStr">
        <is>
          <t>Y</t>
        </is>
      </c>
      <c r="I299">
        <f>HYPERLINK("https://admin.shopify.com/store/ge-beauty-cosmeticos/customers/8229698142528","abrir")</f>
        <v/>
      </c>
      <c r="J299">
        <f>HYPERLINK("https://www.gebeauty.com.br/products/primer-cachos-definidos?ref=review","review")</f>
        <v/>
      </c>
      <c r="K299" t="inlineStr">
        <is>
          <t>SEND</t>
        </is>
      </c>
    </row>
    <row r="300">
      <c r="A300" t="inlineStr">
        <is>
          <t>Paula</t>
        </is>
      </c>
      <c r="B300" t="inlineStr">
        <is>
          <t>+5521987768005</t>
        </is>
      </c>
      <c r="C300" t="inlineStr">
        <is>
          <t>Refill</t>
        </is>
      </c>
      <c r="D300" t="inlineStr">
        <is>
          <t>Primer Cachos</t>
        </is>
      </c>
      <c r="E300" t="n">
        <v>1</v>
      </c>
      <c r="F300" t="inlineStr">
        <is>
          <t>2025-10-29</t>
        </is>
      </c>
      <c r="G300" t="n">
        <v>248</v>
      </c>
      <c r="H300" t="inlineStr">
        <is>
          <t>Y</t>
        </is>
      </c>
      <c r="I300">
        <f>HYPERLINK("https://admin.shopify.com/store/ge-beauty-cosmeticos/customers/9539143696704","abrir")</f>
        <v/>
      </c>
      <c r="J300">
        <f>HYPERLINK("https://www.gebeauty.com.br/products/primer-cachos-definidos?ref=review","review")</f>
        <v/>
      </c>
      <c r="K300" t="inlineStr">
        <is>
          <t>SEND</t>
        </is>
      </c>
    </row>
    <row r="301">
      <c r="A301" t="inlineStr">
        <is>
          <t>Kessy</t>
        </is>
      </c>
      <c r="B301" t="inlineStr">
        <is>
          <t>+5511953548345</t>
        </is>
      </c>
      <c r="C301" t="inlineStr">
        <is>
          <t>Refill</t>
        </is>
      </c>
      <c r="D301" t="inlineStr">
        <is>
          <t>Primer Cachos</t>
        </is>
      </c>
      <c r="E301" t="n">
        <v>1</v>
      </c>
      <c r="F301" t="inlineStr">
        <is>
          <t>2025-10-29</t>
        </is>
      </c>
      <c r="G301" t="n">
        <v>248</v>
      </c>
      <c r="H301" t="inlineStr">
        <is>
          <t>Y</t>
        </is>
      </c>
      <c r="I301">
        <f>HYPERLINK("https://admin.shopify.com/store/ge-beauty-cosmeticos/customers/9761039221056","abrir")</f>
        <v/>
      </c>
      <c r="J301">
        <f>HYPERLINK("https://www.gebeauty.com.br/products/primer-cachos-definidos?ref=review","review")</f>
        <v/>
      </c>
      <c r="K301" t="inlineStr">
        <is>
          <t>SEND</t>
        </is>
      </c>
    </row>
    <row r="302">
      <c r="A302" t="inlineStr">
        <is>
          <t>Monica</t>
        </is>
      </c>
      <c r="B302" t="inlineStr">
        <is>
          <t>+5561996781999</t>
        </is>
      </c>
      <c r="C302" t="inlineStr">
        <is>
          <t>Refill</t>
        </is>
      </c>
      <c r="D302" t="inlineStr">
        <is>
          <t>Primer Cachos</t>
        </is>
      </c>
      <c r="E302" t="n">
        <v>1</v>
      </c>
      <c r="F302" t="inlineStr">
        <is>
          <t>2025-10-29</t>
        </is>
      </c>
      <c r="G302" t="n">
        <v>248</v>
      </c>
      <c r="H302" t="inlineStr">
        <is>
          <t>Y</t>
        </is>
      </c>
      <c r="I302">
        <f>HYPERLINK("https://admin.shopify.com/store/ge-beauty-cosmeticos/customers/7759558279488","abrir")</f>
        <v/>
      </c>
      <c r="J302">
        <f>HYPERLINK("https://www.gebeauty.com.br/products/primer-cachos-definidos?ref=review","review")</f>
        <v/>
      </c>
      <c r="K302" t="inlineStr">
        <is>
          <t>SEND</t>
        </is>
      </c>
    </row>
    <row r="303">
      <c r="B303" t="inlineStr">
        <is>
          <t>+5541997010544</t>
        </is>
      </c>
      <c r="C303" t="inlineStr">
        <is>
          <t>Refill</t>
        </is>
      </c>
      <c r="D303" t="inlineStr">
        <is>
          <t>Primer Cachos</t>
        </is>
      </c>
      <c r="E303" t="n">
        <v>1</v>
      </c>
      <c r="F303" t="inlineStr">
        <is>
          <t>2025-10-29</t>
        </is>
      </c>
      <c r="G303" t="n">
        <v>248</v>
      </c>
      <c r="H303" t="inlineStr">
        <is>
          <t>Y</t>
        </is>
      </c>
      <c r="I303">
        <f>HYPERLINK("https://admin.shopify.com/store/ge-beauty-cosmeticos/customers/9813701591360","abrir")</f>
        <v/>
      </c>
      <c r="J303">
        <f>HYPERLINK("https://www.gebeauty.com.br/products/primer-cachos-definidos?ref=review","review")</f>
        <v/>
      </c>
      <c r="K303" t="inlineStr">
        <is>
          <t>SEND</t>
        </is>
      </c>
    </row>
    <row r="304">
      <c r="A304" t="inlineStr">
        <is>
          <t>Caroline</t>
        </is>
      </c>
      <c r="B304" t="inlineStr">
        <is>
          <t>+5517996348311</t>
        </is>
      </c>
      <c r="C304" t="inlineStr">
        <is>
          <t>Refill</t>
        </is>
      </c>
      <c r="D304" t="inlineStr">
        <is>
          <t>Primer Cachos</t>
        </is>
      </c>
      <c r="E304" t="n">
        <v>1</v>
      </c>
      <c r="F304" t="inlineStr">
        <is>
          <t>2025-10-29</t>
        </is>
      </c>
      <c r="G304" t="n">
        <v>248</v>
      </c>
      <c r="H304" t="inlineStr">
        <is>
          <t>Y</t>
        </is>
      </c>
      <c r="I304">
        <f>HYPERLINK("https://admin.shopify.com/store/ge-beauty-cosmeticos/customers/9813735047488","abrir")</f>
        <v/>
      </c>
      <c r="J304">
        <f>HYPERLINK("https://www.gebeauty.com.br/products/primer-cachos-definidos?ref=review","review")</f>
        <v/>
      </c>
      <c r="K304" t="inlineStr">
        <is>
          <t>SEND</t>
        </is>
      </c>
    </row>
    <row r="305">
      <c r="A305" t="inlineStr">
        <is>
          <t>Gabriela</t>
        </is>
      </c>
      <c r="B305" t="inlineStr">
        <is>
          <t>+5511988540302</t>
        </is>
      </c>
      <c r="C305" t="inlineStr">
        <is>
          <t>Refill</t>
        </is>
      </c>
      <c r="D305" t="inlineStr">
        <is>
          <t>Primer Cachos</t>
        </is>
      </c>
      <c r="E305" t="n">
        <v>1</v>
      </c>
      <c r="F305" t="inlineStr">
        <is>
          <t>2025-10-30</t>
        </is>
      </c>
      <c r="G305" t="n">
        <v>247</v>
      </c>
      <c r="H305" t="inlineStr">
        <is>
          <t>Y</t>
        </is>
      </c>
      <c r="I305">
        <f>HYPERLINK("https://admin.shopify.com/store/ge-beauty-cosmeticos/customers/9809912758592","abrir")</f>
        <v/>
      </c>
      <c r="J305">
        <f>HYPERLINK("https://www.gebeauty.com.br/products/primer-cachos-definidos?ref=review","review")</f>
        <v/>
      </c>
      <c r="K305" t="inlineStr">
        <is>
          <t>HOLDOUT</t>
        </is>
      </c>
    </row>
    <row r="306">
      <c r="A306" t="inlineStr">
        <is>
          <t>Natali</t>
        </is>
      </c>
      <c r="B306" t="inlineStr">
        <is>
          <t>+5549991774462</t>
        </is>
      </c>
      <c r="C306" t="inlineStr">
        <is>
          <t>Refill</t>
        </is>
      </c>
      <c r="D306" t="inlineStr">
        <is>
          <t>Primer Cachos</t>
        </is>
      </c>
      <c r="E306" t="n">
        <v>1</v>
      </c>
      <c r="F306" t="inlineStr">
        <is>
          <t>2025-10-30</t>
        </is>
      </c>
      <c r="G306" t="n">
        <v>247</v>
      </c>
      <c r="H306" t="inlineStr">
        <is>
          <t>Y</t>
        </is>
      </c>
      <c r="I306">
        <f>HYPERLINK("https://admin.shopify.com/store/ge-beauty-cosmeticos/customers/9792353075520","abrir")</f>
        <v/>
      </c>
      <c r="J306">
        <f>HYPERLINK("https://www.gebeauty.com.br/products/primer-cachos-definidos?ref=review","review")</f>
        <v/>
      </c>
      <c r="K306" t="inlineStr">
        <is>
          <t>SEND</t>
        </is>
      </c>
    </row>
    <row r="307">
      <c r="A307" t="inlineStr">
        <is>
          <t>Isabel</t>
        </is>
      </c>
      <c r="B307" t="inlineStr">
        <is>
          <t>+5511996836148</t>
        </is>
      </c>
      <c r="C307" t="inlineStr">
        <is>
          <t>Refill</t>
        </is>
      </c>
      <c r="D307" t="inlineStr">
        <is>
          <t>Primer Cachos</t>
        </is>
      </c>
      <c r="E307" t="n">
        <v>1</v>
      </c>
      <c r="F307" t="inlineStr">
        <is>
          <t>2025-10-30</t>
        </is>
      </c>
      <c r="G307" t="n">
        <v>247</v>
      </c>
      <c r="H307" t="inlineStr">
        <is>
          <t>Y</t>
        </is>
      </c>
      <c r="I307">
        <f>HYPERLINK("https://admin.shopify.com/store/ge-beauty-cosmeticos/customers/7761518297408","abrir")</f>
        <v/>
      </c>
      <c r="J307">
        <f>HYPERLINK("https://www.gebeauty.com.br/products/primer-cachos-definidos?ref=review","review")</f>
        <v/>
      </c>
      <c r="K307" t="inlineStr">
        <is>
          <t>SEND</t>
        </is>
      </c>
    </row>
    <row r="308">
      <c r="A308" t="inlineStr">
        <is>
          <t>Michele</t>
        </is>
      </c>
      <c r="B308" t="inlineStr">
        <is>
          <t>+5585996059414</t>
        </is>
      </c>
      <c r="C308" t="inlineStr">
        <is>
          <t>Refill</t>
        </is>
      </c>
      <c r="D308" t="inlineStr">
        <is>
          <t>Primer Cachos</t>
        </is>
      </c>
      <c r="E308" t="n">
        <v>1</v>
      </c>
      <c r="F308" t="inlineStr">
        <is>
          <t>2025-10-30</t>
        </is>
      </c>
      <c r="G308" t="n">
        <v>247</v>
      </c>
      <c r="H308" t="inlineStr">
        <is>
          <t>Y</t>
        </is>
      </c>
      <c r="I308">
        <f>HYPERLINK("https://admin.shopify.com/store/ge-beauty-cosmeticos/customers/8526432665920","abrir")</f>
        <v/>
      </c>
      <c r="J308">
        <f>HYPERLINK("https://www.gebeauty.com.br/products/primer-cachos-definidos?ref=review","review")</f>
        <v/>
      </c>
      <c r="K308" t="inlineStr">
        <is>
          <t>SEND</t>
        </is>
      </c>
    </row>
    <row r="309">
      <c r="A309" t="inlineStr">
        <is>
          <t>Renata</t>
        </is>
      </c>
      <c r="B309" t="inlineStr">
        <is>
          <t>+5543999284132</t>
        </is>
      </c>
      <c r="C309" t="inlineStr">
        <is>
          <t>Refill</t>
        </is>
      </c>
      <c r="D309" t="inlineStr">
        <is>
          <t>Primer Cachos</t>
        </is>
      </c>
      <c r="E309" t="n">
        <v>1</v>
      </c>
      <c r="F309" t="inlineStr">
        <is>
          <t>2025-10-31</t>
        </is>
      </c>
      <c r="G309" t="n">
        <v>246</v>
      </c>
      <c r="H309" t="inlineStr">
        <is>
          <t>Y</t>
        </is>
      </c>
      <c r="I309">
        <f>HYPERLINK("https://admin.shopify.com/store/ge-beauty-cosmeticos/customers/9795342631232","abrir")</f>
        <v/>
      </c>
      <c r="J309">
        <f>HYPERLINK("https://www.gebeauty.com.br/products/primer-cachos-definidos?ref=review","review")</f>
        <v/>
      </c>
      <c r="K309" t="inlineStr">
        <is>
          <t>HOLDOUT</t>
        </is>
      </c>
    </row>
    <row r="310">
      <c r="A310" t="inlineStr">
        <is>
          <t>Suzane</t>
        </is>
      </c>
      <c r="B310" t="inlineStr">
        <is>
          <t>+5519983312003</t>
        </is>
      </c>
      <c r="C310" t="inlineStr">
        <is>
          <t>Refill</t>
        </is>
      </c>
      <c r="D310" t="inlineStr">
        <is>
          <t>Primer Cachos</t>
        </is>
      </c>
      <c r="E310" t="n">
        <v>1</v>
      </c>
      <c r="F310" t="inlineStr">
        <is>
          <t>2025-10-31</t>
        </is>
      </c>
      <c r="G310" t="n">
        <v>246</v>
      </c>
      <c r="H310" t="inlineStr">
        <is>
          <t>Y</t>
        </is>
      </c>
      <c r="I310">
        <f>HYPERLINK("https://admin.shopify.com/store/ge-beauty-cosmeticos/customers/9793483145536","abrir")</f>
        <v/>
      </c>
      <c r="J310">
        <f>HYPERLINK("https://www.gebeauty.com.br/products/primer-cachos-definidos?ref=review","review")</f>
        <v/>
      </c>
      <c r="K310" t="inlineStr">
        <is>
          <t>SEND</t>
        </is>
      </c>
    </row>
    <row r="311">
      <c r="A311" t="inlineStr">
        <is>
          <t>Julia</t>
        </is>
      </c>
      <c r="B311" t="inlineStr">
        <is>
          <t>+5551993938540</t>
        </is>
      </c>
      <c r="C311" t="inlineStr">
        <is>
          <t>Refill</t>
        </is>
      </c>
      <c r="D311" t="inlineStr">
        <is>
          <t>Primer Cachos</t>
        </is>
      </c>
      <c r="E311" t="n">
        <v>1</v>
      </c>
      <c r="F311" t="inlineStr">
        <is>
          <t>2025-10-31</t>
        </is>
      </c>
      <c r="G311" t="n">
        <v>246</v>
      </c>
      <c r="H311" t="inlineStr">
        <is>
          <t>Y</t>
        </is>
      </c>
      <c r="I311">
        <f>HYPERLINK("https://admin.shopify.com/store/ge-beauty-cosmeticos/customers/9485970145600","abrir")</f>
        <v/>
      </c>
      <c r="J311">
        <f>HYPERLINK("https://www.gebeauty.com.br/products/primer-cachos-definidos?ref=review","review")</f>
        <v/>
      </c>
      <c r="K311" t="inlineStr">
        <is>
          <t>SEND</t>
        </is>
      </c>
    </row>
    <row r="312">
      <c r="A312" t="inlineStr">
        <is>
          <t>Andressa</t>
        </is>
      </c>
      <c r="B312" t="inlineStr">
        <is>
          <t>+5527997545884</t>
        </is>
      </c>
      <c r="C312" t="inlineStr">
        <is>
          <t>Refill</t>
        </is>
      </c>
      <c r="D312" t="inlineStr">
        <is>
          <t>Primer Cachos</t>
        </is>
      </c>
      <c r="E312" t="n">
        <v>1</v>
      </c>
      <c r="F312" t="inlineStr">
        <is>
          <t>2025-10-31</t>
        </is>
      </c>
      <c r="G312" t="n">
        <v>246</v>
      </c>
      <c r="H312" t="inlineStr">
        <is>
          <t>Y</t>
        </is>
      </c>
      <c r="I312">
        <f>HYPERLINK("https://admin.shopify.com/store/ge-beauty-cosmeticos/customers/7760859169088","abrir")</f>
        <v/>
      </c>
      <c r="J312">
        <f>HYPERLINK("https://www.gebeauty.com.br/products/primer-cachos-definidos?ref=review","review")</f>
        <v/>
      </c>
      <c r="K312" t="inlineStr">
        <is>
          <t>HOLDOUT</t>
        </is>
      </c>
    </row>
    <row r="313">
      <c r="A313" t="inlineStr">
        <is>
          <t>Nathália</t>
        </is>
      </c>
      <c r="B313" t="inlineStr">
        <is>
          <t>+5511975394151</t>
        </is>
      </c>
      <c r="C313" t="inlineStr">
        <is>
          <t>Refill</t>
        </is>
      </c>
      <c r="D313" t="inlineStr">
        <is>
          <t>Primer Cachos</t>
        </is>
      </c>
      <c r="E313" t="n">
        <v>1</v>
      </c>
      <c r="F313" t="inlineStr">
        <is>
          <t>2025-11-07</t>
        </is>
      </c>
      <c r="G313" t="n">
        <v>239</v>
      </c>
      <c r="H313" t="inlineStr">
        <is>
          <t>Y</t>
        </is>
      </c>
      <c r="I313">
        <f>HYPERLINK("https://admin.shopify.com/store/ge-beauty-cosmeticos/customers/9485274251584","abrir")</f>
        <v/>
      </c>
      <c r="J313">
        <f>HYPERLINK("https://www.gebeauty.com.br/products/primer-cachos-definidos?ref=review","review")</f>
        <v/>
      </c>
      <c r="K313" t="inlineStr">
        <is>
          <t>SEND</t>
        </is>
      </c>
    </row>
    <row r="314">
      <c r="A314" t="inlineStr">
        <is>
          <t>Yasmin</t>
        </is>
      </c>
      <c r="B314" t="inlineStr">
        <is>
          <t>+5519974199227</t>
        </is>
      </c>
      <c r="C314" t="inlineStr">
        <is>
          <t>Refill</t>
        </is>
      </c>
      <c r="D314" t="inlineStr">
        <is>
          <t>Primer Cachos</t>
        </is>
      </c>
      <c r="E314" t="n">
        <v>1</v>
      </c>
      <c r="F314" t="inlineStr">
        <is>
          <t>2025-10-31</t>
        </is>
      </c>
      <c r="G314" t="n">
        <v>246</v>
      </c>
      <c r="H314" t="inlineStr">
        <is>
          <t>Y</t>
        </is>
      </c>
      <c r="I314">
        <f>HYPERLINK("https://admin.shopify.com/store/ge-beauty-cosmeticos/customers/9824968769856","abrir")</f>
        <v/>
      </c>
      <c r="J314">
        <f>HYPERLINK("https://www.gebeauty.com.br/products/primer-cachos-definidos?ref=review","review")</f>
        <v/>
      </c>
      <c r="K314" t="inlineStr">
        <is>
          <t>SEND</t>
        </is>
      </c>
    </row>
    <row r="315">
      <c r="A315" t="inlineStr">
        <is>
          <t>Carine</t>
        </is>
      </c>
      <c r="B315" t="inlineStr">
        <is>
          <t>+5511968477474</t>
        </is>
      </c>
      <c r="C315" t="inlineStr">
        <is>
          <t>Refill</t>
        </is>
      </c>
      <c r="D315" t="inlineStr">
        <is>
          <t>Primer Cachos</t>
        </is>
      </c>
      <c r="E315" t="n">
        <v>1</v>
      </c>
      <c r="F315" t="inlineStr">
        <is>
          <t>2025-10-31</t>
        </is>
      </c>
      <c r="G315" t="n">
        <v>246</v>
      </c>
      <c r="H315" t="inlineStr">
        <is>
          <t>Y</t>
        </is>
      </c>
      <c r="I315">
        <f>HYPERLINK("https://admin.shopify.com/store/ge-beauty-cosmeticos/customers/9486484209984","abrir")</f>
        <v/>
      </c>
      <c r="J315">
        <f>HYPERLINK("https://www.gebeauty.com.br/products/primer-cachos-definidos?ref=review","review")</f>
        <v/>
      </c>
      <c r="K315" t="inlineStr">
        <is>
          <t>SEND</t>
        </is>
      </c>
    </row>
    <row r="316">
      <c r="A316" t="inlineStr">
        <is>
          <t>Alice</t>
        </is>
      </c>
      <c r="B316" t="inlineStr">
        <is>
          <t>+5581994470427</t>
        </is>
      </c>
      <c r="C316" t="inlineStr">
        <is>
          <t>Refill</t>
        </is>
      </c>
      <c r="D316" t="inlineStr">
        <is>
          <t>Primer Cachos</t>
        </is>
      </c>
      <c r="E316" t="n">
        <v>1</v>
      </c>
      <c r="F316" t="inlineStr">
        <is>
          <t>2025-11-01</t>
        </is>
      </c>
      <c r="G316" t="n">
        <v>245</v>
      </c>
      <c r="H316" t="inlineStr">
        <is>
          <t>Y</t>
        </is>
      </c>
      <c r="I316">
        <f>HYPERLINK("https://admin.shopify.com/store/ge-beauty-cosmeticos/customers/7761819795776","abrir")</f>
        <v/>
      </c>
      <c r="J316">
        <f>HYPERLINK("https://www.gebeauty.com.br/products/primer-cachos-definidos?ref=review","review")</f>
        <v/>
      </c>
      <c r="K316" t="inlineStr">
        <is>
          <t>SEND</t>
        </is>
      </c>
    </row>
    <row r="317">
      <c r="A317" t="inlineStr">
        <is>
          <t>Camila</t>
        </is>
      </c>
      <c r="B317" t="inlineStr">
        <is>
          <t>+5511974299255</t>
        </is>
      </c>
      <c r="C317" t="inlineStr">
        <is>
          <t>Refill</t>
        </is>
      </c>
      <c r="D317" t="inlineStr">
        <is>
          <t>Primer Cachos</t>
        </is>
      </c>
      <c r="E317" t="n">
        <v>1</v>
      </c>
      <c r="F317" t="inlineStr">
        <is>
          <t>2025-11-01</t>
        </is>
      </c>
      <c r="G317" t="n">
        <v>245</v>
      </c>
      <c r="H317" t="inlineStr">
        <is>
          <t>Y</t>
        </is>
      </c>
      <c r="I317">
        <f>HYPERLINK("https://admin.shopify.com/store/ge-beauty-cosmeticos/customers/9726912233792","abrir")</f>
        <v/>
      </c>
      <c r="J317">
        <f>HYPERLINK("https://www.gebeauty.com.br/products/primer-cachos-definidos?ref=review","review")</f>
        <v/>
      </c>
      <c r="K317" t="inlineStr">
        <is>
          <t>SEND</t>
        </is>
      </c>
    </row>
    <row r="318">
      <c r="A318" t="inlineStr">
        <is>
          <t>Fernanda</t>
        </is>
      </c>
      <c r="B318" t="inlineStr">
        <is>
          <t>+5561981186300</t>
        </is>
      </c>
      <c r="C318" t="inlineStr">
        <is>
          <t>Refill</t>
        </is>
      </c>
      <c r="D318" t="inlineStr">
        <is>
          <t>Primer Cachos</t>
        </is>
      </c>
      <c r="E318" t="n">
        <v>1</v>
      </c>
      <c r="F318" t="inlineStr">
        <is>
          <t>2025-11-01</t>
        </is>
      </c>
      <c r="G318" t="n">
        <v>245</v>
      </c>
      <c r="H318" t="inlineStr">
        <is>
          <t>Y</t>
        </is>
      </c>
      <c r="I318">
        <f>HYPERLINK("https://admin.shopify.com/store/ge-beauty-cosmeticos/customers/9791523127616","abrir")</f>
        <v/>
      </c>
      <c r="J318">
        <f>HYPERLINK("https://www.gebeauty.com.br/products/primer-cachos-definidos?ref=review","review")</f>
        <v/>
      </c>
      <c r="K318" t="inlineStr">
        <is>
          <t>SEND</t>
        </is>
      </c>
    </row>
    <row r="319">
      <c r="A319" t="inlineStr">
        <is>
          <t>Maria</t>
        </is>
      </c>
      <c r="B319" t="inlineStr">
        <is>
          <t>+5521996025211</t>
        </is>
      </c>
      <c r="C319" t="inlineStr">
        <is>
          <t>Refill</t>
        </is>
      </c>
      <c r="D319" t="inlineStr">
        <is>
          <t>Primer Cachos</t>
        </is>
      </c>
      <c r="E319" t="n">
        <v>1</v>
      </c>
      <c r="F319" t="inlineStr">
        <is>
          <t>2025-11-01</t>
        </is>
      </c>
      <c r="G319" t="n">
        <v>245</v>
      </c>
      <c r="H319" t="inlineStr">
        <is>
          <t>Y</t>
        </is>
      </c>
      <c r="I319">
        <f>HYPERLINK("https://admin.shopify.com/store/ge-beauty-cosmeticos/customers/9703776977216","abrir")</f>
        <v/>
      </c>
      <c r="J319">
        <f>HYPERLINK("https://www.gebeauty.com.br/products/primer-cachos-definidos?ref=review","review")</f>
        <v/>
      </c>
      <c r="K319" t="inlineStr">
        <is>
          <t>SEND</t>
        </is>
      </c>
    </row>
    <row r="320">
      <c r="A320" t="inlineStr">
        <is>
          <t>Lorenza</t>
        </is>
      </c>
      <c r="B320" t="inlineStr">
        <is>
          <t>+5522999870391</t>
        </is>
      </c>
      <c r="C320" t="inlineStr">
        <is>
          <t>Refill</t>
        </is>
      </c>
      <c r="D320" t="inlineStr">
        <is>
          <t>Primer Cachos</t>
        </is>
      </c>
      <c r="E320" t="n">
        <v>1</v>
      </c>
      <c r="F320" t="inlineStr">
        <is>
          <t>2025-11-01</t>
        </is>
      </c>
      <c r="G320" t="n">
        <v>245</v>
      </c>
      <c r="H320" t="inlineStr">
        <is>
          <t>Y</t>
        </is>
      </c>
      <c r="I320">
        <f>HYPERLINK("https://admin.shopify.com/store/ge-beauty-cosmeticos/customers/9484748456256","abrir")</f>
        <v/>
      </c>
      <c r="J320">
        <f>HYPERLINK("https://www.gebeauty.com.br/products/primer-cachos-definidos?ref=review","review")</f>
        <v/>
      </c>
      <c r="K320" t="inlineStr">
        <is>
          <t>SEND</t>
        </is>
      </c>
    </row>
    <row r="321">
      <c r="A321" t="inlineStr">
        <is>
          <t>Paula</t>
        </is>
      </c>
      <c r="B321" t="inlineStr">
        <is>
          <t>+5511975777217</t>
        </is>
      </c>
      <c r="C321" t="inlineStr">
        <is>
          <t>Refill</t>
        </is>
      </c>
      <c r="D321" t="inlineStr">
        <is>
          <t>Primer Cachos</t>
        </is>
      </c>
      <c r="E321" t="n">
        <v>1</v>
      </c>
      <c r="F321" t="inlineStr">
        <is>
          <t>2025-11-01</t>
        </is>
      </c>
      <c r="G321" t="n">
        <v>245</v>
      </c>
      <c r="H321" t="inlineStr">
        <is>
          <t>Y</t>
        </is>
      </c>
      <c r="I321">
        <f>HYPERLINK("https://admin.shopify.com/store/ge-beauty-cosmeticos/customers/9485833470272","abrir")</f>
        <v/>
      </c>
      <c r="J321">
        <f>HYPERLINK("https://www.gebeauty.com.br/products/primer-cachos-definidos?ref=review","review")</f>
        <v/>
      </c>
      <c r="K321" t="inlineStr">
        <is>
          <t>SEND</t>
        </is>
      </c>
    </row>
    <row r="322">
      <c r="A322" t="inlineStr">
        <is>
          <t>Maria</t>
        </is>
      </c>
      <c r="B322" t="inlineStr">
        <is>
          <t>+5511963297904</t>
        </is>
      </c>
      <c r="C322" t="inlineStr">
        <is>
          <t>Refill</t>
        </is>
      </c>
      <c r="D322" t="inlineStr">
        <is>
          <t>Primer Cachos</t>
        </is>
      </c>
      <c r="E322" t="n">
        <v>1</v>
      </c>
      <c r="F322" t="inlineStr">
        <is>
          <t>2025-11-01</t>
        </is>
      </c>
      <c r="G322" t="n">
        <v>245</v>
      </c>
      <c r="H322" t="inlineStr">
        <is>
          <t>Y</t>
        </is>
      </c>
      <c r="I322">
        <f>HYPERLINK("https://admin.shopify.com/store/ge-beauty-cosmeticos/customers/7760865100096","abrir")</f>
        <v/>
      </c>
      <c r="J322">
        <f>HYPERLINK("https://www.gebeauty.com.br/products/primer-cachos-definidos?ref=review","review")</f>
        <v/>
      </c>
      <c r="K322" t="inlineStr">
        <is>
          <t>SEND</t>
        </is>
      </c>
    </row>
    <row r="323">
      <c r="A323" t="inlineStr">
        <is>
          <t>Maíra</t>
        </is>
      </c>
      <c r="B323" t="inlineStr">
        <is>
          <t>+5511998074221</t>
        </is>
      </c>
      <c r="C323" t="inlineStr">
        <is>
          <t>Refill</t>
        </is>
      </c>
      <c r="D323" t="inlineStr">
        <is>
          <t>Primer Cachos</t>
        </is>
      </c>
      <c r="E323" t="n">
        <v>1</v>
      </c>
      <c r="F323" t="inlineStr">
        <is>
          <t>2025-11-01</t>
        </is>
      </c>
      <c r="G323" t="n">
        <v>245</v>
      </c>
      <c r="H323" t="inlineStr">
        <is>
          <t>Y</t>
        </is>
      </c>
      <c r="I323">
        <f>HYPERLINK("https://admin.shopify.com/store/ge-beauty-cosmeticos/customers/7761846894912","abrir")</f>
        <v/>
      </c>
      <c r="J323">
        <f>HYPERLINK("https://www.gebeauty.com.br/products/primer-cachos-definidos?ref=review","review")</f>
        <v/>
      </c>
      <c r="K323" t="inlineStr">
        <is>
          <t>SEND</t>
        </is>
      </c>
    </row>
    <row r="324">
      <c r="A324" t="inlineStr">
        <is>
          <t>Isabela</t>
        </is>
      </c>
      <c r="B324" t="inlineStr">
        <is>
          <t>+5585999951097</t>
        </is>
      </c>
      <c r="C324" t="inlineStr">
        <is>
          <t>Refill</t>
        </is>
      </c>
      <c r="D324" t="inlineStr">
        <is>
          <t>Primer Cachos</t>
        </is>
      </c>
      <c r="E324" t="n">
        <v>1</v>
      </c>
      <c r="F324" t="inlineStr">
        <is>
          <t>2025-11-01</t>
        </is>
      </c>
      <c r="G324" t="n">
        <v>245</v>
      </c>
      <c r="H324" t="inlineStr">
        <is>
          <t>Y</t>
        </is>
      </c>
      <c r="I324">
        <f>HYPERLINK("https://admin.shopify.com/store/ge-beauty-cosmeticos/customers/9826516533568","abrir")</f>
        <v/>
      </c>
      <c r="J324">
        <f>HYPERLINK("https://www.gebeauty.com.br/products/primer-cachos-definidos?ref=review","review")</f>
        <v/>
      </c>
      <c r="K324" t="inlineStr">
        <is>
          <t>SEND</t>
        </is>
      </c>
    </row>
    <row r="325">
      <c r="A325" t="inlineStr">
        <is>
          <t>Priscila</t>
        </is>
      </c>
      <c r="B325" t="inlineStr">
        <is>
          <t>+5531994501326</t>
        </is>
      </c>
      <c r="C325" t="inlineStr">
        <is>
          <t>Refill</t>
        </is>
      </c>
      <c r="D325" t="inlineStr">
        <is>
          <t>Primer Cachos</t>
        </is>
      </c>
      <c r="E325" t="n">
        <v>1</v>
      </c>
      <c r="F325" t="inlineStr">
        <is>
          <t>2025-11-01</t>
        </is>
      </c>
      <c r="G325" t="n">
        <v>245</v>
      </c>
      <c r="H325" t="inlineStr">
        <is>
          <t>Y</t>
        </is>
      </c>
      <c r="I325">
        <f>HYPERLINK("https://admin.shopify.com/store/ge-beauty-cosmeticos/customers/9826241741120","abrir")</f>
        <v/>
      </c>
      <c r="J325">
        <f>HYPERLINK("https://www.gebeauty.com.br/products/primer-cachos-definidos?ref=review","review")</f>
        <v/>
      </c>
      <c r="K325" t="inlineStr">
        <is>
          <t>SEND</t>
        </is>
      </c>
    </row>
    <row r="326">
      <c r="A326" t="inlineStr">
        <is>
          <t>Luisa</t>
        </is>
      </c>
      <c r="B326" t="inlineStr">
        <is>
          <t>+5521968035826</t>
        </is>
      </c>
      <c r="C326" t="inlineStr">
        <is>
          <t>Refill</t>
        </is>
      </c>
      <c r="D326" t="inlineStr">
        <is>
          <t>Primer Cachos</t>
        </is>
      </c>
      <c r="E326" t="n">
        <v>1</v>
      </c>
      <c r="F326" t="inlineStr">
        <is>
          <t>2025-11-02</t>
        </is>
      </c>
      <c r="G326" t="n">
        <v>244</v>
      </c>
      <c r="H326" t="inlineStr">
        <is>
          <t>Y</t>
        </is>
      </c>
      <c r="I326">
        <f>HYPERLINK("https://admin.shopify.com/store/ge-beauty-cosmeticos/customers/9826975351104","abrir")</f>
        <v/>
      </c>
      <c r="J326">
        <f>HYPERLINK("https://www.gebeauty.com.br/products/primer-cachos-definidos?ref=review","review")</f>
        <v/>
      </c>
      <c r="K326" t="inlineStr">
        <is>
          <t>SEND</t>
        </is>
      </c>
    </row>
    <row r="327">
      <c r="A327" t="inlineStr">
        <is>
          <t>Fernanda</t>
        </is>
      </c>
      <c r="B327" t="inlineStr">
        <is>
          <t>+5531999952308</t>
        </is>
      </c>
      <c r="C327" t="inlineStr">
        <is>
          <t>Refill</t>
        </is>
      </c>
      <c r="D327" t="inlineStr">
        <is>
          <t>Primer Cachos</t>
        </is>
      </c>
      <c r="E327" t="n">
        <v>1</v>
      </c>
      <c r="F327" t="inlineStr">
        <is>
          <t>2025-11-02</t>
        </is>
      </c>
      <c r="G327" t="n">
        <v>244</v>
      </c>
      <c r="H327" t="inlineStr">
        <is>
          <t>Y</t>
        </is>
      </c>
      <c r="I327">
        <f>HYPERLINK("https://admin.shopify.com/store/ge-beauty-cosmeticos/customers/9827652370752","abrir")</f>
        <v/>
      </c>
      <c r="J327">
        <f>HYPERLINK("https://www.gebeauty.com.br/products/primer-cachos-definidos?ref=review","review")</f>
        <v/>
      </c>
      <c r="K327" t="inlineStr">
        <is>
          <t>SEND</t>
        </is>
      </c>
    </row>
    <row r="328">
      <c r="A328" t="inlineStr">
        <is>
          <t>Ula</t>
        </is>
      </c>
      <c r="B328" t="inlineStr">
        <is>
          <t>+5571999882490</t>
        </is>
      </c>
      <c r="C328" t="inlineStr">
        <is>
          <t>Refill</t>
        </is>
      </c>
      <c r="D328" t="inlineStr">
        <is>
          <t>Primer Cachos</t>
        </is>
      </c>
      <c r="E328" t="n">
        <v>1</v>
      </c>
      <c r="F328" t="inlineStr">
        <is>
          <t>2025-11-02</t>
        </is>
      </c>
      <c r="G328" t="n">
        <v>244</v>
      </c>
      <c r="H328" t="inlineStr">
        <is>
          <t>Y</t>
        </is>
      </c>
      <c r="I328">
        <f>HYPERLINK("https://admin.shopify.com/store/ge-beauty-cosmeticos/customers/9651459817792","abrir")</f>
        <v/>
      </c>
      <c r="J328">
        <f>HYPERLINK("https://www.gebeauty.com.br/products/primer-cachos-definidos?ref=review","review")</f>
        <v/>
      </c>
      <c r="K328" t="inlineStr">
        <is>
          <t>HOLDOUT</t>
        </is>
      </c>
    </row>
    <row r="329">
      <c r="A329" t="inlineStr">
        <is>
          <t>Catherine</t>
        </is>
      </c>
      <c r="B329" t="inlineStr">
        <is>
          <t>+5511982827438</t>
        </is>
      </c>
      <c r="C329" t="inlineStr">
        <is>
          <t>Refill</t>
        </is>
      </c>
      <c r="D329" t="inlineStr">
        <is>
          <t>Primer Cachos</t>
        </is>
      </c>
      <c r="E329" t="n">
        <v>1</v>
      </c>
      <c r="F329" t="inlineStr">
        <is>
          <t>2025-11-02</t>
        </is>
      </c>
      <c r="G329" t="n">
        <v>244</v>
      </c>
      <c r="H329" t="inlineStr">
        <is>
          <t>Y</t>
        </is>
      </c>
      <c r="I329">
        <f>HYPERLINK("https://admin.shopify.com/store/ge-beauty-cosmeticos/customers/9828048732480","abrir")</f>
        <v/>
      </c>
      <c r="J329">
        <f>HYPERLINK("https://www.gebeauty.com.br/products/primer-cachos-definidos?ref=review","review")</f>
        <v/>
      </c>
      <c r="K329" t="inlineStr">
        <is>
          <t>HOLDOUT</t>
        </is>
      </c>
    </row>
    <row r="330">
      <c r="A330" t="inlineStr">
        <is>
          <t>Julia</t>
        </is>
      </c>
      <c r="B330" t="inlineStr">
        <is>
          <t>+5581999744200</t>
        </is>
      </c>
      <c r="C330" t="inlineStr">
        <is>
          <t>Refill</t>
        </is>
      </c>
      <c r="D330" t="inlineStr">
        <is>
          <t>Primer Cachos</t>
        </is>
      </c>
      <c r="E330" t="n">
        <v>1</v>
      </c>
      <c r="F330" t="inlineStr">
        <is>
          <t>2025-11-02</t>
        </is>
      </c>
      <c r="G330" t="n">
        <v>244</v>
      </c>
      <c r="H330" t="inlineStr">
        <is>
          <t>Y</t>
        </is>
      </c>
      <c r="I330">
        <f>HYPERLINK("https://admin.shopify.com/store/ge-beauty-cosmeticos/customers/9828136059200","abrir")</f>
        <v/>
      </c>
      <c r="J330">
        <f>HYPERLINK("https://www.gebeauty.com.br/products/primer-cachos-definidos?ref=review","review")</f>
        <v/>
      </c>
      <c r="K330" t="inlineStr">
        <is>
          <t>SEND</t>
        </is>
      </c>
    </row>
    <row r="331">
      <c r="A331" t="inlineStr">
        <is>
          <t>Melina</t>
        </is>
      </c>
      <c r="B331" t="inlineStr">
        <is>
          <t>+5511916406509</t>
        </is>
      </c>
      <c r="C331" t="inlineStr">
        <is>
          <t>Refill</t>
        </is>
      </c>
      <c r="D331" t="inlineStr">
        <is>
          <t>Primer Cachos</t>
        </is>
      </c>
      <c r="E331" t="n">
        <v>1</v>
      </c>
      <c r="F331" t="inlineStr">
        <is>
          <t>2025-11-02</t>
        </is>
      </c>
      <c r="G331" t="n">
        <v>244</v>
      </c>
      <c r="H331" t="inlineStr">
        <is>
          <t>Y</t>
        </is>
      </c>
      <c r="I331">
        <f>HYPERLINK("https://admin.shopify.com/store/ge-beauty-cosmeticos/customers/8291711713600","abrir")</f>
        <v/>
      </c>
      <c r="J331">
        <f>HYPERLINK("https://www.gebeauty.com.br/products/primer-cachos-definidos?ref=review","review")</f>
        <v/>
      </c>
      <c r="K331" t="inlineStr">
        <is>
          <t>SEND</t>
        </is>
      </c>
    </row>
    <row r="332">
      <c r="A332" t="inlineStr">
        <is>
          <t>Isadora de Mali</t>
        </is>
      </c>
      <c r="B332" t="inlineStr">
        <is>
          <t>+5541999369835</t>
        </is>
      </c>
      <c r="C332" t="inlineStr">
        <is>
          <t>Refill</t>
        </is>
      </c>
      <c r="D332" t="inlineStr">
        <is>
          <t>Primer Cachos</t>
        </is>
      </c>
      <c r="E332" t="n">
        <v>1</v>
      </c>
      <c r="F332" t="inlineStr">
        <is>
          <t>2025-11-02</t>
        </is>
      </c>
      <c r="G332" t="n">
        <v>244</v>
      </c>
      <c r="H332" t="inlineStr">
        <is>
          <t>Y</t>
        </is>
      </c>
      <c r="I332">
        <f>HYPERLINK("https://admin.shopify.com/store/ge-beauty-cosmeticos/customers/9650820710720","abrir")</f>
        <v/>
      </c>
      <c r="J332">
        <f>HYPERLINK("https://www.gebeauty.com.br/products/primer-cachos-definidos?ref=review","review")</f>
        <v/>
      </c>
      <c r="K332" t="inlineStr">
        <is>
          <t>SEND</t>
        </is>
      </c>
    </row>
    <row r="333">
      <c r="A333" t="inlineStr">
        <is>
          <t>Marisa</t>
        </is>
      </c>
      <c r="B333" t="inlineStr">
        <is>
          <t>+5511982029936</t>
        </is>
      </c>
      <c r="C333" t="inlineStr">
        <is>
          <t>Refill</t>
        </is>
      </c>
      <c r="D333" t="inlineStr">
        <is>
          <t>Primer Cachos</t>
        </is>
      </c>
      <c r="E333" t="n">
        <v>1</v>
      </c>
      <c r="F333" t="inlineStr">
        <is>
          <t>2025-11-03</t>
        </is>
      </c>
      <c r="G333" t="n">
        <v>243</v>
      </c>
      <c r="H333" t="inlineStr">
        <is>
          <t>Y</t>
        </is>
      </c>
      <c r="I333">
        <f>HYPERLINK("https://admin.shopify.com/store/ge-beauty-cosmeticos/customers/7761484382528","abrir")</f>
        <v/>
      </c>
      <c r="J333">
        <f>HYPERLINK("https://www.gebeauty.com.br/products/primer-cachos-definidos?ref=review","review")</f>
        <v/>
      </c>
      <c r="K333" t="inlineStr">
        <is>
          <t>SEND</t>
        </is>
      </c>
    </row>
    <row r="334">
      <c r="A334" t="inlineStr">
        <is>
          <t>Sabrina</t>
        </is>
      </c>
      <c r="B334" t="inlineStr">
        <is>
          <t>+5511958107900</t>
        </is>
      </c>
      <c r="C334" t="inlineStr">
        <is>
          <t>Refill</t>
        </is>
      </c>
      <c r="D334" t="inlineStr">
        <is>
          <t>Primer Cachos</t>
        </is>
      </c>
      <c r="E334" t="n">
        <v>1</v>
      </c>
      <c r="F334" t="inlineStr">
        <is>
          <t>2025-11-03</t>
        </is>
      </c>
      <c r="G334" t="n">
        <v>243</v>
      </c>
      <c r="H334" t="inlineStr">
        <is>
          <t>Y</t>
        </is>
      </c>
      <c r="I334">
        <f>HYPERLINK("https://admin.shopify.com/store/ge-beauty-cosmeticos/customers/9830040600896","abrir")</f>
        <v/>
      </c>
      <c r="J334">
        <f>HYPERLINK("https://www.gebeauty.com.br/products/primer-cachos-definidos?ref=review","review")</f>
        <v/>
      </c>
      <c r="K334" t="inlineStr">
        <is>
          <t>SEND</t>
        </is>
      </c>
    </row>
    <row r="335">
      <c r="A335" t="inlineStr">
        <is>
          <t>Vitoria</t>
        </is>
      </c>
      <c r="B335" t="inlineStr">
        <is>
          <t>+5511975989182</t>
        </is>
      </c>
      <c r="C335" t="inlineStr">
        <is>
          <t>Refill</t>
        </is>
      </c>
      <c r="D335" t="inlineStr">
        <is>
          <t>Primer Cachos</t>
        </is>
      </c>
      <c r="E335" t="n">
        <v>1</v>
      </c>
      <c r="F335" t="inlineStr">
        <is>
          <t>2025-11-03</t>
        </is>
      </c>
      <c r="G335" t="n">
        <v>243</v>
      </c>
      <c r="H335" t="inlineStr">
        <is>
          <t>Y</t>
        </is>
      </c>
      <c r="I335">
        <f>HYPERLINK("https://admin.shopify.com/store/ge-beauty-cosmeticos/customers/9721791119680","abrir")</f>
        <v/>
      </c>
      <c r="J335">
        <f>HYPERLINK("https://www.gebeauty.com.br/products/primer-cachos-definidos?ref=review","review")</f>
        <v/>
      </c>
      <c r="K335" t="inlineStr">
        <is>
          <t>HOLDOUT</t>
        </is>
      </c>
    </row>
    <row r="336">
      <c r="A336" t="inlineStr">
        <is>
          <t>Greyci</t>
        </is>
      </c>
      <c r="B336" t="inlineStr">
        <is>
          <t>+5561983033320</t>
        </is>
      </c>
      <c r="C336" t="inlineStr">
        <is>
          <t>Refill</t>
        </is>
      </c>
      <c r="D336" t="inlineStr">
        <is>
          <t>Primer Cachos</t>
        </is>
      </c>
      <c r="E336" t="n">
        <v>1</v>
      </c>
      <c r="F336" t="inlineStr">
        <is>
          <t>2025-11-03</t>
        </is>
      </c>
      <c r="G336" t="n">
        <v>243</v>
      </c>
      <c r="H336" t="inlineStr">
        <is>
          <t>Y</t>
        </is>
      </c>
      <c r="I336">
        <f>HYPERLINK("https://admin.shopify.com/store/ge-beauty-cosmeticos/customers/9243337523520","abrir")</f>
        <v/>
      </c>
      <c r="J336">
        <f>HYPERLINK("https://www.gebeauty.com.br/products/primer-cachos-definidos?ref=review","review")</f>
        <v/>
      </c>
      <c r="K336" t="inlineStr">
        <is>
          <t>SEND</t>
        </is>
      </c>
    </row>
    <row r="337">
      <c r="A337" t="inlineStr">
        <is>
          <t>Luiza</t>
        </is>
      </c>
      <c r="B337" t="inlineStr">
        <is>
          <t>+5531983848571</t>
        </is>
      </c>
      <c r="C337" t="inlineStr">
        <is>
          <t>Refill</t>
        </is>
      </c>
      <c r="D337" t="inlineStr">
        <is>
          <t>Primer Cachos</t>
        </is>
      </c>
      <c r="E337" t="n">
        <v>1</v>
      </c>
      <c r="F337" t="inlineStr">
        <is>
          <t>2025-11-03</t>
        </is>
      </c>
      <c r="G337" t="n">
        <v>243</v>
      </c>
      <c r="H337" t="inlineStr">
        <is>
          <t>Y</t>
        </is>
      </c>
      <c r="I337">
        <f>HYPERLINK("https://admin.shopify.com/store/ge-beauty-cosmeticos/customers/9486031749440","abrir")</f>
        <v/>
      </c>
      <c r="J337">
        <f>HYPERLINK("https://www.gebeauty.com.br/products/primer-cachos-definidos?ref=review","review")</f>
        <v/>
      </c>
      <c r="K337" t="inlineStr">
        <is>
          <t>SEND</t>
        </is>
      </c>
    </row>
    <row r="338">
      <c r="A338" t="inlineStr">
        <is>
          <t>Giovana</t>
        </is>
      </c>
      <c r="B338" t="inlineStr">
        <is>
          <t>+5511974185509</t>
        </is>
      </c>
      <c r="C338" t="inlineStr">
        <is>
          <t>Refill</t>
        </is>
      </c>
      <c r="D338" t="inlineStr">
        <is>
          <t>Primer Cachos</t>
        </is>
      </c>
      <c r="E338" t="n">
        <v>1</v>
      </c>
      <c r="F338" t="inlineStr">
        <is>
          <t>2025-11-03</t>
        </is>
      </c>
      <c r="G338" t="n">
        <v>243</v>
      </c>
      <c r="H338" t="inlineStr">
        <is>
          <t>Y</t>
        </is>
      </c>
      <c r="I338">
        <f>HYPERLINK("https://admin.shopify.com/store/ge-beauty-cosmeticos/customers/9758630052160","abrir")</f>
        <v/>
      </c>
      <c r="J338">
        <f>HYPERLINK("https://www.gebeauty.com.br/products/primer-cachos-definidos?ref=review","review")</f>
        <v/>
      </c>
      <c r="K338" t="inlineStr">
        <is>
          <t>SEND</t>
        </is>
      </c>
    </row>
    <row r="339">
      <c r="A339" t="inlineStr">
        <is>
          <t>Marcela</t>
        </is>
      </c>
      <c r="B339" t="inlineStr">
        <is>
          <t>+5511999992251</t>
        </is>
      </c>
      <c r="C339" t="inlineStr">
        <is>
          <t>Refill</t>
        </is>
      </c>
      <c r="D339" t="inlineStr">
        <is>
          <t>Primer Cachos</t>
        </is>
      </c>
      <c r="E339" t="n">
        <v>1</v>
      </c>
      <c r="F339" t="inlineStr">
        <is>
          <t>2025-11-03</t>
        </is>
      </c>
      <c r="G339" t="n">
        <v>243</v>
      </c>
      <c r="H339" t="inlineStr">
        <is>
          <t>Y</t>
        </is>
      </c>
      <c r="I339">
        <f>HYPERLINK("https://admin.shopify.com/store/ge-beauty-cosmeticos/customers/9830562070848","abrir")</f>
        <v/>
      </c>
      <c r="J339">
        <f>HYPERLINK("https://www.gebeauty.com.br/products/primer-cachos-definidos?ref=review","review")</f>
        <v/>
      </c>
      <c r="K339" t="inlineStr">
        <is>
          <t>SEND</t>
        </is>
      </c>
    </row>
    <row r="340">
      <c r="A340" t="inlineStr">
        <is>
          <t>Barbara</t>
        </is>
      </c>
      <c r="B340" t="inlineStr">
        <is>
          <t>+5511971177668</t>
        </is>
      </c>
      <c r="C340" t="inlineStr">
        <is>
          <t>Refill</t>
        </is>
      </c>
      <c r="D340" t="inlineStr">
        <is>
          <t>Primer Cachos</t>
        </is>
      </c>
      <c r="E340" t="n">
        <v>1</v>
      </c>
      <c r="F340" t="inlineStr">
        <is>
          <t>2025-11-03</t>
        </is>
      </c>
      <c r="G340" t="n">
        <v>243</v>
      </c>
      <c r="H340" t="inlineStr">
        <is>
          <t>Y</t>
        </is>
      </c>
      <c r="I340">
        <f>HYPERLINK("https://admin.shopify.com/store/ge-beauty-cosmeticos/customers/9777102881088","abrir")</f>
        <v/>
      </c>
      <c r="J340">
        <f>HYPERLINK("https://www.gebeauty.com.br/products/primer-cachos-definidos?ref=review","review")</f>
        <v/>
      </c>
      <c r="K340" t="inlineStr">
        <is>
          <t>SEND</t>
        </is>
      </c>
    </row>
    <row r="341">
      <c r="A341" t="inlineStr">
        <is>
          <t>Milena</t>
        </is>
      </c>
      <c r="B341" t="inlineStr">
        <is>
          <t>+5543996949165</t>
        </is>
      </c>
      <c r="C341" t="inlineStr">
        <is>
          <t>Refill</t>
        </is>
      </c>
      <c r="D341" t="inlineStr">
        <is>
          <t>Primer Cachos</t>
        </is>
      </c>
      <c r="E341" t="n">
        <v>1</v>
      </c>
      <c r="F341" t="inlineStr">
        <is>
          <t>2025-11-03</t>
        </is>
      </c>
      <c r="G341" t="n">
        <v>243</v>
      </c>
      <c r="H341" t="inlineStr">
        <is>
          <t>Y</t>
        </is>
      </c>
      <c r="I341">
        <f>HYPERLINK("https://admin.shopify.com/store/ge-beauty-cosmeticos/customers/9830107513152","abrir")</f>
        <v/>
      </c>
      <c r="J341">
        <f>HYPERLINK("https://www.gebeauty.com.br/products/primer-cachos-definidos?ref=review","review")</f>
        <v/>
      </c>
      <c r="K341" t="inlineStr">
        <is>
          <t>SEND</t>
        </is>
      </c>
    </row>
    <row r="342">
      <c r="A342" t="inlineStr">
        <is>
          <t>Renata</t>
        </is>
      </c>
      <c r="B342" t="inlineStr">
        <is>
          <t>+5512978137447</t>
        </is>
      </c>
      <c r="C342" t="inlineStr">
        <is>
          <t>Refill</t>
        </is>
      </c>
      <c r="D342" t="inlineStr">
        <is>
          <t>Primer Cachos</t>
        </is>
      </c>
      <c r="E342" t="n">
        <v>1</v>
      </c>
      <c r="F342" t="inlineStr">
        <is>
          <t>2025-11-03</t>
        </is>
      </c>
      <c r="G342" t="n">
        <v>243</v>
      </c>
      <c r="H342" t="inlineStr">
        <is>
          <t>Y</t>
        </is>
      </c>
      <c r="I342">
        <f>HYPERLINK("https://admin.shopify.com/store/ge-beauty-cosmeticos/customers/9830607913280","abrir")</f>
        <v/>
      </c>
      <c r="J342">
        <f>HYPERLINK("https://www.gebeauty.com.br/products/primer-cachos-definidos?ref=review","review")</f>
        <v/>
      </c>
      <c r="K342" t="inlineStr">
        <is>
          <t>HOLDOUT</t>
        </is>
      </c>
    </row>
    <row r="343">
      <c r="A343" t="inlineStr">
        <is>
          <t>Maria Eduarda</t>
        </is>
      </c>
      <c r="B343" t="inlineStr">
        <is>
          <t>+5531994040406</t>
        </is>
      </c>
      <c r="C343" t="inlineStr">
        <is>
          <t>Refill</t>
        </is>
      </c>
      <c r="D343" t="inlineStr">
        <is>
          <t>Primer Cachos</t>
        </is>
      </c>
      <c r="E343" t="n">
        <v>1</v>
      </c>
      <c r="F343" t="inlineStr">
        <is>
          <t>2025-11-03</t>
        </is>
      </c>
      <c r="G343" t="n">
        <v>243</v>
      </c>
      <c r="H343" t="inlineStr">
        <is>
          <t>Y</t>
        </is>
      </c>
      <c r="I343">
        <f>HYPERLINK("https://admin.shopify.com/store/ge-beauty-cosmeticos/customers/9753063096640","abrir")</f>
        <v/>
      </c>
      <c r="J343">
        <f>HYPERLINK("https://www.gebeauty.com.br/products/primer-cachos-definidos?ref=review","review")</f>
        <v/>
      </c>
      <c r="K343" t="inlineStr">
        <is>
          <t>SEND</t>
        </is>
      </c>
    </row>
    <row r="344">
      <c r="A344" t="inlineStr">
        <is>
          <t>Daniela</t>
        </is>
      </c>
      <c r="B344" t="inlineStr">
        <is>
          <t>+5519991830342</t>
        </is>
      </c>
      <c r="C344" t="inlineStr">
        <is>
          <t>Refill</t>
        </is>
      </c>
      <c r="D344" t="inlineStr">
        <is>
          <t>Primer Cachos</t>
        </is>
      </c>
      <c r="E344" t="n">
        <v>1</v>
      </c>
      <c r="F344" t="inlineStr">
        <is>
          <t>2025-11-04</t>
        </is>
      </c>
      <c r="G344" t="n">
        <v>242</v>
      </c>
      <c r="H344" t="inlineStr">
        <is>
          <t>Y</t>
        </is>
      </c>
      <c r="I344">
        <f>HYPERLINK("https://admin.shopify.com/store/ge-beauty-cosmeticos/customers/9831214711104","abrir")</f>
        <v/>
      </c>
      <c r="J344">
        <f>HYPERLINK("https://www.gebeauty.com.br/products/primer-cachos-definidos?ref=review","review")</f>
        <v/>
      </c>
      <c r="K344" t="inlineStr">
        <is>
          <t>SEND</t>
        </is>
      </c>
    </row>
    <row r="345">
      <c r="A345" t="inlineStr">
        <is>
          <t>Joao</t>
        </is>
      </c>
      <c r="B345" t="inlineStr">
        <is>
          <t>+5585999912994</t>
        </is>
      </c>
      <c r="C345" t="inlineStr">
        <is>
          <t>Refill</t>
        </is>
      </c>
      <c r="D345" t="inlineStr">
        <is>
          <t>Primer Cachos</t>
        </is>
      </c>
      <c r="E345" t="n">
        <v>1</v>
      </c>
      <c r="F345" t="inlineStr">
        <is>
          <t>2025-11-04</t>
        </is>
      </c>
      <c r="G345" t="n">
        <v>242</v>
      </c>
      <c r="H345" t="inlineStr">
        <is>
          <t>Y</t>
        </is>
      </c>
      <c r="I345">
        <f>HYPERLINK("https://admin.shopify.com/store/ge-beauty-cosmeticos/customers/9831595835712","abrir")</f>
        <v/>
      </c>
      <c r="J345">
        <f>HYPERLINK("https://www.gebeauty.com.br/products/primer-cachos-definidos?ref=review","review")</f>
        <v/>
      </c>
      <c r="K345" t="inlineStr">
        <is>
          <t>SEND</t>
        </is>
      </c>
    </row>
    <row r="346">
      <c r="A346" t="inlineStr">
        <is>
          <t>Stephania</t>
        </is>
      </c>
      <c r="B346" t="inlineStr">
        <is>
          <t>+5519991468838</t>
        </is>
      </c>
      <c r="C346" t="inlineStr">
        <is>
          <t>Refill</t>
        </is>
      </c>
      <c r="D346" t="inlineStr">
        <is>
          <t>Primer Cachos</t>
        </is>
      </c>
      <c r="E346" t="n">
        <v>1</v>
      </c>
      <c r="F346" t="inlineStr">
        <is>
          <t>2025-11-04</t>
        </is>
      </c>
      <c r="G346" t="n">
        <v>242</v>
      </c>
      <c r="H346" t="inlineStr">
        <is>
          <t>Y</t>
        </is>
      </c>
      <c r="I346">
        <f>HYPERLINK("https://admin.shopify.com/store/ge-beauty-cosmeticos/customers/8397676577088","abrir")</f>
        <v/>
      </c>
      <c r="J346">
        <f>HYPERLINK("https://www.gebeauty.com.br/products/primer-cachos-definidos?ref=review","review")</f>
        <v/>
      </c>
      <c r="K346" t="inlineStr">
        <is>
          <t>SEND</t>
        </is>
      </c>
    </row>
    <row r="347">
      <c r="A347" t="inlineStr">
        <is>
          <t>Letícia</t>
        </is>
      </c>
      <c r="B347" t="inlineStr">
        <is>
          <t>+5583996723363</t>
        </is>
      </c>
      <c r="C347" t="inlineStr">
        <is>
          <t>Refill</t>
        </is>
      </c>
      <c r="D347" t="inlineStr">
        <is>
          <t>Primer Cachos</t>
        </is>
      </c>
      <c r="E347" t="n">
        <v>1</v>
      </c>
      <c r="F347" t="inlineStr">
        <is>
          <t>2025-11-04</t>
        </is>
      </c>
      <c r="G347" t="n">
        <v>242</v>
      </c>
      <c r="H347" t="inlineStr">
        <is>
          <t>Y</t>
        </is>
      </c>
      <c r="I347">
        <f>HYPERLINK("https://admin.shopify.com/store/ge-beauty-cosmeticos/customers/9832003076416","abrir")</f>
        <v/>
      </c>
      <c r="J347">
        <f>HYPERLINK("https://www.gebeauty.com.br/products/primer-cachos-definidos?ref=review","review")</f>
        <v/>
      </c>
      <c r="K347" t="inlineStr">
        <is>
          <t>HOLDOUT</t>
        </is>
      </c>
    </row>
    <row r="348">
      <c r="A348" t="inlineStr">
        <is>
          <t>Ana</t>
        </is>
      </c>
      <c r="B348" t="inlineStr">
        <is>
          <t>+5581988652768</t>
        </is>
      </c>
      <c r="C348" t="inlineStr">
        <is>
          <t>Refill</t>
        </is>
      </c>
      <c r="D348" t="inlineStr">
        <is>
          <t>Primer Cachos</t>
        </is>
      </c>
      <c r="E348" t="n">
        <v>1</v>
      </c>
      <c r="F348" t="inlineStr">
        <is>
          <t>2025-11-04</t>
        </is>
      </c>
      <c r="G348" t="n">
        <v>242</v>
      </c>
      <c r="H348" t="inlineStr">
        <is>
          <t>Y</t>
        </is>
      </c>
      <c r="I348">
        <f>HYPERLINK("https://admin.shopify.com/store/ge-beauty-cosmeticos/customers/9832691237184","abrir")</f>
        <v/>
      </c>
      <c r="J348">
        <f>HYPERLINK("https://www.gebeauty.com.br/products/primer-cachos-definidos?ref=review","review")</f>
        <v/>
      </c>
      <c r="K348" t="inlineStr">
        <is>
          <t>SEND</t>
        </is>
      </c>
    </row>
    <row r="349">
      <c r="A349" t="inlineStr">
        <is>
          <t>Bárbara Lívia</t>
        </is>
      </c>
      <c r="B349" t="inlineStr">
        <is>
          <t>+5535991514432</t>
        </is>
      </c>
      <c r="C349" t="inlineStr">
        <is>
          <t>Refill</t>
        </is>
      </c>
      <c r="D349" t="inlineStr">
        <is>
          <t>Primer Cachos</t>
        </is>
      </c>
      <c r="E349" t="n">
        <v>1</v>
      </c>
      <c r="F349" t="inlineStr">
        <is>
          <t>2025-11-04</t>
        </is>
      </c>
      <c r="G349" t="n">
        <v>242</v>
      </c>
      <c r="H349" t="inlineStr">
        <is>
          <t>Y</t>
        </is>
      </c>
      <c r="I349">
        <f>HYPERLINK("https://admin.shopify.com/store/ge-beauty-cosmeticos/customers/9484722209088","abrir")</f>
        <v/>
      </c>
      <c r="J349">
        <f>HYPERLINK("https://www.gebeauty.com.br/products/primer-cachos-definidos?ref=review","review")</f>
        <v/>
      </c>
      <c r="K349" t="inlineStr">
        <is>
          <t>HOLDOUT</t>
        </is>
      </c>
    </row>
    <row r="350">
      <c r="A350" t="inlineStr">
        <is>
          <t>Teresa</t>
        </is>
      </c>
      <c r="B350" t="inlineStr">
        <is>
          <t>+5521999092505</t>
        </is>
      </c>
      <c r="C350" t="inlineStr">
        <is>
          <t>Refill</t>
        </is>
      </c>
      <c r="D350" t="inlineStr">
        <is>
          <t>Primer Cachos</t>
        </is>
      </c>
      <c r="E350" t="n">
        <v>1</v>
      </c>
      <c r="F350" t="inlineStr">
        <is>
          <t>2025-11-04</t>
        </is>
      </c>
      <c r="G350" t="n">
        <v>242</v>
      </c>
      <c r="H350" t="inlineStr">
        <is>
          <t>Y</t>
        </is>
      </c>
      <c r="I350">
        <f>HYPERLINK("https://admin.shopify.com/store/ge-beauty-cosmeticos/customers/9833328083264","abrir")</f>
        <v/>
      </c>
      <c r="J350">
        <f>HYPERLINK("https://www.gebeauty.com.br/products/primer-cachos-definidos?ref=review","review")</f>
        <v/>
      </c>
      <c r="K350" t="inlineStr">
        <is>
          <t>SEND</t>
        </is>
      </c>
    </row>
    <row r="351">
      <c r="A351" t="inlineStr">
        <is>
          <t>Adriana</t>
        </is>
      </c>
      <c r="B351" t="inlineStr">
        <is>
          <t>+5547989090747</t>
        </is>
      </c>
      <c r="C351" t="inlineStr">
        <is>
          <t>Refill</t>
        </is>
      </c>
      <c r="D351" t="inlineStr">
        <is>
          <t>Primer Cachos</t>
        </is>
      </c>
      <c r="E351" t="n">
        <v>1</v>
      </c>
      <c r="F351" t="inlineStr">
        <is>
          <t>2025-11-05</t>
        </is>
      </c>
      <c r="G351" t="n">
        <v>241</v>
      </c>
      <c r="H351" t="inlineStr">
        <is>
          <t>Y</t>
        </is>
      </c>
      <c r="I351">
        <f>HYPERLINK("https://admin.shopify.com/store/ge-beauty-cosmeticos/customers/9777102684480","abrir")</f>
        <v/>
      </c>
      <c r="J351">
        <f>HYPERLINK("https://www.gebeauty.com.br/products/primer-cachos-definidos?ref=review","review")</f>
        <v/>
      </c>
      <c r="K351" t="inlineStr">
        <is>
          <t>HOLDOUT</t>
        </is>
      </c>
    </row>
    <row r="352">
      <c r="A352" t="inlineStr">
        <is>
          <t>Mayara</t>
        </is>
      </c>
      <c r="B352" t="inlineStr">
        <is>
          <t>+5561984873099</t>
        </is>
      </c>
      <c r="C352" t="inlineStr">
        <is>
          <t>Refill</t>
        </is>
      </c>
      <c r="D352" t="inlineStr">
        <is>
          <t>Primer Cachos</t>
        </is>
      </c>
      <c r="E352" t="n">
        <v>1</v>
      </c>
      <c r="F352" t="inlineStr">
        <is>
          <t>2025-11-05</t>
        </is>
      </c>
      <c r="G352" t="n">
        <v>241</v>
      </c>
      <c r="H352" t="inlineStr">
        <is>
          <t>Y</t>
        </is>
      </c>
      <c r="I352">
        <f>HYPERLINK("https://admin.shopify.com/store/ge-beauty-cosmeticos/customers/9834011427136","abrir")</f>
        <v/>
      </c>
      <c r="J352">
        <f>HYPERLINK("https://www.gebeauty.com.br/products/primer-cachos-definidos?ref=review","review")</f>
        <v/>
      </c>
      <c r="K352" t="inlineStr">
        <is>
          <t>HOLDOUT</t>
        </is>
      </c>
    </row>
    <row r="353">
      <c r="A353" t="inlineStr">
        <is>
          <t>Virginia</t>
        </is>
      </c>
      <c r="B353" t="inlineStr">
        <is>
          <t>+5531988283518</t>
        </is>
      </c>
      <c r="C353" t="inlineStr">
        <is>
          <t>Refill</t>
        </is>
      </c>
      <c r="D353" t="inlineStr">
        <is>
          <t>Primer Cachos</t>
        </is>
      </c>
      <c r="E353" t="n">
        <v>1</v>
      </c>
      <c r="F353" t="inlineStr">
        <is>
          <t>2025-11-05</t>
        </is>
      </c>
      <c r="G353" t="n">
        <v>241</v>
      </c>
      <c r="H353" t="inlineStr">
        <is>
          <t>Y</t>
        </is>
      </c>
      <c r="I353">
        <f>HYPERLINK("https://admin.shopify.com/store/ge-beauty-cosmeticos/customers/8218898399552","abrir")</f>
        <v/>
      </c>
      <c r="J353">
        <f>HYPERLINK("https://www.gebeauty.com.br/products/primer-cachos-definidos?ref=review","review")</f>
        <v/>
      </c>
      <c r="K353" t="inlineStr">
        <is>
          <t>SEND</t>
        </is>
      </c>
    </row>
    <row r="354">
      <c r="A354" t="inlineStr">
        <is>
          <t>Helena</t>
        </is>
      </c>
      <c r="B354" t="inlineStr">
        <is>
          <t>+5511989484664</t>
        </is>
      </c>
      <c r="C354" t="inlineStr">
        <is>
          <t>Refill</t>
        </is>
      </c>
      <c r="D354" t="inlineStr">
        <is>
          <t>Primer Cachos</t>
        </is>
      </c>
      <c r="E354" t="n">
        <v>1</v>
      </c>
      <c r="F354" t="inlineStr">
        <is>
          <t>2025-11-05</t>
        </is>
      </c>
      <c r="G354" t="n">
        <v>241</v>
      </c>
      <c r="H354" t="inlineStr">
        <is>
          <t>Y</t>
        </is>
      </c>
      <c r="I354">
        <f>HYPERLINK("https://admin.shopify.com/store/ge-beauty-cosmeticos/customers/9310926078272","abrir")</f>
        <v/>
      </c>
      <c r="J354">
        <f>HYPERLINK("https://www.gebeauty.com.br/products/primer-cachos-definidos?ref=review","review")</f>
        <v/>
      </c>
      <c r="K354" t="inlineStr">
        <is>
          <t>SEND</t>
        </is>
      </c>
    </row>
    <row r="355">
      <c r="A355" t="inlineStr">
        <is>
          <t>Marcele</t>
        </is>
      </c>
      <c r="B355" t="inlineStr">
        <is>
          <t>+5511999628567</t>
        </is>
      </c>
      <c r="C355" t="inlineStr">
        <is>
          <t>Refill</t>
        </is>
      </c>
      <c r="D355" t="inlineStr">
        <is>
          <t>Primer Cachos</t>
        </is>
      </c>
      <c r="E355" t="n">
        <v>1</v>
      </c>
      <c r="F355" t="inlineStr">
        <is>
          <t>2025-11-05</t>
        </is>
      </c>
      <c r="G355" t="n">
        <v>241</v>
      </c>
      <c r="H355" t="inlineStr">
        <is>
          <t>Y</t>
        </is>
      </c>
      <c r="I355">
        <f>HYPERLINK("https://admin.shopify.com/store/ge-beauty-cosmeticos/customers/9834520150336","abrir")</f>
        <v/>
      </c>
      <c r="J355">
        <f>HYPERLINK("https://www.gebeauty.com.br/products/primer-cachos-definidos?ref=review","review")</f>
        <v/>
      </c>
      <c r="K355" t="inlineStr">
        <is>
          <t>SEND</t>
        </is>
      </c>
    </row>
    <row r="356">
      <c r="A356" t="inlineStr">
        <is>
          <t>Júlia</t>
        </is>
      </c>
      <c r="B356" t="inlineStr">
        <is>
          <t>+5521987911195</t>
        </is>
      </c>
      <c r="C356" t="inlineStr">
        <is>
          <t>Refill</t>
        </is>
      </c>
      <c r="D356" t="inlineStr">
        <is>
          <t>Primer Cachos</t>
        </is>
      </c>
      <c r="E356" t="n">
        <v>1</v>
      </c>
      <c r="F356" t="inlineStr">
        <is>
          <t>2025-11-05</t>
        </is>
      </c>
      <c r="G356" t="n">
        <v>241</v>
      </c>
      <c r="H356" t="inlineStr">
        <is>
          <t>Y</t>
        </is>
      </c>
      <c r="I356">
        <f>HYPERLINK("https://admin.shopify.com/store/ge-beauty-cosmeticos/customers/9834520969536","abrir")</f>
        <v/>
      </c>
      <c r="J356">
        <f>HYPERLINK("https://www.gebeauty.com.br/products/primer-cachos-definidos?ref=review","review")</f>
        <v/>
      </c>
      <c r="K356" t="inlineStr">
        <is>
          <t>HOLDOUT</t>
        </is>
      </c>
    </row>
    <row r="357">
      <c r="A357" t="inlineStr">
        <is>
          <t>Nicole</t>
        </is>
      </c>
      <c r="B357" t="inlineStr">
        <is>
          <t>+5511966011771</t>
        </is>
      </c>
      <c r="C357" t="inlineStr">
        <is>
          <t>Refill</t>
        </is>
      </c>
      <c r="D357" t="inlineStr">
        <is>
          <t>Primer Cachos</t>
        </is>
      </c>
      <c r="E357" t="n">
        <v>1</v>
      </c>
      <c r="F357" t="inlineStr">
        <is>
          <t>2025-11-05</t>
        </is>
      </c>
      <c r="G357" t="n">
        <v>241</v>
      </c>
      <c r="H357" t="inlineStr">
        <is>
          <t>Y</t>
        </is>
      </c>
      <c r="I357">
        <f>HYPERLINK("https://admin.shopify.com/store/ge-beauty-cosmeticos/customers/9834678583616","abrir")</f>
        <v/>
      </c>
      <c r="J357">
        <f>HYPERLINK("https://www.gebeauty.com.br/products/primer-cachos-definidos?ref=review","review")</f>
        <v/>
      </c>
      <c r="K357" t="inlineStr">
        <is>
          <t>HOLDOUT</t>
        </is>
      </c>
    </row>
    <row r="358">
      <c r="A358" t="inlineStr">
        <is>
          <t>Wanessa</t>
        </is>
      </c>
      <c r="B358" t="inlineStr">
        <is>
          <t>+5581996656417</t>
        </is>
      </c>
      <c r="C358" t="inlineStr">
        <is>
          <t>Refill</t>
        </is>
      </c>
      <c r="D358" t="inlineStr">
        <is>
          <t>Primer Cachos</t>
        </is>
      </c>
      <c r="E358" t="n">
        <v>1</v>
      </c>
      <c r="F358" t="inlineStr">
        <is>
          <t>2025-11-05</t>
        </is>
      </c>
      <c r="G358" t="n">
        <v>241</v>
      </c>
      <c r="H358" t="inlineStr">
        <is>
          <t>Y</t>
        </is>
      </c>
      <c r="I358">
        <f>HYPERLINK("https://admin.shopify.com/store/ge-beauty-cosmeticos/customers/9834681958720","abrir")</f>
        <v/>
      </c>
      <c r="J358">
        <f>HYPERLINK("https://www.gebeauty.com.br/products/primer-cachos-definidos?ref=review","review")</f>
        <v/>
      </c>
      <c r="K358" t="inlineStr">
        <is>
          <t>SEND</t>
        </is>
      </c>
    </row>
    <row r="359">
      <c r="A359" t="inlineStr">
        <is>
          <t>Clara</t>
        </is>
      </c>
      <c r="B359" t="inlineStr">
        <is>
          <t>+5511992817605</t>
        </is>
      </c>
      <c r="C359" t="inlineStr">
        <is>
          <t>Refill</t>
        </is>
      </c>
      <c r="D359" t="inlineStr">
        <is>
          <t>Primer Cachos</t>
        </is>
      </c>
      <c r="E359" t="n">
        <v>1</v>
      </c>
      <c r="F359" t="inlineStr">
        <is>
          <t>2025-11-05</t>
        </is>
      </c>
      <c r="G359" t="n">
        <v>241</v>
      </c>
      <c r="H359" t="inlineStr">
        <is>
          <t>Y</t>
        </is>
      </c>
      <c r="I359">
        <f>HYPERLINK("https://admin.shopify.com/store/ge-beauty-cosmeticos/customers/9830490964288","abrir")</f>
        <v/>
      </c>
      <c r="J359">
        <f>HYPERLINK("https://www.gebeauty.com.br/products/primer-cachos-definidos?ref=review","review")</f>
        <v/>
      </c>
      <c r="K359" t="inlineStr">
        <is>
          <t>SEND</t>
        </is>
      </c>
    </row>
    <row r="360">
      <c r="A360" t="inlineStr">
        <is>
          <t>Luciana</t>
        </is>
      </c>
      <c r="B360" t="inlineStr">
        <is>
          <t>+5571981665700</t>
        </is>
      </c>
      <c r="C360" t="inlineStr">
        <is>
          <t>Refill</t>
        </is>
      </c>
      <c r="D360" t="inlineStr">
        <is>
          <t>Primer Cachos</t>
        </is>
      </c>
      <c r="E360" t="n">
        <v>1</v>
      </c>
      <c r="F360" t="inlineStr">
        <is>
          <t>2025-11-05</t>
        </is>
      </c>
      <c r="G360" t="n">
        <v>241</v>
      </c>
      <c r="H360" t="inlineStr">
        <is>
          <t>Y</t>
        </is>
      </c>
      <c r="I360">
        <f>HYPERLINK("https://admin.shopify.com/store/ge-beauty-cosmeticos/customers/8108434227520","abrir")</f>
        <v/>
      </c>
      <c r="J360">
        <f>HYPERLINK("https://www.gebeauty.com.br/products/primer-cachos-definidos?ref=review","review")</f>
        <v/>
      </c>
      <c r="K360" t="inlineStr">
        <is>
          <t>SEND</t>
        </is>
      </c>
    </row>
    <row r="361">
      <c r="A361" t="inlineStr">
        <is>
          <t>Marina</t>
        </is>
      </c>
      <c r="B361" t="inlineStr">
        <is>
          <t>+5581999279652</t>
        </is>
      </c>
      <c r="C361" t="inlineStr">
        <is>
          <t>Refill</t>
        </is>
      </c>
      <c r="D361" t="inlineStr">
        <is>
          <t>Primer Cachos</t>
        </is>
      </c>
      <c r="E361" t="n">
        <v>1</v>
      </c>
      <c r="F361" t="inlineStr">
        <is>
          <t>2025-11-05</t>
        </is>
      </c>
      <c r="G361" t="n">
        <v>241</v>
      </c>
      <c r="H361" t="inlineStr">
        <is>
          <t>Y</t>
        </is>
      </c>
      <c r="I361">
        <f>HYPERLINK("https://admin.shopify.com/store/ge-beauty-cosmeticos/customers/7761941168448","abrir")</f>
        <v/>
      </c>
      <c r="J361">
        <f>HYPERLINK("https://www.gebeauty.com.br/products/primer-cachos-definidos?ref=review","review")</f>
        <v/>
      </c>
      <c r="K361" t="inlineStr">
        <is>
          <t>SEND</t>
        </is>
      </c>
    </row>
    <row r="362">
      <c r="A362" t="inlineStr">
        <is>
          <t>Sirlene</t>
        </is>
      </c>
      <c r="B362" t="inlineStr">
        <is>
          <t>+551141534008</t>
        </is>
      </c>
      <c r="C362" t="inlineStr">
        <is>
          <t>Refill</t>
        </is>
      </c>
      <c r="D362" t="inlineStr">
        <is>
          <t>Primer Cachos</t>
        </is>
      </c>
      <c r="E362" t="n">
        <v>1</v>
      </c>
      <c r="F362" t="inlineStr">
        <is>
          <t>2025-11-05</t>
        </is>
      </c>
      <c r="G362" t="n">
        <v>241</v>
      </c>
      <c r="H362" t="inlineStr">
        <is>
          <t>Y</t>
        </is>
      </c>
      <c r="I362">
        <f>HYPERLINK("https://admin.shopify.com/store/ge-beauty-cosmeticos/customers/9686723887424","abrir")</f>
        <v/>
      </c>
      <c r="J362">
        <f>HYPERLINK("https://www.gebeauty.com.br/products/primer-cachos-definidos?ref=review","review")</f>
        <v/>
      </c>
      <c r="K362" t="inlineStr">
        <is>
          <t>SEND</t>
        </is>
      </c>
    </row>
    <row r="363">
      <c r="A363" t="inlineStr">
        <is>
          <t>Bárbara</t>
        </is>
      </c>
      <c r="B363" t="inlineStr">
        <is>
          <t>+5527997035667</t>
        </is>
      </c>
      <c r="C363" t="inlineStr">
        <is>
          <t>Refill</t>
        </is>
      </c>
      <c r="D363" t="inlineStr">
        <is>
          <t>Primer Cachos</t>
        </is>
      </c>
      <c r="E363" t="n">
        <v>1</v>
      </c>
      <c r="F363" t="inlineStr">
        <is>
          <t>2025-11-05</t>
        </is>
      </c>
      <c r="G363" t="n">
        <v>241</v>
      </c>
      <c r="H363" t="inlineStr">
        <is>
          <t>Y</t>
        </is>
      </c>
      <c r="I363">
        <f>HYPERLINK("https://admin.shopify.com/store/ge-beauty-cosmeticos/customers/9646013219136","abrir")</f>
        <v/>
      </c>
      <c r="J363">
        <f>HYPERLINK("https://www.gebeauty.com.br/products/primer-cachos-definidos?ref=review","review")</f>
        <v/>
      </c>
      <c r="K363" t="inlineStr">
        <is>
          <t>SEND</t>
        </is>
      </c>
    </row>
    <row r="364">
      <c r="A364" t="inlineStr">
        <is>
          <t>Jessica</t>
        </is>
      </c>
      <c r="B364" t="inlineStr">
        <is>
          <t>+5547991160105</t>
        </is>
      </c>
      <c r="C364" t="inlineStr">
        <is>
          <t>Refill</t>
        </is>
      </c>
      <c r="D364" t="inlineStr">
        <is>
          <t>Primer Cachos</t>
        </is>
      </c>
      <c r="E364" t="n">
        <v>1</v>
      </c>
      <c r="F364" t="inlineStr">
        <is>
          <t>2025-11-05</t>
        </is>
      </c>
      <c r="G364" t="n">
        <v>241</v>
      </c>
      <c r="H364" t="inlineStr">
        <is>
          <t>Y</t>
        </is>
      </c>
      <c r="I364">
        <f>HYPERLINK("https://admin.shopify.com/store/ge-beauty-cosmeticos/customers/9835293376832","abrir")</f>
        <v/>
      </c>
      <c r="J364">
        <f>HYPERLINK("https://www.gebeauty.com.br/products/primer-cachos-definidos?ref=review","review")</f>
        <v/>
      </c>
      <c r="K364" t="inlineStr">
        <is>
          <t>HOLDOUT</t>
        </is>
      </c>
    </row>
    <row r="365">
      <c r="A365" t="inlineStr">
        <is>
          <t>Guilherme</t>
        </is>
      </c>
      <c r="B365" t="inlineStr">
        <is>
          <t>+5531995031314</t>
        </is>
      </c>
      <c r="C365" t="inlineStr">
        <is>
          <t>Refill</t>
        </is>
      </c>
      <c r="D365" t="inlineStr">
        <is>
          <t>Primer Cachos</t>
        </is>
      </c>
      <c r="E365" t="n">
        <v>1</v>
      </c>
      <c r="F365" t="inlineStr">
        <is>
          <t>2025-11-05</t>
        </is>
      </c>
      <c r="G365" t="n">
        <v>241</v>
      </c>
      <c r="H365" t="inlineStr">
        <is>
          <t>Y</t>
        </is>
      </c>
      <c r="I365">
        <f>HYPERLINK("https://admin.shopify.com/store/ge-beauty-cosmeticos/customers/9835386143040","abrir")</f>
        <v/>
      </c>
      <c r="J365">
        <f>HYPERLINK("https://www.gebeauty.com.br/products/primer-cachos-definidos?ref=review","review")</f>
        <v/>
      </c>
      <c r="K365" t="inlineStr">
        <is>
          <t>SEND</t>
        </is>
      </c>
    </row>
    <row r="366">
      <c r="A366" t="inlineStr">
        <is>
          <t>Sheila</t>
        </is>
      </c>
      <c r="B366" t="inlineStr">
        <is>
          <t>+5511994840277</t>
        </is>
      </c>
      <c r="C366" t="inlineStr">
        <is>
          <t>Refill</t>
        </is>
      </c>
      <c r="D366" t="inlineStr">
        <is>
          <t>Primer Cachos</t>
        </is>
      </c>
      <c r="E366" t="n">
        <v>1</v>
      </c>
      <c r="F366" t="inlineStr">
        <is>
          <t>2025-11-05</t>
        </is>
      </c>
      <c r="G366" t="n">
        <v>241</v>
      </c>
      <c r="H366" t="inlineStr">
        <is>
          <t>Y</t>
        </is>
      </c>
      <c r="I366">
        <f>HYPERLINK("https://admin.shopify.com/store/ge-beauty-cosmeticos/customers/9633538834752","abrir")</f>
        <v/>
      </c>
      <c r="J366">
        <f>HYPERLINK("https://www.gebeauty.com.br/products/primer-cachos-definidos?ref=review","review")</f>
        <v/>
      </c>
      <c r="K366" t="inlineStr">
        <is>
          <t>HOLDOUT</t>
        </is>
      </c>
    </row>
    <row r="367">
      <c r="A367" t="inlineStr">
        <is>
          <t>Dani</t>
        </is>
      </c>
      <c r="B367" t="inlineStr">
        <is>
          <t>+5551981771564</t>
        </is>
      </c>
      <c r="C367" t="inlineStr">
        <is>
          <t>Refill</t>
        </is>
      </c>
      <c r="D367" t="inlineStr">
        <is>
          <t>Primer Cachos</t>
        </is>
      </c>
      <c r="E367" t="n">
        <v>1</v>
      </c>
      <c r="F367" t="inlineStr">
        <is>
          <t>2025-11-06</t>
        </is>
      </c>
      <c r="G367" t="n">
        <v>240</v>
      </c>
      <c r="H367" t="inlineStr">
        <is>
          <t>Y</t>
        </is>
      </c>
      <c r="I367">
        <f>HYPERLINK("https://admin.shopify.com/store/ge-beauty-cosmeticos/customers/9835929436480","abrir")</f>
        <v/>
      </c>
      <c r="J367">
        <f>HYPERLINK("https://www.gebeauty.com.br/products/primer-cachos-definidos?ref=review","review")</f>
        <v/>
      </c>
      <c r="K367" t="inlineStr">
        <is>
          <t>SEND</t>
        </is>
      </c>
    </row>
    <row r="368">
      <c r="A368" t="inlineStr">
        <is>
          <t>Maria Luiza</t>
        </is>
      </c>
      <c r="B368" t="inlineStr">
        <is>
          <t>+5547999558322</t>
        </is>
      </c>
      <c r="C368" t="inlineStr">
        <is>
          <t>Refill</t>
        </is>
      </c>
      <c r="D368" t="inlineStr">
        <is>
          <t>Primer Cachos</t>
        </is>
      </c>
      <c r="E368" t="n">
        <v>1</v>
      </c>
      <c r="F368" t="inlineStr">
        <is>
          <t>2025-11-06</t>
        </is>
      </c>
      <c r="G368" t="n">
        <v>240</v>
      </c>
      <c r="H368" t="inlineStr">
        <is>
          <t>Y</t>
        </is>
      </c>
      <c r="I368">
        <f>HYPERLINK("https://admin.shopify.com/store/ge-beauty-cosmeticos/customers/9837041418560","abrir")</f>
        <v/>
      </c>
      <c r="J368">
        <f>HYPERLINK("https://www.gebeauty.com.br/products/primer-cachos-definidos?ref=review","review")</f>
        <v/>
      </c>
      <c r="K368" t="inlineStr">
        <is>
          <t>HOLDOUT</t>
        </is>
      </c>
    </row>
    <row r="369">
      <c r="A369" t="inlineStr">
        <is>
          <t>Luana</t>
        </is>
      </c>
      <c r="B369" t="inlineStr">
        <is>
          <t>+5511984917880</t>
        </is>
      </c>
      <c r="C369" t="inlineStr">
        <is>
          <t>Refill</t>
        </is>
      </c>
      <c r="D369" t="inlineStr">
        <is>
          <t>Primer Cachos</t>
        </is>
      </c>
      <c r="E369" t="n">
        <v>1</v>
      </c>
      <c r="F369" t="inlineStr">
        <is>
          <t>2025-11-06</t>
        </is>
      </c>
      <c r="G369" t="n">
        <v>240</v>
      </c>
      <c r="H369" t="inlineStr">
        <is>
          <t>Y</t>
        </is>
      </c>
      <c r="I369">
        <f>HYPERLINK("https://admin.shopify.com/store/ge-beauty-cosmeticos/customers/9834615046464","abrir")</f>
        <v/>
      </c>
      <c r="J369">
        <f>HYPERLINK("https://www.gebeauty.com.br/products/primer-cachos-definidos?ref=review","review")</f>
        <v/>
      </c>
      <c r="K369" t="inlineStr">
        <is>
          <t>SEND</t>
        </is>
      </c>
    </row>
    <row r="370">
      <c r="A370" t="inlineStr">
        <is>
          <t>Yaskara</t>
        </is>
      </c>
      <c r="B370" t="inlineStr">
        <is>
          <t>+5585988651241</t>
        </is>
      </c>
      <c r="C370" t="inlineStr">
        <is>
          <t>Refill</t>
        </is>
      </c>
      <c r="D370" t="inlineStr">
        <is>
          <t>Primer Cachos</t>
        </is>
      </c>
      <c r="E370" t="n">
        <v>1</v>
      </c>
      <c r="F370" t="inlineStr">
        <is>
          <t>2025-11-06</t>
        </is>
      </c>
      <c r="G370" t="n">
        <v>240</v>
      </c>
      <c r="H370" t="inlineStr">
        <is>
          <t>Y</t>
        </is>
      </c>
      <c r="I370">
        <f>HYPERLINK("https://admin.shopify.com/store/ge-beauty-cosmeticos/customers/9837967769920","abrir")</f>
        <v/>
      </c>
      <c r="J370">
        <f>HYPERLINK("https://www.gebeauty.com.br/products/primer-cachos-definidos?ref=review","review")</f>
        <v/>
      </c>
      <c r="K370" t="inlineStr">
        <is>
          <t>HOLDOUT</t>
        </is>
      </c>
    </row>
    <row r="371">
      <c r="A371" t="inlineStr">
        <is>
          <t>Agatha</t>
        </is>
      </c>
      <c r="B371" t="inlineStr">
        <is>
          <t>+5513996261998</t>
        </is>
      </c>
      <c r="C371" t="inlineStr">
        <is>
          <t>Refill</t>
        </is>
      </c>
      <c r="D371" t="inlineStr">
        <is>
          <t>Primer Cachos</t>
        </is>
      </c>
      <c r="E371" t="n">
        <v>1</v>
      </c>
      <c r="F371" t="inlineStr">
        <is>
          <t>2025-11-06</t>
        </is>
      </c>
      <c r="G371" t="n">
        <v>240</v>
      </c>
      <c r="H371" t="inlineStr">
        <is>
          <t>Y</t>
        </is>
      </c>
      <c r="I371">
        <f>HYPERLINK("https://admin.shopify.com/store/ge-beauty-cosmeticos/customers/9592056021312","abrir")</f>
        <v/>
      </c>
      <c r="J371">
        <f>HYPERLINK("https://www.gebeauty.com.br/products/primer-cachos-definidos?ref=review","review")</f>
        <v/>
      </c>
      <c r="K371" t="inlineStr">
        <is>
          <t>SEND</t>
        </is>
      </c>
    </row>
    <row r="372">
      <c r="A372" t="inlineStr">
        <is>
          <t>Raphael</t>
        </is>
      </c>
      <c r="B372" t="inlineStr">
        <is>
          <t>+5534999524727</t>
        </is>
      </c>
      <c r="C372" t="inlineStr">
        <is>
          <t>Refill</t>
        </is>
      </c>
      <c r="D372" t="inlineStr">
        <is>
          <t>Primer Cachos</t>
        </is>
      </c>
      <c r="E372" t="n">
        <v>1</v>
      </c>
      <c r="F372" t="inlineStr">
        <is>
          <t>2025-11-07</t>
        </is>
      </c>
      <c r="G372" t="n">
        <v>239</v>
      </c>
      <c r="H372" t="inlineStr">
        <is>
          <t>Y</t>
        </is>
      </c>
      <c r="I372">
        <f>HYPERLINK("https://admin.shopify.com/store/ge-beauty-cosmeticos/customers/9838467350848","abrir")</f>
        <v/>
      </c>
      <c r="J372">
        <f>HYPERLINK("https://www.gebeauty.com.br/products/primer-cachos-definidos?ref=review","review")</f>
        <v/>
      </c>
      <c r="K372" t="inlineStr">
        <is>
          <t>SEND</t>
        </is>
      </c>
    </row>
    <row r="373">
      <c r="A373" t="inlineStr">
        <is>
          <t>Katia</t>
        </is>
      </c>
      <c r="B373" t="inlineStr">
        <is>
          <t>+5511999735781</t>
        </is>
      </c>
      <c r="C373" t="inlineStr">
        <is>
          <t>Refill</t>
        </is>
      </c>
      <c r="D373" t="inlineStr">
        <is>
          <t>Primer Cachos</t>
        </is>
      </c>
      <c r="E373" t="n">
        <v>1</v>
      </c>
      <c r="F373" t="inlineStr">
        <is>
          <t>2025-11-07</t>
        </is>
      </c>
      <c r="G373" t="n">
        <v>239</v>
      </c>
      <c r="H373" t="inlineStr">
        <is>
          <t>Y</t>
        </is>
      </c>
      <c r="I373">
        <f>HYPERLINK("https://admin.shopify.com/store/ge-beauty-cosmeticos/customers/9839160983872","abrir")</f>
        <v/>
      </c>
      <c r="J373">
        <f>HYPERLINK("https://www.gebeauty.com.br/products/primer-cachos-definidos?ref=review","review")</f>
        <v/>
      </c>
      <c r="K373" t="inlineStr">
        <is>
          <t>SEND</t>
        </is>
      </c>
    </row>
    <row r="374">
      <c r="A374" t="inlineStr">
        <is>
          <t>Marcella</t>
        </is>
      </c>
      <c r="B374" t="inlineStr">
        <is>
          <t>+5583996652671</t>
        </is>
      </c>
      <c r="C374" t="inlineStr">
        <is>
          <t>Refill</t>
        </is>
      </c>
      <c r="D374" t="inlineStr">
        <is>
          <t>Primer Cachos</t>
        </is>
      </c>
      <c r="E374" t="n">
        <v>1</v>
      </c>
      <c r="F374" t="inlineStr">
        <is>
          <t>2025-11-07</t>
        </is>
      </c>
      <c r="G374" t="n">
        <v>239</v>
      </c>
      <c r="H374" t="inlineStr">
        <is>
          <t>Y</t>
        </is>
      </c>
      <c r="I374">
        <f>HYPERLINK("https://admin.shopify.com/store/ge-beauty-cosmeticos/customers/9839375089984","abrir")</f>
        <v/>
      </c>
      <c r="J374">
        <f>HYPERLINK("https://www.gebeauty.com.br/products/primer-cachos-definidos?ref=review","review")</f>
        <v/>
      </c>
      <c r="K374" t="inlineStr">
        <is>
          <t>SEND</t>
        </is>
      </c>
    </row>
    <row r="375">
      <c r="A375" t="inlineStr">
        <is>
          <t>Patricia</t>
        </is>
      </c>
      <c r="B375" t="inlineStr">
        <is>
          <t>+5541992360460</t>
        </is>
      </c>
      <c r="C375" t="inlineStr">
        <is>
          <t>Refill</t>
        </is>
      </c>
      <c r="D375" t="inlineStr">
        <is>
          <t>Primer Cachos</t>
        </is>
      </c>
      <c r="E375" t="n">
        <v>1</v>
      </c>
      <c r="F375" t="inlineStr">
        <is>
          <t>2025-11-07</t>
        </is>
      </c>
      <c r="G375" t="n">
        <v>239</v>
      </c>
      <c r="H375" t="inlineStr">
        <is>
          <t>Y</t>
        </is>
      </c>
      <c r="I375">
        <f>HYPERLINK("https://admin.shopify.com/store/ge-beauty-cosmeticos/customers/9839498559808","abrir")</f>
        <v/>
      </c>
      <c r="J375">
        <f>HYPERLINK("https://www.gebeauty.com.br/products/primer-cachos-definidos?ref=review","review")</f>
        <v/>
      </c>
      <c r="K375" t="inlineStr">
        <is>
          <t>HOLDOUT</t>
        </is>
      </c>
    </row>
    <row r="376">
      <c r="A376" t="inlineStr">
        <is>
          <t>Isabelle</t>
        </is>
      </c>
      <c r="B376" t="inlineStr">
        <is>
          <t>+5581997072300</t>
        </is>
      </c>
      <c r="C376" t="inlineStr">
        <is>
          <t>Refill</t>
        </is>
      </c>
      <c r="D376" t="inlineStr">
        <is>
          <t>Primer Cachos</t>
        </is>
      </c>
      <c r="E376" t="n">
        <v>1</v>
      </c>
      <c r="F376" t="inlineStr">
        <is>
          <t>2025-11-07</t>
        </is>
      </c>
      <c r="G376" t="n">
        <v>239</v>
      </c>
      <c r="H376" t="inlineStr">
        <is>
          <t>Y</t>
        </is>
      </c>
      <c r="I376">
        <f>HYPERLINK("https://admin.shopify.com/store/ge-beauty-cosmeticos/customers/9839522120000","abrir")</f>
        <v/>
      </c>
      <c r="J376">
        <f>HYPERLINK("https://www.gebeauty.com.br/products/primer-cachos-definidos?ref=review","review")</f>
        <v/>
      </c>
      <c r="K376" t="inlineStr">
        <is>
          <t>SEND</t>
        </is>
      </c>
    </row>
    <row r="377">
      <c r="A377" t="inlineStr">
        <is>
          <t>Isabela</t>
        </is>
      </c>
      <c r="B377" t="inlineStr">
        <is>
          <t>+5511995255511</t>
        </is>
      </c>
      <c r="C377" t="inlineStr">
        <is>
          <t>Refill</t>
        </is>
      </c>
      <c r="D377" t="inlineStr">
        <is>
          <t>Primer Cachos</t>
        </is>
      </c>
      <c r="E377" t="n">
        <v>1</v>
      </c>
      <c r="F377" t="inlineStr">
        <is>
          <t>2025-11-07</t>
        </is>
      </c>
      <c r="G377" t="n">
        <v>239</v>
      </c>
      <c r="H377" t="inlineStr">
        <is>
          <t>Y</t>
        </is>
      </c>
      <c r="I377">
        <f>HYPERLINK("https://admin.shopify.com/store/ge-beauty-cosmeticos/customers/7761343906112","abrir")</f>
        <v/>
      </c>
      <c r="J377">
        <f>HYPERLINK("https://www.gebeauty.com.br/products/primer-cachos-definidos?ref=review","review")</f>
        <v/>
      </c>
      <c r="K377" t="inlineStr">
        <is>
          <t>SEND</t>
        </is>
      </c>
    </row>
    <row r="378">
      <c r="A378" t="inlineStr">
        <is>
          <t>Ana Ligia</t>
        </is>
      </c>
      <c r="B378" t="inlineStr">
        <is>
          <t>+5518997071401</t>
        </is>
      </c>
      <c r="C378" t="inlineStr">
        <is>
          <t>Refill</t>
        </is>
      </c>
      <c r="D378" t="inlineStr">
        <is>
          <t>Primer Cachos</t>
        </is>
      </c>
      <c r="E378" t="n">
        <v>1</v>
      </c>
      <c r="F378" t="inlineStr">
        <is>
          <t>2025-11-07</t>
        </is>
      </c>
      <c r="G378" t="n">
        <v>239</v>
      </c>
      <c r="H378" t="inlineStr">
        <is>
          <t>Y</t>
        </is>
      </c>
      <c r="I378">
        <f>HYPERLINK("https://admin.shopify.com/store/ge-beauty-cosmeticos/customers/9486149517632","abrir")</f>
        <v/>
      </c>
      <c r="J378">
        <f>HYPERLINK("https://www.gebeauty.com.br/products/primer-cachos-definidos?ref=review","review")</f>
        <v/>
      </c>
      <c r="K378" t="inlineStr">
        <is>
          <t>SEND</t>
        </is>
      </c>
    </row>
    <row r="379">
      <c r="A379" t="inlineStr">
        <is>
          <t>Jully</t>
        </is>
      </c>
      <c r="B379" t="inlineStr">
        <is>
          <t>+5581997977344</t>
        </is>
      </c>
      <c r="C379" t="inlineStr">
        <is>
          <t>Refill</t>
        </is>
      </c>
      <c r="D379" t="inlineStr">
        <is>
          <t>Primer Cachos</t>
        </is>
      </c>
      <c r="E379" t="n">
        <v>1</v>
      </c>
      <c r="F379" t="inlineStr">
        <is>
          <t>2025-11-08</t>
        </is>
      </c>
      <c r="G379" t="n">
        <v>238</v>
      </c>
      <c r="H379" t="inlineStr">
        <is>
          <t>Y</t>
        </is>
      </c>
      <c r="I379">
        <f>HYPERLINK("https://admin.shopify.com/store/ge-beauty-cosmeticos/customers/9840520495424","abrir")</f>
        <v/>
      </c>
      <c r="J379">
        <f>HYPERLINK("https://www.gebeauty.com.br/products/primer-cachos-definidos?ref=review","review")</f>
        <v/>
      </c>
      <c r="K379" t="inlineStr">
        <is>
          <t>SEND</t>
        </is>
      </c>
    </row>
    <row r="380">
      <c r="A380" t="inlineStr">
        <is>
          <t>Maria</t>
        </is>
      </c>
      <c r="B380" t="inlineStr">
        <is>
          <t>+5583987878028</t>
        </is>
      </c>
      <c r="C380" t="inlineStr">
        <is>
          <t>Refill</t>
        </is>
      </c>
      <c r="D380" t="inlineStr">
        <is>
          <t>Primer Cachos</t>
        </is>
      </c>
      <c r="E380" t="n">
        <v>1</v>
      </c>
      <c r="F380" t="inlineStr">
        <is>
          <t>2025-11-08</t>
        </is>
      </c>
      <c r="G380" t="n">
        <v>238</v>
      </c>
      <c r="H380" t="inlineStr">
        <is>
          <t>Y</t>
        </is>
      </c>
      <c r="I380">
        <f>HYPERLINK("https://admin.shopify.com/store/ge-beauty-cosmeticos/customers/9673379643712","abrir")</f>
        <v/>
      </c>
      <c r="J380">
        <f>HYPERLINK("https://www.gebeauty.com.br/products/primer-cachos-definidos?ref=review","review")</f>
        <v/>
      </c>
      <c r="K380" t="inlineStr">
        <is>
          <t>SEND</t>
        </is>
      </c>
    </row>
    <row r="381">
      <c r="A381" t="inlineStr">
        <is>
          <t>Carolina</t>
        </is>
      </c>
      <c r="B381" t="inlineStr">
        <is>
          <t>+5521984026741</t>
        </is>
      </c>
      <c r="C381" t="inlineStr">
        <is>
          <t>Refill</t>
        </is>
      </c>
      <c r="D381" t="inlineStr">
        <is>
          <t>Primer Cachos</t>
        </is>
      </c>
      <c r="E381" t="n">
        <v>1</v>
      </c>
      <c r="F381" t="inlineStr">
        <is>
          <t>2025-11-08</t>
        </is>
      </c>
      <c r="G381" t="n">
        <v>238</v>
      </c>
      <c r="H381" t="inlineStr">
        <is>
          <t>Y</t>
        </is>
      </c>
      <c r="I381">
        <f>HYPERLINK("https://admin.shopify.com/store/ge-beauty-cosmeticos/customers/9744112484672","abrir")</f>
        <v/>
      </c>
      <c r="J381">
        <f>HYPERLINK("https://www.gebeauty.com.br/products/primer-cachos-definidos?ref=review","review")</f>
        <v/>
      </c>
      <c r="K381" t="inlineStr">
        <is>
          <t>SEND</t>
        </is>
      </c>
    </row>
    <row r="382">
      <c r="A382" t="inlineStr">
        <is>
          <t>Jessica</t>
        </is>
      </c>
      <c r="B382" t="inlineStr">
        <is>
          <t>+5511960765358</t>
        </is>
      </c>
      <c r="C382" t="inlineStr">
        <is>
          <t>Refill</t>
        </is>
      </c>
      <c r="D382" t="inlineStr">
        <is>
          <t>Primer Cachos</t>
        </is>
      </c>
      <c r="E382" t="n">
        <v>1</v>
      </c>
      <c r="F382" t="inlineStr">
        <is>
          <t>2025-11-08</t>
        </is>
      </c>
      <c r="G382" t="n">
        <v>238</v>
      </c>
      <c r="H382" t="inlineStr">
        <is>
          <t>Y</t>
        </is>
      </c>
      <c r="I382">
        <f>HYPERLINK("https://admin.shopify.com/store/ge-beauty-cosmeticos/customers/9830036406592","abrir")</f>
        <v/>
      </c>
      <c r="J382">
        <f>HYPERLINK("https://www.gebeauty.com.br/products/primer-cachos-definidos?ref=review","review")</f>
        <v/>
      </c>
      <c r="K382" t="inlineStr">
        <is>
          <t>SEND</t>
        </is>
      </c>
    </row>
    <row r="383">
      <c r="A383" t="inlineStr">
        <is>
          <t>Ana Paula</t>
        </is>
      </c>
      <c r="B383" t="inlineStr">
        <is>
          <t>+5591981160666</t>
        </is>
      </c>
      <c r="C383" t="inlineStr">
        <is>
          <t>Refill</t>
        </is>
      </c>
      <c r="D383" t="inlineStr">
        <is>
          <t>Primer Cachos</t>
        </is>
      </c>
      <c r="E383" t="n">
        <v>1</v>
      </c>
      <c r="F383" t="inlineStr">
        <is>
          <t>2025-11-08</t>
        </is>
      </c>
      <c r="G383" t="n">
        <v>238</v>
      </c>
      <c r="H383" t="inlineStr">
        <is>
          <t>Y</t>
        </is>
      </c>
      <c r="I383">
        <f>HYPERLINK("https://admin.shopify.com/store/ge-beauty-cosmeticos/customers/9841575297344","abrir")</f>
        <v/>
      </c>
      <c r="J383">
        <f>HYPERLINK("https://www.gebeauty.com.br/products/primer-cachos-definidos?ref=review","review")</f>
        <v/>
      </c>
      <c r="K383" t="inlineStr">
        <is>
          <t>HOLDOUT</t>
        </is>
      </c>
    </row>
    <row r="384">
      <c r="A384" t="inlineStr">
        <is>
          <t>Barbara</t>
        </is>
      </c>
      <c r="B384" t="inlineStr">
        <is>
          <t>+5511983542956</t>
        </is>
      </c>
      <c r="C384" t="inlineStr">
        <is>
          <t>Refill</t>
        </is>
      </c>
      <c r="D384" t="inlineStr">
        <is>
          <t>Primer Cachos</t>
        </is>
      </c>
      <c r="E384" t="n">
        <v>1</v>
      </c>
      <c r="F384" t="inlineStr">
        <is>
          <t>2025-11-08</t>
        </is>
      </c>
      <c r="G384" t="n">
        <v>238</v>
      </c>
      <c r="H384" t="inlineStr">
        <is>
          <t>Y</t>
        </is>
      </c>
      <c r="I384">
        <f>HYPERLINK("https://admin.shopify.com/store/ge-beauty-cosmeticos/customers/9841601413440","abrir")</f>
        <v/>
      </c>
      <c r="J384">
        <f>HYPERLINK("https://www.gebeauty.com.br/products/primer-cachos-definidos?ref=review","review")</f>
        <v/>
      </c>
      <c r="K384" t="inlineStr">
        <is>
          <t>SEND</t>
        </is>
      </c>
    </row>
    <row r="385">
      <c r="A385" t="inlineStr">
        <is>
          <t>Thalita</t>
        </is>
      </c>
      <c r="B385" t="inlineStr">
        <is>
          <t>+5511988909796</t>
        </is>
      </c>
      <c r="C385" t="inlineStr">
        <is>
          <t>Refill</t>
        </is>
      </c>
      <c r="D385" t="inlineStr">
        <is>
          <t>Primer Cachos</t>
        </is>
      </c>
      <c r="E385" t="n">
        <v>1</v>
      </c>
      <c r="F385" t="inlineStr">
        <is>
          <t>2025-11-08</t>
        </is>
      </c>
      <c r="G385" t="n">
        <v>238</v>
      </c>
      <c r="H385" t="inlineStr">
        <is>
          <t>Y</t>
        </is>
      </c>
      <c r="I385">
        <f>HYPERLINK("https://admin.shopify.com/store/ge-beauty-cosmeticos/customers/9610997039424","abrir")</f>
        <v/>
      </c>
      <c r="J385">
        <f>HYPERLINK("https://www.gebeauty.com.br/products/primer-cachos-definidos?ref=review","review")</f>
        <v/>
      </c>
      <c r="K385" t="inlineStr">
        <is>
          <t>SEND</t>
        </is>
      </c>
    </row>
    <row r="386">
      <c r="A386" t="inlineStr">
        <is>
          <t>Danielle</t>
        </is>
      </c>
      <c r="B386" t="inlineStr">
        <is>
          <t>+5511975348876</t>
        </is>
      </c>
      <c r="C386" t="inlineStr">
        <is>
          <t>Refill</t>
        </is>
      </c>
      <c r="D386" t="inlineStr">
        <is>
          <t>Primer Cachos</t>
        </is>
      </c>
      <c r="E386" t="n">
        <v>1</v>
      </c>
      <c r="F386" t="inlineStr">
        <is>
          <t>2025-11-08</t>
        </is>
      </c>
      <c r="G386" t="n">
        <v>238</v>
      </c>
      <c r="H386" t="inlineStr">
        <is>
          <t>Y</t>
        </is>
      </c>
      <c r="I386">
        <f>HYPERLINK("https://admin.shopify.com/store/ge-beauty-cosmeticos/customers/8828680012096","abrir")</f>
        <v/>
      </c>
      <c r="J386">
        <f>HYPERLINK("https://www.gebeauty.com.br/products/primer-cachos-definidos?ref=review","review")</f>
        <v/>
      </c>
      <c r="K386" t="inlineStr">
        <is>
          <t>SEND</t>
        </is>
      </c>
    </row>
    <row r="387">
      <c r="A387" t="inlineStr">
        <is>
          <t>Mariana</t>
        </is>
      </c>
      <c r="B387" t="inlineStr">
        <is>
          <t>+5598991602601</t>
        </is>
      </c>
      <c r="C387" t="inlineStr">
        <is>
          <t>Refill</t>
        </is>
      </c>
      <c r="D387" t="inlineStr">
        <is>
          <t>Primer Cachos</t>
        </is>
      </c>
      <c r="E387" t="n">
        <v>1</v>
      </c>
      <c r="F387" t="inlineStr">
        <is>
          <t>2025-11-08</t>
        </is>
      </c>
      <c r="G387" t="n">
        <v>238</v>
      </c>
      <c r="H387" t="inlineStr">
        <is>
          <t>Y</t>
        </is>
      </c>
      <c r="I387">
        <f>HYPERLINK("https://admin.shopify.com/store/ge-beauty-cosmeticos/customers/9434041188672","abrir")</f>
        <v/>
      </c>
      <c r="J387">
        <f>HYPERLINK("https://www.gebeauty.com.br/products/primer-cachos-definidos?ref=review","review")</f>
        <v/>
      </c>
      <c r="K387" t="inlineStr">
        <is>
          <t>SEND</t>
        </is>
      </c>
    </row>
    <row r="388">
      <c r="A388" t="inlineStr">
        <is>
          <t>Maria</t>
        </is>
      </c>
      <c r="B388" t="inlineStr">
        <is>
          <t>+5581998835662</t>
        </is>
      </c>
      <c r="C388" t="inlineStr">
        <is>
          <t>Refill</t>
        </is>
      </c>
      <c r="D388" t="inlineStr">
        <is>
          <t>Primer Cachos</t>
        </is>
      </c>
      <c r="E388" t="n">
        <v>1</v>
      </c>
      <c r="F388" t="inlineStr">
        <is>
          <t>2025-11-08</t>
        </is>
      </c>
      <c r="G388" t="n">
        <v>238</v>
      </c>
      <c r="H388" t="inlineStr">
        <is>
          <t>Y</t>
        </is>
      </c>
      <c r="I388">
        <f>HYPERLINK("https://admin.shopify.com/store/ge-beauty-cosmeticos/customers/9842166694208","abrir")</f>
        <v/>
      </c>
      <c r="J388">
        <f>HYPERLINK("https://www.gebeauty.com.br/products/primer-cachos-definidos?ref=review","review")</f>
        <v/>
      </c>
      <c r="K388" t="inlineStr">
        <is>
          <t>SEND</t>
        </is>
      </c>
    </row>
    <row r="389">
      <c r="A389" t="inlineStr">
        <is>
          <t>Karen</t>
        </is>
      </c>
      <c r="B389" t="inlineStr">
        <is>
          <t>+5511971121406</t>
        </is>
      </c>
      <c r="C389" t="inlineStr">
        <is>
          <t>Refill</t>
        </is>
      </c>
      <c r="D389" t="inlineStr">
        <is>
          <t>Primer Cachos</t>
        </is>
      </c>
      <c r="E389" t="n">
        <v>1</v>
      </c>
      <c r="F389" t="inlineStr">
        <is>
          <t>2025-11-08</t>
        </is>
      </c>
      <c r="G389" t="n">
        <v>238</v>
      </c>
      <c r="H389" t="inlineStr">
        <is>
          <t>Y</t>
        </is>
      </c>
      <c r="I389">
        <f>HYPERLINK("https://admin.shopify.com/store/ge-beauty-cosmeticos/customers/9842211062080","abrir")</f>
        <v/>
      </c>
      <c r="J389">
        <f>HYPERLINK("https://www.gebeauty.com.br/products/primer-cachos-definidos?ref=review","review")</f>
        <v/>
      </c>
      <c r="K389" t="inlineStr">
        <is>
          <t>SEND</t>
        </is>
      </c>
    </row>
    <row r="390">
      <c r="A390" t="inlineStr">
        <is>
          <t>Barbara</t>
        </is>
      </c>
      <c r="B390" t="inlineStr">
        <is>
          <t>+5511974789693</t>
        </is>
      </c>
      <c r="C390" t="inlineStr">
        <is>
          <t>Refill</t>
        </is>
      </c>
      <c r="D390" t="inlineStr">
        <is>
          <t>Primer Cachos</t>
        </is>
      </c>
      <c r="E390" t="n">
        <v>1</v>
      </c>
      <c r="F390" t="inlineStr">
        <is>
          <t>2025-11-08</t>
        </is>
      </c>
      <c r="G390" t="n">
        <v>238</v>
      </c>
      <c r="H390" t="inlineStr">
        <is>
          <t>Y</t>
        </is>
      </c>
      <c r="I390">
        <f>HYPERLINK("https://admin.shopify.com/store/ge-beauty-cosmeticos/customers/9842391744832","abrir")</f>
        <v/>
      </c>
      <c r="J390">
        <f>HYPERLINK("https://www.gebeauty.com.br/products/primer-cachos-definidos?ref=review","review")</f>
        <v/>
      </c>
      <c r="K390" t="inlineStr">
        <is>
          <t>HOLDOUT</t>
        </is>
      </c>
    </row>
    <row r="391">
      <c r="A391" t="inlineStr">
        <is>
          <t>Ana</t>
        </is>
      </c>
      <c r="B391" t="inlineStr">
        <is>
          <t>+5511971001976</t>
        </is>
      </c>
      <c r="C391" t="inlineStr">
        <is>
          <t>Refill</t>
        </is>
      </c>
      <c r="D391" t="inlineStr">
        <is>
          <t>Primer Cachos</t>
        </is>
      </c>
      <c r="E391" t="n">
        <v>1</v>
      </c>
      <c r="F391" t="inlineStr">
        <is>
          <t>2025-11-08</t>
        </is>
      </c>
      <c r="G391" t="n">
        <v>238</v>
      </c>
      <c r="H391" t="inlineStr">
        <is>
          <t>Y</t>
        </is>
      </c>
      <c r="I391">
        <f>HYPERLINK("https://admin.shopify.com/store/ge-beauty-cosmeticos/customers/8262445203776","abrir")</f>
        <v/>
      </c>
      <c r="J391">
        <f>HYPERLINK("https://www.gebeauty.com.br/products/primer-cachos-definidos?ref=review","review")</f>
        <v/>
      </c>
      <c r="K391" t="inlineStr">
        <is>
          <t>SEND</t>
        </is>
      </c>
    </row>
    <row r="392">
      <c r="A392" t="inlineStr">
        <is>
          <t>Luciana</t>
        </is>
      </c>
      <c r="B392" t="inlineStr">
        <is>
          <t>+5531994716439</t>
        </is>
      </c>
      <c r="C392" t="inlineStr">
        <is>
          <t>Refill</t>
        </is>
      </c>
      <c r="D392" t="inlineStr">
        <is>
          <t>Primer Cachos</t>
        </is>
      </c>
      <c r="E392" t="n">
        <v>1</v>
      </c>
      <c r="F392" t="inlineStr">
        <is>
          <t>2025-11-09</t>
        </is>
      </c>
      <c r="G392" t="n">
        <v>237</v>
      </c>
      <c r="H392" t="inlineStr">
        <is>
          <t>Y</t>
        </is>
      </c>
      <c r="I392">
        <f>HYPERLINK("https://admin.shopify.com/store/ge-beauty-cosmeticos/customers/9842597855552","abrir")</f>
        <v/>
      </c>
      <c r="J392">
        <f>HYPERLINK("https://www.gebeauty.com.br/products/primer-cachos-definidos?ref=review","review")</f>
        <v/>
      </c>
      <c r="K392" t="inlineStr">
        <is>
          <t>SEND</t>
        </is>
      </c>
    </row>
    <row r="393">
      <c r="A393" t="inlineStr">
        <is>
          <t>Francieli</t>
        </is>
      </c>
      <c r="B393" t="inlineStr">
        <is>
          <t>+5544999487778</t>
        </is>
      </c>
      <c r="C393" t="inlineStr">
        <is>
          <t>Refill</t>
        </is>
      </c>
      <c r="D393" t="inlineStr">
        <is>
          <t>Primer Cachos</t>
        </is>
      </c>
      <c r="E393" t="n">
        <v>1</v>
      </c>
      <c r="F393" t="inlineStr">
        <is>
          <t>2025-11-09</t>
        </is>
      </c>
      <c r="G393" t="n">
        <v>237</v>
      </c>
      <c r="H393" t="inlineStr">
        <is>
          <t>Y</t>
        </is>
      </c>
      <c r="I393">
        <f>HYPERLINK("https://admin.shopify.com/store/ge-beauty-cosmeticos/customers/9843366428992","abrir")</f>
        <v/>
      </c>
      <c r="J393">
        <f>HYPERLINK("https://www.gebeauty.com.br/products/primer-cachos-definidos?ref=review","review")</f>
        <v/>
      </c>
      <c r="K393" t="inlineStr">
        <is>
          <t>HOLDOUT</t>
        </is>
      </c>
    </row>
    <row r="394">
      <c r="A394" t="inlineStr">
        <is>
          <t>Biba</t>
        </is>
      </c>
      <c r="B394" t="inlineStr">
        <is>
          <t>+5511999155201</t>
        </is>
      </c>
      <c r="C394" t="inlineStr">
        <is>
          <t>Refill</t>
        </is>
      </c>
      <c r="D394" t="inlineStr">
        <is>
          <t>Primer Cachos</t>
        </is>
      </c>
      <c r="E394" t="n">
        <v>1</v>
      </c>
      <c r="F394" t="inlineStr">
        <is>
          <t>2025-11-09</t>
        </is>
      </c>
      <c r="G394" t="n">
        <v>237</v>
      </c>
      <c r="H394" t="inlineStr">
        <is>
          <t>Y</t>
        </is>
      </c>
      <c r="I394">
        <f>HYPERLINK("https://admin.shopify.com/store/ge-beauty-cosmeticos/customers/9844135035200","abrir")</f>
        <v/>
      </c>
      <c r="J394">
        <f>HYPERLINK("https://www.gebeauty.com.br/products/primer-cachos-definidos?ref=review","review")</f>
        <v/>
      </c>
      <c r="K394" t="inlineStr">
        <is>
          <t>SEND</t>
        </is>
      </c>
    </row>
    <row r="395">
      <c r="A395" t="inlineStr">
        <is>
          <t>Janete</t>
        </is>
      </c>
      <c r="B395" t="inlineStr">
        <is>
          <t>+5511994202670</t>
        </is>
      </c>
      <c r="C395" t="inlineStr">
        <is>
          <t>Refill</t>
        </is>
      </c>
      <c r="D395" t="inlineStr">
        <is>
          <t>Primer Cachos</t>
        </is>
      </c>
      <c r="E395" t="n">
        <v>1</v>
      </c>
      <c r="F395" t="inlineStr">
        <is>
          <t>2025-11-09</t>
        </is>
      </c>
      <c r="G395" t="n">
        <v>237</v>
      </c>
      <c r="H395" t="inlineStr">
        <is>
          <t>Y</t>
        </is>
      </c>
      <c r="I395">
        <f>HYPERLINK("https://admin.shopify.com/store/ge-beauty-cosmeticos/customers/9844143292736","abrir")</f>
        <v/>
      </c>
      <c r="J395">
        <f>HYPERLINK("https://www.gebeauty.com.br/products/primer-cachos-definidos?ref=review","review")</f>
        <v/>
      </c>
      <c r="K395" t="inlineStr">
        <is>
          <t>SEND</t>
        </is>
      </c>
    </row>
    <row r="396">
      <c r="A396" t="inlineStr">
        <is>
          <t>Sarah</t>
        </is>
      </c>
      <c r="B396" t="inlineStr">
        <is>
          <t>+5511962070350</t>
        </is>
      </c>
      <c r="C396" t="inlineStr">
        <is>
          <t>Refill</t>
        </is>
      </c>
      <c r="D396" t="inlineStr">
        <is>
          <t>Primer Cachos</t>
        </is>
      </c>
      <c r="E396" t="n">
        <v>1</v>
      </c>
      <c r="F396" t="inlineStr">
        <is>
          <t>2025-11-09</t>
        </is>
      </c>
      <c r="G396" t="n">
        <v>237</v>
      </c>
      <c r="H396" t="inlineStr">
        <is>
          <t>Y</t>
        </is>
      </c>
      <c r="I396">
        <f>HYPERLINK("https://admin.shopify.com/store/ge-beauty-cosmeticos/customers/9844359921984","abrir")</f>
        <v/>
      </c>
      <c r="J396">
        <f>HYPERLINK("https://www.gebeauty.com.br/products/primer-cachos-definidos?ref=review","review")</f>
        <v/>
      </c>
      <c r="K396" t="inlineStr">
        <is>
          <t>SEND</t>
        </is>
      </c>
    </row>
    <row r="397">
      <c r="A397" t="inlineStr">
        <is>
          <t>Priscila</t>
        </is>
      </c>
      <c r="B397" t="inlineStr">
        <is>
          <t>+5511996158115</t>
        </is>
      </c>
      <c r="C397" t="inlineStr">
        <is>
          <t>Refill</t>
        </is>
      </c>
      <c r="D397" t="inlineStr">
        <is>
          <t>Primer Cachos</t>
        </is>
      </c>
      <c r="E397" t="n">
        <v>1</v>
      </c>
      <c r="F397" t="inlineStr">
        <is>
          <t>2025-11-09</t>
        </is>
      </c>
      <c r="G397" t="n">
        <v>237</v>
      </c>
      <c r="H397" t="inlineStr">
        <is>
          <t>Y</t>
        </is>
      </c>
      <c r="I397">
        <f>HYPERLINK("https://admin.shopify.com/store/ge-beauty-cosmeticos/customers/9486011498816","abrir")</f>
        <v/>
      </c>
      <c r="J397">
        <f>HYPERLINK("https://www.gebeauty.com.br/products/primer-cachos-definidos?ref=review","review")</f>
        <v/>
      </c>
      <c r="K397" t="inlineStr">
        <is>
          <t>SEND</t>
        </is>
      </c>
    </row>
    <row r="398">
      <c r="A398" t="inlineStr">
        <is>
          <t>Agda Gloria</t>
        </is>
      </c>
      <c r="B398" t="inlineStr">
        <is>
          <t>+5561992115734</t>
        </is>
      </c>
      <c r="C398" t="inlineStr">
        <is>
          <t>Refill</t>
        </is>
      </c>
      <c r="D398" t="inlineStr">
        <is>
          <t>Primer Cachos</t>
        </is>
      </c>
      <c r="E398" t="n">
        <v>1</v>
      </c>
      <c r="F398" t="inlineStr">
        <is>
          <t>2025-11-09</t>
        </is>
      </c>
      <c r="G398" t="n">
        <v>237</v>
      </c>
      <c r="H398" t="inlineStr">
        <is>
          <t>Y</t>
        </is>
      </c>
      <c r="I398">
        <f>HYPERLINK("https://admin.shopify.com/store/ge-beauty-cosmeticos/customers/9828391911744","abrir")</f>
        <v/>
      </c>
      <c r="J398">
        <f>HYPERLINK("https://www.gebeauty.com.br/products/primer-cachos-definidos?ref=review","review")</f>
        <v/>
      </c>
      <c r="K398" t="inlineStr">
        <is>
          <t>SEND</t>
        </is>
      </c>
    </row>
    <row r="399">
      <c r="A399" t="inlineStr">
        <is>
          <t>Carolina</t>
        </is>
      </c>
      <c r="B399" t="inlineStr">
        <is>
          <t>+5515997020408</t>
        </is>
      </c>
      <c r="C399" t="inlineStr">
        <is>
          <t>Refill</t>
        </is>
      </c>
      <c r="D399" t="inlineStr">
        <is>
          <t>Primer Cachos</t>
        </is>
      </c>
      <c r="E399" t="n">
        <v>1</v>
      </c>
      <c r="F399" t="inlineStr">
        <is>
          <t>2025-11-09</t>
        </is>
      </c>
      <c r="G399" t="n">
        <v>237</v>
      </c>
      <c r="H399" t="inlineStr">
        <is>
          <t>Y</t>
        </is>
      </c>
      <c r="I399">
        <f>HYPERLINK("https://admin.shopify.com/store/ge-beauty-cosmeticos/customers/9761924022592","abrir")</f>
        <v/>
      </c>
      <c r="J399">
        <f>HYPERLINK("https://www.gebeauty.com.br/products/primer-cachos-definidos?ref=review","review")</f>
        <v/>
      </c>
      <c r="K399" t="inlineStr">
        <is>
          <t>SEND</t>
        </is>
      </c>
    </row>
    <row r="400">
      <c r="A400" t="inlineStr">
        <is>
          <t>Layra</t>
        </is>
      </c>
      <c r="B400" t="inlineStr">
        <is>
          <t>+5575981886761</t>
        </is>
      </c>
      <c r="C400" t="inlineStr">
        <is>
          <t>Refill</t>
        </is>
      </c>
      <c r="D400" t="inlineStr">
        <is>
          <t>Primer Cachos</t>
        </is>
      </c>
      <c r="E400" t="n">
        <v>1</v>
      </c>
      <c r="F400" t="inlineStr">
        <is>
          <t>2025-11-09</t>
        </is>
      </c>
      <c r="G400" t="n">
        <v>237</v>
      </c>
      <c r="H400" t="inlineStr">
        <is>
          <t>Y</t>
        </is>
      </c>
      <c r="I400">
        <f>HYPERLINK("https://admin.shopify.com/store/ge-beauty-cosmeticos/customers/9844598341952","abrir")</f>
        <v/>
      </c>
      <c r="J400">
        <f>HYPERLINK("https://www.gebeauty.com.br/products/primer-cachos-definidos?ref=review","review")</f>
        <v/>
      </c>
      <c r="K400" t="inlineStr">
        <is>
          <t>SEND</t>
        </is>
      </c>
    </row>
    <row r="401">
      <c r="A401" t="inlineStr">
        <is>
          <t>-juliana</t>
        </is>
      </c>
      <c r="B401" t="inlineStr">
        <is>
          <t>+5535998686209</t>
        </is>
      </c>
      <c r="C401" t="inlineStr">
        <is>
          <t>Refill</t>
        </is>
      </c>
      <c r="D401" t="inlineStr">
        <is>
          <t>Primer Cachos</t>
        </is>
      </c>
      <c r="E401" t="n">
        <v>1</v>
      </c>
      <c r="F401" t="inlineStr">
        <is>
          <t>2025-11-10</t>
        </is>
      </c>
      <c r="G401" t="n">
        <v>236</v>
      </c>
      <c r="H401" t="inlineStr">
        <is>
          <t>Y</t>
        </is>
      </c>
      <c r="I401">
        <f>HYPERLINK("https://admin.shopify.com/store/ge-beauty-cosmeticos/customers/9844721221952","abrir")</f>
        <v/>
      </c>
      <c r="J401">
        <f>HYPERLINK("https://www.gebeauty.com.br/products/primer-cachos-definidos?ref=review","review")</f>
        <v/>
      </c>
      <c r="K401" t="inlineStr">
        <is>
          <t>SEND</t>
        </is>
      </c>
    </row>
    <row r="402">
      <c r="A402" t="inlineStr">
        <is>
          <t>Emilli</t>
        </is>
      </c>
      <c r="B402" t="inlineStr">
        <is>
          <t>+5547991717197</t>
        </is>
      </c>
      <c r="C402" t="inlineStr">
        <is>
          <t>Refill</t>
        </is>
      </c>
      <c r="D402" t="inlineStr">
        <is>
          <t>Primer Cachos</t>
        </is>
      </c>
      <c r="E402" t="n">
        <v>1</v>
      </c>
      <c r="F402" t="inlineStr">
        <is>
          <t>2025-11-10</t>
        </is>
      </c>
      <c r="G402" t="n">
        <v>236</v>
      </c>
      <c r="H402" t="inlineStr">
        <is>
          <t>Y</t>
        </is>
      </c>
      <c r="I402">
        <f>HYPERLINK("https://admin.shopify.com/store/ge-beauty-cosmeticos/customers/9846445932864","abrir")</f>
        <v/>
      </c>
      <c r="J402">
        <f>HYPERLINK("https://www.gebeauty.com.br/products/primer-cachos-definidos?ref=review","review")</f>
        <v/>
      </c>
      <c r="K402" t="inlineStr">
        <is>
          <t>SEND</t>
        </is>
      </c>
    </row>
    <row r="403">
      <c r="A403" t="inlineStr">
        <is>
          <t>Thiara</t>
        </is>
      </c>
      <c r="B403" t="inlineStr">
        <is>
          <t>+5585996291875</t>
        </is>
      </c>
      <c r="C403" t="inlineStr">
        <is>
          <t>Refill</t>
        </is>
      </c>
      <c r="D403" t="inlineStr">
        <is>
          <t>Primer Cachos</t>
        </is>
      </c>
      <c r="E403" t="n">
        <v>1</v>
      </c>
      <c r="F403" t="inlineStr">
        <is>
          <t>2025-11-10</t>
        </is>
      </c>
      <c r="G403" t="n">
        <v>236</v>
      </c>
      <c r="H403" t="inlineStr">
        <is>
          <t>Y</t>
        </is>
      </c>
      <c r="I403">
        <f>HYPERLINK("https://admin.shopify.com/store/ge-beauty-cosmeticos/customers/7759428059456","abrir")</f>
        <v/>
      </c>
      <c r="J403">
        <f>HYPERLINK("https://www.gebeauty.com.br/products/primer-cachos-definidos?ref=review","review")</f>
        <v/>
      </c>
      <c r="K403" t="inlineStr">
        <is>
          <t>SEND</t>
        </is>
      </c>
    </row>
    <row r="404">
      <c r="A404" t="inlineStr">
        <is>
          <t>Carolina</t>
        </is>
      </c>
      <c r="B404" t="inlineStr">
        <is>
          <t>+5511975747340</t>
        </is>
      </c>
      <c r="C404" t="inlineStr">
        <is>
          <t>Refill</t>
        </is>
      </c>
      <c r="D404" t="inlineStr">
        <is>
          <t>Primer Cachos</t>
        </is>
      </c>
      <c r="E404" t="n">
        <v>1</v>
      </c>
      <c r="F404" t="inlineStr">
        <is>
          <t>2025-11-11</t>
        </is>
      </c>
      <c r="G404" t="n">
        <v>235</v>
      </c>
      <c r="H404" t="inlineStr">
        <is>
          <t>Y</t>
        </is>
      </c>
      <c r="I404">
        <f>HYPERLINK("https://admin.shopify.com/store/ge-beauty-cosmeticos/customers/7761248944448","abrir")</f>
        <v/>
      </c>
      <c r="J404">
        <f>HYPERLINK("https://www.gebeauty.com.br/products/primer-cachos-definidos?ref=review","review")</f>
        <v/>
      </c>
      <c r="K404" t="inlineStr">
        <is>
          <t>SEND</t>
        </is>
      </c>
    </row>
    <row r="405">
      <c r="A405" t="inlineStr">
        <is>
          <t>Caio</t>
        </is>
      </c>
      <c r="B405" t="inlineStr">
        <is>
          <t>+5562984883303</t>
        </is>
      </c>
      <c r="C405" t="inlineStr">
        <is>
          <t>Refill</t>
        </is>
      </c>
      <c r="D405" t="inlineStr">
        <is>
          <t>Primer Cachos</t>
        </is>
      </c>
      <c r="E405" t="n">
        <v>1</v>
      </c>
      <c r="F405" t="inlineStr">
        <is>
          <t>2025-11-11</t>
        </is>
      </c>
      <c r="G405" t="n">
        <v>235</v>
      </c>
      <c r="H405" t="inlineStr">
        <is>
          <t>Y</t>
        </is>
      </c>
      <c r="I405">
        <f>HYPERLINK("https://admin.shopify.com/store/ge-beauty-cosmeticos/customers/8669888643392","abrir")</f>
        <v/>
      </c>
      <c r="J405">
        <f>HYPERLINK("https://www.gebeauty.com.br/products/primer-cachos-definidos?ref=review","review")</f>
        <v/>
      </c>
      <c r="K405" t="inlineStr">
        <is>
          <t>SEND</t>
        </is>
      </c>
    </row>
    <row r="406">
      <c r="A406" t="inlineStr">
        <is>
          <t>Naidê</t>
        </is>
      </c>
      <c r="B406" t="inlineStr">
        <is>
          <t>+5551992336226</t>
        </is>
      </c>
      <c r="C406" t="inlineStr">
        <is>
          <t>Refill</t>
        </is>
      </c>
      <c r="D406" t="inlineStr">
        <is>
          <t>Primer Cachos</t>
        </is>
      </c>
      <c r="E406" t="n">
        <v>1</v>
      </c>
      <c r="F406" t="inlineStr">
        <is>
          <t>2025-11-11</t>
        </is>
      </c>
      <c r="G406" t="n">
        <v>235</v>
      </c>
      <c r="H406" t="inlineStr">
        <is>
          <t>Y</t>
        </is>
      </c>
      <c r="I406">
        <f>HYPERLINK("https://admin.shopify.com/store/ge-beauty-cosmeticos/customers/9849849381184","abrir")</f>
        <v/>
      </c>
      <c r="J406">
        <f>HYPERLINK("https://www.gebeauty.com.br/products/primer-cachos-definidos?ref=review","review")</f>
        <v/>
      </c>
      <c r="K406" t="inlineStr">
        <is>
          <t>HOLDOUT</t>
        </is>
      </c>
    </row>
    <row r="407">
      <c r="A407" t="inlineStr">
        <is>
          <t>Vitor</t>
        </is>
      </c>
      <c r="B407" t="inlineStr">
        <is>
          <t>+5511984922261</t>
        </is>
      </c>
      <c r="C407" t="inlineStr">
        <is>
          <t>Refill</t>
        </is>
      </c>
      <c r="D407" t="inlineStr">
        <is>
          <t>Primer Cachos</t>
        </is>
      </c>
      <c r="E407" t="n">
        <v>1</v>
      </c>
      <c r="F407" t="inlineStr">
        <is>
          <t>2025-11-11</t>
        </is>
      </c>
      <c r="G407" t="n">
        <v>235</v>
      </c>
      <c r="H407" t="inlineStr">
        <is>
          <t>Y</t>
        </is>
      </c>
      <c r="I407">
        <f>HYPERLINK("https://admin.shopify.com/store/ge-beauty-cosmeticos/customers/9849708609856","abrir")</f>
        <v/>
      </c>
      <c r="J407">
        <f>HYPERLINK("https://www.gebeauty.com.br/products/primer-cachos-definidos?ref=review","review")</f>
        <v/>
      </c>
      <c r="K407" t="inlineStr">
        <is>
          <t>SEND</t>
        </is>
      </c>
    </row>
    <row r="408">
      <c r="A408" t="inlineStr">
        <is>
          <t>Gabriela</t>
        </is>
      </c>
      <c r="B408" t="inlineStr">
        <is>
          <t>+5511973340997</t>
        </is>
      </c>
      <c r="C408" t="inlineStr">
        <is>
          <t>Refill</t>
        </is>
      </c>
      <c r="D408" t="inlineStr">
        <is>
          <t>Primer Cachos</t>
        </is>
      </c>
      <c r="E408" t="n">
        <v>1</v>
      </c>
      <c r="F408" t="inlineStr">
        <is>
          <t>2025-11-11</t>
        </is>
      </c>
      <c r="G408" t="n">
        <v>235</v>
      </c>
      <c r="H408" t="inlineStr">
        <is>
          <t>Y</t>
        </is>
      </c>
      <c r="I408">
        <f>HYPERLINK("https://admin.shopify.com/store/ge-beauty-cosmeticos/customers/7760078274880","abrir")</f>
        <v/>
      </c>
      <c r="J408">
        <f>HYPERLINK("https://www.gebeauty.com.br/products/primer-cachos-definidos?ref=review","review")</f>
        <v/>
      </c>
      <c r="K408" t="inlineStr">
        <is>
          <t>SEND</t>
        </is>
      </c>
    </row>
    <row r="409">
      <c r="A409" t="inlineStr">
        <is>
          <t>Renata</t>
        </is>
      </c>
      <c r="B409" t="inlineStr">
        <is>
          <t>+5541988219786</t>
        </is>
      </c>
      <c r="C409" t="inlineStr">
        <is>
          <t>Refill</t>
        </is>
      </c>
      <c r="D409" t="inlineStr">
        <is>
          <t>Primer Cachos</t>
        </is>
      </c>
      <c r="E409" t="n">
        <v>1</v>
      </c>
      <c r="F409" t="inlineStr">
        <is>
          <t>2025-11-11</t>
        </is>
      </c>
      <c r="G409" t="n">
        <v>235</v>
      </c>
      <c r="H409" t="inlineStr">
        <is>
          <t>Y</t>
        </is>
      </c>
      <c r="I409">
        <f>HYPERLINK("https://admin.shopify.com/store/ge-beauty-cosmeticos/customers/9849995723072","abrir")</f>
        <v/>
      </c>
      <c r="J409">
        <f>HYPERLINK("https://www.gebeauty.com.br/products/primer-cachos-definidos?ref=review","review")</f>
        <v/>
      </c>
      <c r="K409" t="inlineStr">
        <is>
          <t>SEND</t>
        </is>
      </c>
    </row>
    <row r="410">
      <c r="A410" t="inlineStr">
        <is>
          <t>Rafaela</t>
        </is>
      </c>
      <c r="B410" t="inlineStr">
        <is>
          <t>+5511986520405</t>
        </is>
      </c>
      <c r="C410" t="inlineStr">
        <is>
          <t>Refill</t>
        </is>
      </c>
      <c r="D410" t="inlineStr">
        <is>
          <t>Primer Cachos</t>
        </is>
      </c>
      <c r="E410" t="n">
        <v>1</v>
      </c>
      <c r="F410" t="inlineStr">
        <is>
          <t>2025-11-11</t>
        </is>
      </c>
      <c r="G410" t="n">
        <v>235</v>
      </c>
      <c r="H410" t="inlineStr">
        <is>
          <t>Y</t>
        </is>
      </c>
      <c r="I410">
        <f>HYPERLINK("https://admin.shopify.com/store/ge-beauty-cosmeticos/customers/9726086119744","abrir")</f>
        <v/>
      </c>
      <c r="J410">
        <f>HYPERLINK("https://www.gebeauty.com.br/products/primer-cachos-definidos?ref=review","review")</f>
        <v/>
      </c>
      <c r="K410" t="inlineStr">
        <is>
          <t>SEND</t>
        </is>
      </c>
    </row>
    <row r="411">
      <c r="A411" t="inlineStr">
        <is>
          <t>Samantha</t>
        </is>
      </c>
      <c r="B411" t="inlineStr">
        <is>
          <t>+5511957536279</t>
        </is>
      </c>
      <c r="C411" t="inlineStr">
        <is>
          <t>Refill</t>
        </is>
      </c>
      <c r="D411" t="inlineStr">
        <is>
          <t>Primer Cachos</t>
        </is>
      </c>
      <c r="E411" t="n">
        <v>1</v>
      </c>
      <c r="F411" t="inlineStr">
        <is>
          <t>2025-11-11</t>
        </is>
      </c>
      <c r="G411" t="n">
        <v>235</v>
      </c>
      <c r="H411" t="inlineStr">
        <is>
          <t>Y</t>
        </is>
      </c>
      <c r="I411">
        <f>HYPERLINK("https://admin.shopify.com/store/ge-beauty-cosmeticos/customers/9674969743680","abrir")</f>
        <v/>
      </c>
      <c r="J411">
        <f>HYPERLINK("https://www.gebeauty.com.br/products/primer-cachos-definidos?ref=review","review")</f>
        <v/>
      </c>
      <c r="K411" t="inlineStr">
        <is>
          <t>SEND</t>
        </is>
      </c>
    </row>
    <row r="412">
      <c r="A412" t="inlineStr">
        <is>
          <t>Jussara</t>
        </is>
      </c>
      <c r="B412" t="inlineStr">
        <is>
          <t>+5571992602266</t>
        </is>
      </c>
      <c r="C412" t="inlineStr">
        <is>
          <t>Refill</t>
        </is>
      </c>
      <c r="D412" t="inlineStr">
        <is>
          <t>Primer Cachos</t>
        </is>
      </c>
      <c r="E412" t="n">
        <v>1</v>
      </c>
      <c r="F412" t="inlineStr">
        <is>
          <t>2025-11-11</t>
        </is>
      </c>
      <c r="G412" t="n">
        <v>235</v>
      </c>
      <c r="H412" t="inlineStr">
        <is>
          <t>Y</t>
        </is>
      </c>
      <c r="I412">
        <f>HYPERLINK("https://admin.shopify.com/store/ge-beauty-cosmeticos/customers/7761737417024","abrir")</f>
        <v/>
      </c>
      <c r="J412">
        <f>HYPERLINK("https://www.gebeauty.com.br/products/primer-cachos-definidos?ref=review","review")</f>
        <v/>
      </c>
      <c r="K412" t="inlineStr">
        <is>
          <t>SEND</t>
        </is>
      </c>
    </row>
    <row r="413">
      <c r="A413" t="inlineStr">
        <is>
          <t>Sílvia</t>
        </is>
      </c>
      <c r="B413" t="inlineStr">
        <is>
          <t>+5531992313247</t>
        </is>
      </c>
      <c r="C413" t="inlineStr">
        <is>
          <t>Refill</t>
        </is>
      </c>
      <c r="D413" t="inlineStr">
        <is>
          <t>Primer Cachos</t>
        </is>
      </c>
      <c r="E413" t="n">
        <v>1</v>
      </c>
      <c r="F413" t="inlineStr">
        <is>
          <t>2025-11-11</t>
        </is>
      </c>
      <c r="G413" t="n">
        <v>235</v>
      </c>
      <c r="H413" t="inlineStr">
        <is>
          <t>Y</t>
        </is>
      </c>
      <c r="I413">
        <f>HYPERLINK("https://admin.shopify.com/store/ge-beauty-cosmeticos/customers/8350871552320","abrir")</f>
        <v/>
      </c>
      <c r="J413">
        <f>HYPERLINK("https://www.gebeauty.com.br/products/primer-cachos-definidos?ref=review","review")</f>
        <v/>
      </c>
      <c r="K413" t="inlineStr">
        <is>
          <t>HOLDOUT</t>
        </is>
      </c>
    </row>
    <row r="414">
      <c r="A414" t="inlineStr">
        <is>
          <t>Renata</t>
        </is>
      </c>
      <c r="B414" t="inlineStr">
        <is>
          <t>+5511994077645</t>
        </is>
      </c>
      <c r="C414" t="inlineStr">
        <is>
          <t>Refill</t>
        </is>
      </c>
      <c r="D414" t="inlineStr">
        <is>
          <t>Primer Cachos</t>
        </is>
      </c>
      <c r="E414" t="n">
        <v>1</v>
      </c>
      <c r="F414" t="inlineStr">
        <is>
          <t>2025-11-11</t>
        </is>
      </c>
      <c r="G414" t="n">
        <v>235</v>
      </c>
      <c r="H414" t="inlineStr">
        <is>
          <t>Y</t>
        </is>
      </c>
      <c r="I414">
        <f>HYPERLINK("https://admin.shopify.com/store/ge-beauty-cosmeticos/customers/9486521631040","abrir")</f>
        <v/>
      </c>
      <c r="J414">
        <f>HYPERLINK("https://www.gebeauty.com.br/products/primer-cachos-definidos?ref=review","review")</f>
        <v/>
      </c>
      <c r="K414" t="inlineStr">
        <is>
          <t>SEND</t>
        </is>
      </c>
    </row>
    <row r="415">
      <c r="A415" t="inlineStr">
        <is>
          <t>Danielle</t>
        </is>
      </c>
      <c r="B415" t="inlineStr">
        <is>
          <t>+5583999039787</t>
        </is>
      </c>
      <c r="C415" t="inlineStr">
        <is>
          <t>Refill</t>
        </is>
      </c>
      <c r="D415" t="inlineStr">
        <is>
          <t>Primer Cachos</t>
        </is>
      </c>
      <c r="E415" t="n">
        <v>1</v>
      </c>
      <c r="F415" t="inlineStr">
        <is>
          <t>2025-11-11</t>
        </is>
      </c>
      <c r="G415" t="n">
        <v>235</v>
      </c>
      <c r="H415" t="inlineStr">
        <is>
          <t>Y</t>
        </is>
      </c>
      <c r="I415">
        <f>HYPERLINK("https://admin.shopify.com/store/ge-beauty-cosmeticos/customers/9850934231360","abrir")</f>
        <v/>
      </c>
      <c r="J415">
        <f>HYPERLINK("https://www.gebeauty.com.br/products/primer-cachos-definidos?ref=review","review")</f>
        <v/>
      </c>
      <c r="K415" t="inlineStr">
        <is>
          <t>SEND</t>
        </is>
      </c>
    </row>
    <row r="416">
      <c r="A416" t="inlineStr">
        <is>
          <t>Taina</t>
        </is>
      </c>
      <c r="B416" t="inlineStr">
        <is>
          <t>+5511986946156</t>
        </is>
      </c>
      <c r="C416" t="inlineStr">
        <is>
          <t>Refill</t>
        </is>
      </c>
      <c r="D416" t="inlineStr">
        <is>
          <t>Primer Cachos</t>
        </is>
      </c>
      <c r="E416" t="n">
        <v>1</v>
      </c>
      <c r="F416" t="inlineStr">
        <is>
          <t>2025-11-11</t>
        </is>
      </c>
      <c r="G416" t="n">
        <v>235</v>
      </c>
      <c r="H416" t="inlineStr">
        <is>
          <t>Y</t>
        </is>
      </c>
      <c r="I416">
        <f>HYPERLINK("https://admin.shopify.com/store/ge-beauty-cosmeticos/customers/9850888126784","abrir")</f>
        <v/>
      </c>
      <c r="J416">
        <f>HYPERLINK("https://www.gebeauty.com.br/products/primer-cachos-definidos?ref=review","review")</f>
        <v/>
      </c>
      <c r="K416" t="inlineStr">
        <is>
          <t>SEND</t>
        </is>
      </c>
    </row>
    <row r="417">
      <c r="A417" t="inlineStr">
        <is>
          <t>Fernando</t>
        </is>
      </c>
      <c r="B417" t="inlineStr">
        <is>
          <t>+5532933008707</t>
        </is>
      </c>
      <c r="C417" t="inlineStr">
        <is>
          <t>Refill</t>
        </is>
      </c>
      <c r="D417" t="inlineStr">
        <is>
          <t>Primer Cachos</t>
        </is>
      </c>
      <c r="E417" t="n">
        <v>1</v>
      </c>
      <c r="F417" t="inlineStr">
        <is>
          <t>2025-11-11</t>
        </is>
      </c>
      <c r="G417" t="n">
        <v>235</v>
      </c>
      <c r="H417" t="inlineStr">
        <is>
          <t>Y</t>
        </is>
      </c>
      <c r="I417">
        <f>HYPERLINK("https://admin.shopify.com/store/ge-beauty-cosmeticos/customers/9485861650752","abrir")</f>
        <v/>
      </c>
      <c r="J417">
        <f>HYPERLINK("https://www.gebeauty.com.br/products/primer-cachos-definidos?ref=review","review")</f>
        <v/>
      </c>
      <c r="K417" t="inlineStr">
        <is>
          <t>SEND</t>
        </is>
      </c>
    </row>
    <row r="418">
      <c r="A418" t="inlineStr">
        <is>
          <t>Bruna</t>
        </is>
      </c>
      <c r="B418" t="inlineStr">
        <is>
          <t>+5511955905885</t>
        </is>
      </c>
      <c r="C418" t="inlineStr">
        <is>
          <t>Refill</t>
        </is>
      </c>
      <c r="D418" t="inlineStr">
        <is>
          <t>Primer Cachos</t>
        </is>
      </c>
      <c r="E418" t="n">
        <v>1</v>
      </c>
      <c r="F418" t="inlineStr">
        <is>
          <t>2025-11-12</t>
        </is>
      </c>
      <c r="G418" t="n">
        <v>234</v>
      </c>
      <c r="H418" t="inlineStr">
        <is>
          <t>Y</t>
        </is>
      </c>
      <c r="I418">
        <f>HYPERLINK("https://admin.shopify.com/store/ge-beauty-cosmeticos/customers/9840835592512","abrir")</f>
        <v/>
      </c>
      <c r="J418">
        <f>HYPERLINK("https://www.gebeauty.com.br/products/primer-cachos-definidos?ref=review","review")</f>
        <v/>
      </c>
      <c r="K418" t="inlineStr">
        <is>
          <t>SEND</t>
        </is>
      </c>
    </row>
    <row r="419">
      <c r="A419" t="inlineStr">
        <is>
          <t>Fernanda</t>
        </is>
      </c>
      <c r="B419" t="inlineStr">
        <is>
          <t>+5511994784871</t>
        </is>
      </c>
      <c r="C419" t="inlineStr">
        <is>
          <t>Refill</t>
        </is>
      </c>
      <c r="D419" t="inlineStr">
        <is>
          <t>Primer Cachos</t>
        </is>
      </c>
      <c r="E419" t="n">
        <v>1</v>
      </c>
      <c r="F419" t="inlineStr">
        <is>
          <t>2025-11-12</t>
        </is>
      </c>
      <c r="G419" t="n">
        <v>234</v>
      </c>
      <c r="H419" t="inlineStr">
        <is>
          <t>Y</t>
        </is>
      </c>
      <c r="I419">
        <f>HYPERLINK("https://admin.shopify.com/store/ge-beauty-cosmeticos/customers/8211451380032","abrir")</f>
        <v/>
      </c>
      <c r="J419">
        <f>HYPERLINK("https://www.gebeauty.com.br/products/primer-cachos-definidos?ref=review","review")</f>
        <v/>
      </c>
      <c r="K419" t="inlineStr">
        <is>
          <t>SEND</t>
        </is>
      </c>
    </row>
    <row r="420">
      <c r="A420" t="inlineStr">
        <is>
          <t>Natalia</t>
        </is>
      </c>
      <c r="B420" t="inlineStr">
        <is>
          <t>+5531986222041</t>
        </is>
      </c>
      <c r="C420" t="inlineStr">
        <is>
          <t>Refill</t>
        </is>
      </c>
      <c r="D420" t="inlineStr">
        <is>
          <t>Primer Cachos</t>
        </is>
      </c>
      <c r="E420" t="n">
        <v>1</v>
      </c>
      <c r="F420" t="inlineStr">
        <is>
          <t>2025-11-12</t>
        </is>
      </c>
      <c r="G420" t="n">
        <v>234</v>
      </c>
      <c r="H420" t="inlineStr">
        <is>
          <t>Y</t>
        </is>
      </c>
      <c r="I420">
        <f>HYPERLINK("https://admin.shopify.com/store/ge-beauty-cosmeticos/customers/9836025774400","abrir")</f>
        <v/>
      </c>
      <c r="J420">
        <f>HYPERLINK("https://www.gebeauty.com.br/products/primer-cachos-definidos?ref=review","review")</f>
        <v/>
      </c>
      <c r="K420" t="inlineStr">
        <is>
          <t>SEND</t>
        </is>
      </c>
    </row>
    <row r="421">
      <c r="A421" t="inlineStr">
        <is>
          <t>Karina</t>
        </is>
      </c>
      <c r="B421" t="inlineStr">
        <is>
          <t>+5511961902426</t>
        </is>
      </c>
      <c r="C421" t="inlineStr">
        <is>
          <t>Refill</t>
        </is>
      </c>
      <c r="D421" t="inlineStr">
        <is>
          <t>Primer Cachos</t>
        </is>
      </c>
      <c r="E421" t="n">
        <v>1</v>
      </c>
      <c r="F421" t="inlineStr">
        <is>
          <t>2025-11-12</t>
        </is>
      </c>
      <c r="G421" t="n">
        <v>234</v>
      </c>
      <c r="H421" t="inlineStr">
        <is>
          <t>Y</t>
        </is>
      </c>
      <c r="I421">
        <f>HYPERLINK("https://admin.shopify.com/store/ge-beauty-cosmeticos/customers/7761444045120","abrir")</f>
        <v/>
      </c>
      <c r="J421">
        <f>HYPERLINK("https://www.gebeauty.com.br/products/primer-cachos-definidos?ref=review","review")</f>
        <v/>
      </c>
      <c r="K421" t="inlineStr">
        <is>
          <t>SEND</t>
        </is>
      </c>
    </row>
    <row r="422">
      <c r="A422" t="inlineStr">
        <is>
          <t>Nathalia</t>
        </is>
      </c>
      <c r="B422" t="inlineStr">
        <is>
          <t>+5511987162234</t>
        </is>
      </c>
      <c r="C422" t="inlineStr">
        <is>
          <t>Refill</t>
        </is>
      </c>
      <c r="D422" t="inlineStr">
        <is>
          <t>Primer Cachos</t>
        </is>
      </c>
      <c r="E422" t="n">
        <v>1</v>
      </c>
      <c r="F422" t="inlineStr">
        <is>
          <t>2025-11-12</t>
        </is>
      </c>
      <c r="G422" t="n">
        <v>234</v>
      </c>
      <c r="H422" t="inlineStr">
        <is>
          <t>Y</t>
        </is>
      </c>
      <c r="I422">
        <f>HYPERLINK("https://admin.shopify.com/store/ge-beauty-cosmeticos/customers/9851199979840","abrir")</f>
        <v/>
      </c>
      <c r="J422">
        <f>HYPERLINK("https://www.gebeauty.com.br/products/primer-cachos-definidos?ref=review","review")</f>
        <v/>
      </c>
      <c r="K422" t="inlineStr">
        <is>
          <t>SEND</t>
        </is>
      </c>
    </row>
    <row r="423">
      <c r="A423" t="inlineStr">
        <is>
          <t>Andreia</t>
        </is>
      </c>
      <c r="B423" t="inlineStr">
        <is>
          <t>+5531988194165</t>
        </is>
      </c>
      <c r="C423" t="inlineStr">
        <is>
          <t>Refill</t>
        </is>
      </c>
      <c r="D423" t="inlineStr">
        <is>
          <t>Primer Cachos</t>
        </is>
      </c>
      <c r="E423" t="n">
        <v>1</v>
      </c>
      <c r="F423" t="inlineStr">
        <is>
          <t>2025-11-12</t>
        </is>
      </c>
      <c r="G423" t="n">
        <v>234</v>
      </c>
      <c r="H423" t="inlineStr">
        <is>
          <t>Y</t>
        </is>
      </c>
      <c r="I423">
        <f>HYPERLINK("https://admin.shopify.com/store/ge-beauty-cosmeticos/customers/9837553353024","abrir")</f>
        <v/>
      </c>
      <c r="J423">
        <f>HYPERLINK("https://www.gebeauty.com.br/products/primer-cachos-definidos?ref=review","review")</f>
        <v/>
      </c>
      <c r="K423" t="inlineStr">
        <is>
          <t>HOLDOUT</t>
        </is>
      </c>
    </row>
    <row r="424">
      <c r="A424" t="inlineStr">
        <is>
          <t>Pedro</t>
        </is>
      </c>
      <c r="B424" t="inlineStr">
        <is>
          <t>+5561996663289</t>
        </is>
      </c>
      <c r="C424" t="inlineStr">
        <is>
          <t>Refill</t>
        </is>
      </c>
      <c r="D424" t="inlineStr">
        <is>
          <t>Primer Cachos</t>
        </is>
      </c>
      <c r="E424" t="n">
        <v>1</v>
      </c>
      <c r="F424" t="inlineStr">
        <is>
          <t>2025-11-12</t>
        </is>
      </c>
      <c r="G424" t="n">
        <v>234</v>
      </c>
      <c r="H424" t="inlineStr">
        <is>
          <t>Y</t>
        </is>
      </c>
      <c r="I424">
        <f>HYPERLINK("https://admin.shopify.com/store/ge-beauty-cosmeticos/customers/9852993241408","abrir")</f>
        <v/>
      </c>
      <c r="J424">
        <f>HYPERLINK("https://www.gebeauty.com.br/products/primer-cachos-definidos?ref=review","review")</f>
        <v/>
      </c>
      <c r="K424" t="inlineStr">
        <is>
          <t>SEND</t>
        </is>
      </c>
    </row>
    <row r="425">
      <c r="A425" t="inlineStr">
        <is>
          <t>Gisele</t>
        </is>
      </c>
      <c r="B425" t="inlineStr">
        <is>
          <t>+5511992848061</t>
        </is>
      </c>
      <c r="C425" t="inlineStr">
        <is>
          <t>Refill</t>
        </is>
      </c>
      <c r="D425" t="inlineStr">
        <is>
          <t>Primer Cachos</t>
        </is>
      </c>
      <c r="E425" t="n">
        <v>1</v>
      </c>
      <c r="F425" t="inlineStr">
        <is>
          <t>2025-11-12</t>
        </is>
      </c>
      <c r="G425" t="n">
        <v>234</v>
      </c>
      <c r="H425" t="inlineStr">
        <is>
          <t>Y</t>
        </is>
      </c>
      <c r="I425">
        <f>HYPERLINK("https://admin.shopify.com/store/ge-beauty-cosmeticos/customers/9853080174912","abrir")</f>
        <v/>
      </c>
      <c r="J425">
        <f>HYPERLINK("https://www.gebeauty.com.br/products/primer-cachos-definidos?ref=review","review")</f>
        <v/>
      </c>
      <c r="K425" t="inlineStr">
        <is>
          <t>SEND</t>
        </is>
      </c>
    </row>
    <row r="426">
      <c r="A426" t="inlineStr">
        <is>
          <t>Yohanna</t>
        </is>
      </c>
      <c r="B426" t="inlineStr">
        <is>
          <t>+5564999220026</t>
        </is>
      </c>
      <c r="C426" t="inlineStr">
        <is>
          <t>Refill</t>
        </is>
      </c>
      <c r="D426" t="inlineStr">
        <is>
          <t>Primer Cachos</t>
        </is>
      </c>
      <c r="E426" t="n">
        <v>1</v>
      </c>
      <c r="F426" t="inlineStr">
        <is>
          <t>2025-11-12</t>
        </is>
      </c>
      <c r="G426" t="n">
        <v>234</v>
      </c>
      <c r="H426" t="inlineStr">
        <is>
          <t>Y</t>
        </is>
      </c>
      <c r="I426">
        <f>HYPERLINK("https://admin.shopify.com/store/ge-beauty-cosmeticos/customers/9853091348800","abrir")</f>
        <v/>
      </c>
      <c r="J426">
        <f>HYPERLINK("https://www.gebeauty.com.br/products/primer-cachos-definidos?ref=review","review")</f>
        <v/>
      </c>
      <c r="K426" t="inlineStr">
        <is>
          <t>SEND</t>
        </is>
      </c>
    </row>
    <row r="427">
      <c r="A427" t="inlineStr">
        <is>
          <t>Dayse</t>
        </is>
      </c>
      <c r="B427" t="inlineStr">
        <is>
          <t>+5534999243068</t>
        </is>
      </c>
      <c r="C427" t="inlineStr">
        <is>
          <t>Refill</t>
        </is>
      </c>
      <c r="D427" t="inlineStr">
        <is>
          <t>Primer Cachos</t>
        </is>
      </c>
      <c r="E427" t="n">
        <v>1</v>
      </c>
      <c r="F427" t="inlineStr">
        <is>
          <t>2025-11-12</t>
        </is>
      </c>
      <c r="G427" t="n">
        <v>234</v>
      </c>
      <c r="H427" t="inlineStr">
        <is>
          <t>Y</t>
        </is>
      </c>
      <c r="I427">
        <f>HYPERLINK("https://admin.shopify.com/store/ge-beauty-cosmeticos/customers/7762634637632","abrir")</f>
        <v/>
      </c>
      <c r="J427">
        <f>HYPERLINK("https://www.gebeauty.com.br/products/primer-cachos-definidos?ref=review","review")</f>
        <v/>
      </c>
      <c r="K427" t="inlineStr">
        <is>
          <t>SEND</t>
        </is>
      </c>
    </row>
    <row r="428">
      <c r="A428" t="inlineStr">
        <is>
          <t>Ana</t>
        </is>
      </c>
      <c r="B428" t="inlineStr">
        <is>
          <t>+5581985117122</t>
        </is>
      </c>
      <c r="C428" t="inlineStr">
        <is>
          <t>Refill</t>
        </is>
      </c>
      <c r="D428" t="inlineStr">
        <is>
          <t>Primer Cachos</t>
        </is>
      </c>
      <c r="E428" t="n">
        <v>1</v>
      </c>
      <c r="F428" t="inlineStr">
        <is>
          <t>2025-11-12</t>
        </is>
      </c>
      <c r="G428" t="n">
        <v>234</v>
      </c>
      <c r="H428" t="inlineStr">
        <is>
          <t>Y</t>
        </is>
      </c>
      <c r="I428">
        <f>HYPERLINK("https://admin.shopify.com/store/ge-beauty-cosmeticos/customers/9486608826688","abrir")</f>
        <v/>
      </c>
      <c r="J428">
        <f>HYPERLINK("https://www.gebeauty.com.br/products/primer-cachos-definidos?ref=review","review")</f>
        <v/>
      </c>
      <c r="K428" t="inlineStr">
        <is>
          <t>SEND</t>
        </is>
      </c>
    </row>
    <row r="429">
      <c r="A429" t="inlineStr">
        <is>
          <t>Flávia</t>
        </is>
      </c>
      <c r="B429" t="inlineStr">
        <is>
          <t>+5511999454828</t>
        </is>
      </c>
      <c r="C429" t="inlineStr">
        <is>
          <t>Refill</t>
        </is>
      </c>
      <c r="D429" t="inlineStr">
        <is>
          <t>Primer Cachos</t>
        </is>
      </c>
      <c r="E429" t="n">
        <v>1</v>
      </c>
      <c r="F429" t="inlineStr">
        <is>
          <t>2025-11-12</t>
        </is>
      </c>
      <c r="G429" t="n">
        <v>234</v>
      </c>
      <c r="H429" t="inlineStr">
        <is>
          <t>Y</t>
        </is>
      </c>
      <c r="I429">
        <f>HYPERLINK("https://admin.shopify.com/store/ge-beauty-cosmeticos/customers/9854749212992","abrir")</f>
        <v/>
      </c>
      <c r="J429">
        <f>HYPERLINK("https://www.gebeauty.com.br/products/primer-cachos-definidos?ref=review","review")</f>
        <v/>
      </c>
      <c r="K429" t="inlineStr">
        <is>
          <t>SEND</t>
        </is>
      </c>
    </row>
    <row r="430">
      <c r="A430" t="inlineStr">
        <is>
          <t>Renata</t>
        </is>
      </c>
      <c r="B430" t="inlineStr">
        <is>
          <t>+5511917362526</t>
        </is>
      </c>
      <c r="C430" t="inlineStr">
        <is>
          <t>Refill</t>
        </is>
      </c>
      <c r="D430" t="inlineStr">
        <is>
          <t>Primer Cachos</t>
        </is>
      </c>
      <c r="E430" t="n">
        <v>1</v>
      </c>
      <c r="F430" t="inlineStr">
        <is>
          <t>2025-11-12</t>
        </is>
      </c>
      <c r="G430" t="n">
        <v>234</v>
      </c>
      <c r="H430" t="inlineStr">
        <is>
          <t>Y</t>
        </is>
      </c>
      <c r="I430">
        <f>HYPERLINK("https://admin.shopify.com/store/ge-beauty-cosmeticos/customers/9817373802816","abrir")</f>
        <v/>
      </c>
      <c r="J430">
        <f>HYPERLINK("https://www.gebeauty.com.br/products/primer-cachos-definidos?ref=review","review")</f>
        <v/>
      </c>
      <c r="K430" t="inlineStr">
        <is>
          <t>SEND</t>
        </is>
      </c>
    </row>
    <row r="431">
      <c r="A431" t="inlineStr">
        <is>
          <t>Alessandra</t>
        </is>
      </c>
      <c r="B431" t="inlineStr">
        <is>
          <t>+5511996006727</t>
        </is>
      </c>
      <c r="C431" t="inlineStr">
        <is>
          <t>Refill</t>
        </is>
      </c>
      <c r="D431" t="inlineStr">
        <is>
          <t>Primer Cachos</t>
        </is>
      </c>
      <c r="E431" t="n">
        <v>1</v>
      </c>
      <c r="F431" t="inlineStr">
        <is>
          <t>2025-11-12</t>
        </is>
      </c>
      <c r="G431" t="n">
        <v>234</v>
      </c>
      <c r="H431" t="inlineStr">
        <is>
          <t>Y</t>
        </is>
      </c>
      <c r="I431">
        <f>HYPERLINK("https://admin.shopify.com/store/ge-beauty-cosmeticos/customers/9855963201856","abrir")</f>
        <v/>
      </c>
      <c r="J431">
        <f>HYPERLINK("https://www.gebeauty.com.br/products/primer-cachos-definidos?ref=review","review")</f>
        <v/>
      </c>
      <c r="K431" t="inlineStr">
        <is>
          <t>SEND</t>
        </is>
      </c>
    </row>
    <row r="432">
      <c r="A432" t="inlineStr">
        <is>
          <t>Juliana</t>
        </is>
      </c>
      <c r="B432" t="inlineStr">
        <is>
          <t>+5581999995400</t>
        </is>
      </c>
      <c r="C432" t="inlineStr">
        <is>
          <t>Refill</t>
        </is>
      </c>
      <c r="D432" t="inlineStr">
        <is>
          <t>Primer Cachos</t>
        </is>
      </c>
      <c r="E432" t="n">
        <v>1</v>
      </c>
      <c r="F432" t="inlineStr">
        <is>
          <t>2025-11-12</t>
        </is>
      </c>
      <c r="G432" t="n">
        <v>234</v>
      </c>
      <c r="H432" t="inlineStr">
        <is>
          <t>Y</t>
        </is>
      </c>
      <c r="I432">
        <f>HYPERLINK("https://admin.shopify.com/store/ge-beauty-cosmeticos/customers/9856011665728","abrir")</f>
        <v/>
      </c>
      <c r="J432">
        <f>HYPERLINK("https://www.gebeauty.com.br/products/primer-cachos-definidos?ref=review","review")</f>
        <v/>
      </c>
      <c r="K432" t="inlineStr">
        <is>
          <t>SEND</t>
        </is>
      </c>
    </row>
    <row r="433">
      <c r="A433" t="inlineStr">
        <is>
          <t>Maria Eduarda</t>
        </is>
      </c>
      <c r="B433" t="inlineStr">
        <is>
          <t>+5587996254640</t>
        </is>
      </c>
      <c r="C433" t="inlineStr">
        <is>
          <t>Refill</t>
        </is>
      </c>
      <c r="D433" t="inlineStr">
        <is>
          <t>Primer Cachos</t>
        </is>
      </c>
      <c r="E433" t="n">
        <v>1</v>
      </c>
      <c r="F433" t="inlineStr">
        <is>
          <t>2025-11-12</t>
        </is>
      </c>
      <c r="G433" t="n">
        <v>234</v>
      </c>
      <c r="H433" t="inlineStr">
        <is>
          <t>Y</t>
        </is>
      </c>
      <c r="I433">
        <f>HYPERLINK("https://admin.shopify.com/store/ge-beauty-cosmeticos/customers/9485297385792","abrir")</f>
        <v/>
      </c>
      <c r="J433">
        <f>HYPERLINK("https://www.gebeauty.com.br/products/primer-cachos-definidos?ref=review","review")</f>
        <v/>
      </c>
      <c r="K433" t="inlineStr">
        <is>
          <t>SEND</t>
        </is>
      </c>
    </row>
    <row r="434">
      <c r="A434" t="inlineStr">
        <is>
          <t>Vivian</t>
        </is>
      </c>
      <c r="B434" t="inlineStr">
        <is>
          <t>+5585999533307</t>
        </is>
      </c>
      <c r="C434" t="inlineStr">
        <is>
          <t>Refill</t>
        </is>
      </c>
      <c r="D434" t="inlineStr">
        <is>
          <t>Primer Cachos</t>
        </is>
      </c>
      <c r="E434" t="n">
        <v>1</v>
      </c>
      <c r="F434" t="inlineStr">
        <is>
          <t>2025-11-12</t>
        </is>
      </c>
      <c r="G434" t="n">
        <v>234</v>
      </c>
      <c r="H434" t="inlineStr">
        <is>
          <t>Y</t>
        </is>
      </c>
      <c r="I434">
        <f>HYPERLINK("https://admin.shopify.com/store/ge-beauty-cosmeticos/customers/9856243892544","abrir")</f>
        <v/>
      </c>
      <c r="J434">
        <f>HYPERLINK("https://www.gebeauty.com.br/products/primer-cachos-definidos?ref=review","review")</f>
        <v/>
      </c>
      <c r="K434" t="inlineStr">
        <is>
          <t>HOLDOUT</t>
        </is>
      </c>
    </row>
    <row r="435">
      <c r="A435" t="inlineStr">
        <is>
          <t>Maria de Lourdes</t>
        </is>
      </c>
      <c r="B435" t="inlineStr">
        <is>
          <t>+5585994330388</t>
        </is>
      </c>
      <c r="C435" t="inlineStr">
        <is>
          <t>Refill</t>
        </is>
      </c>
      <c r="D435" t="inlineStr">
        <is>
          <t>Primer Cachos</t>
        </is>
      </c>
      <c r="E435" t="n">
        <v>1</v>
      </c>
      <c r="F435" t="inlineStr">
        <is>
          <t>2025-11-12</t>
        </is>
      </c>
      <c r="G435" t="n">
        <v>234</v>
      </c>
      <c r="H435" t="inlineStr">
        <is>
          <t>Y</t>
        </is>
      </c>
      <c r="I435">
        <f>HYPERLINK("https://admin.shopify.com/store/ge-beauty-cosmeticos/customers/9856791773504","abrir")</f>
        <v/>
      </c>
      <c r="J435">
        <f>HYPERLINK("https://www.gebeauty.com.br/products/primer-cachos-definidos?ref=review","review")</f>
        <v/>
      </c>
      <c r="K435" t="inlineStr">
        <is>
          <t>HOLDOUT</t>
        </is>
      </c>
    </row>
    <row r="436">
      <c r="A436" t="inlineStr">
        <is>
          <t>Dircina</t>
        </is>
      </c>
      <c r="B436" t="inlineStr">
        <is>
          <t>+5561999793790</t>
        </is>
      </c>
      <c r="C436" t="inlineStr">
        <is>
          <t>Refill</t>
        </is>
      </c>
      <c r="D436" t="inlineStr">
        <is>
          <t>Primer Cachos</t>
        </is>
      </c>
      <c r="E436" t="n">
        <v>1</v>
      </c>
      <c r="F436" t="inlineStr">
        <is>
          <t>2025-11-13</t>
        </is>
      </c>
      <c r="G436" t="n">
        <v>233</v>
      </c>
      <c r="H436" t="inlineStr">
        <is>
          <t>Y</t>
        </is>
      </c>
      <c r="I436">
        <f>HYPERLINK("https://admin.shopify.com/store/ge-beauty-cosmeticos/customers/9538654568768","abrir")</f>
        <v/>
      </c>
      <c r="J436">
        <f>HYPERLINK("https://www.gebeauty.com.br/products/primer-cachos-definidos?ref=review","review")</f>
        <v/>
      </c>
      <c r="K436" t="inlineStr">
        <is>
          <t>HOLDOUT</t>
        </is>
      </c>
    </row>
    <row r="437">
      <c r="A437" t="inlineStr">
        <is>
          <t>Nicolle</t>
        </is>
      </c>
      <c r="B437" t="inlineStr">
        <is>
          <t>+5567981890665</t>
        </is>
      </c>
      <c r="C437" t="inlineStr">
        <is>
          <t>Refill</t>
        </is>
      </c>
      <c r="D437" t="inlineStr">
        <is>
          <t>Primer Cachos</t>
        </is>
      </c>
      <c r="E437" t="n">
        <v>1</v>
      </c>
      <c r="F437" t="inlineStr">
        <is>
          <t>2025-11-13</t>
        </is>
      </c>
      <c r="G437" t="n">
        <v>233</v>
      </c>
      <c r="H437" t="inlineStr">
        <is>
          <t>Y</t>
        </is>
      </c>
      <c r="I437">
        <f>HYPERLINK("https://admin.shopify.com/store/ge-beauty-cosmeticos/customers/9471297323328","abrir")</f>
        <v/>
      </c>
      <c r="J437">
        <f>HYPERLINK("https://www.gebeauty.com.br/products/primer-cachos-definidos?ref=review","review")</f>
        <v/>
      </c>
      <c r="K437" t="inlineStr">
        <is>
          <t>SEND</t>
        </is>
      </c>
    </row>
    <row r="438">
      <c r="A438" t="inlineStr">
        <is>
          <t>Gessica</t>
        </is>
      </c>
      <c r="B438" t="inlineStr">
        <is>
          <t>+5591981653495</t>
        </is>
      </c>
      <c r="C438" t="inlineStr">
        <is>
          <t>Refill</t>
        </is>
      </c>
      <c r="D438" t="inlineStr">
        <is>
          <t>Primer Cachos</t>
        </is>
      </c>
      <c r="E438" t="n">
        <v>1</v>
      </c>
      <c r="F438" t="inlineStr">
        <is>
          <t>2025-11-13</t>
        </is>
      </c>
      <c r="G438" t="n">
        <v>233</v>
      </c>
      <c r="H438" t="inlineStr">
        <is>
          <t>Y</t>
        </is>
      </c>
      <c r="I438">
        <f>HYPERLINK("https://admin.shopify.com/store/ge-beauty-cosmeticos/customers/9486485848384","abrir")</f>
        <v/>
      </c>
      <c r="J438">
        <f>HYPERLINK("https://www.gebeauty.com.br/products/primer-cachos-definidos?ref=review","review")</f>
        <v/>
      </c>
      <c r="K438" t="inlineStr">
        <is>
          <t>SEND</t>
        </is>
      </c>
    </row>
    <row r="439">
      <c r="A439" t="inlineStr">
        <is>
          <t>Barbara</t>
        </is>
      </c>
      <c r="B439" t="inlineStr">
        <is>
          <t>+5585991406317</t>
        </is>
      </c>
      <c r="C439" t="inlineStr">
        <is>
          <t>Refill</t>
        </is>
      </c>
      <c r="D439" t="inlineStr">
        <is>
          <t>Primer Cachos</t>
        </is>
      </c>
      <c r="E439" t="n">
        <v>1</v>
      </c>
      <c r="F439" t="inlineStr">
        <is>
          <t>2025-11-13</t>
        </is>
      </c>
      <c r="G439" t="n">
        <v>233</v>
      </c>
      <c r="H439" t="inlineStr">
        <is>
          <t>Y</t>
        </is>
      </c>
      <c r="I439">
        <f>HYPERLINK("https://admin.shopify.com/store/ge-beauty-cosmeticos/customers/9790405542208","abrir")</f>
        <v/>
      </c>
      <c r="J439">
        <f>HYPERLINK("https://www.gebeauty.com.br/products/primer-cachos-definidos?ref=review","review")</f>
        <v/>
      </c>
      <c r="K439" t="inlineStr">
        <is>
          <t>SEND</t>
        </is>
      </c>
    </row>
    <row r="440">
      <c r="A440" t="inlineStr">
        <is>
          <t>Carolina</t>
        </is>
      </c>
      <c r="B440" t="inlineStr">
        <is>
          <t>+5511987994142</t>
        </is>
      </c>
      <c r="C440" t="inlineStr">
        <is>
          <t>Refill</t>
        </is>
      </c>
      <c r="D440" t="inlineStr">
        <is>
          <t>Primer Cachos</t>
        </is>
      </c>
      <c r="E440" t="n">
        <v>1</v>
      </c>
      <c r="F440" t="inlineStr">
        <is>
          <t>2025-11-13</t>
        </is>
      </c>
      <c r="G440" t="n">
        <v>233</v>
      </c>
      <c r="H440" t="inlineStr">
        <is>
          <t>Y</t>
        </is>
      </c>
      <c r="I440">
        <f>HYPERLINK("https://admin.shopify.com/store/ge-beauty-cosmeticos/customers/9800850768192","abrir")</f>
        <v/>
      </c>
      <c r="J440">
        <f>HYPERLINK("https://www.gebeauty.com.br/products/primer-cachos-definidos?ref=review","review")</f>
        <v/>
      </c>
      <c r="K440" t="inlineStr">
        <is>
          <t>SEND</t>
        </is>
      </c>
    </row>
    <row r="441">
      <c r="A441" t="inlineStr">
        <is>
          <t>Luna</t>
        </is>
      </c>
      <c r="B441" t="inlineStr">
        <is>
          <t>+5585996950196</t>
        </is>
      </c>
      <c r="C441" t="inlineStr">
        <is>
          <t>Refill</t>
        </is>
      </c>
      <c r="D441" t="inlineStr">
        <is>
          <t>Primer Cachos</t>
        </is>
      </c>
      <c r="E441" t="n">
        <v>1</v>
      </c>
      <c r="F441" t="inlineStr">
        <is>
          <t>2025-11-13</t>
        </is>
      </c>
      <c r="G441" t="n">
        <v>233</v>
      </c>
      <c r="H441" t="inlineStr">
        <is>
          <t>Y</t>
        </is>
      </c>
      <c r="I441">
        <f>HYPERLINK("https://admin.shopify.com/store/ge-beauty-cosmeticos/customers/9846893740352","abrir")</f>
        <v/>
      </c>
      <c r="J441">
        <f>HYPERLINK("https://www.gebeauty.com.br/products/primer-cachos-definidos?ref=review","review")</f>
        <v/>
      </c>
      <c r="K441" t="inlineStr">
        <is>
          <t>SEND</t>
        </is>
      </c>
    </row>
    <row r="442">
      <c r="A442" t="inlineStr">
        <is>
          <t>Patrick</t>
        </is>
      </c>
      <c r="B442" t="inlineStr">
        <is>
          <t>+5511941636901</t>
        </is>
      </c>
      <c r="C442" t="inlineStr">
        <is>
          <t>Refill</t>
        </is>
      </c>
      <c r="D442" t="inlineStr">
        <is>
          <t>Primer Cachos</t>
        </is>
      </c>
      <c r="E442" t="n">
        <v>1</v>
      </c>
      <c r="F442" t="inlineStr">
        <is>
          <t>2025-11-13</t>
        </is>
      </c>
      <c r="G442" t="n">
        <v>233</v>
      </c>
      <c r="H442" t="inlineStr">
        <is>
          <t>Y</t>
        </is>
      </c>
      <c r="I442">
        <f>HYPERLINK("https://admin.shopify.com/store/ge-beauty-cosmeticos/customers/8469526479168","abrir")</f>
        <v/>
      </c>
      <c r="J442">
        <f>HYPERLINK("https://www.gebeauty.com.br/products/primer-cachos-definidos?ref=review","review")</f>
        <v/>
      </c>
      <c r="K442" t="inlineStr">
        <is>
          <t>SEND</t>
        </is>
      </c>
    </row>
    <row r="443">
      <c r="A443" t="inlineStr">
        <is>
          <t>Giovana</t>
        </is>
      </c>
      <c r="B443" t="inlineStr">
        <is>
          <t>+5581998347766</t>
        </is>
      </c>
      <c r="C443" t="inlineStr">
        <is>
          <t>Refill</t>
        </is>
      </c>
      <c r="D443" t="inlineStr">
        <is>
          <t>Primer Cachos</t>
        </is>
      </c>
      <c r="E443" t="n">
        <v>1</v>
      </c>
      <c r="F443" t="inlineStr">
        <is>
          <t>2025-11-13</t>
        </is>
      </c>
      <c r="G443" t="n">
        <v>233</v>
      </c>
      <c r="H443" t="inlineStr">
        <is>
          <t>Y</t>
        </is>
      </c>
      <c r="I443">
        <f>HYPERLINK("https://admin.shopify.com/store/ge-beauty-cosmeticos/customers/9859712090432","abrir")</f>
        <v/>
      </c>
      <c r="J443">
        <f>HYPERLINK("https://www.gebeauty.com.br/products/primer-cachos-definidos?ref=review","review")</f>
        <v/>
      </c>
      <c r="K443" t="inlineStr">
        <is>
          <t>SEND</t>
        </is>
      </c>
    </row>
    <row r="444">
      <c r="A444" t="inlineStr">
        <is>
          <t>Cibelly</t>
        </is>
      </c>
      <c r="B444" t="inlineStr">
        <is>
          <t>+5581992719081</t>
        </is>
      </c>
      <c r="C444" t="inlineStr">
        <is>
          <t>Refill</t>
        </is>
      </c>
      <c r="D444" t="inlineStr">
        <is>
          <t>Primer Cachos</t>
        </is>
      </c>
      <c r="E444" t="n">
        <v>1</v>
      </c>
      <c r="F444" t="inlineStr">
        <is>
          <t>2025-11-13</t>
        </is>
      </c>
      <c r="G444" t="n">
        <v>233</v>
      </c>
      <c r="H444" t="inlineStr">
        <is>
          <t>Y</t>
        </is>
      </c>
      <c r="I444">
        <f>HYPERLINK("https://admin.shopify.com/store/ge-beauty-cosmeticos/customers/9582866825536","abrir")</f>
        <v/>
      </c>
      <c r="J444">
        <f>HYPERLINK("https://www.gebeauty.com.br/products/primer-cachos-definidos?ref=review","review")</f>
        <v/>
      </c>
      <c r="K444" t="inlineStr">
        <is>
          <t>SEND</t>
        </is>
      </c>
    </row>
    <row r="445">
      <c r="A445" t="inlineStr">
        <is>
          <t>Bruna</t>
        </is>
      </c>
      <c r="B445" t="inlineStr">
        <is>
          <t>+5521997047411</t>
        </is>
      </c>
      <c r="C445" t="inlineStr">
        <is>
          <t>Refill</t>
        </is>
      </c>
      <c r="D445" t="inlineStr">
        <is>
          <t>Primer Cachos</t>
        </is>
      </c>
      <c r="E445" t="n">
        <v>1</v>
      </c>
      <c r="F445" t="inlineStr">
        <is>
          <t>2025-11-13</t>
        </is>
      </c>
      <c r="G445" t="n">
        <v>233</v>
      </c>
      <c r="H445" t="inlineStr">
        <is>
          <t>Y</t>
        </is>
      </c>
      <c r="I445">
        <f>HYPERLINK("https://admin.shopify.com/store/ge-beauty-cosmeticos/customers/9850796376384","abrir")</f>
        <v/>
      </c>
      <c r="J445">
        <f>HYPERLINK("https://www.gebeauty.com.br/products/primer-cachos-definidos?ref=review","review")</f>
        <v/>
      </c>
      <c r="K445" t="inlineStr">
        <is>
          <t>SEND</t>
        </is>
      </c>
    </row>
    <row r="446">
      <c r="A446" t="inlineStr">
        <is>
          <t>Fernanda</t>
        </is>
      </c>
      <c r="B446" t="inlineStr">
        <is>
          <t>+5511991884463</t>
        </is>
      </c>
      <c r="C446" t="inlineStr">
        <is>
          <t>Refill</t>
        </is>
      </c>
      <c r="D446" t="inlineStr">
        <is>
          <t>Primer Cachos</t>
        </is>
      </c>
      <c r="E446" t="n">
        <v>1</v>
      </c>
      <c r="F446" t="inlineStr">
        <is>
          <t>2025-11-13</t>
        </is>
      </c>
      <c r="G446" t="n">
        <v>233</v>
      </c>
      <c r="H446" t="inlineStr">
        <is>
          <t>Y</t>
        </is>
      </c>
      <c r="I446">
        <f>HYPERLINK("https://admin.shopify.com/store/ge-beauty-cosmeticos/customers/9763069886784","abrir")</f>
        <v/>
      </c>
      <c r="J446">
        <f>HYPERLINK("https://www.gebeauty.com.br/products/primer-cachos-definidos?ref=review","review")</f>
        <v/>
      </c>
      <c r="K446" t="inlineStr">
        <is>
          <t>SEND</t>
        </is>
      </c>
    </row>
    <row r="447">
      <c r="A447" t="inlineStr">
        <is>
          <t>Fabiola</t>
        </is>
      </c>
      <c r="B447" t="inlineStr">
        <is>
          <t>+5541999265581</t>
        </is>
      </c>
      <c r="C447" t="inlineStr">
        <is>
          <t>Refill</t>
        </is>
      </c>
      <c r="D447" t="inlineStr">
        <is>
          <t>Primer Cachos</t>
        </is>
      </c>
      <c r="E447" t="n">
        <v>1</v>
      </c>
      <c r="F447" t="inlineStr">
        <is>
          <t>2025-11-13</t>
        </is>
      </c>
      <c r="G447" t="n">
        <v>233</v>
      </c>
      <c r="H447" t="inlineStr">
        <is>
          <t>Y</t>
        </is>
      </c>
      <c r="I447">
        <f>HYPERLINK("https://admin.shopify.com/store/ge-beauty-cosmeticos/customers/9860080238912","abrir")</f>
        <v/>
      </c>
      <c r="J447">
        <f>HYPERLINK("https://www.gebeauty.com.br/products/primer-cachos-definidos?ref=review","review")</f>
        <v/>
      </c>
      <c r="K447" t="inlineStr">
        <is>
          <t>SEND</t>
        </is>
      </c>
    </row>
    <row r="448">
      <c r="A448" t="inlineStr">
        <is>
          <t>Claudia</t>
        </is>
      </c>
      <c r="B448" t="inlineStr">
        <is>
          <t>+5551988659033</t>
        </is>
      </c>
      <c r="C448" t="inlineStr">
        <is>
          <t>Refill</t>
        </is>
      </c>
      <c r="D448" t="inlineStr">
        <is>
          <t>Primer Cachos</t>
        </is>
      </c>
      <c r="E448" t="n">
        <v>1</v>
      </c>
      <c r="F448" t="inlineStr">
        <is>
          <t>2025-11-13</t>
        </is>
      </c>
      <c r="G448" t="n">
        <v>233</v>
      </c>
      <c r="H448" t="inlineStr">
        <is>
          <t>Y</t>
        </is>
      </c>
      <c r="I448">
        <f>HYPERLINK("https://admin.shopify.com/store/ge-beauty-cosmeticos/customers/9048465277248","abrir")</f>
        <v/>
      </c>
      <c r="J448">
        <f>HYPERLINK("https://www.gebeauty.com.br/products/primer-cachos-definidos?ref=review","review")</f>
        <v/>
      </c>
      <c r="K448" t="inlineStr">
        <is>
          <t>SEND</t>
        </is>
      </c>
    </row>
    <row r="449">
      <c r="A449" t="inlineStr">
        <is>
          <t>Sara</t>
        </is>
      </c>
      <c r="B449" t="inlineStr">
        <is>
          <t>+5571999896852</t>
        </is>
      </c>
      <c r="C449" t="inlineStr">
        <is>
          <t>Refill</t>
        </is>
      </c>
      <c r="D449" t="inlineStr">
        <is>
          <t>Primer Cachos</t>
        </is>
      </c>
      <c r="E449" t="n">
        <v>1</v>
      </c>
      <c r="F449" t="inlineStr">
        <is>
          <t>2025-11-14</t>
        </is>
      </c>
      <c r="G449" t="n">
        <v>232</v>
      </c>
      <c r="H449" t="inlineStr">
        <is>
          <t>Y</t>
        </is>
      </c>
      <c r="I449">
        <f>HYPERLINK("https://admin.shopify.com/store/ge-beauty-cosmeticos/customers/9485191479616","abrir")</f>
        <v/>
      </c>
      <c r="J449">
        <f>HYPERLINK("https://www.gebeauty.com.br/products/primer-cachos-definidos?ref=review","review")</f>
        <v/>
      </c>
      <c r="K449" t="inlineStr">
        <is>
          <t>SEND</t>
        </is>
      </c>
    </row>
    <row r="450">
      <c r="A450" t="inlineStr">
        <is>
          <t>Thaisa</t>
        </is>
      </c>
      <c r="B450" t="inlineStr">
        <is>
          <t>+5511986527480</t>
        </is>
      </c>
      <c r="C450" t="inlineStr">
        <is>
          <t>Refill</t>
        </is>
      </c>
      <c r="D450" t="inlineStr">
        <is>
          <t>Primer Cachos</t>
        </is>
      </c>
      <c r="E450" t="n">
        <v>1</v>
      </c>
      <c r="F450" t="inlineStr">
        <is>
          <t>2025-11-14</t>
        </is>
      </c>
      <c r="G450" t="n">
        <v>232</v>
      </c>
      <c r="H450" t="inlineStr">
        <is>
          <t>Y</t>
        </is>
      </c>
      <c r="I450">
        <f>HYPERLINK("https://admin.shopify.com/store/ge-beauty-cosmeticos/customers/9860004643136","abrir")</f>
        <v/>
      </c>
      <c r="J450">
        <f>HYPERLINK("https://www.gebeauty.com.br/products/primer-cachos-definidos?ref=review","review")</f>
        <v/>
      </c>
      <c r="K450" t="inlineStr">
        <is>
          <t>SEND</t>
        </is>
      </c>
    </row>
    <row r="451">
      <c r="A451" t="inlineStr">
        <is>
          <t>Joberta</t>
        </is>
      </c>
      <c r="B451" t="inlineStr">
        <is>
          <t>+5581994999491</t>
        </is>
      </c>
      <c r="C451" t="inlineStr">
        <is>
          <t>Refill</t>
        </is>
      </c>
      <c r="D451" t="inlineStr">
        <is>
          <t>Primer Cachos</t>
        </is>
      </c>
      <c r="E451" t="n">
        <v>1</v>
      </c>
      <c r="F451" t="inlineStr">
        <is>
          <t>2025-11-14</t>
        </is>
      </c>
      <c r="G451" t="n">
        <v>232</v>
      </c>
      <c r="H451" t="inlineStr">
        <is>
          <t>Y</t>
        </is>
      </c>
      <c r="I451">
        <f>HYPERLINK("https://admin.shopify.com/store/ge-beauty-cosmeticos/customers/9861171806528","abrir")</f>
        <v/>
      </c>
      <c r="J451">
        <f>HYPERLINK("https://www.gebeauty.com.br/products/primer-cachos-definidos?ref=review","review")</f>
        <v/>
      </c>
      <c r="K451" t="inlineStr">
        <is>
          <t>SEND</t>
        </is>
      </c>
    </row>
    <row r="452">
      <c r="A452" t="inlineStr">
        <is>
          <t>Elenir</t>
        </is>
      </c>
      <c r="B452" t="inlineStr">
        <is>
          <t>+5511963206529</t>
        </is>
      </c>
      <c r="C452" t="inlineStr">
        <is>
          <t>Refill</t>
        </is>
      </c>
      <c r="D452" t="inlineStr">
        <is>
          <t>Primer Cachos</t>
        </is>
      </c>
      <c r="E452" t="n">
        <v>1</v>
      </c>
      <c r="F452" t="inlineStr">
        <is>
          <t>2025-11-14</t>
        </is>
      </c>
      <c r="G452" t="n">
        <v>232</v>
      </c>
      <c r="H452" t="inlineStr">
        <is>
          <t>Y</t>
        </is>
      </c>
      <c r="I452">
        <f>HYPERLINK("https://admin.shopify.com/store/ge-beauty-cosmeticos/customers/9861229347136","abrir")</f>
        <v/>
      </c>
      <c r="J452">
        <f>HYPERLINK("https://www.gebeauty.com.br/products/primer-cachos-definidos?ref=review","review")</f>
        <v/>
      </c>
      <c r="K452" t="inlineStr">
        <is>
          <t>SEND</t>
        </is>
      </c>
    </row>
    <row r="453">
      <c r="A453" t="inlineStr">
        <is>
          <t>Helena</t>
        </is>
      </c>
      <c r="B453" t="inlineStr">
        <is>
          <t>+5511984463336</t>
        </is>
      </c>
      <c r="C453" t="inlineStr">
        <is>
          <t>Refill</t>
        </is>
      </c>
      <c r="D453" t="inlineStr">
        <is>
          <t>Primer Cachos</t>
        </is>
      </c>
      <c r="E453" t="n">
        <v>1</v>
      </c>
      <c r="F453" t="inlineStr">
        <is>
          <t>2025-11-14</t>
        </is>
      </c>
      <c r="G453" t="n">
        <v>232</v>
      </c>
      <c r="H453" t="inlineStr">
        <is>
          <t>Y</t>
        </is>
      </c>
      <c r="I453">
        <f>HYPERLINK("https://admin.shopify.com/store/ge-beauty-cosmeticos/customers/9861214830912","abrir")</f>
        <v/>
      </c>
      <c r="J453">
        <f>HYPERLINK("https://www.gebeauty.com.br/products/primer-cachos-definidos?ref=review","review")</f>
        <v/>
      </c>
      <c r="K453" t="inlineStr">
        <is>
          <t>SEND</t>
        </is>
      </c>
    </row>
    <row r="454">
      <c r="A454" t="inlineStr">
        <is>
          <t>Areta</t>
        </is>
      </c>
      <c r="B454" t="inlineStr">
        <is>
          <t>+5519983025600</t>
        </is>
      </c>
      <c r="C454" t="inlineStr">
        <is>
          <t>Refill</t>
        </is>
      </c>
      <c r="D454" t="inlineStr">
        <is>
          <t>Primer Cachos</t>
        </is>
      </c>
      <c r="E454" t="n">
        <v>1</v>
      </c>
      <c r="F454" t="inlineStr">
        <is>
          <t>2025-11-14</t>
        </is>
      </c>
      <c r="G454" t="n">
        <v>232</v>
      </c>
      <c r="H454" t="inlineStr">
        <is>
          <t>Y</t>
        </is>
      </c>
      <c r="I454">
        <f>HYPERLINK("https://admin.shopify.com/store/ge-beauty-cosmeticos/customers/9858757230912","abrir")</f>
        <v/>
      </c>
      <c r="J454">
        <f>HYPERLINK("https://www.gebeauty.com.br/products/primer-cachos-definidos?ref=review","review")</f>
        <v/>
      </c>
      <c r="K454" t="inlineStr">
        <is>
          <t>SEND</t>
        </is>
      </c>
    </row>
    <row r="455">
      <c r="A455" t="inlineStr">
        <is>
          <t>Kamila</t>
        </is>
      </c>
      <c r="B455" t="inlineStr">
        <is>
          <t>+5561985507748</t>
        </is>
      </c>
      <c r="C455" t="inlineStr">
        <is>
          <t>Refill</t>
        </is>
      </c>
      <c r="D455" t="inlineStr">
        <is>
          <t>Primer Cachos</t>
        </is>
      </c>
      <c r="E455" t="n">
        <v>1</v>
      </c>
      <c r="F455" t="inlineStr">
        <is>
          <t>2025-11-14</t>
        </is>
      </c>
      <c r="G455" t="n">
        <v>232</v>
      </c>
      <c r="H455" t="inlineStr">
        <is>
          <t>Y</t>
        </is>
      </c>
      <c r="I455">
        <f>HYPERLINK("https://admin.shopify.com/store/ge-beauty-cosmeticos/customers/9861233606976","abrir")</f>
        <v/>
      </c>
      <c r="J455">
        <f>HYPERLINK("https://www.gebeauty.com.br/products/primer-cachos-definidos?ref=review","review")</f>
        <v/>
      </c>
      <c r="K455" t="inlineStr">
        <is>
          <t>SEND</t>
        </is>
      </c>
    </row>
    <row r="456">
      <c r="A456" t="inlineStr">
        <is>
          <t>Karoline</t>
        </is>
      </c>
      <c r="B456" t="inlineStr">
        <is>
          <t>+5581991406969</t>
        </is>
      </c>
      <c r="C456" t="inlineStr">
        <is>
          <t>Refill</t>
        </is>
      </c>
      <c r="D456" t="inlineStr">
        <is>
          <t>Primer Cachos</t>
        </is>
      </c>
      <c r="E456" t="n">
        <v>1</v>
      </c>
      <c r="F456" t="inlineStr">
        <is>
          <t>2025-11-14</t>
        </is>
      </c>
      <c r="G456" t="n">
        <v>232</v>
      </c>
      <c r="H456" t="inlineStr">
        <is>
          <t>Y</t>
        </is>
      </c>
      <c r="I456">
        <f>HYPERLINK("https://admin.shopify.com/store/ge-beauty-cosmeticos/customers/9861492572480","abrir")</f>
        <v/>
      </c>
      <c r="J456">
        <f>HYPERLINK("https://www.gebeauty.com.br/products/primer-cachos-definidos?ref=review","review")</f>
        <v/>
      </c>
      <c r="K456" t="inlineStr">
        <is>
          <t>SEND</t>
        </is>
      </c>
    </row>
    <row r="457">
      <c r="A457" t="inlineStr">
        <is>
          <t>Grasiele</t>
        </is>
      </c>
      <c r="B457" t="inlineStr">
        <is>
          <t>+5535988120474</t>
        </is>
      </c>
      <c r="C457" t="inlineStr">
        <is>
          <t>Refill</t>
        </is>
      </c>
      <c r="D457" t="inlineStr">
        <is>
          <t>Primer Cachos</t>
        </is>
      </c>
      <c r="E457" t="n">
        <v>1</v>
      </c>
      <c r="F457" t="inlineStr">
        <is>
          <t>2025-11-14</t>
        </is>
      </c>
      <c r="G457" t="n">
        <v>232</v>
      </c>
      <c r="H457" t="inlineStr">
        <is>
          <t>Y</t>
        </is>
      </c>
      <c r="I457">
        <f>HYPERLINK("https://admin.shopify.com/store/ge-beauty-cosmeticos/customers/9484788760896","abrir")</f>
        <v/>
      </c>
      <c r="J457">
        <f>HYPERLINK("https://www.gebeauty.com.br/products/primer-cachos-definidos?ref=review","review")</f>
        <v/>
      </c>
      <c r="K457" t="inlineStr">
        <is>
          <t>SEND</t>
        </is>
      </c>
    </row>
    <row r="458">
      <c r="A458" t="inlineStr">
        <is>
          <t>Camila</t>
        </is>
      </c>
      <c r="B458" t="inlineStr">
        <is>
          <t>+5511976820468</t>
        </is>
      </c>
      <c r="C458" t="inlineStr">
        <is>
          <t>Refill</t>
        </is>
      </c>
      <c r="D458" t="inlineStr">
        <is>
          <t>Primer Cachos</t>
        </is>
      </c>
      <c r="E458" t="n">
        <v>1</v>
      </c>
      <c r="F458" t="inlineStr">
        <is>
          <t>2025-11-14</t>
        </is>
      </c>
      <c r="G458" t="n">
        <v>232</v>
      </c>
      <c r="H458" t="inlineStr">
        <is>
          <t>Y</t>
        </is>
      </c>
      <c r="I458">
        <f>HYPERLINK("https://admin.shopify.com/store/ge-beauty-cosmeticos/customers/9485593280832","abrir")</f>
        <v/>
      </c>
      <c r="J458">
        <f>HYPERLINK("https://www.gebeauty.com.br/products/primer-cachos-definidos?ref=review","review")</f>
        <v/>
      </c>
      <c r="K458" t="inlineStr">
        <is>
          <t>SEND</t>
        </is>
      </c>
    </row>
    <row r="459">
      <c r="A459" t="inlineStr">
        <is>
          <t>Juliana</t>
        </is>
      </c>
      <c r="B459" t="inlineStr">
        <is>
          <t>+5581996597288</t>
        </is>
      </c>
      <c r="C459" t="inlineStr">
        <is>
          <t>Refill</t>
        </is>
      </c>
      <c r="D459" t="inlineStr">
        <is>
          <t>Primer Cachos</t>
        </is>
      </c>
      <c r="E459" t="n">
        <v>1</v>
      </c>
      <c r="F459" t="inlineStr">
        <is>
          <t>2025-11-14</t>
        </is>
      </c>
      <c r="G459" t="n">
        <v>232</v>
      </c>
      <c r="H459" t="inlineStr">
        <is>
          <t>Y</t>
        </is>
      </c>
      <c r="I459">
        <f>HYPERLINK("https://admin.shopify.com/store/ge-beauty-cosmeticos/customers/9486217576768","abrir")</f>
        <v/>
      </c>
      <c r="J459">
        <f>HYPERLINK("https://www.gebeauty.com.br/products/primer-cachos-definidos?ref=review","review")</f>
        <v/>
      </c>
      <c r="K459" t="inlineStr">
        <is>
          <t>SEND</t>
        </is>
      </c>
    </row>
    <row r="460">
      <c r="A460" t="inlineStr">
        <is>
          <t>Angelica</t>
        </is>
      </c>
      <c r="B460" t="inlineStr">
        <is>
          <t>+5524998222043</t>
        </is>
      </c>
      <c r="C460" t="inlineStr">
        <is>
          <t>Refill</t>
        </is>
      </c>
      <c r="D460" t="inlineStr">
        <is>
          <t>Primer Cachos</t>
        </is>
      </c>
      <c r="E460" t="n">
        <v>1</v>
      </c>
      <c r="F460" t="inlineStr">
        <is>
          <t>2025-11-14</t>
        </is>
      </c>
      <c r="G460" t="n">
        <v>232</v>
      </c>
      <c r="H460" t="inlineStr">
        <is>
          <t>Y</t>
        </is>
      </c>
      <c r="I460">
        <f>HYPERLINK("https://admin.shopify.com/store/ge-beauty-cosmeticos/customers/9862132138304","abrir")</f>
        <v/>
      </c>
      <c r="J460">
        <f>HYPERLINK("https://www.gebeauty.com.br/products/primer-cachos-definidos?ref=review","review")</f>
        <v/>
      </c>
      <c r="K460" t="inlineStr">
        <is>
          <t>SEND</t>
        </is>
      </c>
    </row>
    <row r="461">
      <c r="A461" t="inlineStr">
        <is>
          <t>Viviane</t>
        </is>
      </c>
      <c r="B461" t="inlineStr">
        <is>
          <t>+5514981612000</t>
        </is>
      </c>
      <c r="C461" t="inlineStr">
        <is>
          <t>Refill</t>
        </is>
      </c>
      <c r="D461" t="inlineStr">
        <is>
          <t>Primer Cachos</t>
        </is>
      </c>
      <c r="E461" t="n">
        <v>1</v>
      </c>
      <c r="F461" t="inlineStr">
        <is>
          <t>2025-11-14</t>
        </is>
      </c>
      <c r="G461" t="n">
        <v>232</v>
      </c>
      <c r="H461" t="inlineStr">
        <is>
          <t>Y</t>
        </is>
      </c>
      <c r="I461">
        <f>HYPERLINK("https://admin.shopify.com/store/ge-beauty-cosmeticos/customers/9862103499072","abrir")</f>
        <v/>
      </c>
      <c r="J461">
        <f>HYPERLINK("https://www.gebeauty.com.br/products/primer-cachos-definidos?ref=review","review")</f>
        <v/>
      </c>
      <c r="K461" t="inlineStr">
        <is>
          <t>HOLDOUT</t>
        </is>
      </c>
    </row>
    <row r="462">
      <c r="A462" t="inlineStr">
        <is>
          <t>Emily</t>
        </is>
      </c>
      <c r="B462" t="inlineStr">
        <is>
          <t>+5581994290256</t>
        </is>
      </c>
      <c r="C462" t="inlineStr">
        <is>
          <t>Refill</t>
        </is>
      </c>
      <c r="D462" t="inlineStr">
        <is>
          <t>Primer Cachos</t>
        </is>
      </c>
      <c r="E462" t="n">
        <v>1</v>
      </c>
      <c r="F462" t="inlineStr">
        <is>
          <t>2025-11-14</t>
        </is>
      </c>
      <c r="G462" t="n">
        <v>232</v>
      </c>
      <c r="H462" t="inlineStr">
        <is>
          <t>Y</t>
        </is>
      </c>
      <c r="I462">
        <f>HYPERLINK("https://admin.shopify.com/store/ge-beauty-cosmeticos/customers/9716945879360","abrir")</f>
        <v/>
      </c>
      <c r="J462">
        <f>HYPERLINK("https://www.gebeauty.com.br/products/primer-cachos-definidos?ref=review","review")</f>
        <v/>
      </c>
      <c r="K462" t="inlineStr">
        <is>
          <t>SEND</t>
        </is>
      </c>
    </row>
    <row r="463">
      <c r="A463" t="inlineStr">
        <is>
          <t>Carolina</t>
        </is>
      </c>
      <c r="B463" t="inlineStr">
        <is>
          <t>+5581997495109</t>
        </is>
      </c>
      <c r="C463" t="inlineStr">
        <is>
          <t>Refill</t>
        </is>
      </c>
      <c r="D463" t="inlineStr">
        <is>
          <t>Primer Cachos</t>
        </is>
      </c>
      <c r="E463" t="n">
        <v>1</v>
      </c>
      <c r="F463" t="inlineStr">
        <is>
          <t>2025-11-15</t>
        </is>
      </c>
      <c r="G463" t="n">
        <v>231</v>
      </c>
      <c r="H463" t="inlineStr">
        <is>
          <t>Y</t>
        </is>
      </c>
      <c r="I463">
        <f>HYPERLINK("https://admin.shopify.com/store/ge-beauty-cosmeticos/customers/9864150253888","abrir")</f>
        <v/>
      </c>
      <c r="J463">
        <f>HYPERLINK("https://www.gebeauty.com.br/products/primer-cachos-definidos?ref=review","review")</f>
        <v/>
      </c>
      <c r="K463" t="inlineStr">
        <is>
          <t>SEND</t>
        </is>
      </c>
    </row>
    <row r="464">
      <c r="A464" t="inlineStr">
        <is>
          <t>Raquel</t>
        </is>
      </c>
      <c r="B464" t="inlineStr">
        <is>
          <t>+5511998912405</t>
        </is>
      </c>
      <c r="C464" t="inlineStr">
        <is>
          <t>Refill</t>
        </is>
      </c>
      <c r="D464" t="inlineStr">
        <is>
          <t>Primer Cachos</t>
        </is>
      </c>
      <c r="E464" t="n">
        <v>1</v>
      </c>
      <c r="F464" t="inlineStr">
        <is>
          <t>2025-11-15</t>
        </is>
      </c>
      <c r="G464" t="n">
        <v>231</v>
      </c>
      <c r="H464" t="inlineStr">
        <is>
          <t>Y</t>
        </is>
      </c>
      <c r="I464">
        <f>HYPERLINK("https://admin.shopify.com/store/ge-beauty-cosmeticos/customers/9864359543104","abrir")</f>
        <v/>
      </c>
      <c r="J464">
        <f>HYPERLINK("https://www.gebeauty.com.br/products/primer-cachos-definidos?ref=review","review")</f>
        <v/>
      </c>
      <c r="K464" t="inlineStr">
        <is>
          <t>SEND</t>
        </is>
      </c>
    </row>
    <row r="465">
      <c r="A465" t="inlineStr">
        <is>
          <t>Karyne</t>
        </is>
      </c>
      <c r="B465" t="inlineStr">
        <is>
          <t>+5588999853480</t>
        </is>
      </c>
      <c r="C465" t="inlineStr">
        <is>
          <t>Refill</t>
        </is>
      </c>
      <c r="D465" t="inlineStr">
        <is>
          <t>Primer Cachos</t>
        </is>
      </c>
      <c r="E465" t="n">
        <v>1</v>
      </c>
      <c r="F465" t="inlineStr">
        <is>
          <t>2025-11-15</t>
        </is>
      </c>
      <c r="G465" t="n">
        <v>231</v>
      </c>
      <c r="H465" t="inlineStr">
        <is>
          <t>Y</t>
        </is>
      </c>
      <c r="I465">
        <f>HYPERLINK("https://admin.shopify.com/store/ge-beauty-cosmeticos/customers/9864479244608","abrir")</f>
        <v/>
      </c>
      <c r="J465">
        <f>HYPERLINK("https://www.gebeauty.com.br/products/primer-cachos-definidos?ref=review","review")</f>
        <v/>
      </c>
      <c r="K465" t="inlineStr">
        <is>
          <t>SEND</t>
        </is>
      </c>
    </row>
    <row r="466">
      <c r="A466" t="inlineStr">
        <is>
          <t>Kátia</t>
        </is>
      </c>
      <c r="B466" t="inlineStr">
        <is>
          <t>+5511989751856</t>
        </is>
      </c>
      <c r="C466" t="inlineStr">
        <is>
          <t>Refill</t>
        </is>
      </c>
      <c r="D466" t="inlineStr">
        <is>
          <t>Primer Cachos</t>
        </is>
      </c>
      <c r="E466" t="n">
        <v>1</v>
      </c>
      <c r="F466" t="inlineStr">
        <is>
          <t>2025-11-15</t>
        </is>
      </c>
      <c r="G466" t="n">
        <v>231</v>
      </c>
      <c r="H466" t="inlineStr">
        <is>
          <t>Y</t>
        </is>
      </c>
      <c r="I466">
        <f>HYPERLINK("https://admin.shopify.com/store/ge-beauty-cosmeticos/customers/9864540913984","abrir")</f>
        <v/>
      </c>
      <c r="J466">
        <f>HYPERLINK("https://www.gebeauty.com.br/products/primer-cachos-definidos?ref=review","review")</f>
        <v/>
      </c>
      <c r="K466" t="inlineStr">
        <is>
          <t>SEND</t>
        </is>
      </c>
    </row>
    <row r="467">
      <c r="A467" t="inlineStr">
        <is>
          <t>Isabela</t>
        </is>
      </c>
      <c r="B467" t="inlineStr">
        <is>
          <t>+5581995565352</t>
        </is>
      </c>
      <c r="C467" t="inlineStr">
        <is>
          <t>Refill</t>
        </is>
      </c>
      <c r="D467" t="inlineStr">
        <is>
          <t>Primer Cachos</t>
        </is>
      </c>
      <c r="E467" t="n">
        <v>1</v>
      </c>
      <c r="F467" t="inlineStr">
        <is>
          <t>2025-11-15</t>
        </is>
      </c>
      <c r="G467" t="n">
        <v>231</v>
      </c>
      <c r="H467" t="inlineStr">
        <is>
          <t>Y</t>
        </is>
      </c>
      <c r="I467">
        <f>HYPERLINK("https://admin.shopify.com/store/ge-beauty-cosmeticos/customers/9324649546048","abrir")</f>
        <v/>
      </c>
      <c r="J467">
        <f>HYPERLINK("https://www.gebeauty.com.br/products/primer-cachos-definidos?ref=review","review")</f>
        <v/>
      </c>
      <c r="K467" t="inlineStr">
        <is>
          <t>SEND</t>
        </is>
      </c>
    </row>
    <row r="468">
      <c r="A468" t="inlineStr">
        <is>
          <t>Taiz</t>
        </is>
      </c>
      <c r="B468" t="inlineStr">
        <is>
          <t>+5511958515004</t>
        </is>
      </c>
      <c r="C468" t="inlineStr">
        <is>
          <t>Refill</t>
        </is>
      </c>
      <c r="D468" t="inlineStr">
        <is>
          <t>Primer Cachos</t>
        </is>
      </c>
      <c r="E468" t="n">
        <v>1</v>
      </c>
      <c r="F468" t="inlineStr">
        <is>
          <t>2025-11-15</t>
        </is>
      </c>
      <c r="G468" t="n">
        <v>231</v>
      </c>
      <c r="H468" t="inlineStr">
        <is>
          <t>Y</t>
        </is>
      </c>
      <c r="I468">
        <f>HYPERLINK("https://admin.shopify.com/store/ge-beauty-cosmeticos/customers/9864851751232","abrir")</f>
        <v/>
      </c>
      <c r="J468">
        <f>HYPERLINK("https://www.gebeauty.com.br/products/primer-cachos-definidos?ref=review","review")</f>
        <v/>
      </c>
      <c r="K468" t="inlineStr">
        <is>
          <t>SEND</t>
        </is>
      </c>
    </row>
    <row r="469">
      <c r="A469" t="inlineStr">
        <is>
          <t>Fernanda</t>
        </is>
      </c>
      <c r="B469" t="inlineStr">
        <is>
          <t>+5581971004864</t>
        </is>
      </c>
      <c r="C469" t="inlineStr">
        <is>
          <t>Refill</t>
        </is>
      </c>
      <c r="D469" t="inlineStr">
        <is>
          <t>Primer Cachos</t>
        </is>
      </c>
      <c r="E469" t="n">
        <v>1</v>
      </c>
      <c r="F469" t="inlineStr">
        <is>
          <t>2025-11-15</t>
        </is>
      </c>
      <c r="G469" t="n">
        <v>231</v>
      </c>
      <c r="H469" t="inlineStr">
        <is>
          <t>Y</t>
        </is>
      </c>
      <c r="I469">
        <f>HYPERLINK("https://admin.shopify.com/store/ge-beauty-cosmeticos/customers/9864899723584","abrir")</f>
        <v/>
      </c>
      <c r="J469">
        <f>HYPERLINK("https://www.gebeauty.com.br/products/primer-cachos-definidos?ref=review","review")</f>
        <v/>
      </c>
      <c r="K469" t="inlineStr">
        <is>
          <t>SEND</t>
        </is>
      </c>
    </row>
    <row r="470">
      <c r="A470" t="inlineStr">
        <is>
          <t>Larissa</t>
        </is>
      </c>
      <c r="B470" t="inlineStr">
        <is>
          <t>+5521996421909</t>
        </is>
      </c>
      <c r="C470" t="inlineStr">
        <is>
          <t>Refill</t>
        </is>
      </c>
      <c r="D470" t="inlineStr">
        <is>
          <t>Primer Cachos</t>
        </is>
      </c>
      <c r="E470" t="n">
        <v>1</v>
      </c>
      <c r="F470" t="inlineStr">
        <is>
          <t>2025-11-15</t>
        </is>
      </c>
      <c r="G470" t="n">
        <v>231</v>
      </c>
      <c r="H470" t="inlineStr">
        <is>
          <t>Y</t>
        </is>
      </c>
      <c r="I470">
        <f>HYPERLINK("https://admin.shopify.com/store/ge-beauty-cosmeticos/customers/9865091416384","abrir")</f>
        <v/>
      </c>
      <c r="J470">
        <f>HYPERLINK("https://www.gebeauty.com.br/products/primer-cachos-definidos?ref=review","review")</f>
        <v/>
      </c>
      <c r="K470" t="inlineStr">
        <is>
          <t>SEND</t>
        </is>
      </c>
    </row>
    <row r="471">
      <c r="A471" t="inlineStr">
        <is>
          <t>Victoria</t>
        </is>
      </c>
      <c r="B471" t="inlineStr">
        <is>
          <t>+5512991278363</t>
        </is>
      </c>
      <c r="C471" t="inlineStr">
        <is>
          <t>Refill</t>
        </is>
      </c>
      <c r="D471" t="inlineStr">
        <is>
          <t>Primer Cachos</t>
        </is>
      </c>
      <c r="E471" t="n">
        <v>1</v>
      </c>
      <c r="F471" t="inlineStr">
        <is>
          <t>2025-11-15</t>
        </is>
      </c>
      <c r="G471" t="n">
        <v>231</v>
      </c>
      <c r="H471" t="inlineStr">
        <is>
          <t>Y</t>
        </is>
      </c>
      <c r="I471">
        <f>HYPERLINK("https://admin.shopify.com/store/ge-beauty-cosmeticos/customers/9843881181504","abrir")</f>
        <v/>
      </c>
      <c r="J471">
        <f>HYPERLINK("https://www.gebeauty.com.br/products/primer-cachos-definidos?ref=review","review")</f>
        <v/>
      </c>
      <c r="K471" t="inlineStr">
        <is>
          <t>SEND</t>
        </is>
      </c>
    </row>
    <row r="472">
      <c r="A472" t="inlineStr">
        <is>
          <t>Renata</t>
        </is>
      </c>
      <c r="B472" t="inlineStr">
        <is>
          <t>+5516992410160</t>
        </is>
      </c>
      <c r="C472" t="inlineStr">
        <is>
          <t>Refill</t>
        </is>
      </c>
      <c r="D472" t="inlineStr">
        <is>
          <t>Primer Cachos</t>
        </is>
      </c>
      <c r="E472" t="n">
        <v>1</v>
      </c>
      <c r="F472" t="inlineStr">
        <is>
          <t>2025-11-15</t>
        </is>
      </c>
      <c r="G472" t="n">
        <v>231</v>
      </c>
      <c r="H472" t="inlineStr">
        <is>
          <t>Y</t>
        </is>
      </c>
      <c r="I472">
        <f>HYPERLINK("https://admin.shopify.com/store/ge-beauty-cosmeticos/customers/9865312436544","abrir")</f>
        <v/>
      </c>
      <c r="J472">
        <f>HYPERLINK("https://www.gebeauty.com.br/products/primer-cachos-definidos?ref=review","review")</f>
        <v/>
      </c>
      <c r="K472" t="inlineStr">
        <is>
          <t>SEND</t>
        </is>
      </c>
    </row>
    <row r="473">
      <c r="A473" t="inlineStr">
        <is>
          <t>Júlia</t>
        </is>
      </c>
      <c r="B473" t="inlineStr">
        <is>
          <t>+5531996128793</t>
        </is>
      </c>
      <c r="C473" t="inlineStr">
        <is>
          <t>Refill</t>
        </is>
      </c>
      <c r="D473" t="inlineStr">
        <is>
          <t>Primer Cachos</t>
        </is>
      </c>
      <c r="E473" t="n">
        <v>1</v>
      </c>
      <c r="F473" t="inlineStr">
        <is>
          <t>2025-11-16</t>
        </is>
      </c>
      <c r="G473" t="n">
        <v>230</v>
      </c>
      <c r="H473" t="inlineStr">
        <is>
          <t>Y</t>
        </is>
      </c>
      <c r="I473">
        <f>HYPERLINK("https://admin.shopify.com/store/ge-beauty-cosmeticos/customers/8718265516352","abrir")</f>
        <v/>
      </c>
      <c r="J473">
        <f>HYPERLINK("https://www.gebeauty.com.br/products/primer-cachos-definidos?ref=review","review")</f>
        <v/>
      </c>
      <c r="K473" t="inlineStr">
        <is>
          <t>SEND</t>
        </is>
      </c>
    </row>
    <row r="474">
      <c r="A474" t="inlineStr">
        <is>
          <t>Bruno</t>
        </is>
      </c>
      <c r="B474" t="inlineStr">
        <is>
          <t>+5598988265818</t>
        </is>
      </c>
      <c r="C474" t="inlineStr">
        <is>
          <t>Refill</t>
        </is>
      </c>
      <c r="D474" t="inlineStr">
        <is>
          <t>Primer Cachos</t>
        </is>
      </c>
      <c r="E474" t="n">
        <v>1</v>
      </c>
      <c r="F474" t="inlineStr">
        <is>
          <t>2025-11-16</t>
        </is>
      </c>
      <c r="G474" t="n">
        <v>230</v>
      </c>
      <c r="H474" t="inlineStr">
        <is>
          <t>Y</t>
        </is>
      </c>
      <c r="I474">
        <f>HYPERLINK("https://admin.shopify.com/store/ge-beauty-cosmeticos/customers/9485766099264","abrir")</f>
        <v/>
      </c>
      <c r="J474">
        <f>HYPERLINK("https://www.gebeauty.com.br/products/primer-cachos-definidos?ref=review","review")</f>
        <v/>
      </c>
      <c r="K474" t="inlineStr">
        <is>
          <t>SEND</t>
        </is>
      </c>
    </row>
    <row r="475">
      <c r="A475" t="inlineStr">
        <is>
          <t>Carolina</t>
        </is>
      </c>
      <c r="B475" t="inlineStr">
        <is>
          <t>+5511986595187</t>
        </is>
      </c>
      <c r="C475" t="inlineStr">
        <is>
          <t>Refill</t>
        </is>
      </c>
      <c r="D475" t="inlineStr">
        <is>
          <t>Primer Cachos</t>
        </is>
      </c>
      <c r="E475" t="n">
        <v>1</v>
      </c>
      <c r="F475" t="inlineStr">
        <is>
          <t>2025-11-16</t>
        </is>
      </c>
      <c r="G475" t="n">
        <v>230</v>
      </c>
      <c r="H475" t="inlineStr">
        <is>
          <t>Y</t>
        </is>
      </c>
      <c r="I475">
        <f>HYPERLINK("https://admin.shopify.com/store/ge-beauty-cosmeticos/customers/9485909524800","abrir")</f>
        <v/>
      </c>
      <c r="J475">
        <f>HYPERLINK("https://www.gebeauty.com.br/products/primer-cachos-definidos?ref=review","review")</f>
        <v/>
      </c>
      <c r="K475" t="inlineStr">
        <is>
          <t>SEND</t>
        </is>
      </c>
    </row>
    <row r="476">
      <c r="A476" t="inlineStr">
        <is>
          <t>Andrea</t>
        </is>
      </c>
      <c r="B476" t="inlineStr">
        <is>
          <t>+5511974223242</t>
        </is>
      </c>
      <c r="C476" t="inlineStr">
        <is>
          <t>Refill</t>
        </is>
      </c>
      <c r="D476" t="inlineStr">
        <is>
          <t>Primer Cachos</t>
        </is>
      </c>
      <c r="E476" t="n">
        <v>1</v>
      </c>
      <c r="F476" t="inlineStr">
        <is>
          <t>2025-11-16</t>
        </is>
      </c>
      <c r="G476" t="n">
        <v>230</v>
      </c>
      <c r="H476" t="inlineStr">
        <is>
          <t>Y</t>
        </is>
      </c>
      <c r="I476">
        <f>HYPERLINK("https://admin.shopify.com/store/ge-beauty-cosmeticos/customers/9866317955392","abrir")</f>
        <v/>
      </c>
      <c r="J476">
        <f>HYPERLINK("https://www.gebeauty.com.br/products/primer-cachos-definidos?ref=review","review")</f>
        <v/>
      </c>
      <c r="K476" t="inlineStr">
        <is>
          <t>SEND</t>
        </is>
      </c>
    </row>
    <row r="477">
      <c r="A477" t="inlineStr">
        <is>
          <t>Ana</t>
        </is>
      </c>
      <c r="B477" t="inlineStr">
        <is>
          <t>+5566984219423</t>
        </is>
      </c>
      <c r="C477" t="inlineStr">
        <is>
          <t>Refill</t>
        </is>
      </c>
      <c r="D477" t="inlineStr">
        <is>
          <t>Primer Cachos</t>
        </is>
      </c>
      <c r="E477" t="n">
        <v>1</v>
      </c>
      <c r="F477" t="inlineStr">
        <is>
          <t>2025-11-16</t>
        </is>
      </c>
      <c r="G477" t="n">
        <v>230</v>
      </c>
      <c r="H477" t="inlineStr">
        <is>
          <t>Y</t>
        </is>
      </c>
      <c r="I477">
        <f>HYPERLINK("https://admin.shopify.com/store/ge-beauty-cosmeticos/customers/9863906722112","abrir")</f>
        <v/>
      </c>
      <c r="J477">
        <f>HYPERLINK("https://www.gebeauty.com.br/products/primer-cachos-definidos?ref=review","review")</f>
        <v/>
      </c>
      <c r="K477" t="inlineStr">
        <is>
          <t>HOLDOUT</t>
        </is>
      </c>
    </row>
    <row r="478">
      <c r="A478" t="inlineStr">
        <is>
          <t>Maiara</t>
        </is>
      </c>
      <c r="B478" t="inlineStr">
        <is>
          <t>+5521971691707</t>
        </is>
      </c>
      <c r="C478" t="inlineStr">
        <is>
          <t>Refill</t>
        </is>
      </c>
      <c r="D478" t="inlineStr">
        <is>
          <t>Primer Cachos</t>
        </is>
      </c>
      <c r="E478" t="n">
        <v>1</v>
      </c>
      <c r="F478" t="inlineStr">
        <is>
          <t>2025-11-16</t>
        </is>
      </c>
      <c r="G478" t="n">
        <v>230</v>
      </c>
      <c r="H478" t="inlineStr">
        <is>
          <t>Y</t>
        </is>
      </c>
      <c r="I478">
        <f>HYPERLINK("https://admin.shopify.com/store/ge-beauty-cosmeticos/customers/9484541952320","abrir")</f>
        <v/>
      </c>
      <c r="J478">
        <f>HYPERLINK("https://www.gebeauty.com.br/products/primer-cachos-definidos?ref=review","review")</f>
        <v/>
      </c>
      <c r="K478" t="inlineStr">
        <is>
          <t>SEND</t>
        </is>
      </c>
    </row>
    <row r="479">
      <c r="A479" t="inlineStr">
        <is>
          <t>Gabriela</t>
        </is>
      </c>
      <c r="B479" t="inlineStr">
        <is>
          <t>+5521974945178</t>
        </is>
      </c>
      <c r="C479" t="inlineStr">
        <is>
          <t>Refill</t>
        </is>
      </c>
      <c r="D479" t="inlineStr">
        <is>
          <t>Primer Cachos</t>
        </is>
      </c>
      <c r="E479" t="n">
        <v>1</v>
      </c>
      <c r="F479" t="inlineStr">
        <is>
          <t>2025-11-16</t>
        </is>
      </c>
      <c r="G479" t="n">
        <v>230</v>
      </c>
      <c r="H479" t="inlineStr">
        <is>
          <t>Y</t>
        </is>
      </c>
      <c r="I479">
        <f>HYPERLINK("https://admin.shopify.com/store/ge-beauty-cosmeticos/customers/9867100782912","abrir")</f>
        <v/>
      </c>
      <c r="J479">
        <f>HYPERLINK("https://www.gebeauty.com.br/products/primer-cachos-definidos?ref=review","review")</f>
        <v/>
      </c>
      <c r="K479" t="inlineStr">
        <is>
          <t>HOLDOUT</t>
        </is>
      </c>
    </row>
    <row r="480">
      <c r="A480" t="inlineStr">
        <is>
          <t>Viviam</t>
        </is>
      </c>
      <c r="B480" t="inlineStr">
        <is>
          <t>+5587996487753</t>
        </is>
      </c>
      <c r="C480" t="inlineStr">
        <is>
          <t>Refill</t>
        </is>
      </c>
      <c r="D480" t="inlineStr">
        <is>
          <t>Primer Cachos</t>
        </is>
      </c>
      <c r="E480" t="n">
        <v>1</v>
      </c>
      <c r="F480" t="inlineStr">
        <is>
          <t>2025-11-16</t>
        </is>
      </c>
      <c r="G480" t="n">
        <v>230</v>
      </c>
      <c r="H480" t="inlineStr">
        <is>
          <t>Y</t>
        </is>
      </c>
      <c r="I480">
        <f>HYPERLINK("https://admin.shopify.com/store/ge-beauty-cosmeticos/customers/9867124834624","abrir")</f>
        <v/>
      </c>
      <c r="J480">
        <f>HYPERLINK("https://www.gebeauty.com.br/products/primer-cachos-definidos?ref=review","review")</f>
        <v/>
      </c>
      <c r="K480" t="inlineStr">
        <is>
          <t>SEND</t>
        </is>
      </c>
    </row>
    <row r="481">
      <c r="A481" t="inlineStr">
        <is>
          <t>Priscilla</t>
        </is>
      </c>
      <c r="B481" t="inlineStr">
        <is>
          <t>+5511981813806</t>
        </is>
      </c>
      <c r="C481" t="inlineStr">
        <is>
          <t>Refill</t>
        </is>
      </c>
      <c r="D481" t="inlineStr">
        <is>
          <t>Primer Cachos</t>
        </is>
      </c>
      <c r="E481" t="n">
        <v>1</v>
      </c>
      <c r="F481" t="inlineStr">
        <is>
          <t>2026-01-30</t>
        </is>
      </c>
      <c r="G481" t="n">
        <v>155</v>
      </c>
      <c r="H481" t="inlineStr">
        <is>
          <t>Y</t>
        </is>
      </c>
      <c r="I481">
        <f>HYPERLINK("https://admin.shopify.com/store/ge-beauty-cosmeticos/customers/9595605909824","abrir")</f>
        <v/>
      </c>
      <c r="J481">
        <f>HYPERLINK("https://www.gebeauty.com.br/products/primer-cachos-definidos?ref=review","review")</f>
        <v/>
      </c>
      <c r="K481" t="inlineStr">
        <is>
          <t>SEND</t>
        </is>
      </c>
    </row>
    <row r="482">
      <c r="A482" t="inlineStr">
        <is>
          <t>Sofia</t>
        </is>
      </c>
      <c r="B482" t="inlineStr">
        <is>
          <t>+5511999008969</t>
        </is>
      </c>
      <c r="C482" t="inlineStr">
        <is>
          <t>Refill</t>
        </is>
      </c>
      <c r="D482" t="inlineStr">
        <is>
          <t>Primer Cachos</t>
        </is>
      </c>
      <c r="E482" t="n">
        <v>1</v>
      </c>
      <c r="F482" t="inlineStr">
        <is>
          <t>2025-11-16</t>
        </is>
      </c>
      <c r="G482" t="n">
        <v>230</v>
      </c>
      <c r="H482" t="inlineStr">
        <is>
          <t>Y</t>
        </is>
      </c>
      <c r="I482">
        <f>HYPERLINK("https://admin.shopify.com/store/ge-beauty-cosmeticos/customers/9834878206272","abrir")</f>
        <v/>
      </c>
      <c r="J482">
        <f>HYPERLINK("https://www.gebeauty.com.br/products/primer-cachos-definidos?ref=review","review")</f>
        <v/>
      </c>
      <c r="K482" t="inlineStr">
        <is>
          <t>SEND</t>
        </is>
      </c>
    </row>
    <row r="483">
      <c r="A483" t="inlineStr">
        <is>
          <t>Catarina</t>
        </is>
      </c>
      <c r="B483" t="inlineStr">
        <is>
          <t>+5513997677535</t>
        </is>
      </c>
      <c r="C483" t="inlineStr">
        <is>
          <t>Refill</t>
        </is>
      </c>
      <c r="D483" t="inlineStr">
        <is>
          <t>Primer Cachos</t>
        </is>
      </c>
      <c r="E483" t="n">
        <v>1</v>
      </c>
      <c r="F483" t="inlineStr">
        <is>
          <t>2025-11-16</t>
        </is>
      </c>
      <c r="G483" t="n">
        <v>230</v>
      </c>
      <c r="H483" t="inlineStr">
        <is>
          <t>Y</t>
        </is>
      </c>
      <c r="I483">
        <f>HYPERLINK("https://admin.shopify.com/store/ge-beauty-cosmeticos/customers/9119987794240","abrir")</f>
        <v/>
      </c>
      <c r="J483">
        <f>HYPERLINK("https://www.gebeauty.com.br/products/primer-cachos-definidos?ref=review","review")</f>
        <v/>
      </c>
      <c r="K483" t="inlineStr">
        <is>
          <t>SEND</t>
        </is>
      </c>
    </row>
    <row r="484">
      <c r="A484" t="inlineStr">
        <is>
          <t>Tais</t>
        </is>
      </c>
      <c r="B484" t="inlineStr">
        <is>
          <t>+5511998442996</t>
        </is>
      </c>
      <c r="C484" t="inlineStr">
        <is>
          <t>Refill</t>
        </is>
      </c>
      <c r="D484" t="inlineStr">
        <is>
          <t>Primer Cachos</t>
        </is>
      </c>
      <c r="E484" t="n">
        <v>1</v>
      </c>
      <c r="F484" t="inlineStr">
        <is>
          <t>2025-11-16</t>
        </is>
      </c>
      <c r="G484" t="n">
        <v>230</v>
      </c>
      <c r="H484" t="inlineStr">
        <is>
          <t>Y</t>
        </is>
      </c>
      <c r="I484">
        <f>HYPERLINK("https://admin.shopify.com/store/ge-beauty-cosmeticos/customers/9867949244736","abrir")</f>
        <v/>
      </c>
      <c r="J484">
        <f>HYPERLINK("https://www.gebeauty.com.br/products/primer-cachos-definidos?ref=review","review")</f>
        <v/>
      </c>
      <c r="K484" t="inlineStr">
        <is>
          <t>SEND</t>
        </is>
      </c>
    </row>
    <row r="485">
      <c r="A485" t="inlineStr">
        <is>
          <t>Tarsila</t>
        </is>
      </c>
      <c r="B485" t="inlineStr">
        <is>
          <t>+5511972831051</t>
        </is>
      </c>
      <c r="C485" t="inlineStr">
        <is>
          <t>Refill</t>
        </is>
      </c>
      <c r="D485" t="inlineStr">
        <is>
          <t>Primer Cachos</t>
        </is>
      </c>
      <c r="E485" t="n">
        <v>1</v>
      </c>
      <c r="F485" t="inlineStr">
        <is>
          <t>2025-11-16</t>
        </is>
      </c>
      <c r="G485" t="n">
        <v>230</v>
      </c>
      <c r="H485" t="inlineStr">
        <is>
          <t>Y</t>
        </is>
      </c>
      <c r="I485">
        <f>HYPERLINK("https://admin.shopify.com/store/ge-beauty-cosmeticos/customers/9867963793728","abrir")</f>
        <v/>
      </c>
      <c r="J485">
        <f>HYPERLINK("https://www.gebeauty.com.br/products/primer-cachos-definidos?ref=review","review")</f>
        <v/>
      </c>
      <c r="K485" t="inlineStr">
        <is>
          <t>SEND</t>
        </is>
      </c>
    </row>
    <row r="486">
      <c r="A486" t="inlineStr">
        <is>
          <t>Marina Paula</t>
        </is>
      </c>
      <c r="B486" t="inlineStr">
        <is>
          <t>+5548998429105</t>
        </is>
      </c>
      <c r="C486" t="inlineStr">
        <is>
          <t>Refill</t>
        </is>
      </c>
      <c r="D486" t="inlineStr">
        <is>
          <t>Primer Cachos</t>
        </is>
      </c>
      <c r="E486" t="n">
        <v>1</v>
      </c>
      <c r="F486" t="inlineStr">
        <is>
          <t>2025-11-16</t>
        </is>
      </c>
      <c r="G486" t="n">
        <v>230</v>
      </c>
      <c r="H486" t="inlineStr">
        <is>
          <t>Y</t>
        </is>
      </c>
      <c r="I486">
        <f>HYPERLINK("https://admin.shopify.com/store/ge-beauty-cosmeticos/customers/9484584485184","abrir")</f>
        <v/>
      </c>
      <c r="J486">
        <f>HYPERLINK("https://www.gebeauty.com.br/products/primer-cachos-definidos?ref=review","review")</f>
        <v/>
      </c>
      <c r="K486" t="inlineStr">
        <is>
          <t>HOLDOUT</t>
        </is>
      </c>
    </row>
    <row r="487">
      <c r="A487" t="inlineStr">
        <is>
          <t>Fernanda Laura</t>
        </is>
      </c>
      <c r="B487" t="inlineStr">
        <is>
          <t>+5521999742646</t>
        </is>
      </c>
      <c r="C487" t="inlineStr">
        <is>
          <t>Refill</t>
        </is>
      </c>
      <c r="D487" t="inlineStr">
        <is>
          <t>Primer Cachos</t>
        </is>
      </c>
      <c r="E487" t="n">
        <v>1</v>
      </c>
      <c r="F487" t="inlineStr">
        <is>
          <t>2025-11-16</t>
        </is>
      </c>
      <c r="G487" t="n">
        <v>230</v>
      </c>
      <c r="H487" t="inlineStr">
        <is>
          <t>Y</t>
        </is>
      </c>
      <c r="I487">
        <f>HYPERLINK("https://admin.shopify.com/store/ge-beauty-cosmeticos/customers/9485076693312","abrir")</f>
        <v/>
      </c>
      <c r="J487">
        <f>HYPERLINK("https://www.gebeauty.com.br/products/primer-cachos-definidos?ref=review","review")</f>
        <v/>
      </c>
      <c r="K487" t="inlineStr">
        <is>
          <t>SEND</t>
        </is>
      </c>
    </row>
    <row r="488">
      <c r="A488" t="inlineStr">
        <is>
          <t>Isabella</t>
        </is>
      </c>
      <c r="B488" t="inlineStr">
        <is>
          <t>+5511985391020</t>
        </is>
      </c>
      <c r="C488" t="inlineStr">
        <is>
          <t>Refill</t>
        </is>
      </c>
      <c r="D488" t="inlineStr">
        <is>
          <t>Primer Cachos</t>
        </is>
      </c>
      <c r="E488" t="n">
        <v>1</v>
      </c>
      <c r="F488" t="inlineStr">
        <is>
          <t>2025-11-16</t>
        </is>
      </c>
      <c r="G488" t="n">
        <v>230</v>
      </c>
      <c r="H488" t="inlineStr">
        <is>
          <t>Y</t>
        </is>
      </c>
      <c r="I488">
        <f>HYPERLINK("https://admin.shopify.com/store/ge-beauty-cosmeticos/customers/7761191305536","abrir")</f>
        <v/>
      </c>
      <c r="J488">
        <f>HYPERLINK("https://www.gebeauty.com.br/products/primer-cachos-definidos?ref=review","review")</f>
        <v/>
      </c>
      <c r="K488" t="inlineStr">
        <is>
          <t>SEND</t>
        </is>
      </c>
    </row>
    <row r="489">
      <c r="A489" t="inlineStr">
        <is>
          <t>Amanda</t>
        </is>
      </c>
      <c r="B489" t="inlineStr">
        <is>
          <t>+5581981210310</t>
        </is>
      </c>
      <c r="C489" t="inlineStr">
        <is>
          <t>Refill</t>
        </is>
      </c>
      <c r="D489" t="inlineStr">
        <is>
          <t>Primer Cachos</t>
        </is>
      </c>
      <c r="E489" t="n">
        <v>1</v>
      </c>
      <c r="F489" t="inlineStr">
        <is>
          <t>2025-11-16</t>
        </is>
      </c>
      <c r="G489" t="n">
        <v>230</v>
      </c>
      <c r="H489" t="inlineStr">
        <is>
          <t>Y</t>
        </is>
      </c>
      <c r="I489">
        <f>HYPERLINK("https://admin.shopify.com/store/ge-beauty-cosmeticos/customers/9868251529536","abrir")</f>
        <v/>
      </c>
      <c r="J489">
        <f>HYPERLINK("https://www.gebeauty.com.br/products/primer-cachos-definidos?ref=review","review")</f>
        <v/>
      </c>
      <c r="K489" t="inlineStr">
        <is>
          <t>SEND</t>
        </is>
      </c>
    </row>
    <row r="490">
      <c r="A490" t="inlineStr">
        <is>
          <t>Nathália</t>
        </is>
      </c>
      <c r="B490" t="inlineStr">
        <is>
          <t>+5511999595056</t>
        </is>
      </c>
      <c r="C490" t="inlineStr">
        <is>
          <t>Refill</t>
        </is>
      </c>
      <c r="D490" t="inlineStr">
        <is>
          <t>Primer Cachos</t>
        </is>
      </c>
      <c r="E490" t="n">
        <v>1</v>
      </c>
      <c r="F490" t="inlineStr">
        <is>
          <t>2025-11-17</t>
        </is>
      </c>
      <c r="G490" t="n">
        <v>229</v>
      </c>
      <c r="H490" t="inlineStr">
        <is>
          <t>Y</t>
        </is>
      </c>
      <c r="I490">
        <f>HYPERLINK("https://admin.shopify.com/store/ge-beauty-cosmeticos/customers/9868277154112","abrir")</f>
        <v/>
      </c>
      <c r="J490">
        <f>HYPERLINK("https://www.gebeauty.com.br/products/primer-cachos-definidos?ref=review","review")</f>
        <v/>
      </c>
      <c r="K490" t="inlineStr">
        <is>
          <t>SEND</t>
        </is>
      </c>
    </row>
    <row r="491">
      <c r="A491" t="inlineStr">
        <is>
          <t>Camilla</t>
        </is>
      </c>
      <c r="B491" t="inlineStr">
        <is>
          <t>+5561981190861</t>
        </is>
      </c>
      <c r="C491" t="inlineStr">
        <is>
          <t>Refill</t>
        </is>
      </c>
      <c r="D491" t="inlineStr">
        <is>
          <t>Primer Cachos</t>
        </is>
      </c>
      <c r="E491" t="n">
        <v>1</v>
      </c>
      <c r="F491" t="inlineStr">
        <is>
          <t>2025-11-17</t>
        </is>
      </c>
      <c r="G491" t="n">
        <v>229</v>
      </c>
      <c r="H491" t="inlineStr">
        <is>
          <t>Y</t>
        </is>
      </c>
      <c r="I491">
        <f>HYPERLINK("https://admin.shopify.com/store/ge-beauty-cosmeticos/customers/9486566195520","abrir")</f>
        <v/>
      </c>
      <c r="J491">
        <f>HYPERLINK("https://www.gebeauty.com.br/products/primer-cachos-definidos?ref=review","review")</f>
        <v/>
      </c>
      <c r="K491" t="inlineStr">
        <is>
          <t>SEND</t>
        </is>
      </c>
    </row>
    <row r="492">
      <c r="A492" t="inlineStr">
        <is>
          <t>Adriana</t>
        </is>
      </c>
      <c r="B492" t="inlineStr">
        <is>
          <t>+5531999781627</t>
        </is>
      </c>
      <c r="C492" t="inlineStr">
        <is>
          <t>Refill</t>
        </is>
      </c>
      <c r="D492" t="inlineStr">
        <is>
          <t>Primer Cachos</t>
        </is>
      </c>
      <c r="E492" t="n">
        <v>1</v>
      </c>
      <c r="F492" t="inlineStr">
        <is>
          <t>2025-11-17</t>
        </is>
      </c>
      <c r="G492" t="n">
        <v>229</v>
      </c>
      <c r="H492" t="inlineStr">
        <is>
          <t>Y</t>
        </is>
      </c>
      <c r="I492">
        <f>HYPERLINK("https://admin.shopify.com/store/ge-beauty-cosmeticos/customers/9869210091840","abrir")</f>
        <v/>
      </c>
      <c r="J492">
        <f>HYPERLINK("https://www.gebeauty.com.br/products/primer-cachos-definidos?ref=review","review")</f>
        <v/>
      </c>
      <c r="K492" t="inlineStr">
        <is>
          <t>SEND</t>
        </is>
      </c>
    </row>
    <row r="493">
      <c r="A493" t="inlineStr">
        <is>
          <t>Muriel</t>
        </is>
      </c>
      <c r="B493" t="inlineStr">
        <is>
          <t>+5554999447066</t>
        </is>
      </c>
      <c r="C493" t="inlineStr">
        <is>
          <t>Refill</t>
        </is>
      </c>
      <c r="D493" t="inlineStr">
        <is>
          <t>Primer Cachos</t>
        </is>
      </c>
      <c r="E493" t="n">
        <v>1</v>
      </c>
      <c r="F493" t="inlineStr">
        <is>
          <t>2026-01-05</t>
        </is>
      </c>
      <c r="G493" t="n">
        <v>180</v>
      </c>
      <c r="H493" t="inlineStr">
        <is>
          <t>Y</t>
        </is>
      </c>
      <c r="I493">
        <f>HYPERLINK("https://admin.shopify.com/store/ge-beauty-cosmeticos/customers/9055715918144","abrir")</f>
        <v/>
      </c>
      <c r="J493">
        <f>HYPERLINK("https://www.gebeauty.com.br/products/primer-cachos-definidos?ref=review","review")</f>
        <v/>
      </c>
      <c r="K493" t="inlineStr">
        <is>
          <t>SEND</t>
        </is>
      </c>
    </row>
    <row r="494">
      <c r="A494" t="inlineStr">
        <is>
          <t>Bárbara</t>
        </is>
      </c>
      <c r="B494" t="inlineStr">
        <is>
          <t>+5511918243131</t>
        </is>
      </c>
      <c r="C494" t="inlineStr">
        <is>
          <t>Refill</t>
        </is>
      </c>
      <c r="D494" t="inlineStr">
        <is>
          <t>Primer Cachos</t>
        </is>
      </c>
      <c r="E494" t="n">
        <v>1</v>
      </c>
      <c r="F494" t="inlineStr">
        <is>
          <t>2025-11-17</t>
        </is>
      </c>
      <c r="G494" t="n">
        <v>229</v>
      </c>
      <c r="H494" t="inlineStr">
        <is>
          <t>Y</t>
        </is>
      </c>
      <c r="I494">
        <f>HYPERLINK("https://admin.shopify.com/store/ge-beauty-cosmeticos/customers/9591911743808","abrir")</f>
        <v/>
      </c>
      <c r="J494">
        <f>HYPERLINK("https://www.gebeauty.com.br/products/primer-cachos-definidos?ref=review","review")</f>
        <v/>
      </c>
      <c r="K494" t="inlineStr">
        <is>
          <t>SEND</t>
        </is>
      </c>
    </row>
    <row r="495">
      <c r="A495" t="inlineStr">
        <is>
          <t>Juliana</t>
        </is>
      </c>
      <c r="B495" t="inlineStr">
        <is>
          <t>+5521992765978</t>
        </is>
      </c>
      <c r="C495" t="inlineStr">
        <is>
          <t>Refill</t>
        </is>
      </c>
      <c r="D495" t="inlineStr">
        <is>
          <t>Primer Cachos</t>
        </is>
      </c>
      <c r="E495" t="n">
        <v>1</v>
      </c>
      <c r="F495" t="inlineStr">
        <is>
          <t>2025-11-17</t>
        </is>
      </c>
      <c r="G495" t="n">
        <v>229</v>
      </c>
      <c r="H495" t="inlineStr">
        <is>
          <t>Y</t>
        </is>
      </c>
      <c r="I495">
        <f>HYPERLINK("https://admin.shopify.com/store/ge-beauty-cosmeticos/customers/9486222229824","abrir")</f>
        <v/>
      </c>
      <c r="J495">
        <f>HYPERLINK("https://www.gebeauty.com.br/products/primer-cachos-definidos?ref=review","review")</f>
        <v/>
      </c>
      <c r="K495" t="inlineStr">
        <is>
          <t>SEND</t>
        </is>
      </c>
    </row>
    <row r="496">
      <c r="A496" t="inlineStr">
        <is>
          <t>Giovanna</t>
        </is>
      </c>
      <c r="B496" t="inlineStr">
        <is>
          <t>+5583999549640</t>
        </is>
      </c>
      <c r="C496" t="inlineStr">
        <is>
          <t>Refill</t>
        </is>
      </c>
      <c r="D496" t="inlineStr">
        <is>
          <t>Primer Cachos</t>
        </is>
      </c>
      <c r="E496" t="n">
        <v>1</v>
      </c>
      <c r="F496" t="inlineStr">
        <is>
          <t>2025-11-18</t>
        </is>
      </c>
      <c r="G496" t="n">
        <v>228</v>
      </c>
      <c r="H496" t="inlineStr">
        <is>
          <t>Y</t>
        </is>
      </c>
      <c r="I496">
        <f>HYPERLINK("https://admin.shopify.com/store/ge-beauty-cosmeticos/customers/9485968310592","abrir")</f>
        <v/>
      </c>
      <c r="J496">
        <f>HYPERLINK("https://www.gebeauty.com.br/products/primer-cachos-definidos?ref=review","review")</f>
        <v/>
      </c>
      <c r="K496" t="inlineStr">
        <is>
          <t>HOLDOUT</t>
        </is>
      </c>
    </row>
    <row r="497">
      <c r="A497" t="inlineStr">
        <is>
          <t>Arícia</t>
        </is>
      </c>
      <c r="B497" t="inlineStr">
        <is>
          <t>+5527992718468</t>
        </is>
      </c>
      <c r="C497" t="inlineStr">
        <is>
          <t>Refill</t>
        </is>
      </c>
      <c r="D497" t="inlineStr">
        <is>
          <t>Primer Cachos</t>
        </is>
      </c>
      <c r="E497" t="n">
        <v>1</v>
      </c>
      <c r="F497" t="inlineStr">
        <is>
          <t>2025-11-18</t>
        </is>
      </c>
      <c r="G497" t="n">
        <v>228</v>
      </c>
      <c r="H497" t="inlineStr">
        <is>
          <t>Y</t>
        </is>
      </c>
      <c r="I497">
        <f>HYPERLINK("https://admin.shopify.com/store/ge-beauty-cosmeticos/customers/9871569813824","abrir")</f>
        <v/>
      </c>
      <c r="J497">
        <f>HYPERLINK("https://www.gebeauty.com.br/products/primer-cachos-definidos?ref=review","review")</f>
        <v/>
      </c>
      <c r="K497" t="inlineStr">
        <is>
          <t>SEND</t>
        </is>
      </c>
    </row>
    <row r="498">
      <c r="A498" t="inlineStr">
        <is>
          <t>Ana</t>
        </is>
      </c>
      <c r="B498" t="inlineStr">
        <is>
          <t>+5581988023878</t>
        </is>
      </c>
      <c r="C498" t="inlineStr">
        <is>
          <t>Refill</t>
        </is>
      </c>
      <c r="D498" t="inlineStr">
        <is>
          <t>Primer Cachos</t>
        </is>
      </c>
      <c r="E498" t="n">
        <v>1</v>
      </c>
      <c r="F498" t="inlineStr">
        <is>
          <t>2025-11-18</t>
        </is>
      </c>
      <c r="G498" t="n">
        <v>228</v>
      </c>
      <c r="H498" t="inlineStr">
        <is>
          <t>Y</t>
        </is>
      </c>
      <c r="I498">
        <f>HYPERLINK("https://admin.shopify.com/store/ge-beauty-cosmeticos/customers/9873350558016","abrir")</f>
        <v/>
      </c>
      <c r="J498">
        <f>HYPERLINK("https://www.gebeauty.com.br/products/primer-cachos-definidos?ref=review","review")</f>
        <v/>
      </c>
      <c r="K498" t="inlineStr">
        <is>
          <t>SEND</t>
        </is>
      </c>
    </row>
    <row r="499">
      <c r="A499" t="inlineStr">
        <is>
          <t>Priscila</t>
        </is>
      </c>
      <c r="B499" t="inlineStr">
        <is>
          <t>+5511954517847</t>
        </is>
      </c>
      <c r="C499" t="inlineStr">
        <is>
          <t>Refill</t>
        </is>
      </c>
      <c r="D499" t="inlineStr">
        <is>
          <t>Primer Cachos</t>
        </is>
      </c>
      <c r="E499" t="n">
        <v>1</v>
      </c>
      <c r="F499" t="inlineStr">
        <is>
          <t>2025-11-18</t>
        </is>
      </c>
      <c r="G499" t="n">
        <v>228</v>
      </c>
      <c r="H499" t="inlineStr">
        <is>
          <t>Y</t>
        </is>
      </c>
      <c r="I499">
        <f>HYPERLINK("https://admin.shopify.com/store/ge-beauty-cosmeticos/customers/9873844732224","abrir")</f>
        <v/>
      </c>
      <c r="J499">
        <f>HYPERLINK("https://www.gebeauty.com.br/products/primer-cachos-definidos?ref=review","review")</f>
        <v/>
      </c>
      <c r="K499" t="inlineStr">
        <is>
          <t>SEND</t>
        </is>
      </c>
    </row>
    <row r="500">
      <c r="A500" t="inlineStr">
        <is>
          <t>Giovanna</t>
        </is>
      </c>
      <c r="B500" t="inlineStr">
        <is>
          <t>+5519993685916</t>
        </is>
      </c>
      <c r="C500" t="inlineStr">
        <is>
          <t>Refill</t>
        </is>
      </c>
      <c r="D500" t="inlineStr">
        <is>
          <t>Primer Cachos</t>
        </is>
      </c>
      <c r="E500" t="n">
        <v>1</v>
      </c>
      <c r="F500" t="inlineStr">
        <is>
          <t>2025-11-18</t>
        </is>
      </c>
      <c r="G500" t="n">
        <v>228</v>
      </c>
      <c r="H500" t="inlineStr">
        <is>
          <t>Y</t>
        </is>
      </c>
      <c r="I500">
        <f>HYPERLINK("https://admin.shopify.com/store/ge-beauty-cosmeticos/customers/8541157327168","abrir")</f>
        <v/>
      </c>
      <c r="J500">
        <f>HYPERLINK("https://www.gebeauty.com.br/products/primer-cachos-definidos?ref=review","review")</f>
        <v/>
      </c>
      <c r="K500" t="inlineStr">
        <is>
          <t>SEND</t>
        </is>
      </c>
    </row>
    <row r="501">
      <c r="A501" t="inlineStr">
        <is>
          <t>Hanna</t>
        </is>
      </c>
      <c r="B501" t="inlineStr">
        <is>
          <t>+5581995678969</t>
        </is>
      </c>
      <c r="C501" t="inlineStr">
        <is>
          <t>Refill</t>
        </is>
      </c>
      <c r="D501" t="inlineStr">
        <is>
          <t>Primer Cachos</t>
        </is>
      </c>
      <c r="E501" t="n">
        <v>1</v>
      </c>
      <c r="F501" t="inlineStr">
        <is>
          <t>2025-11-18</t>
        </is>
      </c>
      <c r="G501" t="n">
        <v>228</v>
      </c>
      <c r="H501" t="inlineStr">
        <is>
          <t>Y</t>
        </is>
      </c>
      <c r="I501">
        <f>HYPERLINK("https://admin.shopify.com/store/ge-beauty-cosmeticos/customers/9486407237952","abrir")</f>
        <v/>
      </c>
      <c r="J501">
        <f>HYPERLINK("https://www.gebeauty.com.br/products/primer-cachos-definidos?ref=review","review")</f>
        <v/>
      </c>
      <c r="K501" t="inlineStr">
        <is>
          <t>SEND</t>
        </is>
      </c>
    </row>
    <row r="502">
      <c r="A502" t="inlineStr">
        <is>
          <t>Suelen</t>
        </is>
      </c>
      <c r="B502" t="inlineStr">
        <is>
          <t>+5511963368709</t>
        </is>
      </c>
      <c r="C502" t="inlineStr">
        <is>
          <t>Refill</t>
        </is>
      </c>
      <c r="D502" t="inlineStr">
        <is>
          <t>Primer Cachos</t>
        </is>
      </c>
      <c r="E502" t="n">
        <v>1</v>
      </c>
      <c r="F502" t="inlineStr">
        <is>
          <t>2025-11-19</t>
        </is>
      </c>
      <c r="G502" t="n">
        <v>227</v>
      </c>
      <c r="H502" t="inlineStr">
        <is>
          <t>Y</t>
        </is>
      </c>
      <c r="I502">
        <f>HYPERLINK("https://admin.shopify.com/store/ge-beauty-cosmeticos/customers/9874940002624","abrir")</f>
        <v/>
      </c>
      <c r="J502">
        <f>HYPERLINK("https://www.gebeauty.com.br/products/primer-cachos-definidos?ref=review","review")</f>
        <v/>
      </c>
      <c r="K502" t="inlineStr">
        <is>
          <t>SEND</t>
        </is>
      </c>
    </row>
    <row r="503">
      <c r="A503" t="inlineStr">
        <is>
          <t>Renata</t>
        </is>
      </c>
      <c r="B503" t="inlineStr">
        <is>
          <t>+5531988990173</t>
        </is>
      </c>
      <c r="C503" t="inlineStr">
        <is>
          <t>Refill</t>
        </is>
      </c>
      <c r="D503" t="inlineStr">
        <is>
          <t>Primer Cachos</t>
        </is>
      </c>
      <c r="E503" t="n">
        <v>1</v>
      </c>
      <c r="F503" t="inlineStr">
        <is>
          <t>2025-11-19</t>
        </is>
      </c>
      <c r="G503" t="n">
        <v>227</v>
      </c>
      <c r="H503" t="inlineStr">
        <is>
          <t>Y</t>
        </is>
      </c>
      <c r="I503">
        <f>HYPERLINK("https://admin.shopify.com/store/ge-beauty-cosmeticos/customers/7762226086208","abrir")</f>
        <v/>
      </c>
      <c r="J503">
        <f>HYPERLINK("https://www.gebeauty.com.br/products/primer-cachos-definidos?ref=review","review")</f>
        <v/>
      </c>
      <c r="K503" t="inlineStr">
        <is>
          <t>SEND</t>
        </is>
      </c>
    </row>
    <row r="504">
      <c r="A504" t="inlineStr">
        <is>
          <t>Aimée</t>
        </is>
      </c>
      <c r="B504" t="inlineStr">
        <is>
          <t>+5521980325557</t>
        </is>
      </c>
      <c r="C504" t="inlineStr">
        <is>
          <t>Refill</t>
        </is>
      </c>
      <c r="D504" t="inlineStr">
        <is>
          <t>Primer Cachos</t>
        </is>
      </c>
      <c r="E504" t="n">
        <v>1</v>
      </c>
      <c r="F504" t="inlineStr">
        <is>
          <t>2025-11-19</t>
        </is>
      </c>
      <c r="G504" t="n">
        <v>227</v>
      </c>
      <c r="H504" t="inlineStr">
        <is>
          <t>Y</t>
        </is>
      </c>
      <c r="I504">
        <f>HYPERLINK("https://admin.shopify.com/store/ge-beauty-cosmeticos/customers/9486678491456","abrir")</f>
        <v/>
      </c>
      <c r="J504">
        <f>HYPERLINK("https://www.gebeauty.com.br/products/primer-cachos-definidos?ref=review","review")</f>
        <v/>
      </c>
      <c r="K504" t="inlineStr">
        <is>
          <t>SEND</t>
        </is>
      </c>
    </row>
    <row r="505">
      <c r="A505" t="inlineStr">
        <is>
          <t>Samara</t>
        </is>
      </c>
      <c r="B505" t="inlineStr">
        <is>
          <t>+5511991872072</t>
        </is>
      </c>
      <c r="C505" t="inlineStr">
        <is>
          <t>Refill</t>
        </is>
      </c>
      <c r="D505" t="inlineStr">
        <is>
          <t>Primer Cachos</t>
        </is>
      </c>
      <c r="E505" t="n">
        <v>1</v>
      </c>
      <c r="F505" t="inlineStr">
        <is>
          <t>2025-11-19</t>
        </is>
      </c>
      <c r="G505" t="n">
        <v>227</v>
      </c>
      <c r="H505" t="inlineStr">
        <is>
          <t>Y</t>
        </is>
      </c>
      <c r="I505">
        <f>HYPERLINK("https://admin.shopify.com/store/ge-beauty-cosmeticos/customers/7761958601024","abrir")</f>
        <v/>
      </c>
      <c r="J505">
        <f>HYPERLINK("https://www.gebeauty.com.br/products/primer-cachos-definidos?ref=review","review")</f>
        <v/>
      </c>
      <c r="K505" t="inlineStr">
        <is>
          <t>SEND</t>
        </is>
      </c>
    </row>
    <row r="506">
      <c r="A506" t="inlineStr">
        <is>
          <t>Dabiel</t>
        </is>
      </c>
      <c r="B506" t="inlineStr">
        <is>
          <t>+5511982180362</t>
        </is>
      </c>
      <c r="C506" t="inlineStr">
        <is>
          <t>Refill</t>
        </is>
      </c>
      <c r="D506" t="inlineStr">
        <is>
          <t>Primer Cachos</t>
        </is>
      </c>
      <c r="E506" t="n">
        <v>1</v>
      </c>
      <c r="F506" t="inlineStr">
        <is>
          <t>2025-11-19</t>
        </is>
      </c>
      <c r="G506" t="n">
        <v>227</v>
      </c>
      <c r="H506" t="inlineStr">
        <is>
          <t>Y</t>
        </is>
      </c>
      <c r="I506">
        <f>HYPERLINK("https://admin.shopify.com/store/ge-beauty-cosmeticos/customers/9875278954816","abrir")</f>
        <v/>
      </c>
      <c r="J506">
        <f>HYPERLINK("https://www.gebeauty.com.br/products/primer-cachos-definidos?ref=review","review")</f>
        <v/>
      </c>
      <c r="K506" t="inlineStr">
        <is>
          <t>HOLDOUT</t>
        </is>
      </c>
    </row>
    <row r="507">
      <c r="A507" t="inlineStr">
        <is>
          <t>Patricia</t>
        </is>
      </c>
      <c r="B507" t="inlineStr">
        <is>
          <t>+5581991728565</t>
        </is>
      </c>
      <c r="C507" t="inlineStr">
        <is>
          <t>Refill</t>
        </is>
      </c>
      <c r="D507" t="inlineStr">
        <is>
          <t>Primer Cachos</t>
        </is>
      </c>
      <c r="E507" t="n">
        <v>1</v>
      </c>
      <c r="F507" t="inlineStr">
        <is>
          <t>2025-11-19</t>
        </is>
      </c>
      <c r="G507" t="n">
        <v>227</v>
      </c>
      <c r="H507" t="inlineStr">
        <is>
          <t>Y</t>
        </is>
      </c>
      <c r="I507">
        <f>HYPERLINK("https://admin.shopify.com/store/ge-beauty-cosmeticos/customers/9876197507392","abrir")</f>
        <v/>
      </c>
      <c r="J507">
        <f>HYPERLINK("https://www.gebeauty.com.br/products/primer-cachos-definidos?ref=review","review")</f>
        <v/>
      </c>
      <c r="K507" t="inlineStr">
        <is>
          <t>SEND</t>
        </is>
      </c>
    </row>
    <row r="508">
      <c r="A508" t="inlineStr">
        <is>
          <t>Fabiana</t>
        </is>
      </c>
      <c r="B508" t="inlineStr">
        <is>
          <t>+5567981626981</t>
        </is>
      </c>
      <c r="C508" t="inlineStr">
        <is>
          <t>Refill</t>
        </is>
      </c>
      <c r="D508" t="inlineStr">
        <is>
          <t>Primer Cachos</t>
        </is>
      </c>
      <c r="E508" t="n">
        <v>1</v>
      </c>
      <c r="F508" t="inlineStr">
        <is>
          <t>2025-11-19</t>
        </is>
      </c>
      <c r="G508" t="n">
        <v>227</v>
      </c>
      <c r="H508" t="inlineStr">
        <is>
          <t>Y</t>
        </is>
      </c>
      <c r="I508">
        <f>HYPERLINK("https://admin.shopify.com/store/ge-beauty-cosmeticos/customers/8821969420608","abrir")</f>
        <v/>
      </c>
      <c r="J508">
        <f>HYPERLINK("https://www.gebeauty.com.br/products/primer-cachos-definidos?ref=review","review")</f>
        <v/>
      </c>
      <c r="K508" t="inlineStr">
        <is>
          <t>SEND</t>
        </is>
      </c>
    </row>
    <row r="509">
      <c r="A509" t="inlineStr">
        <is>
          <t>Maria Cecilia</t>
        </is>
      </c>
      <c r="B509" t="inlineStr">
        <is>
          <t>+5581991081258</t>
        </is>
      </c>
      <c r="C509" t="inlineStr">
        <is>
          <t>Refill</t>
        </is>
      </c>
      <c r="D509" t="inlineStr">
        <is>
          <t>Primer Cachos</t>
        </is>
      </c>
      <c r="E509" t="n">
        <v>1</v>
      </c>
      <c r="F509" t="inlineStr">
        <is>
          <t>2025-11-19</t>
        </is>
      </c>
      <c r="G509" t="n">
        <v>227</v>
      </c>
      <c r="H509" t="inlineStr">
        <is>
          <t>Y</t>
        </is>
      </c>
      <c r="I509">
        <f>HYPERLINK("https://admin.shopify.com/store/ge-beauty-cosmeticos/customers/9486252179776","abrir")</f>
        <v/>
      </c>
      <c r="J509">
        <f>HYPERLINK("https://www.gebeauty.com.br/products/primer-cachos-definidos?ref=review","review")</f>
        <v/>
      </c>
      <c r="K509" t="inlineStr">
        <is>
          <t>SEND</t>
        </is>
      </c>
    </row>
    <row r="510">
      <c r="A510" t="inlineStr">
        <is>
          <t>Adriana</t>
        </is>
      </c>
      <c r="B510" t="inlineStr">
        <is>
          <t>+5511996298910</t>
        </is>
      </c>
      <c r="C510" t="inlineStr">
        <is>
          <t>Refill</t>
        </is>
      </c>
      <c r="D510" t="inlineStr">
        <is>
          <t>Primer Cachos</t>
        </is>
      </c>
      <c r="E510" t="n">
        <v>1</v>
      </c>
      <c r="F510" t="inlineStr">
        <is>
          <t>2025-11-19</t>
        </is>
      </c>
      <c r="G510" t="n">
        <v>227</v>
      </c>
      <c r="H510" t="inlineStr">
        <is>
          <t>Y</t>
        </is>
      </c>
      <c r="I510">
        <f>HYPERLINK("https://admin.shopify.com/store/ge-beauty-cosmeticos/customers/8913092018496","abrir")</f>
        <v/>
      </c>
      <c r="J510">
        <f>HYPERLINK("https://www.gebeauty.com.br/products/primer-cachos-definidos?ref=review","review")</f>
        <v/>
      </c>
      <c r="K510" t="inlineStr">
        <is>
          <t>SEND</t>
        </is>
      </c>
    </row>
    <row r="511">
      <c r="A511" t="inlineStr">
        <is>
          <t>Marina</t>
        </is>
      </c>
      <c r="B511" t="inlineStr">
        <is>
          <t>+5511991591946</t>
        </is>
      </c>
      <c r="C511" t="inlineStr">
        <is>
          <t>Refill</t>
        </is>
      </c>
      <c r="D511" t="inlineStr">
        <is>
          <t>Primer Cachos</t>
        </is>
      </c>
      <c r="E511" t="n">
        <v>1</v>
      </c>
      <c r="F511" t="inlineStr">
        <is>
          <t>2025-11-19</t>
        </is>
      </c>
      <c r="G511" t="n">
        <v>227</v>
      </c>
      <c r="H511" t="inlineStr">
        <is>
          <t>Y</t>
        </is>
      </c>
      <c r="I511">
        <f>HYPERLINK("https://admin.shopify.com/store/ge-beauty-cosmeticos/customers/9878127771968","abrir")</f>
        <v/>
      </c>
      <c r="J511">
        <f>HYPERLINK("https://www.gebeauty.com.br/products/primer-cachos-definidos?ref=review","review")</f>
        <v/>
      </c>
      <c r="K511" t="inlineStr">
        <is>
          <t>SEND</t>
        </is>
      </c>
    </row>
    <row r="512">
      <c r="A512" t="inlineStr">
        <is>
          <t>Patricia</t>
        </is>
      </c>
      <c r="B512" t="inlineStr">
        <is>
          <t>+5571991127895</t>
        </is>
      </c>
      <c r="C512" t="inlineStr">
        <is>
          <t>Refill</t>
        </is>
      </c>
      <c r="D512" t="inlineStr">
        <is>
          <t>Primer Cachos</t>
        </is>
      </c>
      <c r="E512" t="n">
        <v>1</v>
      </c>
      <c r="F512" t="inlineStr">
        <is>
          <t>2025-11-19</t>
        </is>
      </c>
      <c r="G512" t="n">
        <v>227</v>
      </c>
      <c r="H512" t="inlineStr">
        <is>
          <t>Y</t>
        </is>
      </c>
      <c r="I512">
        <f>HYPERLINK("https://admin.shopify.com/store/ge-beauty-cosmeticos/customers/9878288990528","abrir")</f>
        <v/>
      </c>
      <c r="J512">
        <f>HYPERLINK("https://www.gebeauty.com.br/products/primer-cachos-definidos?ref=review","review")</f>
        <v/>
      </c>
      <c r="K512" t="inlineStr">
        <is>
          <t>HOLDOUT</t>
        </is>
      </c>
    </row>
    <row r="513">
      <c r="A513" t="inlineStr">
        <is>
          <t>Débora</t>
        </is>
      </c>
      <c r="B513" t="inlineStr">
        <is>
          <t>+5511996644944</t>
        </is>
      </c>
      <c r="C513" t="inlineStr">
        <is>
          <t>Refill</t>
        </is>
      </c>
      <c r="D513" t="inlineStr">
        <is>
          <t>Primer Cachos</t>
        </is>
      </c>
      <c r="E513" t="n">
        <v>1</v>
      </c>
      <c r="F513" t="inlineStr">
        <is>
          <t>2025-11-19</t>
        </is>
      </c>
      <c r="G513" t="n">
        <v>227</v>
      </c>
      <c r="H513" t="inlineStr">
        <is>
          <t>Y</t>
        </is>
      </c>
      <c r="I513">
        <f>HYPERLINK("https://admin.shopify.com/store/ge-beauty-cosmeticos/customers/9878300787008","abrir")</f>
        <v/>
      </c>
      <c r="J513">
        <f>HYPERLINK("https://www.gebeauty.com.br/products/primer-cachos-definidos?ref=review","review")</f>
        <v/>
      </c>
      <c r="K513" t="inlineStr">
        <is>
          <t>HOLDOUT</t>
        </is>
      </c>
    </row>
    <row r="514">
      <c r="A514" t="inlineStr">
        <is>
          <t>Sheila</t>
        </is>
      </c>
      <c r="B514" t="inlineStr">
        <is>
          <t>+5521991461011</t>
        </is>
      </c>
      <c r="C514" t="inlineStr">
        <is>
          <t>Refill</t>
        </is>
      </c>
      <c r="D514" t="inlineStr">
        <is>
          <t>Primer Cachos</t>
        </is>
      </c>
      <c r="E514" t="n">
        <v>1</v>
      </c>
      <c r="F514" t="inlineStr">
        <is>
          <t>2025-11-19</t>
        </is>
      </c>
      <c r="G514" t="n">
        <v>227</v>
      </c>
      <c r="H514" t="inlineStr">
        <is>
          <t>Y</t>
        </is>
      </c>
      <c r="I514">
        <f>HYPERLINK("https://admin.shopify.com/store/ge-beauty-cosmeticos/customers/7760125952320","abrir")</f>
        <v/>
      </c>
      <c r="J514">
        <f>HYPERLINK("https://www.gebeauty.com.br/products/primer-cachos-definidos?ref=review","review")</f>
        <v/>
      </c>
      <c r="K514" t="inlineStr">
        <is>
          <t>SEND</t>
        </is>
      </c>
    </row>
    <row r="515">
      <c r="A515" t="inlineStr">
        <is>
          <t>Regina</t>
        </is>
      </c>
      <c r="B515" t="inlineStr">
        <is>
          <t>+5511989474254</t>
        </is>
      </c>
      <c r="C515" t="inlineStr">
        <is>
          <t>Refill</t>
        </is>
      </c>
      <c r="D515" t="inlineStr">
        <is>
          <t>Primer Cachos</t>
        </is>
      </c>
      <c r="E515" t="n">
        <v>1</v>
      </c>
      <c r="F515" t="inlineStr">
        <is>
          <t>2025-11-19</t>
        </is>
      </c>
      <c r="G515" t="n">
        <v>227</v>
      </c>
      <c r="H515" t="inlineStr">
        <is>
          <t>Y</t>
        </is>
      </c>
      <c r="I515">
        <f>HYPERLINK("https://admin.shopify.com/store/ge-beauty-cosmeticos/customers/9878127280448","abrir")</f>
        <v/>
      </c>
      <c r="J515">
        <f>HYPERLINK("https://www.gebeauty.com.br/products/primer-cachos-definidos?ref=review","review")</f>
        <v/>
      </c>
      <c r="K515" t="inlineStr">
        <is>
          <t>SEND</t>
        </is>
      </c>
    </row>
    <row r="516">
      <c r="A516" t="inlineStr">
        <is>
          <t>Julia</t>
        </is>
      </c>
      <c r="B516" t="inlineStr">
        <is>
          <t>+5541995090504</t>
        </is>
      </c>
      <c r="C516" t="inlineStr">
        <is>
          <t>Refill</t>
        </is>
      </c>
      <c r="D516" t="inlineStr">
        <is>
          <t>Primer Cachos</t>
        </is>
      </c>
      <c r="E516" t="n">
        <v>1</v>
      </c>
      <c r="F516" t="inlineStr">
        <is>
          <t>2025-11-19</t>
        </is>
      </c>
      <c r="G516" t="n">
        <v>227</v>
      </c>
      <c r="H516" t="inlineStr">
        <is>
          <t>Y</t>
        </is>
      </c>
      <c r="I516">
        <f>HYPERLINK("https://admin.shopify.com/store/ge-beauty-cosmeticos/customers/9486162067776","abrir")</f>
        <v/>
      </c>
      <c r="J516">
        <f>HYPERLINK("https://www.gebeauty.com.br/products/primer-cachos-definidos?ref=review","review")</f>
        <v/>
      </c>
      <c r="K516" t="inlineStr">
        <is>
          <t>SEND</t>
        </is>
      </c>
    </row>
    <row r="517">
      <c r="A517" t="inlineStr">
        <is>
          <t>Marcella</t>
        </is>
      </c>
      <c r="B517" t="inlineStr">
        <is>
          <t>+5541992124747</t>
        </is>
      </c>
      <c r="C517" t="inlineStr">
        <is>
          <t>Refill</t>
        </is>
      </c>
      <c r="D517" t="inlineStr">
        <is>
          <t>Primer Cachos</t>
        </is>
      </c>
      <c r="E517" t="n">
        <v>1</v>
      </c>
      <c r="F517" t="inlineStr">
        <is>
          <t>2025-11-19</t>
        </is>
      </c>
      <c r="G517" t="n">
        <v>227</v>
      </c>
      <c r="H517" t="inlineStr">
        <is>
          <t>Y</t>
        </is>
      </c>
      <c r="I517">
        <f>HYPERLINK("https://admin.shopify.com/store/ge-beauty-cosmeticos/customers/9878848504128","abrir")</f>
        <v/>
      </c>
      <c r="J517">
        <f>HYPERLINK("https://www.gebeauty.com.br/products/primer-cachos-definidos?ref=review","review")</f>
        <v/>
      </c>
      <c r="K517" t="inlineStr">
        <is>
          <t>SEND</t>
        </is>
      </c>
    </row>
    <row r="518">
      <c r="A518" t="inlineStr">
        <is>
          <t>Talita</t>
        </is>
      </c>
      <c r="B518" t="inlineStr">
        <is>
          <t>+5561995515662</t>
        </is>
      </c>
      <c r="C518" t="inlineStr">
        <is>
          <t>Refill</t>
        </is>
      </c>
      <c r="D518" t="inlineStr">
        <is>
          <t>Primer Cachos</t>
        </is>
      </c>
      <c r="E518" t="n">
        <v>1</v>
      </c>
      <c r="F518" t="inlineStr">
        <is>
          <t>2025-11-19</t>
        </is>
      </c>
      <c r="G518" t="n">
        <v>227</v>
      </c>
      <c r="H518" t="inlineStr">
        <is>
          <t>Y</t>
        </is>
      </c>
      <c r="I518">
        <f>HYPERLINK("https://admin.shopify.com/store/ge-beauty-cosmeticos/customers/9484431917376","abrir")</f>
        <v/>
      </c>
      <c r="J518">
        <f>HYPERLINK("https://www.gebeauty.com.br/products/primer-cachos-definidos?ref=review","review")</f>
        <v/>
      </c>
      <c r="K518" t="inlineStr">
        <is>
          <t>SEND</t>
        </is>
      </c>
    </row>
    <row r="519">
      <c r="A519" t="inlineStr">
        <is>
          <t>Daniela</t>
        </is>
      </c>
      <c r="B519" t="inlineStr">
        <is>
          <t>+5511947357660</t>
        </is>
      </c>
      <c r="C519" t="inlineStr">
        <is>
          <t>Refill</t>
        </is>
      </c>
      <c r="D519" t="inlineStr">
        <is>
          <t>Primer Cachos</t>
        </is>
      </c>
      <c r="E519" t="n">
        <v>1</v>
      </c>
      <c r="F519" t="inlineStr">
        <is>
          <t>2025-11-19</t>
        </is>
      </c>
      <c r="G519" t="n">
        <v>227</v>
      </c>
      <c r="H519" t="inlineStr">
        <is>
          <t>Y</t>
        </is>
      </c>
      <c r="I519">
        <f>HYPERLINK("https://admin.shopify.com/store/ge-beauty-cosmeticos/customers/9879030333760","abrir")</f>
        <v/>
      </c>
      <c r="J519">
        <f>HYPERLINK("https://www.gebeauty.com.br/products/primer-cachos-definidos?ref=review","review")</f>
        <v/>
      </c>
      <c r="K519" t="inlineStr">
        <is>
          <t>SEND</t>
        </is>
      </c>
    </row>
    <row r="520">
      <c r="A520" t="inlineStr">
        <is>
          <t>Amanda Beatriz</t>
        </is>
      </c>
      <c r="B520" t="inlineStr">
        <is>
          <t>+5519999198143</t>
        </is>
      </c>
      <c r="C520" t="inlineStr">
        <is>
          <t>Refill</t>
        </is>
      </c>
      <c r="D520" t="inlineStr">
        <is>
          <t>Primer Cachos</t>
        </is>
      </c>
      <c r="E520" t="n">
        <v>1</v>
      </c>
      <c r="F520" t="inlineStr">
        <is>
          <t>2025-11-19</t>
        </is>
      </c>
      <c r="G520" t="n">
        <v>227</v>
      </c>
      <c r="H520" t="inlineStr">
        <is>
          <t>Y</t>
        </is>
      </c>
      <c r="I520">
        <f>HYPERLINK("https://admin.shopify.com/store/ge-beauty-cosmeticos/customers/9847699407168","abrir")</f>
        <v/>
      </c>
      <c r="J520">
        <f>HYPERLINK("https://www.gebeauty.com.br/products/primer-cachos-definidos?ref=review","review")</f>
        <v/>
      </c>
      <c r="K520" t="inlineStr">
        <is>
          <t>SEND</t>
        </is>
      </c>
    </row>
    <row r="521">
      <c r="A521" t="inlineStr">
        <is>
          <t>Gabriela</t>
        </is>
      </c>
      <c r="B521" t="inlineStr">
        <is>
          <t>+5511993160003</t>
        </is>
      </c>
      <c r="C521" t="inlineStr">
        <is>
          <t>Refill</t>
        </is>
      </c>
      <c r="D521" t="inlineStr">
        <is>
          <t>Primer Cachos</t>
        </is>
      </c>
      <c r="E521" t="n">
        <v>1</v>
      </c>
      <c r="F521" t="inlineStr">
        <is>
          <t>2025-11-20</t>
        </is>
      </c>
      <c r="G521" t="n">
        <v>226</v>
      </c>
      <c r="H521" t="inlineStr">
        <is>
          <t>Y</t>
        </is>
      </c>
      <c r="I521">
        <f>HYPERLINK("https://admin.shopify.com/store/ge-beauty-cosmeticos/customers/9871242330432","abrir")</f>
        <v/>
      </c>
      <c r="J521">
        <f>HYPERLINK("https://www.gebeauty.com.br/products/primer-cachos-definidos?ref=review","review")</f>
        <v/>
      </c>
      <c r="K521" t="inlineStr">
        <is>
          <t>SEND</t>
        </is>
      </c>
    </row>
    <row r="522">
      <c r="A522" t="inlineStr">
        <is>
          <t>Paula</t>
        </is>
      </c>
      <c r="B522" t="inlineStr">
        <is>
          <t>+5511964702303</t>
        </is>
      </c>
      <c r="C522" t="inlineStr">
        <is>
          <t>Refill</t>
        </is>
      </c>
      <c r="D522" t="inlineStr">
        <is>
          <t>Primer Cachos</t>
        </is>
      </c>
      <c r="E522" t="n">
        <v>1</v>
      </c>
      <c r="F522" t="inlineStr">
        <is>
          <t>2025-11-20</t>
        </is>
      </c>
      <c r="G522" t="n">
        <v>226</v>
      </c>
      <c r="H522" t="inlineStr">
        <is>
          <t>Y</t>
        </is>
      </c>
      <c r="I522">
        <f>HYPERLINK("https://admin.shopify.com/store/ge-beauty-cosmeticos/customers/9879784161600","abrir")</f>
        <v/>
      </c>
      <c r="J522">
        <f>HYPERLINK("https://www.gebeauty.com.br/products/primer-cachos-definidos?ref=review","review")</f>
        <v/>
      </c>
      <c r="K522" t="inlineStr">
        <is>
          <t>SEND</t>
        </is>
      </c>
    </row>
    <row r="523">
      <c r="A523" t="inlineStr">
        <is>
          <t>Flávia</t>
        </is>
      </c>
      <c r="B523" t="inlineStr">
        <is>
          <t>+5571981942204</t>
        </is>
      </c>
      <c r="C523" t="inlineStr">
        <is>
          <t>Refill</t>
        </is>
      </c>
      <c r="D523" t="inlineStr">
        <is>
          <t>Primer Cachos</t>
        </is>
      </c>
      <c r="E523" t="n">
        <v>1</v>
      </c>
      <c r="F523" t="inlineStr">
        <is>
          <t>2025-11-20</t>
        </is>
      </c>
      <c r="G523" t="n">
        <v>226</v>
      </c>
      <c r="H523" t="inlineStr">
        <is>
          <t>Y</t>
        </is>
      </c>
      <c r="I523">
        <f>HYPERLINK("https://admin.shopify.com/store/ge-beauty-cosmeticos/customers/9880042832192","abrir")</f>
        <v/>
      </c>
      <c r="J523">
        <f>HYPERLINK("https://www.gebeauty.com.br/products/primer-cachos-definidos?ref=review","review")</f>
        <v/>
      </c>
      <c r="K523" t="inlineStr">
        <is>
          <t>SEND</t>
        </is>
      </c>
    </row>
    <row r="524">
      <c r="A524" t="inlineStr">
        <is>
          <t>Lais</t>
        </is>
      </c>
      <c r="B524" t="inlineStr">
        <is>
          <t>+5522979867799</t>
        </is>
      </c>
      <c r="C524" t="inlineStr">
        <is>
          <t>Refill</t>
        </is>
      </c>
      <c r="D524" t="inlineStr">
        <is>
          <t>Primer Cachos</t>
        </is>
      </c>
      <c r="E524" t="n">
        <v>1</v>
      </c>
      <c r="F524" t="inlineStr">
        <is>
          <t>2025-11-20</t>
        </is>
      </c>
      <c r="G524" t="n">
        <v>226</v>
      </c>
      <c r="H524" t="inlineStr">
        <is>
          <t>Y</t>
        </is>
      </c>
      <c r="I524">
        <f>HYPERLINK("https://admin.shopify.com/store/ge-beauty-cosmeticos/customers/9882338984256","abrir")</f>
        <v/>
      </c>
      <c r="J524">
        <f>HYPERLINK("https://www.gebeauty.com.br/products/primer-cachos-definidos?ref=review","review")</f>
        <v/>
      </c>
      <c r="K524" t="inlineStr">
        <is>
          <t>SEND</t>
        </is>
      </c>
    </row>
    <row r="525">
      <c r="A525" t="inlineStr">
        <is>
          <t>Elaine</t>
        </is>
      </c>
      <c r="B525" t="inlineStr">
        <is>
          <t>+5516992925592</t>
        </is>
      </c>
      <c r="C525" t="inlineStr">
        <is>
          <t>Refill</t>
        </is>
      </c>
      <c r="D525" t="inlineStr">
        <is>
          <t>Primer Cachos</t>
        </is>
      </c>
      <c r="E525" t="n">
        <v>1</v>
      </c>
      <c r="F525" t="inlineStr">
        <is>
          <t>2025-11-20</t>
        </is>
      </c>
      <c r="G525" t="n">
        <v>226</v>
      </c>
      <c r="H525" t="inlineStr">
        <is>
          <t>Y</t>
        </is>
      </c>
      <c r="I525">
        <f>HYPERLINK("https://admin.shopify.com/store/ge-beauty-cosmeticos/customers/9883161788736","abrir")</f>
        <v/>
      </c>
      <c r="J525">
        <f>HYPERLINK("https://www.gebeauty.com.br/products/primer-cachos-definidos?ref=review","review")</f>
        <v/>
      </c>
      <c r="K525" t="inlineStr">
        <is>
          <t>SEND</t>
        </is>
      </c>
    </row>
    <row r="526">
      <c r="A526" t="inlineStr">
        <is>
          <t>Maria</t>
        </is>
      </c>
      <c r="B526" t="inlineStr">
        <is>
          <t>+5521997655005</t>
        </is>
      </c>
      <c r="C526" t="inlineStr">
        <is>
          <t>Refill</t>
        </is>
      </c>
      <c r="D526" t="inlineStr">
        <is>
          <t>Primer Cachos</t>
        </is>
      </c>
      <c r="E526" t="n">
        <v>1</v>
      </c>
      <c r="F526" t="inlineStr">
        <is>
          <t>2025-11-20</t>
        </is>
      </c>
      <c r="G526" t="n">
        <v>226</v>
      </c>
      <c r="H526" t="inlineStr">
        <is>
          <t>Y</t>
        </is>
      </c>
      <c r="I526">
        <f>HYPERLINK("https://admin.shopify.com/store/ge-beauty-cosmeticos/customers/8734995284288","abrir")</f>
        <v/>
      </c>
      <c r="J526">
        <f>HYPERLINK("https://www.gebeauty.com.br/products/primer-cachos-definidos?ref=review","review")</f>
        <v/>
      </c>
      <c r="K526" t="inlineStr">
        <is>
          <t>SEND</t>
        </is>
      </c>
    </row>
    <row r="527">
      <c r="A527" t="inlineStr">
        <is>
          <t>Mayara</t>
        </is>
      </c>
      <c r="B527" t="inlineStr">
        <is>
          <t>+5581988159003</t>
        </is>
      </c>
      <c r="C527" t="inlineStr">
        <is>
          <t>Refill</t>
        </is>
      </c>
      <c r="D527" t="inlineStr">
        <is>
          <t>Primer Cachos</t>
        </is>
      </c>
      <c r="E527" t="n">
        <v>1</v>
      </c>
      <c r="F527" t="inlineStr">
        <is>
          <t>2025-11-20</t>
        </is>
      </c>
      <c r="G527" t="n">
        <v>226</v>
      </c>
      <c r="H527" t="inlineStr">
        <is>
          <t>Y</t>
        </is>
      </c>
      <c r="I527">
        <f>HYPERLINK("https://admin.shopify.com/store/ge-beauty-cosmeticos/customers/9883596554560","abrir")</f>
        <v/>
      </c>
      <c r="J527">
        <f>HYPERLINK("https://www.gebeauty.com.br/products/primer-cachos-definidos?ref=review","review")</f>
        <v/>
      </c>
      <c r="K527" t="inlineStr">
        <is>
          <t>SEND</t>
        </is>
      </c>
    </row>
    <row r="528">
      <c r="A528" t="inlineStr">
        <is>
          <t>Joana</t>
        </is>
      </c>
      <c r="B528" t="inlineStr">
        <is>
          <t>+5551996636903</t>
        </is>
      </c>
      <c r="C528" t="inlineStr">
        <is>
          <t>Refill</t>
        </is>
      </c>
      <c r="D528" t="inlineStr">
        <is>
          <t>Primer Cachos</t>
        </is>
      </c>
      <c r="E528" t="n">
        <v>1</v>
      </c>
      <c r="F528" t="inlineStr">
        <is>
          <t>2025-11-20</t>
        </is>
      </c>
      <c r="G528" t="n">
        <v>226</v>
      </c>
      <c r="H528" t="inlineStr">
        <is>
          <t>Y</t>
        </is>
      </c>
      <c r="I528">
        <f>HYPERLINK("https://admin.shopify.com/store/ge-beauty-cosmeticos/customers/7761977213248","abrir")</f>
        <v/>
      </c>
      <c r="J528">
        <f>HYPERLINK("https://www.gebeauty.com.br/products/primer-cachos-definidos?ref=review","review")</f>
        <v/>
      </c>
      <c r="K528" t="inlineStr">
        <is>
          <t>SEND</t>
        </is>
      </c>
    </row>
    <row r="529">
      <c r="A529" t="inlineStr">
        <is>
          <t>João</t>
        </is>
      </c>
      <c r="B529" t="inlineStr">
        <is>
          <t>+5511992364364</t>
        </is>
      </c>
      <c r="C529" t="inlineStr">
        <is>
          <t>Refill</t>
        </is>
      </c>
      <c r="D529" t="inlineStr">
        <is>
          <t>Primer Cachos</t>
        </is>
      </c>
      <c r="E529" t="n">
        <v>1</v>
      </c>
      <c r="F529" t="inlineStr">
        <is>
          <t>2025-11-20</t>
        </is>
      </c>
      <c r="G529" t="n">
        <v>226</v>
      </c>
      <c r="H529" t="inlineStr">
        <is>
          <t>Y</t>
        </is>
      </c>
      <c r="I529">
        <f>HYPERLINK("https://admin.shopify.com/store/ge-beauty-cosmeticos/customers/9884125495616","abrir")</f>
        <v/>
      </c>
      <c r="J529">
        <f>HYPERLINK("https://www.gebeauty.com.br/products/primer-cachos-definidos?ref=review","review")</f>
        <v/>
      </c>
      <c r="K529" t="inlineStr">
        <is>
          <t>SEND</t>
        </is>
      </c>
    </row>
    <row r="530">
      <c r="A530" t="inlineStr">
        <is>
          <t>Melina</t>
        </is>
      </c>
      <c r="B530" t="inlineStr">
        <is>
          <t>+5511954582724</t>
        </is>
      </c>
      <c r="C530" t="inlineStr">
        <is>
          <t>Refill</t>
        </is>
      </c>
      <c r="D530" t="inlineStr">
        <is>
          <t>Primer Cachos</t>
        </is>
      </c>
      <c r="E530" t="n">
        <v>1</v>
      </c>
      <c r="F530" t="inlineStr">
        <is>
          <t>2025-11-20</t>
        </is>
      </c>
      <c r="G530" t="n">
        <v>226</v>
      </c>
      <c r="H530" t="inlineStr">
        <is>
          <t>Y</t>
        </is>
      </c>
      <c r="I530">
        <f>HYPERLINK("https://admin.shopify.com/store/ge-beauty-cosmeticos/customers/7762148491584","abrir")</f>
        <v/>
      </c>
      <c r="J530">
        <f>HYPERLINK("https://www.gebeauty.com.br/products/primer-cachos-definidos?ref=review","review")</f>
        <v/>
      </c>
      <c r="K530" t="inlineStr">
        <is>
          <t>SEND</t>
        </is>
      </c>
    </row>
    <row r="531">
      <c r="A531" t="inlineStr">
        <is>
          <t>Mariana</t>
        </is>
      </c>
      <c r="B531" t="inlineStr">
        <is>
          <t>+5511992022000</t>
        </is>
      </c>
      <c r="C531" t="inlineStr">
        <is>
          <t>Refill</t>
        </is>
      </c>
      <c r="D531" t="inlineStr">
        <is>
          <t>Primer Cachos</t>
        </is>
      </c>
      <c r="E531" t="n">
        <v>1</v>
      </c>
      <c r="F531" t="inlineStr">
        <is>
          <t>2025-11-21</t>
        </is>
      </c>
      <c r="G531" t="n">
        <v>225</v>
      </c>
      <c r="H531" t="inlineStr">
        <is>
          <t>Y</t>
        </is>
      </c>
      <c r="I531">
        <f>HYPERLINK("https://admin.shopify.com/store/ge-beauty-cosmeticos/customers/9485555794240","abrir")</f>
        <v/>
      </c>
      <c r="J531">
        <f>HYPERLINK("https://www.gebeauty.com.br/products/primer-cachos-definidos?ref=review","review")</f>
        <v/>
      </c>
      <c r="K531" t="inlineStr">
        <is>
          <t>SEND</t>
        </is>
      </c>
    </row>
    <row r="532">
      <c r="A532" t="inlineStr">
        <is>
          <t>Carmen</t>
        </is>
      </c>
      <c r="B532" t="inlineStr">
        <is>
          <t>+5511998702224</t>
        </is>
      </c>
      <c r="C532" t="inlineStr">
        <is>
          <t>Refill</t>
        </is>
      </c>
      <c r="D532" t="inlineStr">
        <is>
          <t>Primer Cachos</t>
        </is>
      </c>
      <c r="E532" t="n">
        <v>1</v>
      </c>
      <c r="F532" t="inlineStr">
        <is>
          <t>2025-11-21</t>
        </is>
      </c>
      <c r="G532" t="n">
        <v>225</v>
      </c>
      <c r="H532" t="inlineStr">
        <is>
          <t>Y</t>
        </is>
      </c>
      <c r="I532">
        <f>HYPERLINK("https://admin.shopify.com/store/ge-beauty-cosmeticos/customers/8157395779904","abrir")</f>
        <v/>
      </c>
      <c r="J532">
        <f>HYPERLINK("https://www.gebeauty.com.br/products/primer-cachos-definidos?ref=review","review")</f>
        <v/>
      </c>
      <c r="K532" t="inlineStr">
        <is>
          <t>SEND</t>
        </is>
      </c>
    </row>
    <row r="533">
      <c r="A533" t="inlineStr">
        <is>
          <t>Bruna</t>
        </is>
      </c>
      <c r="B533" t="inlineStr">
        <is>
          <t>+5511988309091</t>
        </is>
      </c>
      <c r="C533" t="inlineStr">
        <is>
          <t>Refill</t>
        </is>
      </c>
      <c r="D533" t="inlineStr">
        <is>
          <t>Primer Cachos</t>
        </is>
      </c>
      <c r="E533" t="n">
        <v>1</v>
      </c>
      <c r="F533" t="inlineStr">
        <is>
          <t>2025-11-21</t>
        </is>
      </c>
      <c r="G533" t="n">
        <v>225</v>
      </c>
      <c r="H533" t="inlineStr">
        <is>
          <t>Y</t>
        </is>
      </c>
      <c r="I533">
        <f>HYPERLINK("https://admin.shopify.com/store/ge-beauty-cosmeticos/customers/9485102055744","abrir")</f>
        <v/>
      </c>
      <c r="J533">
        <f>HYPERLINK("https://www.gebeauty.com.br/products/primer-cachos-definidos?ref=review","review")</f>
        <v/>
      </c>
      <c r="K533" t="inlineStr">
        <is>
          <t>SEND</t>
        </is>
      </c>
    </row>
    <row r="534">
      <c r="A534" t="inlineStr">
        <is>
          <t>Ligia</t>
        </is>
      </c>
      <c r="B534" t="inlineStr">
        <is>
          <t>+5511997489839</t>
        </is>
      </c>
      <c r="C534" t="inlineStr">
        <is>
          <t>Refill</t>
        </is>
      </c>
      <c r="D534" t="inlineStr">
        <is>
          <t>Primer Cachos</t>
        </is>
      </c>
      <c r="E534" t="n">
        <v>1</v>
      </c>
      <c r="F534" t="inlineStr">
        <is>
          <t>2025-11-21</t>
        </is>
      </c>
      <c r="G534" t="n">
        <v>225</v>
      </c>
      <c r="H534" t="inlineStr">
        <is>
          <t>Y</t>
        </is>
      </c>
      <c r="I534">
        <f>HYPERLINK("https://admin.shopify.com/store/ge-beauty-cosmeticos/customers/9886095180096","abrir")</f>
        <v/>
      </c>
      <c r="J534">
        <f>HYPERLINK("https://www.gebeauty.com.br/products/primer-cachos-definidos?ref=review","review")</f>
        <v/>
      </c>
      <c r="K534" t="inlineStr">
        <is>
          <t>SEND</t>
        </is>
      </c>
    </row>
    <row r="535">
      <c r="A535" t="inlineStr">
        <is>
          <t>Carolina</t>
        </is>
      </c>
      <c r="B535" t="inlineStr">
        <is>
          <t>+5571992570277</t>
        </is>
      </c>
      <c r="C535" t="inlineStr">
        <is>
          <t>Refill</t>
        </is>
      </c>
      <c r="D535" t="inlineStr">
        <is>
          <t>Primer Cachos</t>
        </is>
      </c>
      <c r="E535" t="n">
        <v>1</v>
      </c>
      <c r="F535" t="inlineStr">
        <is>
          <t>2025-11-21</t>
        </is>
      </c>
      <c r="G535" t="n">
        <v>225</v>
      </c>
      <c r="H535" t="inlineStr">
        <is>
          <t>Y</t>
        </is>
      </c>
      <c r="I535">
        <f>HYPERLINK("https://admin.shopify.com/store/ge-beauty-cosmeticos/customers/8959773901120","abrir")</f>
        <v/>
      </c>
      <c r="J535">
        <f>HYPERLINK("https://www.gebeauty.com.br/products/primer-cachos-definidos?ref=review","review")</f>
        <v/>
      </c>
      <c r="K535" t="inlineStr">
        <is>
          <t>SEND</t>
        </is>
      </c>
    </row>
    <row r="536">
      <c r="A536" t="inlineStr">
        <is>
          <t>Brida</t>
        </is>
      </c>
      <c r="B536" t="inlineStr">
        <is>
          <t>+5527998021232</t>
        </is>
      </c>
      <c r="C536" t="inlineStr">
        <is>
          <t>Refill</t>
        </is>
      </c>
      <c r="D536" t="inlineStr">
        <is>
          <t>Primer Cachos</t>
        </is>
      </c>
      <c r="E536" t="n">
        <v>1</v>
      </c>
      <c r="F536" t="inlineStr">
        <is>
          <t>2025-11-21</t>
        </is>
      </c>
      <c r="G536" t="n">
        <v>225</v>
      </c>
      <c r="H536" t="inlineStr">
        <is>
          <t>Y</t>
        </is>
      </c>
      <c r="I536">
        <f>HYPERLINK("https://admin.shopify.com/store/ge-beauty-cosmeticos/customers/9886834360640","abrir")</f>
        <v/>
      </c>
      <c r="J536">
        <f>HYPERLINK("https://www.gebeauty.com.br/products/primer-cachos-definidos?ref=review","review")</f>
        <v/>
      </c>
      <c r="K536" t="inlineStr">
        <is>
          <t>SEND</t>
        </is>
      </c>
    </row>
    <row r="537">
      <c r="A537" t="inlineStr">
        <is>
          <t>Luciana</t>
        </is>
      </c>
      <c r="B537" t="inlineStr">
        <is>
          <t>+5571996102510</t>
        </is>
      </c>
      <c r="C537" t="inlineStr">
        <is>
          <t>Refill</t>
        </is>
      </c>
      <c r="D537" t="inlineStr">
        <is>
          <t>Primer Cachos</t>
        </is>
      </c>
      <c r="E537" t="n">
        <v>1</v>
      </c>
      <c r="F537" t="inlineStr">
        <is>
          <t>2025-11-21</t>
        </is>
      </c>
      <c r="G537" t="n">
        <v>225</v>
      </c>
      <c r="H537" t="inlineStr">
        <is>
          <t>Y</t>
        </is>
      </c>
      <c r="I537">
        <f>HYPERLINK("https://admin.shopify.com/store/ge-beauty-cosmeticos/customers/9886848549184","abrir")</f>
        <v/>
      </c>
      <c r="J537">
        <f>HYPERLINK("https://www.gebeauty.com.br/products/primer-cachos-definidos?ref=review","review")</f>
        <v/>
      </c>
      <c r="K537" t="inlineStr">
        <is>
          <t>SEND</t>
        </is>
      </c>
    </row>
    <row r="538">
      <c r="A538" t="inlineStr">
        <is>
          <t>Viviane</t>
        </is>
      </c>
      <c r="B538" t="inlineStr">
        <is>
          <t>+5511986090699</t>
        </is>
      </c>
      <c r="C538" t="inlineStr">
        <is>
          <t>Refill</t>
        </is>
      </c>
      <c r="D538" t="inlineStr">
        <is>
          <t>Primer Cachos</t>
        </is>
      </c>
      <c r="E538" t="n">
        <v>1</v>
      </c>
      <c r="F538" t="inlineStr">
        <is>
          <t>2025-11-21</t>
        </is>
      </c>
      <c r="G538" t="n">
        <v>225</v>
      </c>
      <c r="H538" t="inlineStr">
        <is>
          <t>Y</t>
        </is>
      </c>
      <c r="I538">
        <f>HYPERLINK("https://admin.shopify.com/store/ge-beauty-cosmeticos/customers/9887658639680","abrir")</f>
        <v/>
      </c>
      <c r="J538">
        <f>HYPERLINK("https://www.gebeauty.com.br/products/primer-cachos-definidos?ref=review","review")</f>
        <v/>
      </c>
      <c r="K538" t="inlineStr">
        <is>
          <t>SEND</t>
        </is>
      </c>
    </row>
    <row r="539">
      <c r="A539" t="inlineStr">
        <is>
          <t>Luciana</t>
        </is>
      </c>
      <c r="B539" t="inlineStr">
        <is>
          <t>+5582994313237</t>
        </is>
      </c>
      <c r="C539" t="inlineStr">
        <is>
          <t>Refill</t>
        </is>
      </c>
      <c r="D539" t="inlineStr">
        <is>
          <t>Primer Cachos</t>
        </is>
      </c>
      <c r="E539" t="n">
        <v>1</v>
      </c>
      <c r="F539" t="inlineStr">
        <is>
          <t>2025-11-22</t>
        </is>
      </c>
      <c r="G539" t="n">
        <v>224</v>
      </c>
      <c r="H539" t="inlineStr">
        <is>
          <t>Y</t>
        </is>
      </c>
      <c r="I539">
        <f>HYPERLINK("https://admin.shopify.com/store/ge-beauty-cosmeticos/customers/9887890768192","abrir")</f>
        <v/>
      </c>
      <c r="J539">
        <f>HYPERLINK("https://www.gebeauty.com.br/products/primer-cachos-definidos?ref=review","review")</f>
        <v/>
      </c>
      <c r="K539" t="inlineStr">
        <is>
          <t>SEND</t>
        </is>
      </c>
    </row>
    <row r="540">
      <c r="A540" t="inlineStr">
        <is>
          <t>Katarina</t>
        </is>
      </c>
      <c r="B540" t="inlineStr">
        <is>
          <t>+5581999245529</t>
        </is>
      </c>
      <c r="C540" t="inlineStr">
        <is>
          <t>Refill</t>
        </is>
      </c>
      <c r="D540" t="inlineStr">
        <is>
          <t>Primer Cachos</t>
        </is>
      </c>
      <c r="E540" t="n">
        <v>1</v>
      </c>
      <c r="F540" t="inlineStr">
        <is>
          <t>2025-11-22</t>
        </is>
      </c>
      <c r="G540" t="n">
        <v>224</v>
      </c>
      <c r="H540" t="inlineStr">
        <is>
          <t>Y</t>
        </is>
      </c>
      <c r="I540">
        <f>HYPERLINK("https://admin.shopify.com/store/ge-beauty-cosmeticos/customers/9888218579264","abrir")</f>
        <v/>
      </c>
      <c r="J540">
        <f>HYPERLINK("https://www.gebeauty.com.br/products/primer-cachos-definidos?ref=review","review")</f>
        <v/>
      </c>
      <c r="K540" t="inlineStr">
        <is>
          <t>SEND</t>
        </is>
      </c>
    </row>
    <row r="541">
      <c r="A541" t="inlineStr">
        <is>
          <t>Sarah</t>
        </is>
      </c>
      <c r="B541" t="inlineStr">
        <is>
          <t>+5511952067578</t>
        </is>
      </c>
      <c r="C541" t="inlineStr">
        <is>
          <t>Refill</t>
        </is>
      </c>
      <c r="D541" t="inlineStr">
        <is>
          <t>Primer Cachos</t>
        </is>
      </c>
      <c r="E541" t="n">
        <v>1</v>
      </c>
      <c r="F541" t="inlineStr">
        <is>
          <t>2025-11-22</t>
        </is>
      </c>
      <c r="G541" t="n">
        <v>224</v>
      </c>
      <c r="H541" t="inlineStr">
        <is>
          <t>Y</t>
        </is>
      </c>
      <c r="I541">
        <f>HYPERLINK("https://admin.shopify.com/store/ge-beauty-cosmeticos/customers/7762035573056","abrir")</f>
        <v/>
      </c>
      <c r="J541">
        <f>HYPERLINK("https://www.gebeauty.com.br/products/primer-cachos-definidos?ref=review","review")</f>
        <v/>
      </c>
      <c r="K541" t="inlineStr">
        <is>
          <t>SEND</t>
        </is>
      </c>
    </row>
    <row r="542">
      <c r="A542" t="inlineStr">
        <is>
          <t>Paula</t>
        </is>
      </c>
      <c r="B542" t="inlineStr">
        <is>
          <t>+5511983141936</t>
        </is>
      </c>
      <c r="C542" t="inlineStr">
        <is>
          <t>Refill</t>
        </is>
      </c>
      <c r="D542" t="inlineStr">
        <is>
          <t>Primer Cachos</t>
        </is>
      </c>
      <c r="E542" t="n">
        <v>1</v>
      </c>
      <c r="F542" t="inlineStr">
        <is>
          <t>2025-11-22</t>
        </is>
      </c>
      <c r="G542" t="n">
        <v>224</v>
      </c>
      <c r="H542" t="inlineStr">
        <is>
          <t>N</t>
        </is>
      </c>
      <c r="I542">
        <f>HYPERLINK("https://admin.shopify.com/store/ge-beauty-cosmeticos/customers/9538731868480","abrir")</f>
        <v/>
      </c>
      <c r="J542">
        <f>HYPERLINK("https://www.gebeauty.com.br/products/primer-cachos-definidos?ref=review","review")</f>
        <v/>
      </c>
      <c r="K542" t="inlineStr">
        <is>
          <t>SEND</t>
        </is>
      </c>
    </row>
    <row r="543">
      <c r="A543" t="inlineStr">
        <is>
          <t>Sulla</t>
        </is>
      </c>
      <c r="B543" t="inlineStr">
        <is>
          <t>+5511996357097</t>
        </is>
      </c>
      <c r="C543" t="inlineStr">
        <is>
          <t>Refill</t>
        </is>
      </c>
      <c r="D543" t="inlineStr">
        <is>
          <t>Primer Cachos</t>
        </is>
      </c>
      <c r="E543" t="n">
        <v>1</v>
      </c>
      <c r="F543" t="inlineStr">
        <is>
          <t>2025-11-22</t>
        </is>
      </c>
      <c r="G543" t="n">
        <v>224</v>
      </c>
      <c r="H543" t="inlineStr">
        <is>
          <t>Y</t>
        </is>
      </c>
      <c r="I543">
        <f>HYPERLINK("https://admin.shopify.com/store/ge-beauty-cosmeticos/customers/9889552171328","abrir")</f>
        <v/>
      </c>
      <c r="J543">
        <f>HYPERLINK("https://www.gebeauty.com.br/products/primer-cachos-definidos?ref=review","review")</f>
        <v/>
      </c>
      <c r="K543" t="inlineStr">
        <is>
          <t>SEND</t>
        </is>
      </c>
    </row>
    <row r="544">
      <c r="A544" t="inlineStr">
        <is>
          <t>Maria</t>
        </is>
      </c>
      <c r="B544" t="inlineStr">
        <is>
          <t>+5515981115050</t>
        </is>
      </c>
      <c r="C544" t="inlineStr">
        <is>
          <t>Refill</t>
        </is>
      </c>
      <c r="D544" t="inlineStr">
        <is>
          <t>Primer Cachos</t>
        </is>
      </c>
      <c r="E544" t="n">
        <v>1</v>
      </c>
      <c r="F544" t="inlineStr">
        <is>
          <t>2025-11-22</t>
        </is>
      </c>
      <c r="G544" t="n">
        <v>224</v>
      </c>
      <c r="H544" t="inlineStr">
        <is>
          <t>Y</t>
        </is>
      </c>
      <c r="I544">
        <f>HYPERLINK("https://admin.shopify.com/store/ge-beauty-cosmeticos/customers/9890158018880","abrir")</f>
        <v/>
      </c>
      <c r="J544">
        <f>HYPERLINK("https://www.gebeauty.com.br/products/primer-cachos-definidos?ref=review","review")</f>
        <v/>
      </c>
      <c r="K544" t="inlineStr">
        <is>
          <t>SEND</t>
        </is>
      </c>
    </row>
    <row r="545">
      <c r="A545" t="inlineStr">
        <is>
          <t>Rebeca</t>
        </is>
      </c>
      <c r="B545" t="inlineStr">
        <is>
          <t>+5581999876765</t>
        </is>
      </c>
      <c r="C545" t="inlineStr">
        <is>
          <t>Refill</t>
        </is>
      </c>
      <c r="D545" t="inlineStr">
        <is>
          <t>Primer Cachos</t>
        </is>
      </c>
      <c r="E545" t="n">
        <v>1</v>
      </c>
      <c r="F545" t="inlineStr">
        <is>
          <t>2025-11-22</t>
        </is>
      </c>
      <c r="G545" t="n">
        <v>224</v>
      </c>
      <c r="H545" t="inlineStr">
        <is>
          <t>Y</t>
        </is>
      </c>
      <c r="I545">
        <f>HYPERLINK("https://admin.shopify.com/store/ge-beauty-cosmeticos/customers/7761076420928","abrir")</f>
        <v/>
      </c>
      <c r="J545">
        <f>HYPERLINK("https://www.gebeauty.com.br/products/primer-cachos-definidos?ref=review","review")</f>
        <v/>
      </c>
      <c r="K545" t="inlineStr">
        <is>
          <t>SEND</t>
        </is>
      </c>
    </row>
    <row r="546">
      <c r="A546" t="inlineStr">
        <is>
          <t>Marcela</t>
        </is>
      </c>
      <c r="B546" t="inlineStr">
        <is>
          <t>+5511975700190</t>
        </is>
      </c>
      <c r="C546" t="inlineStr">
        <is>
          <t>Refill</t>
        </is>
      </c>
      <c r="D546" t="inlineStr">
        <is>
          <t>Primer Cachos</t>
        </is>
      </c>
      <c r="E546" t="n">
        <v>1</v>
      </c>
      <c r="F546" t="inlineStr">
        <is>
          <t>2025-11-22</t>
        </is>
      </c>
      <c r="G546" t="n">
        <v>224</v>
      </c>
      <c r="H546" t="inlineStr">
        <is>
          <t>Y</t>
        </is>
      </c>
      <c r="I546">
        <f>HYPERLINK("https://admin.shopify.com/store/ge-beauty-cosmeticos/customers/9890687648064","abrir")</f>
        <v/>
      </c>
      <c r="J546">
        <f>HYPERLINK("https://www.gebeauty.com.br/products/primer-cachos-definidos?ref=review","review")</f>
        <v/>
      </c>
      <c r="K546" t="inlineStr">
        <is>
          <t>SEND</t>
        </is>
      </c>
    </row>
    <row r="547">
      <c r="A547" t="inlineStr">
        <is>
          <t>Ana</t>
        </is>
      </c>
      <c r="B547" t="inlineStr">
        <is>
          <t>+5511981371907</t>
        </is>
      </c>
      <c r="C547" t="inlineStr">
        <is>
          <t>Refill</t>
        </is>
      </c>
      <c r="D547" t="inlineStr">
        <is>
          <t>Primer Cachos</t>
        </is>
      </c>
      <c r="E547" t="n">
        <v>1</v>
      </c>
      <c r="F547" t="inlineStr">
        <is>
          <t>2025-11-23</t>
        </is>
      </c>
      <c r="G547" t="n">
        <v>223</v>
      </c>
      <c r="H547" t="inlineStr">
        <is>
          <t>Y</t>
        </is>
      </c>
      <c r="I547">
        <f>HYPERLINK("https://admin.shopify.com/store/ge-beauty-cosmeticos/customers/8373603139904","abrir")</f>
        <v/>
      </c>
      <c r="J547">
        <f>HYPERLINK("https://www.gebeauty.com.br/products/primer-cachos-definidos?ref=review","review")</f>
        <v/>
      </c>
      <c r="K547" t="inlineStr">
        <is>
          <t>SEND</t>
        </is>
      </c>
    </row>
    <row r="548">
      <c r="A548" t="inlineStr">
        <is>
          <t>Jessica</t>
        </is>
      </c>
      <c r="B548" t="inlineStr">
        <is>
          <t>+5522997722927</t>
        </is>
      </c>
      <c r="C548" t="inlineStr">
        <is>
          <t>Refill</t>
        </is>
      </c>
      <c r="D548" t="inlineStr">
        <is>
          <t>Primer Cachos</t>
        </is>
      </c>
      <c r="E548" t="n">
        <v>1</v>
      </c>
      <c r="F548" t="inlineStr">
        <is>
          <t>2025-11-23</t>
        </is>
      </c>
      <c r="G548" t="n">
        <v>223</v>
      </c>
      <c r="H548" t="inlineStr">
        <is>
          <t>Y</t>
        </is>
      </c>
      <c r="I548">
        <f>HYPERLINK("https://admin.shopify.com/store/ge-beauty-cosmeticos/customers/9813935325504","abrir")</f>
        <v/>
      </c>
      <c r="J548">
        <f>HYPERLINK("https://www.gebeauty.com.br/products/primer-cachos-definidos?ref=review","review")</f>
        <v/>
      </c>
      <c r="K548" t="inlineStr">
        <is>
          <t>SEND</t>
        </is>
      </c>
    </row>
    <row r="549">
      <c r="A549" t="inlineStr">
        <is>
          <t>Ayhanna</t>
        </is>
      </c>
      <c r="B549" t="inlineStr">
        <is>
          <t>+5512981240414</t>
        </is>
      </c>
      <c r="C549" t="inlineStr">
        <is>
          <t>Refill</t>
        </is>
      </c>
      <c r="D549" t="inlineStr">
        <is>
          <t>Primer Cachos</t>
        </is>
      </c>
      <c r="E549" t="n">
        <v>1</v>
      </c>
      <c r="F549" t="inlineStr">
        <is>
          <t>2025-11-23</t>
        </is>
      </c>
      <c r="G549" t="n">
        <v>223</v>
      </c>
      <c r="H549" t="inlineStr">
        <is>
          <t>Y</t>
        </is>
      </c>
      <c r="I549">
        <f>HYPERLINK("https://admin.shopify.com/store/ge-beauty-cosmeticos/customers/9890867577152","abrir")</f>
        <v/>
      </c>
      <c r="J549">
        <f>HYPERLINK("https://www.gebeauty.com.br/products/primer-cachos-definidos?ref=review","review")</f>
        <v/>
      </c>
      <c r="K549" t="inlineStr">
        <is>
          <t>SEND</t>
        </is>
      </c>
    </row>
    <row r="550">
      <c r="A550" t="inlineStr">
        <is>
          <t>Liv</t>
        </is>
      </c>
      <c r="B550" t="inlineStr">
        <is>
          <t>+5585981701596</t>
        </is>
      </c>
      <c r="C550" t="inlineStr">
        <is>
          <t>Refill</t>
        </is>
      </c>
      <c r="D550" t="inlineStr">
        <is>
          <t>Primer Cachos</t>
        </is>
      </c>
      <c r="E550" t="n">
        <v>1</v>
      </c>
      <c r="F550" t="inlineStr">
        <is>
          <t>2025-11-23</t>
        </is>
      </c>
      <c r="G550" t="n">
        <v>223</v>
      </c>
      <c r="H550" t="inlineStr">
        <is>
          <t>Y</t>
        </is>
      </c>
      <c r="I550">
        <f>HYPERLINK("https://admin.shopify.com/store/ge-beauty-cosmeticos/customers/9484410880320","abrir")</f>
        <v/>
      </c>
      <c r="J550">
        <f>HYPERLINK("https://www.gebeauty.com.br/products/primer-cachos-definidos?ref=review","review")</f>
        <v/>
      </c>
      <c r="K550" t="inlineStr">
        <is>
          <t>SEND</t>
        </is>
      </c>
    </row>
    <row r="551">
      <c r="A551" t="inlineStr">
        <is>
          <t>Laura</t>
        </is>
      </c>
      <c r="B551" t="inlineStr">
        <is>
          <t>+5551999768385</t>
        </is>
      </c>
      <c r="C551" t="inlineStr">
        <is>
          <t>Refill</t>
        </is>
      </c>
      <c r="D551" t="inlineStr">
        <is>
          <t>Primer Cachos</t>
        </is>
      </c>
      <c r="E551" t="n">
        <v>1</v>
      </c>
      <c r="F551" t="inlineStr">
        <is>
          <t>2025-11-23</t>
        </is>
      </c>
      <c r="G551" t="n">
        <v>223</v>
      </c>
      <c r="H551" t="inlineStr">
        <is>
          <t>Y</t>
        </is>
      </c>
      <c r="I551">
        <f>HYPERLINK("https://admin.shopify.com/store/ge-beauty-cosmeticos/customers/8724112900416","abrir")</f>
        <v/>
      </c>
      <c r="J551">
        <f>HYPERLINK("https://www.gebeauty.com.br/products/primer-cachos-definidos?ref=review","review")</f>
        <v/>
      </c>
      <c r="K551" t="inlineStr">
        <is>
          <t>HOLDOUT</t>
        </is>
      </c>
    </row>
    <row r="552">
      <c r="A552" t="inlineStr">
        <is>
          <t>Tamara</t>
        </is>
      </c>
      <c r="B552" t="inlineStr">
        <is>
          <t>+5531983282626</t>
        </is>
      </c>
      <c r="C552" t="inlineStr">
        <is>
          <t>Refill</t>
        </is>
      </c>
      <c r="D552" t="inlineStr">
        <is>
          <t>Primer Cachos</t>
        </is>
      </c>
      <c r="E552" t="n">
        <v>1</v>
      </c>
      <c r="F552" t="inlineStr">
        <is>
          <t>2025-11-23</t>
        </is>
      </c>
      <c r="G552" t="n">
        <v>223</v>
      </c>
      <c r="H552" t="inlineStr">
        <is>
          <t>Y</t>
        </is>
      </c>
      <c r="I552">
        <f>HYPERLINK("https://admin.shopify.com/store/ge-beauty-cosmeticos/customers/7762333270336","abrir")</f>
        <v/>
      </c>
      <c r="J552">
        <f>HYPERLINK("https://www.gebeauty.com.br/products/primer-cachos-definidos?ref=review","review")</f>
        <v/>
      </c>
      <c r="K552" t="inlineStr">
        <is>
          <t>SEND</t>
        </is>
      </c>
    </row>
    <row r="553">
      <c r="A553" t="inlineStr">
        <is>
          <t>Fernanda</t>
        </is>
      </c>
      <c r="B553" t="inlineStr">
        <is>
          <t>+5511972129220</t>
        </is>
      </c>
      <c r="C553" t="inlineStr">
        <is>
          <t>Refill</t>
        </is>
      </c>
      <c r="D553" t="inlineStr">
        <is>
          <t>Primer Cachos</t>
        </is>
      </c>
      <c r="E553" t="n">
        <v>1</v>
      </c>
      <c r="F553" t="inlineStr">
        <is>
          <t>2025-11-23</t>
        </is>
      </c>
      <c r="G553" t="n">
        <v>223</v>
      </c>
      <c r="H553" t="inlineStr">
        <is>
          <t>Y</t>
        </is>
      </c>
      <c r="I553">
        <f>HYPERLINK("https://admin.shopify.com/store/ge-beauty-cosmeticos/customers/8521945022784","abrir")</f>
        <v/>
      </c>
      <c r="J553">
        <f>HYPERLINK("https://www.gebeauty.com.br/products/primer-cachos-definidos?ref=review","review")</f>
        <v/>
      </c>
      <c r="K553" t="inlineStr">
        <is>
          <t>HOLDOUT</t>
        </is>
      </c>
    </row>
    <row r="554">
      <c r="A554" t="inlineStr">
        <is>
          <t>Kelly</t>
        </is>
      </c>
      <c r="B554" t="inlineStr">
        <is>
          <t>+5565999671500</t>
        </is>
      </c>
      <c r="C554" t="inlineStr">
        <is>
          <t>Refill</t>
        </is>
      </c>
      <c r="D554" t="inlineStr">
        <is>
          <t>Primer Cachos</t>
        </is>
      </c>
      <c r="E554" t="n">
        <v>1</v>
      </c>
      <c r="F554" t="inlineStr">
        <is>
          <t>2025-11-23</t>
        </is>
      </c>
      <c r="G554" t="n">
        <v>223</v>
      </c>
      <c r="H554" t="inlineStr">
        <is>
          <t>Y</t>
        </is>
      </c>
      <c r="I554">
        <f>HYPERLINK("https://admin.shopify.com/store/ge-beauty-cosmeticos/customers/9633061699904","abrir")</f>
        <v/>
      </c>
      <c r="J554">
        <f>HYPERLINK("https://www.gebeauty.com.br/products/primer-cachos-definidos?ref=review","review")</f>
        <v/>
      </c>
      <c r="K554" t="inlineStr">
        <is>
          <t>SEND</t>
        </is>
      </c>
    </row>
    <row r="555">
      <c r="A555" t="inlineStr">
        <is>
          <t>Heloisa</t>
        </is>
      </c>
      <c r="B555" t="inlineStr">
        <is>
          <t>+5511998542401</t>
        </is>
      </c>
      <c r="C555" t="inlineStr">
        <is>
          <t>Refill</t>
        </is>
      </c>
      <c r="D555" t="inlineStr">
        <is>
          <t>Primer Cachos</t>
        </is>
      </c>
      <c r="E555" t="n">
        <v>1</v>
      </c>
      <c r="F555" t="inlineStr">
        <is>
          <t>2025-11-23</t>
        </is>
      </c>
      <c r="G555" t="n">
        <v>223</v>
      </c>
      <c r="H555" t="inlineStr">
        <is>
          <t>Y</t>
        </is>
      </c>
      <c r="I555">
        <f>HYPERLINK("https://admin.shopify.com/store/ge-beauty-cosmeticos/customers/9485560545600","abrir")</f>
        <v/>
      </c>
      <c r="J555">
        <f>HYPERLINK("https://www.gebeauty.com.br/products/primer-cachos-definidos?ref=review","review")</f>
        <v/>
      </c>
      <c r="K555" t="inlineStr">
        <is>
          <t>SEND</t>
        </is>
      </c>
    </row>
    <row r="556">
      <c r="A556" t="inlineStr">
        <is>
          <t>Joana</t>
        </is>
      </c>
      <c r="B556" t="inlineStr">
        <is>
          <t>+5585988717706</t>
        </is>
      </c>
      <c r="C556" t="inlineStr">
        <is>
          <t>Refill</t>
        </is>
      </c>
      <c r="D556" t="inlineStr">
        <is>
          <t>Primer Cachos</t>
        </is>
      </c>
      <c r="E556" t="n">
        <v>1</v>
      </c>
      <c r="F556" t="inlineStr">
        <is>
          <t>2025-11-23</t>
        </is>
      </c>
      <c r="G556" t="n">
        <v>223</v>
      </c>
      <c r="H556" t="inlineStr">
        <is>
          <t>Y</t>
        </is>
      </c>
      <c r="I556">
        <f>HYPERLINK("https://admin.shopify.com/store/ge-beauty-cosmeticos/customers/7760444227904","abrir")</f>
        <v/>
      </c>
      <c r="J556">
        <f>HYPERLINK("https://www.gebeauty.com.br/products/primer-cachos-definidos?ref=review","review")</f>
        <v/>
      </c>
      <c r="K556" t="inlineStr">
        <is>
          <t>SEND</t>
        </is>
      </c>
    </row>
    <row r="557">
      <c r="A557" t="inlineStr">
        <is>
          <t>Renato</t>
        </is>
      </c>
      <c r="B557" t="inlineStr">
        <is>
          <t>+5531993920053</t>
        </is>
      </c>
      <c r="C557" t="inlineStr">
        <is>
          <t>Refill</t>
        </is>
      </c>
      <c r="D557" t="inlineStr">
        <is>
          <t>Primer Cachos</t>
        </is>
      </c>
      <c r="E557" t="n">
        <v>1</v>
      </c>
      <c r="F557" t="inlineStr">
        <is>
          <t>2025-11-23</t>
        </is>
      </c>
      <c r="G557" t="n">
        <v>223</v>
      </c>
      <c r="H557" t="inlineStr">
        <is>
          <t>Y</t>
        </is>
      </c>
      <c r="I557">
        <f>HYPERLINK("https://admin.shopify.com/store/ge-beauty-cosmeticos/customers/7762482430272","abrir")</f>
        <v/>
      </c>
      <c r="J557">
        <f>HYPERLINK("https://www.gebeauty.com.br/products/primer-cachos-definidos?ref=review","review")</f>
        <v/>
      </c>
      <c r="K557" t="inlineStr">
        <is>
          <t>SEND</t>
        </is>
      </c>
    </row>
    <row r="558">
      <c r="A558" t="inlineStr">
        <is>
          <t>Marina</t>
        </is>
      </c>
      <c r="B558" t="inlineStr">
        <is>
          <t>+5511989613462</t>
        </is>
      </c>
      <c r="C558" t="inlineStr">
        <is>
          <t>Refill</t>
        </is>
      </c>
      <c r="D558" t="inlineStr">
        <is>
          <t>Primer Cachos</t>
        </is>
      </c>
      <c r="E558" t="n">
        <v>1</v>
      </c>
      <c r="F558" t="inlineStr">
        <is>
          <t>2025-11-23</t>
        </is>
      </c>
      <c r="G558" t="n">
        <v>223</v>
      </c>
      <c r="H558" t="inlineStr">
        <is>
          <t>Y</t>
        </is>
      </c>
      <c r="I558">
        <f>HYPERLINK("https://admin.shopify.com/store/ge-beauty-cosmeticos/customers/9155682369856","abrir")</f>
        <v/>
      </c>
      <c r="J558">
        <f>HYPERLINK("https://www.gebeauty.com.br/products/primer-cachos-definidos?ref=review","review")</f>
        <v/>
      </c>
      <c r="K558" t="inlineStr">
        <is>
          <t>SEND</t>
        </is>
      </c>
    </row>
    <row r="559">
      <c r="A559" t="inlineStr">
        <is>
          <t>Lucas</t>
        </is>
      </c>
      <c r="B559" t="inlineStr">
        <is>
          <t>+5566999173627</t>
        </is>
      </c>
      <c r="C559" t="inlineStr">
        <is>
          <t>Refill</t>
        </is>
      </c>
      <c r="D559" t="inlineStr">
        <is>
          <t>Primer Cachos</t>
        </is>
      </c>
      <c r="E559" t="n">
        <v>1</v>
      </c>
      <c r="F559" t="inlineStr">
        <is>
          <t>2025-11-23</t>
        </is>
      </c>
      <c r="G559" t="n">
        <v>223</v>
      </c>
      <c r="H559" t="inlineStr">
        <is>
          <t>Y</t>
        </is>
      </c>
      <c r="I559">
        <f>HYPERLINK("https://admin.shopify.com/store/ge-beauty-cosmeticos/customers/9893206982976","abrir")</f>
        <v/>
      </c>
      <c r="J559">
        <f>HYPERLINK("https://www.gebeauty.com.br/products/primer-cachos-definidos?ref=review","review")</f>
        <v/>
      </c>
      <c r="K559" t="inlineStr">
        <is>
          <t>SEND</t>
        </is>
      </c>
    </row>
    <row r="560">
      <c r="A560" t="inlineStr">
        <is>
          <t>Aline</t>
        </is>
      </c>
      <c r="B560" t="inlineStr">
        <is>
          <t>+5511996135814</t>
        </is>
      </c>
      <c r="C560" t="inlineStr">
        <is>
          <t>Refill</t>
        </is>
      </c>
      <c r="D560" t="inlineStr">
        <is>
          <t>Primer Cachos</t>
        </is>
      </c>
      <c r="E560" t="n">
        <v>1</v>
      </c>
      <c r="F560" t="inlineStr">
        <is>
          <t>2025-11-23</t>
        </is>
      </c>
      <c r="G560" t="n">
        <v>223</v>
      </c>
      <c r="H560" t="inlineStr">
        <is>
          <t>Y</t>
        </is>
      </c>
      <c r="I560">
        <f>HYPERLINK("https://admin.shopify.com/store/ge-beauty-cosmeticos/customers/9893236801856","abrir")</f>
        <v/>
      </c>
      <c r="J560">
        <f>HYPERLINK("https://www.gebeauty.com.br/products/primer-cachos-definidos?ref=review","review")</f>
        <v/>
      </c>
      <c r="K560" t="inlineStr">
        <is>
          <t>SEND</t>
        </is>
      </c>
    </row>
    <row r="561">
      <c r="A561" t="inlineStr">
        <is>
          <t>Natalia</t>
        </is>
      </c>
      <c r="B561" t="inlineStr">
        <is>
          <t>+5551991191906</t>
        </is>
      </c>
      <c r="C561" t="inlineStr">
        <is>
          <t>Refill</t>
        </is>
      </c>
      <c r="D561" t="inlineStr">
        <is>
          <t>Primer Cachos</t>
        </is>
      </c>
      <c r="E561" t="n">
        <v>1</v>
      </c>
      <c r="F561" t="inlineStr">
        <is>
          <t>2025-11-23</t>
        </is>
      </c>
      <c r="G561" t="n">
        <v>223</v>
      </c>
      <c r="H561" t="inlineStr">
        <is>
          <t>Y</t>
        </is>
      </c>
      <c r="I561">
        <f>HYPERLINK("https://admin.shopify.com/store/ge-beauty-cosmeticos/customers/9893346115904","abrir")</f>
        <v/>
      </c>
      <c r="J561">
        <f>HYPERLINK("https://www.gebeauty.com.br/products/primer-cachos-definidos?ref=review","review")</f>
        <v/>
      </c>
      <c r="K561" t="inlineStr">
        <is>
          <t>SEND</t>
        </is>
      </c>
    </row>
    <row r="562">
      <c r="A562" t="inlineStr">
        <is>
          <t>Yasmin</t>
        </is>
      </c>
      <c r="B562" t="inlineStr">
        <is>
          <t>+5511954595350</t>
        </is>
      </c>
      <c r="C562" t="inlineStr">
        <is>
          <t>Refill</t>
        </is>
      </c>
      <c r="D562" t="inlineStr">
        <is>
          <t>Primer Cachos</t>
        </is>
      </c>
      <c r="E562" t="n">
        <v>1</v>
      </c>
      <c r="F562" t="inlineStr">
        <is>
          <t>2025-11-23</t>
        </is>
      </c>
      <c r="G562" t="n">
        <v>223</v>
      </c>
      <c r="H562" t="inlineStr">
        <is>
          <t>Y</t>
        </is>
      </c>
      <c r="I562">
        <f>HYPERLINK("https://admin.shopify.com/store/ge-beauty-cosmeticos/customers/9486503969088","abrir")</f>
        <v/>
      </c>
      <c r="J562">
        <f>HYPERLINK("https://www.gebeauty.com.br/products/primer-cachos-definidos?ref=review","review")</f>
        <v/>
      </c>
      <c r="K562" t="inlineStr">
        <is>
          <t>SEND</t>
        </is>
      </c>
    </row>
    <row r="563">
      <c r="A563" t="inlineStr">
        <is>
          <t>Talita</t>
        </is>
      </c>
      <c r="B563" t="inlineStr">
        <is>
          <t>+5581981042494</t>
        </is>
      </c>
      <c r="C563" t="inlineStr">
        <is>
          <t>Refill</t>
        </is>
      </c>
      <c r="D563" t="inlineStr">
        <is>
          <t>Primer Cachos</t>
        </is>
      </c>
      <c r="E563" t="n">
        <v>1</v>
      </c>
      <c r="F563" t="inlineStr">
        <is>
          <t>2025-11-23</t>
        </is>
      </c>
      <c r="G563" t="n">
        <v>223</v>
      </c>
      <c r="H563" t="inlineStr">
        <is>
          <t>Y</t>
        </is>
      </c>
      <c r="I563">
        <f>HYPERLINK("https://admin.shopify.com/store/ge-beauty-cosmeticos/customers/9893508579648","abrir")</f>
        <v/>
      </c>
      <c r="J563">
        <f>HYPERLINK("https://www.gebeauty.com.br/products/primer-cachos-definidos?ref=review","review")</f>
        <v/>
      </c>
      <c r="K563" t="inlineStr">
        <is>
          <t>SEND</t>
        </is>
      </c>
    </row>
    <row r="564">
      <c r="A564" t="inlineStr">
        <is>
          <t>Ana Paula</t>
        </is>
      </c>
      <c r="B564" t="inlineStr">
        <is>
          <t>+5511998982214</t>
        </is>
      </c>
      <c r="C564" t="inlineStr">
        <is>
          <t>Refill</t>
        </is>
      </c>
      <c r="D564" t="inlineStr">
        <is>
          <t>Primer Cachos</t>
        </is>
      </c>
      <c r="E564" t="n">
        <v>1</v>
      </c>
      <c r="F564" t="inlineStr">
        <is>
          <t>2025-11-23</t>
        </is>
      </c>
      <c r="G564" t="n">
        <v>223</v>
      </c>
      <c r="H564" t="inlineStr">
        <is>
          <t>Y</t>
        </is>
      </c>
      <c r="I564">
        <f>HYPERLINK("https://admin.shopify.com/store/ge-beauty-cosmeticos/customers/9893660688704","abrir")</f>
        <v/>
      </c>
      <c r="J564">
        <f>HYPERLINK("https://www.gebeauty.com.br/products/primer-cachos-definidos?ref=review","review")</f>
        <v/>
      </c>
      <c r="K564" t="inlineStr">
        <is>
          <t>SEND</t>
        </is>
      </c>
    </row>
    <row r="565">
      <c r="A565" t="inlineStr">
        <is>
          <t>Caroline</t>
        </is>
      </c>
      <c r="B565" t="inlineStr">
        <is>
          <t>+5511954214749</t>
        </is>
      </c>
      <c r="C565" t="inlineStr">
        <is>
          <t>Refill</t>
        </is>
      </c>
      <c r="D565" t="inlineStr">
        <is>
          <t>Primer Cachos</t>
        </is>
      </c>
      <c r="E565" t="n">
        <v>1</v>
      </c>
      <c r="F565" t="inlineStr">
        <is>
          <t>2025-11-23</t>
        </is>
      </c>
      <c r="G565" t="n">
        <v>223</v>
      </c>
      <c r="H565" t="inlineStr">
        <is>
          <t>Y</t>
        </is>
      </c>
      <c r="I565">
        <f>HYPERLINK("https://admin.shopify.com/store/ge-beauty-cosmeticos/customers/9861347180864","abrir")</f>
        <v/>
      </c>
      <c r="J565">
        <f>HYPERLINK("https://www.gebeauty.com.br/products/primer-cachos-definidos?ref=review","review")</f>
        <v/>
      </c>
      <c r="K565" t="inlineStr">
        <is>
          <t>SEND</t>
        </is>
      </c>
    </row>
    <row r="566">
      <c r="A566" t="inlineStr">
        <is>
          <t>Mayara</t>
        </is>
      </c>
      <c r="B566" t="inlineStr">
        <is>
          <t>+5519997287641</t>
        </is>
      </c>
      <c r="C566" t="inlineStr">
        <is>
          <t>Refill</t>
        </is>
      </c>
      <c r="D566" t="inlineStr">
        <is>
          <t>Primer Cachos</t>
        </is>
      </c>
      <c r="E566" t="n">
        <v>1</v>
      </c>
      <c r="F566" t="inlineStr">
        <is>
          <t>2025-11-23</t>
        </is>
      </c>
      <c r="G566" t="n">
        <v>223</v>
      </c>
      <c r="H566" t="inlineStr">
        <is>
          <t>Y</t>
        </is>
      </c>
      <c r="I566">
        <f>HYPERLINK("https://admin.shopify.com/store/ge-beauty-cosmeticos/customers/9770246766912","abrir")</f>
        <v/>
      </c>
      <c r="J566">
        <f>HYPERLINK("https://www.gebeauty.com.br/products/primer-cachos-definidos?ref=review","review")</f>
        <v/>
      </c>
      <c r="K566" t="inlineStr">
        <is>
          <t>SEND</t>
        </is>
      </c>
    </row>
    <row r="567">
      <c r="A567" t="inlineStr">
        <is>
          <t>Lais</t>
        </is>
      </c>
      <c r="B567" t="inlineStr">
        <is>
          <t>+5511993709356</t>
        </is>
      </c>
      <c r="C567" t="inlineStr">
        <is>
          <t>Refill</t>
        </is>
      </c>
      <c r="D567" t="inlineStr">
        <is>
          <t>Primer Cachos</t>
        </is>
      </c>
      <c r="E567" t="n">
        <v>1</v>
      </c>
      <c r="F567" t="inlineStr">
        <is>
          <t>2025-11-24</t>
        </is>
      </c>
      <c r="G567" t="n">
        <v>222</v>
      </c>
      <c r="H567" t="inlineStr">
        <is>
          <t>Y</t>
        </is>
      </c>
      <c r="I567">
        <f>HYPERLINK("https://admin.shopify.com/store/ge-beauty-cosmeticos/customers/9831792116032","abrir")</f>
        <v/>
      </c>
      <c r="J567">
        <f>HYPERLINK("https://www.gebeauty.com.br/products/primer-cachos-definidos?ref=review","review")</f>
        <v/>
      </c>
      <c r="K567" t="inlineStr">
        <is>
          <t>SEND</t>
        </is>
      </c>
    </row>
    <row r="568">
      <c r="A568" t="inlineStr">
        <is>
          <t>Marisa</t>
        </is>
      </c>
      <c r="B568" t="inlineStr">
        <is>
          <t>+5534999938385</t>
        </is>
      </c>
      <c r="C568" t="inlineStr">
        <is>
          <t>Refill</t>
        </is>
      </c>
      <c r="D568" t="inlineStr">
        <is>
          <t>Primer Cachos</t>
        </is>
      </c>
      <c r="E568" t="n">
        <v>1</v>
      </c>
      <c r="F568" t="inlineStr">
        <is>
          <t>2025-11-24</t>
        </is>
      </c>
      <c r="G568" t="n">
        <v>222</v>
      </c>
      <c r="H568" t="inlineStr">
        <is>
          <t>Y</t>
        </is>
      </c>
      <c r="I568">
        <f>HYPERLINK("https://admin.shopify.com/store/ge-beauty-cosmeticos/customers/8324439638336","abrir")</f>
        <v/>
      </c>
      <c r="J568">
        <f>HYPERLINK("https://www.gebeauty.com.br/products/primer-cachos-definidos?ref=review","review")</f>
        <v/>
      </c>
      <c r="K568" t="inlineStr">
        <is>
          <t>SEND</t>
        </is>
      </c>
    </row>
    <row r="569">
      <c r="A569" t="inlineStr">
        <is>
          <t>Andrea</t>
        </is>
      </c>
      <c r="B569" t="inlineStr">
        <is>
          <t>+5511995137011</t>
        </is>
      </c>
      <c r="C569" t="inlineStr">
        <is>
          <t>Refill</t>
        </is>
      </c>
      <c r="D569" t="inlineStr">
        <is>
          <t>Primer Cachos</t>
        </is>
      </c>
      <c r="E569" t="n">
        <v>1</v>
      </c>
      <c r="F569" t="inlineStr">
        <is>
          <t>2025-11-24</t>
        </is>
      </c>
      <c r="G569" t="n">
        <v>222</v>
      </c>
      <c r="H569" t="inlineStr">
        <is>
          <t>Y</t>
        </is>
      </c>
      <c r="I569">
        <f>HYPERLINK("https://admin.shopify.com/store/ge-beauty-cosmeticos/customers/9894935265600","abrir")</f>
        <v/>
      </c>
      <c r="J569">
        <f>HYPERLINK("https://www.gebeauty.com.br/products/primer-cachos-definidos?ref=review","review")</f>
        <v/>
      </c>
      <c r="K569" t="inlineStr">
        <is>
          <t>SEND</t>
        </is>
      </c>
    </row>
    <row r="570">
      <c r="A570" t="inlineStr">
        <is>
          <t>Bruna</t>
        </is>
      </c>
      <c r="B570" t="inlineStr">
        <is>
          <t>+5548571049431</t>
        </is>
      </c>
      <c r="C570" t="inlineStr">
        <is>
          <t>Refill</t>
        </is>
      </c>
      <c r="D570" t="inlineStr">
        <is>
          <t>Primer Cachos</t>
        </is>
      </c>
      <c r="E570" t="n">
        <v>1</v>
      </c>
      <c r="F570" t="inlineStr">
        <is>
          <t>2025-11-24</t>
        </is>
      </c>
      <c r="G570" t="n">
        <v>222</v>
      </c>
      <c r="H570" t="inlineStr">
        <is>
          <t>Y</t>
        </is>
      </c>
      <c r="I570">
        <f>HYPERLINK("https://admin.shopify.com/store/ge-beauty-cosmeticos/customers/8855770005824","abrir")</f>
        <v/>
      </c>
      <c r="J570">
        <f>HYPERLINK("https://www.gebeauty.com.br/products/primer-cachos-definidos?ref=review","review")</f>
        <v/>
      </c>
      <c r="K570" t="inlineStr">
        <is>
          <t>SEND</t>
        </is>
      </c>
    </row>
    <row r="571">
      <c r="A571" t="inlineStr">
        <is>
          <t>Sara</t>
        </is>
      </c>
      <c r="B571" t="inlineStr">
        <is>
          <t>+5511975902370</t>
        </is>
      </c>
      <c r="C571" t="inlineStr">
        <is>
          <t>Refill</t>
        </is>
      </c>
      <c r="D571" t="inlineStr">
        <is>
          <t>Primer Cachos</t>
        </is>
      </c>
      <c r="E571" t="n">
        <v>1</v>
      </c>
      <c r="F571" t="inlineStr">
        <is>
          <t>2025-11-24</t>
        </is>
      </c>
      <c r="G571" t="n">
        <v>222</v>
      </c>
      <c r="H571" t="inlineStr">
        <is>
          <t>Y</t>
        </is>
      </c>
      <c r="I571">
        <f>HYPERLINK("https://admin.shopify.com/store/ge-beauty-cosmeticos/customers/9761727217984","abrir")</f>
        <v/>
      </c>
      <c r="J571">
        <f>HYPERLINK("https://www.gebeauty.com.br/products/primer-cachos-definidos?ref=review","review")</f>
        <v/>
      </c>
      <c r="K571" t="inlineStr">
        <is>
          <t>SEND</t>
        </is>
      </c>
    </row>
    <row r="572">
      <c r="A572" t="inlineStr">
        <is>
          <t>Juliana</t>
        </is>
      </c>
      <c r="B572" t="inlineStr">
        <is>
          <t>+5551995666679</t>
        </is>
      </c>
      <c r="C572" t="inlineStr">
        <is>
          <t>Refill</t>
        </is>
      </c>
      <c r="D572" t="inlineStr">
        <is>
          <t>Primer Cachos</t>
        </is>
      </c>
      <c r="E572" t="n">
        <v>1</v>
      </c>
      <c r="F572" t="inlineStr">
        <is>
          <t>2025-11-24</t>
        </is>
      </c>
      <c r="G572" t="n">
        <v>222</v>
      </c>
      <c r="H572" t="inlineStr">
        <is>
          <t>Y</t>
        </is>
      </c>
      <c r="I572">
        <f>HYPERLINK("https://admin.shopify.com/store/ge-beauty-cosmeticos/customers/9027252945216","abrir")</f>
        <v/>
      </c>
      <c r="J572">
        <f>HYPERLINK("https://www.gebeauty.com.br/products/primer-cachos-definidos?ref=review","review")</f>
        <v/>
      </c>
      <c r="K572" t="inlineStr">
        <is>
          <t>SEND</t>
        </is>
      </c>
    </row>
    <row r="573">
      <c r="A573" t="inlineStr">
        <is>
          <t>Janayna</t>
        </is>
      </c>
      <c r="B573" t="inlineStr">
        <is>
          <t>+5571991559060</t>
        </is>
      </c>
      <c r="C573" t="inlineStr">
        <is>
          <t>Refill</t>
        </is>
      </c>
      <c r="D573" t="inlineStr">
        <is>
          <t>Primer Cachos</t>
        </is>
      </c>
      <c r="E573" t="n">
        <v>1</v>
      </c>
      <c r="F573" t="inlineStr">
        <is>
          <t>2025-11-24</t>
        </is>
      </c>
      <c r="G573" t="n">
        <v>222</v>
      </c>
      <c r="H573" t="inlineStr">
        <is>
          <t>Y</t>
        </is>
      </c>
      <c r="I573">
        <f>HYPERLINK("https://admin.shopify.com/store/ge-beauty-cosmeticos/customers/9828427497792","abrir")</f>
        <v/>
      </c>
      <c r="J573">
        <f>HYPERLINK("https://www.gebeauty.com.br/products/primer-cachos-definidos?ref=review","review")</f>
        <v/>
      </c>
      <c r="K573" t="inlineStr">
        <is>
          <t>SEND</t>
        </is>
      </c>
    </row>
    <row r="574">
      <c r="A574" t="inlineStr">
        <is>
          <t>Andrea</t>
        </is>
      </c>
      <c r="B574" t="inlineStr">
        <is>
          <t>+5581996902583</t>
        </is>
      </c>
      <c r="C574" t="inlineStr">
        <is>
          <t>Refill</t>
        </is>
      </c>
      <c r="D574" t="inlineStr">
        <is>
          <t>Primer Cachos</t>
        </is>
      </c>
      <c r="E574" t="n">
        <v>1</v>
      </c>
      <c r="F574" t="inlineStr">
        <is>
          <t>2025-11-24</t>
        </is>
      </c>
      <c r="G574" t="n">
        <v>222</v>
      </c>
      <c r="H574" t="inlineStr">
        <is>
          <t>Y</t>
        </is>
      </c>
      <c r="I574">
        <f>HYPERLINK("https://admin.shopify.com/store/ge-beauty-cosmeticos/customers/9896300577088","abrir")</f>
        <v/>
      </c>
      <c r="J574">
        <f>HYPERLINK("https://www.gebeauty.com.br/products/primer-cachos-definidos?ref=review","review")</f>
        <v/>
      </c>
      <c r="K574" t="inlineStr">
        <is>
          <t>SEND</t>
        </is>
      </c>
    </row>
    <row r="575">
      <c r="A575" t="inlineStr">
        <is>
          <t>Camila</t>
        </is>
      </c>
      <c r="B575" t="inlineStr">
        <is>
          <t>+5531984284445</t>
        </is>
      </c>
      <c r="C575" t="inlineStr">
        <is>
          <t>Refill</t>
        </is>
      </c>
      <c r="D575" t="inlineStr">
        <is>
          <t>Primer Cachos</t>
        </is>
      </c>
      <c r="E575" t="n">
        <v>1</v>
      </c>
      <c r="F575" t="inlineStr">
        <is>
          <t>2025-11-24</t>
        </is>
      </c>
      <c r="G575" t="n">
        <v>222</v>
      </c>
      <c r="H575" t="inlineStr">
        <is>
          <t>Y</t>
        </is>
      </c>
      <c r="I575">
        <f>HYPERLINK("https://admin.shopify.com/store/ge-beauty-cosmeticos/customers/9896500134208","abrir")</f>
        <v/>
      </c>
      <c r="J575">
        <f>HYPERLINK("https://www.gebeauty.com.br/products/primer-cachos-definidos?ref=review","review")</f>
        <v/>
      </c>
      <c r="K575" t="inlineStr">
        <is>
          <t>SEND</t>
        </is>
      </c>
    </row>
    <row r="576">
      <c r="A576" t="inlineStr">
        <is>
          <t>Lais</t>
        </is>
      </c>
      <c r="B576" t="inlineStr">
        <is>
          <t>+5581998593934</t>
        </is>
      </c>
      <c r="C576" t="inlineStr">
        <is>
          <t>Refill</t>
        </is>
      </c>
      <c r="D576" t="inlineStr">
        <is>
          <t>Primer Cachos</t>
        </is>
      </c>
      <c r="E576" t="n">
        <v>1</v>
      </c>
      <c r="F576" t="inlineStr">
        <is>
          <t>2025-11-24</t>
        </is>
      </c>
      <c r="G576" t="n">
        <v>222</v>
      </c>
      <c r="H576" t="inlineStr">
        <is>
          <t>Y</t>
        </is>
      </c>
      <c r="I576">
        <f>HYPERLINK("https://admin.shopify.com/store/ge-beauty-cosmeticos/customers/9896670363968","abrir")</f>
        <v/>
      </c>
      <c r="J576">
        <f>HYPERLINK("https://www.gebeauty.com.br/products/primer-cachos-definidos?ref=review","review")</f>
        <v/>
      </c>
      <c r="K576" t="inlineStr">
        <is>
          <t>SEND</t>
        </is>
      </c>
    </row>
    <row r="577">
      <c r="A577" t="inlineStr">
        <is>
          <t>Mariana</t>
        </is>
      </c>
      <c r="B577" t="inlineStr">
        <is>
          <t>+5511971824847</t>
        </is>
      </c>
      <c r="C577" t="inlineStr">
        <is>
          <t>Refill</t>
        </is>
      </c>
      <c r="D577" t="inlineStr">
        <is>
          <t>Primer Cachos</t>
        </is>
      </c>
      <c r="E577" t="n">
        <v>1</v>
      </c>
      <c r="F577" t="inlineStr">
        <is>
          <t>2025-11-25</t>
        </is>
      </c>
      <c r="G577" t="n">
        <v>221</v>
      </c>
      <c r="H577" t="inlineStr">
        <is>
          <t>Y</t>
        </is>
      </c>
      <c r="I577">
        <f>HYPERLINK("https://admin.shopify.com/store/ge-beauty-cosmeticos/customers/9486064714048","abrir")</f>
        <v/>
      </c>
      <c r="J577">
        <f>HYPERLINK("https://www.gebeauty.com.br/products/primer-cachos-definidos?ref=review","review")</f>
        <v/>
      </c>
      <c r="K577" t="inlineStr">
        <is>
          <t>SEND</t>
        </is>
      </c>
    </row>
    <row r="578">
      <c r="A578" t="inlineStr">
        <is>
          <t>Julia</t>
        </is>
      </c>
      <c r="B578" t="inlineStr">
        <is>
          <t>+5541991065021</t>
        </is>
      </c>
      <c r="C578" t="inlineStr">
        <is>
          <t>Refill</t>
        </is>
      </c>
      <c r="D578" t="inlineStr">
        <is>
          <t>Primer Cachos</t>
        </is>
      </c>
      <c r="E578" t="n">
        <v>1</v>
      </c>
      <c r="F578" t="inlineStr">
        <is>
          <t>2025-11-25</t>
        </is>
      </c>
      <c r="G578" t="n">
        <v>221</v>
      </c>
      <c r="H578" t="inlineStr">
        <is>
          <t>Y</t>
        </is>
      </c>
      <c r="I578">
        <f>HYPERLINK("https://admin.shopify.com/store/ge-beauty-cosmeticos/customers/9876105068864","abrir")</f>
        <v/>
      </c>
      <c r="J578">
        <f>HYPERLINK("https://www.gebeauty.com.br/products/primer-cachos-definidos?ref=review","review")</f>
        <v/>
      </c>
      <c r="K578" t="inlineStr">
        <is>
          <t>SEND</t>
        </is>
      </c>
    </row>
    <row r="579">
      <c r="A579" t="inlineStr">
        <is>
          <t>Franciely</t>
        </is>
      </c>
      <c r="B579" t="inlineStr">
        <is>
          <t>+5581992358749</t>
        </is>
      </c>
      <c r="C579" t="inlineStr">
        <is>
          <t>Refill</t>
        </is>
      </c>
      <c r="D579" t="inlineStr">
        <is>
          <t>Primer Cachos</t>
        </is>
      </c>
      <c r="E579" t="n">
        <v>1</v>
      </c>
      <c r="F579" t="inlineStr">
        <is>
          <t>2025-11-25</t>
        </is>
      </c>
      <c r="G579" t="n">
        <v>221</v>
      </c>
      <c r="H579" t="inlineStr">
        <is>
          <t>Y</t>
        </is>
      </c>
      <c r="I579">
        <f>HYPERLINK("https://admin.shopify.com/store/ge-beauty-cosmeticos/customers/9485103366464","abrir")</f>
        <v/>
      </c>
      <c r="J579">
        <f>HYPERLINK("https://www.gebeauty.com.br/products/primer-cachos-definidos?ref=review","review")</f>
        <v/>
      </c>
      <c r="K579" t="inlineStr">
        <is>
          <t>SEND</t>
        </is>
      </c>
    </row>
    <row r="580">
      <c r="A580" t="inlineStr">
        <is>
          <t>Ana</t>
        </is>
      </c>
      <c r="B580" t="inlineStr">
        <is>
          <t>+5511982025114</t>
        </is>
      </c>
      <c r="C580" t="inlineStr">
        <is>
          <t>Refill</t>
        </is>
      </c>
      <c r="D580" t="inlineStr">
        <is>
          <t>Primer Cachos</t>
        </is>
      </c>
      <c r="E580" t="n">
        <v>1</v>
      </c>
      <c r="F580" t="inlineStr">
        <is>
          <t>2025-11-25</t>
        </is>
      </c>
      <c r="G580" t="n">
        <v>221</v>
      </c>
      <c r="H580" t="inlineStr">
        <is>
          <t>Y</t>
        </is>
      </c>
      <c r="I580">
        <f>HYPERLINK("https://admin.shopify.com/store/ge-beauty-cosmeticos/customers/9486476017984","abrir")</f>
        <v/>
      </c>
      <c r="J580">
        <f>HYPERLINK("https://www.gebeauty.com.br/products/primer-cachos-definidos?ref=review","review")</f>
        <v/>
      </c>
      <c r="K580" t="inlineStr">
        <is>
          <t>SEND</t>
        </is>
      </c>
    </row>
    <row r="581">
      <c r="A581" t="inlineStr">
        <is>
          <t>Marina</t>
        </is>
      </c>
      <c r="B581" t="inlineStr">
        <is>
          <t>+5548996404404</t>
        </is>
      </c>
      <c r="C581" t="inlineStr">
        <is>
          <t>Refill</t>
        </is>
      </c>
      <c r="D581" t="inlineStr">
        <is>
          <t>Primer Cachos</t>
        </is>
      </c>
      <c r="E581" t="n">
        <v>1</v>
      </c>
      <c r="F581" t="inlineStr">
        <is>
          <t>2025-11-25</t>
        </is>
      </c>
      <c r="G581" t="n">
        <v>221</v>
      </c>
      <c r="H581" t="inlineStr">
        <is>
          <t>Y</t>
        </is>
      </c>
      <c r="I581">
        <f>HYPERLINK("https://admin.shopify.com/store/ge-beauty-cosmeticos/customers/9643763138880","abrir")</f>
        <v/>
      </c>
      <c r="J581">
        <f>HYPERLINK("https://www.gebeauty.com.br/products/primer-cachos-definidos?ref=review","review")</f>
        <v/>
      </c>
      <c r="K581" t="inlineStr">
        <is>
          <t>SEND</t>
        </is>
      </c>
    </row>
    <row r="582">
      <c r="A582" t="inlineStr">
        <is>
          <t>Cíntia</t>
        </is>
      </c>
      <c r="B582" t="inlineStr">
        <is>
          <t>+5561999539987</t>
        </is>
      </c>
      <c r="C582" t="inlineStr">
        <is>
          <t>Refill</t>
        </is>
      </c>
      <c r="D582" t="inlineStr">
        <is>
          <t>Primer Cachos</t>
        </is>
      </c>
      <c r="E582" t="n">
        <v>1</v>
      </c>
      <c r="F582" t="inlineStr">
        <is>
          <t>2025-11-25</t>
        </is>
      </c>
      <c r="G582" t="n">
        <v>221</v>
      </c>
      <c r="H582" t="inlineStr">
        <is>
          <t>Y</t>
        </is>
      </c>
      <c r="I582">
        <f>HYPERLINK("https://admin.shopify.com/store/ge-beauty-cosmeticos/customers/9485612384576","abrir")</f>
        <v/>
      </c>
      <c r="J582">
        <f>HYPERLINK("https://www.gebeauty.com.br/products/primer-cachos-definidos?ref=review","review")</f>
        <v/>
      </c>
      <c r="K582" t="inlineStr">
        <is>
          <t>SEND</t>
        </is>
      </c>
    </row>
    <row r="583">
      <c r="A583" t="inlineStr">
        <is>
          <t>Katia</t>
        </is>
      </c>
      <c r="B583" t="inlineStr">
        <is>
          <t>+5511941177213</t>
        </is>
      </c>
      <c r="C583" t="inlineStr">
        <is>
          <t>Refill</t>
        </is>
      </c>
      <c r="D583" t="inlineStr">
        <is>
          <t>Primer Cachos</t>
        </is>
      </c>
      <c r="E583" t="n">
        <v>1</v>
      </c>
      <c r="F583" t="inlineStr">
        <is>
          <t>2025-11-25</t>
        </is>
      </c>
      <c r="G583" t="n">
        <v>221</v>
      </c>
      <c r="H583" t="inlineStr">
        <is>
          <t>Y</t>
        </is>
      </c>
      <c r="I583">
        <f>HYPERLINK("https://admin.shopify.com/store/ge-beauty-cosmeticos/customers/9898587717952","abrir")</f>
        <v/>
      </c>
      <c r="J583">
        <f>HYPERLINK("https://www.gebeauty.com.br/products/primer-cachos-definidos?ref=review","review")</f>
        <v/>
      </c>
      <c r="K583" t="inlineStr">
        <is>
          <t>SEND</t>
        </is>
      </c>
    </row>
    <row r="584">
      <c r="A584" t="inlineStr">
        <is>
          <t>Carina</t>
        </is>
      </c>
      <c r="B584" t="inlineStr">
        <is>
          <t>+5534988252178</t>
        </is>
      </c>
      <c r="C584" t="inlineStr">
        <is>
          <t>Refill</t>
        </is>
      </c>
      <c r="D584" t="inlineStr">
        <is>
          <t>Primer Cachos</t>
        </is>
      </c>
      <c r="E584" t="n">
        <v>1</v>
      </c>
      <c r="F584" t="inlineStr">
        <is>
          <t>2025-11-25</t>
        </is>
      </c>
      <c r="G584" t="n">
        <v>221</v>
      </c>
      <c r="H584" t="inlineStr">
        <is>
          <t>Y</t>
        </is>
      </c>
      <c r="I584">
        <f>HYPERLINK("https://admin.shopify.com/store/ge-beauty-cosmeticos/customers/9898623271232","abrir")</f>
        <v/>
      </c>
      <c r="J584">
        <f>HYPERLINK("https://www.gebeauty.com.br/products/primer-cachos-definidos?ref=review","review")</f>
        <v/>
      </c>
      <c r="K584" t="inlineStr">
        <is>
          <t>SEND</t>
        </is>
      </c>
    </row>
    <row r="585">
      <c r="A585" t="inlineStr">
        <is>
          <t>Raquel</t>
        </is>
      </c>
      <c r="B585" t="inlineStr">
        <is>
          <t>+5527998762642</t>
        </is>
      </c>
      <c r="C585" t="inlineStr">
        <is>
          <t>Refill</t>
        </is>
      </c>
      <c r="D585" t="inlineStr">
        <is>
          <t>Primer Cachos</t>
        </is>
      </c>
      <c r="E585" t="n">
        <v>1</v>
      </c>
      <c r="F585" t="inlineStr">
        <is>
          <t>2025-11-25</t>
        </is>
      </c>
      <c r="G585" t="n">
        <v>221</v>
      </c>
      <c r="H585" t="inlineStr">
        <is>
          <t>Y</t>
        </is>
      </c>
      <c r="I585">
        <f>HYPERLINK("https://admin.shopify.com/store/ge-beauty-cosmeticos/customers/9494178496832","abrir")</f>
        <v/>
      </c>
      <c r="J585">
        <f>HYPERLINK("https://www.gebeauty.com.br/products/primer-cachos-definidos?ref=review","review")</f>
        <v/>
      </c>
      <c r="K585" t="inlineStr">
        <is>
          <t>HOLDOUT</t>
        </is>
      </c>
    </row>
    <row r="586">
      <c r="A586" t="inlineStr">
        <is>
          <t>Maria</t>
        </is>
      </c>
      <c r="B586" t="inlineStr">
        <is>
          <t>+5563984530762</t>
        </is>
      </c>
      <c r="C586" t="inlineStr">
        <is>
          <t>Refill</t>
        </is>
      </c>
      <c r="D586" t="inlineStr">
        <is>
          <t>Primer Cachos</t>
        </is>
      </c>
      <c r="E586" t="n">
        <v>1</v>
      </c>
      <c r="F586" t="inlineStr">
        <is>
          <t>2025-11-25</t>
        </is>
      </c>
      <c r="G586" t="n">
        <v>221</v>
      </c>
      <c r="H586" t="inlineStr">
        <is>
          <t>Y</t>
        </is>
      </c>
      <c r="I586">
        <f>HYPERLINK("https://admin.shopify.com/store/ge-beauty-cosmeticos/customers/7760861364544","abrir")</f>
        <v/>
      </c>
      <c r="J586">
        <f>HYPERLINK("https://www.gebeauty.com.br/products/primer-cachos-definidos?ref=review","review")</f>
        <v/>
      </c>
      <c r="K586" t="inlineStr">
        <is>
          <t>SEND</t>
        </is>
      </c>
    </row>
    <row r="587">
      <c r="A587" t="inlineStr">
        <is>
          <t>Kamille</t>
        </is>
      </c>
      <c r="B587" t="inlineStr">
        <is>
          <t>+5548999545404</t>
        </is>
      </c>
      <c r="C587" t="inlineStr">
        <is>
          <t>Refill</t>
        </is>
      </c>
      <c r="D587" t="inlineStr">
        <is>
          <t>Primer Cachos</t>
        </is>
      </c>
      <c r="E587" t="n">
        <v>1</v>
      </c>
      <c r="F587" t="inlineStr">
        <is>
          <t>2025-11-26</t>
        </is>
      </c>
      <c r="G587" t="n">
        <v>220</v>
      </c>
      <c r="H587" t="inlineStr">
        <is>
          <t>Y</t>
        </is>
      </c>
      <c r="I587">
        <f>HYPERLINK("https://admin.shopify.com/store/ge-beauty-cosmeticos/customers/9899689705792","abrir")</f>
        <v/>
      </c>
      <c r="J587">
        <f>HYPERLINK("https://www.gebeauty.com.br/products/primer-cachos-definidos?ref=review","review")</f>
        <v/>
      </c>
      <c r="K587" t="inlineStr">
        <is>
          <t>SEND</t>
        </is>
      </c>
    </row>
    <row r="588">
      <c r="A588" t="inlineStr">
        <is>
          <t>Diego</t>
        </is>
      </c>
      <c r="B588" t="inlineStr">
        <is>
          <t>+5548991452799</t>
        </is>
      </c>
      <c r="C588" t="inlineStr">
        <is>
          <t>Refill</t>
        </is>
      </c>
      <c r="D588" t="inlineStr">
        <is>
          <t>Primer Cachos</t>
        </is>
      </c>
      <c r="E588" t="n">
        <v>1</v>
      </c>
      <c r="F588" t="inlineStr">
        <is>
          <t>2025-11-26</t>
        </is>
      </c>
      <c r="G588" t="n">
        <v>220</v>
      </c>
      <c r="H588" t="inlineStr">
        <is>
          <t>Y</t>
        </is>
      </c>
      <c r="I588">
        <f>HYPERLINK("https://admin.shopify.com/store/ge-beauty-cosmeticos/customers/9485069386048","abrir")</f>
        <v/>
      </c>
      <c r="J588">
        <f>HYPERLINK("https://www.gebeauty.com.br/products/primer-cachos-definidos?ref=review","review")</f>
        <v/>
      </c>
      <c r="K588" t="inlineStr">
        <is>
          <t>SEND</t>
        </is>
      </c>
    </row>
    <row r="589">
      <c r="A589" t="inlineStr">
        <is>
          <t>Silvia</t>
        </is>
      </c>
      <c r="B589" t="inlineStr">
        <is>
          <t>+5581996205784</t>
        </is>
      </c>
      <c r="C589" t="inlineStr">
        <is>
          <t>Refill</t>
        </is>
      </c>
      <c r="D589" t="inlineStr">
        <is>
          <t>Primer Cachos</t>
        </is>
      </c>
      <c r="E589" t="n">
        <v>1</v>
      </c>
      <c r="F589" t="inlineStr">
        <is>
          <t>2025-11-26</t>
        </is>
      </c>
      <c r="G589" t="n">
        <v>220</v>
      </c>
      <c r="H589" t="inlineStr">
        <is>
          <t>Y</t>
        </is>
      </c>
      <c r="I589">
        <f>HYPERLINK("https://admin.shopify.com/store/ge-beauty-cosmeticos/customers/8691505365312","abrir")</f>
        <v/>
      </c>
      <c r="J589">
        <f>HYPERLINK("https://www.gebeauty.com.br/products/primer-cachos-definidos?ref=review","review")</f>
        <v/>
      </c>
      <c r="K589" t="inlineStr">
        <is>
          <t>SEND</t>
        </is>
      </c>
    </row>
    <row r="590">
      <c r="A590" t="inlineStr">
        <is>
          <t>Paula</t>
        </is>
      </c>
      <c r="B590" t="inlineStr">
        <is>
          <t>+5511995020096</t>
        </is>
      </c>
      <c r="C590" t="inlineStr">
        <is>
          <t>Refill</t>
        </is>
      </c>
      <c r="D590" t="inlineStr">
        <is>
          <t>Primer Cachos</t>
        </is>
      </c>
      <c r="E590" t="n">
        <v>1</v>
      </c>
      <c r="F590" t="inlineStr">
        <is>
          <t>2025-11-26</t>
        </is>
      </c>
      <c r="G590" t="n">
        <v>220</v>
      </c>
      <c r="H590" t="inlineStr">
        <is>
          <t>Y</t>
        </is>
      </c>
      <c r="I590">
        <f>HYPERLINK("https://admin.shopify.com/store/ge-beauty-cosmeticos/customers/9865575727424","abrir")</f>
        <v/>
      </c>
      <c r="J590">
        <f>HYPERLINK("https://www.gebeauty.com.br/products/primer-cachos-definidos?ref=review","review")</f>
        <v/>
      </c>
      <c r="K590" t="inlineStr">
        <is>
          <t>SEND</t>
        </is>
      </c>
    </row>
    <row r="591">
      <c r="A591" t="inlineStr">
        <is>
          <t>Juliana</t>
        </is>
      </c>
      <c r="B591" t="inlineStr">
        <is>
          <t>+5581987330652</t>
        </is>
      </c>
      <c r="C591" t="inlineStr">
        <is>
          <t>Refill</t>
        </is>
      </c>
      <c r="D591" t="inlineStr">
        <is>
          <t>Primer Cachos</t>
        </is>
      </c>
      <c r="E591" t="n">
        <v>1</v>
      </c>
      <c r="F591" t="inlineStr">
        <is>
          <t>2025-11-26</t>
        </is>
      </c>
      <c r="G591" t="n">
        <v>220</v>
      </c>
      <c r="H591" t="inlineStr">
        <is>
          <t>Y</t>
        </is>
      </c>
      <c r="I591">
        <f>HYPERLINK("https://admin.shopify.com/store/ge-beauty-cosmeticos/customers/8294680723776","abrir")</f>
        <v/>
      </c>
      <c r="J591">
        <f>HYPERLINK("https://www.gebeauty.com.br/products/primer-cachos-definidos?ref=review","review")</f>
        <v/>
      </c>
      <c r="K591" t="inlineStr">
        <is>
          <t>SEND</t>
        </is>
      </c>
    </row>
    <row r="592">
      <c r="A592" t="inlineStr">
        <is>
          <t>Viviane</t>
        </is>
      </c>
      <c r="B592" t="inlineStr">
        <is>
          <t>+5521987974747</t>
        </is>
      </c>
      <c r="C592" t="inlineStr">
        <is>
          <t>Refill</t>
        </is>
      </c>
      <c r="D592" t="inlineStr">
        <is>
          <t>Primer Cachos</t>
        </is>
      </c>
      <c r="E592" t="n">
        <v>1</v>
      </c>
      <c r="F592" t="inlineStr">
        <is>
          <t>2025-11-26</t>
        </is>
      </c>
      <c r="G592" t="n">
        <v>220</v>
      </c>
      <c r="H592" t="inlineStr">
        <is>
          <t>Y</t>
        </is>
      </c>
      <c r="I592">
        <f>HYPERLINK("https://admin.shopify.com/store/ge-beauty-cosmeticos/customers/9874373116224","abrir")</f>
        <v/>
      </c>
      <c r="J592">
        <f>HYPERLINK("https://www.gebeauty.com.br/products/primer-cachos-definidos?ref=review","review")</f>
        <v/>
      </c>
      <c r="K592" t="inlineStr">
        <is>
          <t>SEND</t>
        </is>
      </c>
    </row>
    <row r="593">
      <c r="A593" t="inlineStr">
        <is>
          <t>Diana</t>
        </is>
      </c>
      <c r="B593" t="inlineStr">
        <is>
          <t>+5581998726650</t>
        </is>
      </c>
      <c r="C593" t="inlineStr">
        <is>
          <t>Refill</t>
        </is>
      </c>
      <c r="D593" t="inlineStr">
        <is>
          <t>Primer Cachos</t>
        </is>
      </c>
      <c r="E593" t="n">
        <v>1</v>
      </c>
      <c r="F593" t="inlineStr">
        <is>
          <t>2025-11-26</t>
        </is>
      </c>
      <c r="G593" t="n">
        <v>220</v>
      </c>
      <c r="H593" t="inlineStr">
        <is>
          <t>Y</t>
        </is>
      </c>
      <c r="I593">
        <f>HYPERLINK("https://admin.shopify.com/store/ge-beauty-cosmeticos/customers/9900935676224","abrir")</f>
        <v/>
      </c>
      <c r="J593">
        <f>HYPERLINK("https://www.gebeauty.com.br/products/primer-cachos-definidos?ref=review","review")</f>
        <v/>
      </c>
      <c r="K593" t="inlineStr">
        <is>
          <t>SEND</t>
        </is>
      </c>
    </row>
    <row r="594">
      <c r="A594" t="inlineStr">
        <is>
          <t>Tatiana</t>
        </is>
      </c>
      <c r="B594" t="inlineStr">
        <is>
          <t>+5585999451005</t>
        </is>
      </c>
      <c r="C594" t="inlineStr">
        <is>
          <t>Refill</t>
        </is>
      </c>
      <c r="D594" t="inlineStr">
        <is>
          <t>Primer Cachos</t>
        </is>
      </c>
      <c r="E594" t="n">
        <v>1</v>
      </c>
      <c r="F594" t="inlineStr">
        <is>
          <t>2025-11-26</t>
        </is>
      </c>
      <c r="G594" t="n">
        <v>220</v>
      </c>
      <c r="H594" t="inlineStr">
        <is>
          <t>Y</t>
        </is>
      </c>
      <c r="I594">
        <f>HYPERLINK("https://admin.shopify.com/store/ge-beauty-cosmeticos/customers/9901010485568","abrir")</f>
        <v/>
      </c>
      <c r="J594">
        <f>HYPERLINK("https://www.gebeauty.com.br/products/primer-cachos-definidos?ref=review","review")</f>
        <v/>
      </c>
      <c r="K594" t="inlineStr">
        <is>
          <t>SEND</t>
        </is>
      </c>
    </row>
    <row r="595">
      <c r="A595" t="inlineStr">
        <is>
          <t>Thais</t>
        </is>
      </c>
      <c r="B595" t="inlineStr">
        <is>
          <t>+5581992098008</t>
        </is>
      </c>
      <c r="C595" t="inlineStr">
        <is>
          <t>Refill</t>
        </is>
      </c>
      <c r="D595" t="inlineStr">
        <is>
          <t>Primer Cachos</t>
        </is>
      </c>
      <c r="E595" t="n">
        <v>1</v>
      </c>
      <c r="F595" t="inlineStr">
        <is>
          <t>2025-11-26</t>
        </is>
      </c>
      <c r="G595" t="n">
        <v>220</v>
      </c>
      <c r="H595" t="inlineStr">
        <is>
          <t>Y</t>
        </is>
      </c>
      <c r="I595">
        <f>HYPERLINK("https://admin.shopify.com/store/ge-beauty-cosmeticos/customers/9901179896128","abrir")</f>
        <v/>
      </c>
      <c r="J595">
        <f>HYPERLINK("https://www.gebeauty.com.br/products/primer-cachos-definidos?ref=review","review")</f>
        <v/>
      </c>
      <c r="K595" t="inlineStr">
        <is>
          <t>SEND</t>
        </is>
      </c>
    </row>
    <row r="596">
      <c r="A596" t="inlineStr">
        <is>
          <t>Daniela</t>
        </is>
      </c>
      <c r="B596" t="inlineStr">
        <is>
          <t>+5511998681882</t>
        </is>
      </c>
      <c r="C596" t="inlineStr">
        <is>
          <t>Refill</t>
        </is>
      </c>
      <c r="D596" t="inlineStr">
        <is>
          <t>Primer Cachos</t>
        </is>
      </c>
      <c r="E596" t="n">
        <v>1</v>
      </c>
      <c r="F596" t="inlineStr">
        <is>
          <t>2025-11-26</t>
        </is>
      </c>
      <c r="G596" t="n">
        <v>220</v>
      </c>
      <c r="H596" t="inlineStr">
        <is>
          <t>Y</t>
        </is>
      </c>
      <c r="I596">
        <f>HYPERLINK("https://admin.shopify.com/store/ge-beauty-cosmeticos/customers/9485209960768","abrir")</f>
        <v/>
      </c>
      <c r="J596">
        <f>HYPERLINK("https://www.gebeauty.com.br/products/primer-cachos-definidos?ref=review","review")</f>
        <v/>
      </c>
      <c r="K596" t="inlineStr">
        <is>
          <t>SEND</t>
        </is>
      </c>
    </row>
    <row r="597">
      <c r="A597" t="inlineStr">
        <is>
          <t>Thais</t>
        </is>
      </c>
      <c r="B597" t="inlineStr">
        <is>
          <t>+5521993114772</t>
        </is>
      </c>
      <c r="C597" t="inlineStr">
        <is>
          <t>Refill</t>
        </is>
      </c>
      <c r="D597" t="inlineStr">
        <is>
          <t>Primer Cachos</t>
        </is>
      </c>
      <c r="E597" t="n">
        <v>1</v>
      </c>
      <c r="F597" t="inlineStr">
        <is>
          <t>2025-11-26</t>
        </is>
      </c>
      <c r="G597" t="n">
        <v>220</v>
      </c>
      <c r="H597" t="inlineStr">
        <is>
          <t>Y</t>
        </is>
      </c>
      <c r="I597">
        <f>HYPERLINK("https://admin.shopify.com/store/ge-beauty-cosmeticos/customers/9486243299648","abrir")</f>
        <v/>
      </c>
      <c r="J597">
        <f>HYPERLINK("https://www.gebeauty.com.br/products/primer-cachos-definidos?ref=review","review")</f>
        <v/>
      </c>
      <c r="K597" t="inlineStr">
        <is>
          <t>SEND</t>
        </is>
      </c>
    </row>
    <row r="598">
      <c r="A598" t="inlineStr">
        <is>
          <t>Renata</t>
        </is>
      </c>
      <c r="B598" t="inlineStr">
        <is>
          <t>+5511993677592</t>
        </is>
      </c>
      <c r="C598" t="inlineStr">
        <is>
          <t>Refill</t>
        </is>
      </c>
      <c r="D598" t="inlineStr">
        <is>
          <t>Primer Cachos</t>
        </is>
      </c>
      <c r="E598" t="n">
        <v>1</v>
      </c>
      <c r="F598" t="inlineStr">
        <is>
          <t>2025-11-26</t>
        </is>
      </c>
      <c r="G598" t="n">
        <v>220</v>
      </c>
      <c r="H598" t="inlineStr">
        <is>
          <t>Y</t>
        </is>
      </c>
      <c r="I598">
        <f>HYPERLINK("https://admin.shopify.com/store/ge-beauty-cosmeticos/customers/7761415209280","abrir")</f>
        <v/>
      </c>
      <c r="J598">
        <f>HYPERLINK("https://www.gebeauty.com.br/products/primer-cachos-definidos?ref=review","review")</f>
        <v/>
      </c>
      <c r="K598" t="inlineStr">
        <is>
          <t>SEND</t>
        </is>
      </c>
    </row>
    <row r="599">
      <c r="A599" t="inlineStr">
        <is>
          <t>Alyne</t>
        </is>
      </c>
      <c r="B599" t="inlineStr">
        <is>
          <t>+5583991561751</t>
        </is>
      </c>
      <c r="C599" t="inlineStr">
        <is>
          <t>Refill</t>
        </is>
      </c>
      <c r="D599" t="inlineStr">
        <is>
          <t>Primer Cachos</t>
        </is>
      </c>
      <c r="E599" t="n">
        <v>1</v>
      </c>
      <c r="F599" t="inlineStr">
        <is>
          <t>2025-11-26</t>
        </is>
      </c>
      <c r="G599" t="n">
        <v>220</v>
      </c>
      <c r="H599" t="inlineStr">
        <is>
          <t>Y</t>
        </is>
      </c>
      <c r="I599">
        <f>HYPERLINK("https://admin.shopify.com/store/ge-beauty-cosmeticos/customers/7760154624320","abrir")</f>
        <v/>
      </c>
      <c r="J599">
        <f>HYPERLINK("https://www.gebeauty.com.br/products/primer-cachos-definidos?ref=review","review")</f>
        <v/>
      </c>
      <c r="K599" t="inlineStr">
        <is>
          <t>SEND</t>
        </is>
      </c>
    </row>
    <row r="600">
      <c r="A600" t="inlineStr">
        <is>
          <t>Amanda</t>
        </is>
      </c>
      <c r="B600" t="inlineStr">
        <is>
          <t>+5581997704245</t>
        </is>
      </c>
      <c r="C600" t="inlineStr">
        <is>
          <t>Refill</t>
        </is>
      </c>
      <c r="D600" t="inlineStr">
        <is>
          <t>Primer Cachos</t>
        </is>
      </c>
      <c r="E600" t="n">
        <v>1</v>
      </c>
      <c r="F600" t="inlineStr">
        <is>
          <t>2025-11-26</t>
        </is>
      </c>
      <c r="G600" t="n">
        <v>220</v>
      </c>
      <c r="H600" t="inlineStr">
        <is>
          <t>Y</t>
        </is>
      </c>
      <c r="I600">
        <f>HYPERLINK("https://admin.shopify.com/store/ge-beauty-cosmeticos/customers/9901894697280","abrir")</f>
        <v/>
      </c>
      <c r="J600">
        <f>HYPERLINK("https://www.gebeauty.com.br/products/primer-cachos-definidos?ref=review","review")</f>
        <v/>
      </c>
      <c r="K600" t="inlineStr">
        <is>
          <t>SEND</t>
        </is>
      </c>
    </row>
    <row r="601">
      <c r="A601" t="inlineStr">
        <is>
          <t>Maria</t>
        </is>
      </c>
      <c r="B601" t="inlineStr">
        <is>
          <t>+5511982835231</t>
        </is>
      </c>
      <c r="C601" t="inlineStr">
        <is>
          <t>Refill</t>
        </is>
      </c>
      <c r="D601" t="inlineStr">
        <is>
          <t>Primer Cachos</t>
        </is>
      </c>
      <c r="E601" t="n">
        <v>1</v>
      </c>
      <c r="F601" t="inlineStr">
        <is>
          <t>2025-11-26</t>
        </is>
      </c>
      <c r="G601" t="n">
        <v>220</v>
      </c>
      <c r="H601" t="inlineStr">
        <is>
          <t>Y</t>
        </is>
      </c>
      <c r="I601">
        <f>HYPERLINK("https://admin.shopify.com/store/ge-beauty-cosmeticos/customers/9902074659136","abrir")</f>
        <v/>
      </c>
      <c r="J601">
        <f>HYPERLINK("https://www.gebeauty.com.br/products/primer-cachos-definidos?ref=review","review")</f>
        <v/>
      </c>
      <c r="K601" t="inlineStr">
        <is>
          <t>SEND</t>
        </is>
      </c>
    </row>
    <row r="602">
      <c r="A602" t="inlineStr">
        <is>
          <t>Erika</t>
        </is>
      </c>
      <c r="B602" t="inlineStr">
        <is>
          <t>+5511995524843</t>
        </is>
      </c>
      <c r="C602" t="inlineStr">
        <is>
          <t>Refill</t>
        </is>
      </c>
      <c r="D602" t="inlineStr">
        <is>
          <t>Primer Cachos</t>
        </is>
      </c>
      <c r="E602" t="n">
        <v>1</v>
      </c>
      <c r="F602" t="inlineStr">
        <is>
          <t>2025-11-26</t>
        </is>
      </c>
      <c r="G602" t="n">
        <v>220</v>
      </c>
      <c r="H602" t="inlineStr">
        <is>
          <t>Y</t>
        </is>
      </c>
      <c r="I602">
        <f>HYPERLINK("https://admin.shopify.com/store/ge-beauty-cosmeticos/customers/9485172932928","abrir")</f>
        <v/>
      </c>
      <c r="J602">
        <f>HYPERLINK("https://www.gebeauty.com.br/products/primer-cachos-definidos?ref=review","review")</f>
        <v/>
      </c>
      <c r="K602" t="inlineStr">
        <is>
          <t>HOLDOUT</t>
        </is>
      </c>
    </row>
    <row r="603">
      <c r="A603" t="inlineStr">
        <is>
          <t>Aline</t>
        </is>
      </c>
      <c r="B603" t="inlineStr">
        <is>
          <t>+5511996069549</t>
        </is>
      </c>
      <c r="C603" t="inlineStr">
        <is>
          <t>Refill</t>
        </is>
      </c>
      <c r="D603" t="inlineStr">
        <is>
          <t>Primer Cachos</t>
        </is>
      </c>
      <c r="E603" t="n">
        <v>1</v>
      </c>
      <c r="F603" t="inlineStr">
        <is>
          <t>2025-11-27</t>
        </is>
      </c>
      <c r="G603" t="n">
        <v>219</v>
      </c>
      <c r="H603" t="inlineStr">
        <is>
          <t>Y</t>
        </is>
      </c>
      <c r="I603">
        <f>HYPERLINK("https://admin.shopify.com/store/ge-beauty-cosmeticos/customers/9902572601664","abrir")</f>
        <v/>
      </c>
      <c r="J603">
        <f>HYPERLINK("https://www.gebeauty.com.br/products/primer-cachos-definidos?ref=review","review")</f>
        <v/>
      </c>
      <c r="K603" t="inlineStr">
        <is>
          <t>SEND</t>
        </is>
      </c>
    </row>
    <row r="604">
      <c r="A604" t="inlineStr">
        <is>
          <t>Luana</t>
        </is>
      </c>
      <c r="B604" t="inlineStr">
        <is>
          <t>+5594991285093</t>
        </is>
      </c>
      <c r="C604" t="inlineStr">
        <is>
          <t>Refill</t>
        </is>
      </c>
      <c r="D604" t="inlineStr">
        <is>
          <t>Primer Cachos</t>
        </is>
      </c>
      <c r="E604" t="n">
        <v>1</v>
      </c>
      <c r="F604" t="inlineStr">
        <is>
          <t>2025-11-27</t>
        </is>
      </c>
      <c r="G604" t="n">
        <v>219</v>
      </c>
      <c r="H604" t="inlineStr">
        <is>
          <t>Y</t>
        </is>
      </c>
      <c r="I604">
        <f>HYPERLINK("https://admin.shopify.com/store/ge-beauty-cosmeticos/customers/8595894436160","abrir")</f>
        <v/>
      </c>
      <c r="J604">
        <f>HYPERLINK("https://www.gebeauty.com.br/products/primer-cachos-definidos?ref=review","review")</f>
        <v/>
      </c>
      <c r="K604" t="inlineStr">
        <is>
          <t>SEND</t>
        </is>
      </c>
    </row>
    <row r="605">
      <c r="A605" t="inlineStr">
        <is>
          <t>Sara</t>
        </is>
      </c>
      <c r="B605" t="inlineStr">
        <is>
          <t>+5511980850047</t>
        </is>
      </c>
      <c r="C605" t="inlineStr">
        <is>
          <t>Refill</t>
        </is>
      </c>
      <c r="D605" t="inlineStr">
        <is>
          <t>Primer Cachos</t>
        </is>
      </c>
      <c r="E605" t="n">
        <v>1</v>
      </c>
      <c r="F605" t="inlineStr">
        <is>
          <t>2025-11-27</t>
        </is>
      </c>
      <c r="G605" t="n">
        <v>219</v>
      </c>
      <c r="H605" t="inlineStr">
        <is>
          <t>Y</t>
        </is>
      </c>
      <c r="I605">
        <f>HYPERLINK("https://admin.shopify.com/store/ge-beauty-cosmeticos/customers/9904508764480","abrir")</f>
        <v/>
      </c>
      <c r="J605">
        <f>HYPERLINK("https://www.gebeauty.com.br/products/primer-cachos-definidos?ref=review","review")</f>
        <v/>
      </c>
      <c r="K605" t="inlineStr">
        <is>
          <t>HOLDOUT</t>
        </is>
      </c>
    </row>
    <row r="606">
      <c r="A606" t="inlineStr">
        <is>
          <t>Júlia</t>
        </is>
      </c>
      <c r="B606" t="inlineStr">
        <is>
          <t>+5561992170249</t>
        </is>
      </c>
      <c r="C606" t="inlineStr">
        <is>
          <t>Refill</t>
        </is>
      </c>
      <c r="D606" t="inlineStr">
        <is>
          <t>Primer Cachos</t>
        </is>
      </c>
      <c r="E606" t="n">
        <v>1</v>
      </c>
      <c r="F606" t="inlineStr">
        <is>
          <t>2025-11-27</t>
        </is>
      </c>
      <c r="G606" t="n">
        <v>219</v>
      </c>
      <c r="H606" t="inlineStr">
        <is>
          <t>Y</t>
        </is>
      </c>
      <c r="I606">
        <f>HYPERLINK("https://admin.shopify.com/store/ge-beauty-cosmeticos/customers/7761069146432","abrir")</f>
        <v/>
      </c>
      <c r="J606">
        <f>HYPERLINK("https://www.gebeauty.com.br/products/primer-cachos-definidos?ref=review","review")</f>
        <v/>
      </c>
      <c r="K606" t="inlineStr">
        <is>
          <t>SEND</t>
        </is>
      </c>
    </row>
    <row r="607">
      <c r="A607" t="inlineStr">
        <is>
          <t>Viviane</t>
        </is>
      </c>
      <c r="B607" t="inlineStr">
        <is>
          <t>+5521976314108</t>
        </is>
      </c>
      <c r="C607" t="inlineStr">
        <is>
          <t>Refill</t>
        </is>
      </c>
      <c r="D607" t="inlineStr">
        <is>
          <t>Primer Cachos</t>
        </is>
      </c>
      <c r="E607" t="n">
        <v>1</v>
      </c>
      <c r="F607" t="inlineStr">
        <is>
          <t>2025-11-27</t>
        </is>
      </c>
      <c r="G607" t="n">
        <v>219</v>
      </c>
      <c r="H607" t="inlineStr">
        <is>
          <t>Y</t>
        </is>
      </c>
      <c r="I607">
        <f>HYPERLINK("https://admin.shopify.com/store/ge-beauty-cosmeticos/customers/9905104617792","abrir")</f>
        <v/>
      </c>
      <c r="J607">
        <f>HYPERLINK("https://www.gebeauty.com.br/products/primer-cachos-definidos?ref=review","review")</f>
        <v/>
      </c>
      <c r="K607" t="inlineStr">
        <is>
          <t>SEND</t>
        </is>
      </c>
    </row>
    <row r="608">
      <c r="A608" t="inlineStr">
        <is>
          <t>Rafaella</t>
        </is>
      </c>
      <c r="B608" t="inlineStr">
        <is>
          <t>+5581987072570</t>
        </is>
      </c>
      <c r="C608" t="inlineStr">
        <is>
          <t>Refill</t>
        </is>
      </c>
      <c r="D608" t="inlineStr">
        <is>
          <t>Primer Cachos</t>
        </is>
      </c>
      <c r="E608" t="n">
        <v>1</v>
      </c>
      <c r="F608" t="inlineStr">
        <is>
          <t>2025-11-27</t>
        </is>
      </c>
      <c r="G608" t="n">
        <v>219</v>
      </c>
      <c r="H608" t="inlineStr">
        <is>
          <t>Y</t>
        </is>
      </c>
      <c r="I608">
        <f>HYPERLINK("https://admin.shopify.com/store/ge-beauty-cosmeticos/customers/9898114548032","abrir")</f>
        <v/>
      </c>
      <c r="J608">
        <f>HYPERLINK("https://www.gebeauty.com.br/products/primer-cachos-definidos?ref=review","review")</f>
        <v/>
      </c>
      <c r="K608" t="inlineStr">
        <is>
          <t>SEND</t>
        </is>
      </c>
    </row>
    <row r="609">
      <c r="A609" t="inlineStr">
        <is>
          <t>Lara</t>
        </is>
      </c>
      <c r="B609" t="inlineStr">
        <is>
          <t>+5511982288181</t>
        </is>
      </c>
      <c r="C609" t="inlineStr">
        <is>
          <t>Refill</t>
        </is>
      </c>
      <c r="D609" t="inlineStr">
        <is>
          <t>Primer Cachos</t>
        </is>
      </c>
      <c r="E609" t="n">
        <v>1</v>
      </c>
      <c r="F609" t="inlineStr">
        <is>
          <t>2025-11-27</t>
        </is>
      </c>
      <c r="G609" t="n">
        <v>219</v>
      </c>
      <c r="H609" t="inlineStr">
        <is>
          <t>Y</t>
        </is>
      </c>
      <c r="I609">
        <f>HYPERLINK("https://admin.shopify.com/store/ge-beauty-cosmeticos/customers/9905305157952","abrir")</f>
        <v/>
      </c>
      <c r="J609">
        <f>HYPERLINK("https://www.gebeauty.com.br/products/primer-cachos-definidos?ref=review","review")</f>
        <v/>
      </c>
      <c r="K609" t="inlineStr">
        <is>
          <t>HOLDOUT</t>
        </is>
      </c>
    </row>
    <row r="610">
      <c r="A610" t="inlineStr">
        <is>
          <t>Robleda</t>
        </is>
      </c>
      <c r="B610" t="inlineStr">
        <is>
          <t>+5511946195114</t>
        </is>
      </c>
      <c r="C610" t="inlineStr">
        <is>
          <t>Refill</t>
        </is>
      </c>
      <c r="D610" t="inlineStr">
        <is>
          <t>Primer Cachos</t>
        </is>
      </c>
      <c r="E610" t="n">
        <v>1</v>
      </c>
      <c r="F610" t="inlineStr">
        <is>
          <t>2025-11-27</t>
        </is>
      </c>
      <c r="G610" t="n">
        <v>219</v>
      </c>
      <c r="H610" t="inlineStr">
        <is>
          <t>Y</t>
        </is>
      </c>
      <c r="I610">
        <f>HYPERLINK("https://admin.shopify.com/store/ge-beauty-cosmeticos/customers/9484921864512","abrir")</f>
        <v/>
      </c>
      <c r="J610">
        <f>HYPERLINK("https://www.gebeauty.com.br/products/primer-cachos-definidos?ref=review","review")</f>
        <v/>
      </c>
      <c r="K610" t="inlineStr">
        <is>
          <t>SEND</t>
        </is>
      </c>
    </row>
    <row r="611">
      <c r="A611" t="inlineStr">
        <is>
          <t>Ana Carolina</t>
        </is>
      </c>
      <c r="B611" t="inlineStr">
        <is>
          <t>+5519982559181</t>
        </is>
      </c>
      <c r="C611" t="inlineStr">
        <is>
          <t>Refill</t>
        </is>
      </c>
      <c r="D611" t="inlineStr">
        <is>
          <t>Primer Cachos</t>
        </is>
      </c>
      <c r="E611" t="n">
        <v>1</v>
      </c>
      <c r="F611" t="inlineStr">
        <is>
          <t>2025-11-27</t>
        </is>
      </c>
      <c r="G611" t="n">
        <v>219</v>
      </c>
      <c r="H611" t="inlineStr">
        <is>
          <t>Y</t>
        </is>
      </c>
      <c r="I611">
        <f>HYPERLINK("https://admin.shopify.com/store/ge-beauty-cosmeticos/customers/9905456742720","abrir")</f>
        <v/>
      </c>
      <c r="J611">
        <f>HYPERLINK("https://www.gebeauty.com.br/products/primer-cachos-definidos?ref=review","review")</f>
        <v/>
      </c>
      <c r="K611" t="inlineStr">
        <is>
          <t>SEND</t>
        </is>
      </c>
    </row>
    <row r="612">
      <c r="A612" t="inlineStr">
        <is>
          <t>Cinthia</t>
        </is>
      </c>
      <c r="B612" t="inlineStr">
        <is>
          <t>+5511992196426</t>
        </is>
      </c>
      <c r="C612" t="inlineStr">
        <is>
          <t>Refill</t>
        </is>
      </c>
      <c r="D612" t="inlineStr">
        <is>
          <t>Primer Cachos</t>
        </is>
      </c>
      <c r="E612" t="n">
        <v>1</v>
      </c>
      <c r="F612" t="inlineStr">
        <is>
          <t>2025-11-27</t>
        </is>
      </c>
      <c r="G612" t="n">
        <v>219</v>
      </c>
      <c r="H612" t="inlineStr">
        <is>
          <t>Y</t>
        </is>
      </c>
      <c r="I612">
        <f>HYPERLINK("https://admin.shopify.com/store/ge-beauty-cosmeticos/customers/8245634695488","abrir")</f>
        <v/>
      </c>
      <c r="J612">
        <f>HYPERLINK("https://www.gebeauty.com.br/products/primer-cachos-definidos?ref=review","review")</f>
        <v/>
      </c>
      <c r="K612" t="inlineStr">
        <is>
          <t>SEND</t>
        </is>
      </c>
    </row>
    <row r="613">
      <c r="A613" t="inlineStr">
        <is>
          <t>Thaís</t>
        </is>
      </c>
      <c r="B613" t="inlineStr">
        <is>
          <t>+5516991832707</t>
        </is>
      </c>
      <c r="C613" t="inlineStr">
        <is>
          <t>Refill</t>
        </is>
      </c>
      <c r="D613" t="inlineStr">
        <is>
          <t>Primer Cachos</t>
        </is>
      </c>
      <c r="E613" t="n">
        <v>1</v>
      </c>
      <c r="F613" t="inlineStr">
        <is>
          <t>2025-11-27</t>
        </is>
      </c>
      <c r="G613" t="n">
        <v>219</v>
      </c>
      <c r="H613" t="inlineStr">
        <is>
          <t>Y</t>
        </is>
      </c>
      <c r="I613">
        <f>HYPERLINK("https://admin.shopify.com/store/ge-beauty-cosmeticos/customers/9904761831744","abrir")</f>
        <v/>
      </c>
      <c r="J613">
        <f>HYPERLINK("https://www.gebeauty.com.br/products/primer-cachos-definidos?ref=review","review")</f>
        <v/>
      </c>
      <c r="K613" t="inlineStr">
        <is>
          <t>SEND</t>
        </is>
      </c>
    </row>
    <row r="614">
      <c r="A614" t="inlineStr">
        <is>
          <t>Laleska</t>
        </is>
      </c>
      <c r="B614" t="inlineStr">
        <is>
          <t>+5511994365268</t>
        </is>
      </c>
      <c r="C614" t="inlineStr">
        <is>
          <t>Refill</t>
        </is>
      </c>
      <c r="D614" t="inlineStr">
        <is>
          <t>Primer Cachos</t>
        </is>
      </c>
      <c r="E614" t="n">
        <v>1</v>
      </c>
      <c r="F614" t="inlineStr">
        <is>
          <t>2025-11-27</t>
        </is>
      </c>
      <c r="G614" t="n">
        <v>219</v>
      </c>
      <c r="H614" t="inlineStr">
        <is>
          <t>Y</t>
        </is>
      </c>
      <c r="I614">
        <f>HYPERLINK("https://admin.shopify.com/store/ge-beauty-cosmeticos/customers/9905089708352","abrir")</f>
        <v/>
      </c>
      <c r="J614">
        <f>HYPERLINK("https://www.gebeauty.com.br/products/primer-cachos-definidos?ref=review","review")</f>
        <v/>
      </c>
      <c r="K614" t="inlineStr">
        <is>
          <t>SEND</t>
        </is>
      </c>
    </row>
    <row r="615">
      <c r="A615" t="inlineStr">
        <is>
          <t>Lisia</t>
        </is>
      </c>
      <c r="B615" t="inlineStr">
        <is>
          <t>+5521998552442</t>
        </is>
      </c>
      <c r="C615" t="inlineStr">
        <is>
          <t>Refill</t>
        </is>
      </c>
      <c r="D615" t="inlineStr">
        <is>
          <t>Primer Cachos</t>
        </is>
      </c>
      <c r="E615" t="n">
        <v>1</v>
      </c>
      <c r="F615" t="inlineStr">
        <is>
          <t>2025-11-27</t>
        </is>
      </c>
      <c r="G615" t="n">
        <v>219</v>
      </c>
      <c r="H615" t="inlineStr">
        <is>
          <t>Y</t>
        </is>
      </c>
      <c r="I615">
        <f>HYPERLINK("https://admin.shopify.com/store/ge-beauty-cosmeticos/customers/9486192902464","abrir")</f>
        <v/>
      </c>
      <c r="J615">
        <f>HYPERLINK("https://www.gebeauty.com.br/products/primer-cachos-definidos?ref=review","review")</f>
        <v/>
      </c>
      <c r="K615" t="inlineStr">
        <is>
          <t>SEND</t>
        </is>
      </c>
    </row>
    <row r="616">
      <c r="A616" t="inlineStr">
        <is>
          <t>Loren</t>
        </is>
      </c>
      <c r="B616" t="inlineStr">
        <is>
          <t>+5511950784091</t>
        </is>
      </c>
      <c r="C616" t="inlineStr">
        <is>
          <t>Refill</t>
        </is>
      </c>
      <c r="D616" t="inlineStr">
        <is>
          <t>Primer Cachos</t>
        </is>
      </c>
      <c r="E616" t="n">
        <v>1</v>
      </c>
      <c r="F616" t="inlineStr">
        <is>
          <t>2025-11-27</t>
        </is>
      </c>
      <c r="G616" t="n">
        <v>219</v>
      </c>
      <c r="H616" t="inlineStr">
        <is>
          <t>Y</t>
        </is>
      </c>
      <c r="I616">
        <f>HYPERLINK("https://admin.shopify.com/store/ge-beauty-cosmeticos/customers/8725368668480","abrir")</f>
        <v/>
      </c>
      <c r="J616">
        <f>HYPERLINK("https://www.gebeauty.com.br/products/primer-cachos-definidos?ref=review","review")</f>
        <v/>
      </c>
      <c r="K616" t="inlineStr">
        <is>
          <t>SEND</t>
        </is>
      </c>
    </row>
    <row r="617">
      <c r="A617" t="inlineStr">
        <is>
          <t>Carolina</t>
        </is>
      </c>
      <c r="B617" t="inlineStr">
        <is>
          <t>+5511982443848</t>
        </is>
      </c>
      <c r="C617" t="inlineStr">
        <is>
          <t>Refill</t>
        </is>
      </c>
      <c r="D617" t="inlineStr">
        <is>
          <t>Primer Cachos</t>
        </is>
      </c>
      <c r="E617" t="n">
        <v>1</v>
      </c>
      <c r="F617" t="inlineStr">
        <is>
          <t>2025-11-27</t>
        </is>
      </c>
      <c r="G617" t="n">
        <v>219</v>
      </c>
      <c r="H617" t="inlineStr">
        <is>
          <t>Y</t>
        </is>
      </c>
      <c r="I617">
        <f>HYPERLINK("https://admin.shopify.com/store/ge-beauty-cosmeticos/customers/9905918968128","abrir")</f>
        <v/>
      </c>
      <c r="J617">
        <f>HYPERLINK("https://www.gebeauty.com.br/products/primer-cachos-definidos?ref=review","review")</f>
        <v/>
      </c>
      <c r="K617" t="inlineStr">
        <is>
          <t>SEND</t>
        </is>
      </c>
    </row>
    <row r="618">
      <c r="A618" t="inlineStr">
        <is>
          <t>Alan</t>
        </is>
      </c>
      <c r="B618" t="inlineStr">
        <is>
          <t>+5561983049966</t>
        </is>
      </c>
      <c r="C618" t="inlineStr">
        <is>
          <t>Refill</t>
        </is>
      </c>
      <c r="D618" t="inlineStr">
        <is>
          <t>Primer Cachos</t>
        </is>
      </c>
      <c r="E618" t="n">
        <v>1</v>
      </c>
      <c r="F618" t="inlineStr">
        <is>
          <t>2025-11-27</t>
        </is>
      </c>
      <c r="G618" t="n">
        <v>219</v>
      </c>
      <c r="H618" t="inlineStr">
        <is>
          <t>Y</t>
        </is>
      </c>
      <c r="I618">
        <f>HYPERLINK("https://admin.shopify.com/store/ge-beauty-cosmeticos/customers/9906055151936","abrir")</f>
        <v/>
      </c>
      <c r="J618">
        <f>HYPERLINK("https://www.gebeauty.com.br/products/primer-cachos-definidos?ref=review","review")</f>
        <v/>
      </c>
      <c r="K618" t="inlineStr">
        <is>
          <t>SEND</t>
        </is>
      </c>
    </row>
    <row r="619">
      <c r="A619" t="inlineStr">
        <is>
          <t>Julia</t>
        </is>
      </c>
      <c r="B619" t="inlineStr">
        <is>
          <t>+5514996151180</t>
        </is>
      </c>
      <c r="C619" t="inlineStr">
        <is>
          <t>Refill</t>
        </is>
      </c>
      <c r="D619" t="inlineStr">
        <is>
          <t>Primer Cachos</t>
        </is>
      </c>
      <c r="E619" t="n">
        <v>1</v>
      </c>
      <c r="F619" t="inlineStr">
        <is>
          <t>2025-11-27</t>
        </is>
      </c>
      <c r="G619" t="n">
        <v>219</v>
      </c>
      <c r="H619" t="inlineStr">
        <is>
          <t>Y</t>
        </is>
      </c>
      <c r="I619">
        <f>HYPERLINK("https://admin.shopify.com/store/ge-beauty-cosmeticos/customers/8330221879616","abrir")</f>
        <v/>
      </c>
      <c r="J619">
        <f>HYPERLINK("https://www.gebeauty.com.br/products/primer-cachos-definidos?ref=review","review")</f>
        <v/>
      </c>
      <c r="K619" t="inlineStr">
        <is>
          <t>SEND</t>
        </is>
      </c>
    </row>
    <row r="620">
      <c r="A620" t="inlineStr">
        <is>
          <t>Karina</t>
        </is>
      </c>
      <c r="B620" t="inlineStr">
        <is>
          <t>+5519991344126</t>
        </is>
      </c>
      <c r="C620" t="inlineStr">
        <is>
          <t>Refill</t>
        </is>
      </c>
      <c r="D620" t="inlineStr">
        <is>
          <t>Primer Cachos</t>
        </is>
      </c>
      <c r="E620" t="n">
        <v>1</v>
      </c>
      <c r="F620" t="inlineStr">
        <is>
          <t>2025-11-27</t>
        </is>
      </c>
      <c r="G620" t="n">
        <v>219</v>
      </c>
      <c r="H620" t="inlineStr">
        <is>
          <t>Y</t>
        </is>
      </c>
      <c r="I620">
        <f>HYPERLINK("https://admin.shopify.com/store/ge-beauty-cosmeticos/customers/9858786787648","abrir")</f>
        <v/>
      </c>
      <c r="J620">
        <f>HYPERLINK("https://www.gebeauty.com.br/products/primer-cachos-definidos?ref=review","review")</f>
        <v/>
      </c>
      <c r="K620" t="inlineStr">
        <is>
          <t>SEND</t>
        </is>
      </c>
    </row>
    <row r="621">
      <c r="A621" t="inlineStr">
        <is>
          <t>Rayssa</t>
        </is>
      </c>
      <c r="B621" t="inlineStr">
        <is>
          <t>+5583999900130</t>
        </is>
      </c>
      <c r="C621" t="inlineStr">
        <is>
          <t>Refill</t>
        </is>
      </c>
      <c r="D621" t="inlineStr">
        <is>
          <t>Primer Cachos</t>
        </is>
      </c>
      <c r="E621" t="n">
        <v>1</v>
      </c>
      <c r="F621" t="inlineStr">
        <is>
          <t>2025-11-27</t>
        </is>
      </c>
      <c r="G621" t="n">
        <v>219</v>
      </c>
      <c r="H621" t="inlineStr">
        <is>
          <t>Y</t>
        </is>
      </c>
      <c r="I621">
        <f>HYPERLINK("https://admin.shopify.com/store/ge-beauty-cosmeticos/customers/9868177998144","abrir")</f>
        <v/>
      </c>
      <c r="J621">
        <f>HYPERLINK("https://www.gebeauty.com.br/products/primer-cachos-definidos?ref=review","review")</f>
        <v/>
      </c>
      <c r="K621" t="inlineStr">
        <is>
          <t>SEND</t>
        </is>
      </c>
    </row>
    <row r="622">
      <c r="A622" t="inlineStr">
        <is>
          <t>Heidi</t>
        </is>
      </c>
      <c r="B622" t="inlineStr">
        <is>
          <t>+5521999846252</t>
        </is>
      </c>
      <c r="C622" t="inlineStr">
        <is>
          <t>Refill</t>
        </is>
      </c>
      <c r="D622" t="inlineStr">
        <is>
          <t>Primer Cachos</t>
        </is>
      </c>
      <c r="E622" t="n">
        <v>1</v>
      </c>
      <c r="F622" t="inlineStr">
        <is>
          <t>2025-11-28</t>
        </is>
      </c>
      <c r="G622" t="n">
        <v>218</v>
      </c>
      <c r="H622" t="inlineStr">
        <is>
          <t>Y</t>
        </is>
      </c>
      <c r="I622">
        <f>HYPERLINK("https://admin.shopify.com/store/ge-beauty-cosmeticos/customers/9784944165184","abrir")</f>
        <v/>
      </c>
      <c r="J622">
        <f>HYPERLINK("https://www.gebeauty.com.br/products/primer-cachos-definidos?ref=review","review")</f>
        <v/>
      </c>
      <c r="K622" t="inlineStr">
        <is>
          <t>SEND</t>
        </is>
      </c>
    </row>
    <row r="623">
      <c r="A623" t="inlineStr">
        <is>
          <t>Barbara</t>
        </is>
      </c>
      <c r="B623" t="inlineStr">
        <is>
          <t>+5547988178448</t>
        </is>
      </c>
      <c r="C623" t="inlineStr">
        <is>
          <t>Refill</t>
        </is>
      </c>
      <c r="D623" t="inlineStr">
        <is>
          <t>Primer Cachos</t>
        </is>
      </c>
      <c r="E623" t="n">
        <v>1</v>
      </c>
      <c r="F623" t="inlineStr">
        <is>
          <t>2025-11-28</t>
        </is>
      </c>
      <c r="G623" t="n">
        <v>218</v>
      </c>
      <c r="H623" t="inlineStr">
        <is>
          <t>Y</t>
        </is>
      </c>
      <c r="I623">
        <f>HYPERLINK("https://admin.shopify.com/store/ge-beauty-cosmeticos/customers/9486332723520","abrir")</f>
        <v/>
      </c>
      <c r="J623">
        <f>HYPERLINK("https://www.gebeauty.com.br/products/primer-cachos-definidos?ref=review","review")</f>
        <v/>
      </c>
      <c r="K623" t="inlineStr">
        <is>
          <t>SEND</t>
        </is>
      </c>
    </row>
    <row r="624">
      <c r="A624" t="inlineStr">
        <is>
          <t>Priscila</t>
        </is>
      </c>
      <c r="B624" t="inlineStr">
        <is>
          <t>+5571992695887</t>
        </is>
      </c>
      <c r="C624" t="inlineStr">
        <is>
          <t>Refill</t>
        </is>
      </c>
      <c r="D624" t="inlineStr">
        <is>
          <t>Primer Cachos</t>
        </is>
      </c>
      <c r="E624" t="n">
        <v>1</v>
      </c>
      <c r="F624" t="inlineStr">
        <is>
          <t>2025-11-28</t>
        </is>
      </c>
      <c r="G624" t="n">
        <v>218</v>
      </c>
      <c r="H624" t="inlineStr">
        <is>
          <t>Y</t>
        </is>
      </c>
      <c r="I624">
        <f>HYPERLINK("https://admin.shopify.com/store/ge-beauty-cosmeticos/customers/9486268858688","abrir")</f>
        <v/>
      </c>
      <c r="J624">
        <f>HYPERLINK("https://www.gebeauty.com.br/products/primer-cachos-definidos?ref=review","review")</f>
        <v/>
      </c>
      <c r="K624" t="inlineStr">
        <is>
          <t>SEND</t>
        </is>
      </c>
    </row>
    <row r="625">
      <c r="A625" t="inlineStr">
        <is>
          <t>Thais</t>
        </is>
      </c>
      <c r="B625" t="inlineStr">
        <is>
          <t>+5511984874140</t>
        </is>
      </c>
      <c r="C625" t="inlineStr">
        <is>
          <t>Refill</t>
        </is>
      </c>
      <c r="D625" t="inlineStr">
        <is>
          <t>Primer Cachos</t>
        </is>
      </c>
      <c r="E625" t="n">
        <v>1</v>
      </c>
      <c r="F625" t="inlineStr">
        <is>
          <t>2025-11-28</t>
        </is>
      </c>
      <c r="G625" t="n">
        <v>218</v>
      </c>
      <c r="H625" t="inlineStr">
        <is>
          <t>N</t>
        </is>
      </c>
      <c r="I625">
        <f>HYPERLINK("https://admin.shopify.com/store/ge-beauty-cosmeticos/customers/9486498726208","abrir")</f>
        <v/>
      </c>
      <c r="J625">
        <f>HYPERLINK("https://www.gebeauty.com.br/products/primer-cachos-definidos?ref=review","review")</f>
        <v/>
      </c>
      <c r="K625" t="inlineStr">
        <is>
          <t>SEND</t>
        </is>
      </c>
    </row>
    <row r="626">
      <c r="A626" t="inlineStr">
        <is>
          <t>Thomas</t>
        </is>
      </c>
      <c r="B626" t="inlineStr">
        <is>
          <t>+5516199677790</t>
        </is>
      </c>
      <c r="C626" t="inlineStr">
        <is>
          <t>Refill</t>
        </is>
      </c>
      <c r="D626" t="inlineStr">
        <is>
          <t>Primer Cachos</t>
        </is>
      </c>
      <c r="E626" t="n">
        <v>1</v>
      </c>
      <c r="F626" t="inlineStr">
        <is>
          <t>2025-11-28</t>
        </is>
      </c>
      <c r="G626" t="n">
        <v>218</v>
      </c>
      <c r="H626" t="inlineStr">
        <is>
          <t>Y</t>
        </is>
      </c>
      <c r="I626">
        <f>HYPERLINK("https://admin.shopify.com/store/ge-beauty-cosmeticos/customers/9907063324992","abrir")</f>
        <v/>
      </c>
      <c r="J626">
        <f>HYPERLINK("https://www.gebeauty.com.br/products/primer-cachos-definidos?ref=review","review")</f>
        <v/>
      </c>
      <c r="K626" t="inlineStr">
        <is>
          <t>SEND</t>
        </is>
      </c>
    </row>
    <row r="627">
      <c r="A627" t="inlineStr">
        <is>
          <t>Bernardo</t>
        </is>
      </c>
      <c r="B627" t="inlineStr">
        <is>
          <t>+5531997325605</t>
        </is>
      </c>
      <c r="C627" t="inlineStr">
        <is>
          <t>Refill</t>
        </is>
      </c>
      <c r="D627" t="inlineStr">
        <is>
          <t>Primer Cachos</t>
        </is>
      </c>
      <c r="E627" t="n">
        <v>1</v>
      </c>
      <c r="F627" t="inlineStr">
        <is>
          <t>2025-11-28</t>
        </is>
      </c>
      <c r="G627" t="n">
        <v>218</v>
      </c>
      <c r="H627" t="inlineStr">
        <is>
          <t>Y</t>
        </is>
      </c>
      <c r="I627">
        <f>HYPERLINK("https://admin.shopify.com/store/ge-beauty-cosmeticos/customers/9907196330304","abrir")</f>
        <v/>
      </c>
      <c r="J627">
        <f>HYPERLINK("https://www.gebeauty.com.br/products/primer-cachos-definidos?ref=review","review")</f>
        <v/>
      </c>
      <c r="K627" t="inlineStr">
        <is>
          <t>SEND</t>
        </is>
      </c>
    </row>
    <row r="628">
      <c r="A628" t="inlineStr">
        <is>
          <t>Thiago</t>
        </is>
      </c>
      <c r="B628" t="inlineStr">
        <is>
          <t>+5581985660601</t>
        </is>
      </c>
      <c r="C628" t="inlineStr">
        <is>
          <t>Refill</t>
        </is>
      </c>
      <c r="D628" t="inlineStr">
        <is>
          <t>Primer Cachos</t>
        </is>
      </c>
      <c r="E628" t="n">
        <v>1</v>
      </c>
      <c r="F628" t="inlineStr">
        <is>
          <t>2025-11-28</t>
        </is>
      </c>
      <c r="G628" t="n">
        <v>218</v>
      </c>
      <c r="H628" t="inlineStr">
        <is>
          <t>Y</t>
        </is>
      </c>
      <c r="I628">
        <f>HYPERLINK("https://admin.shopify.com/store/ge-beauty-cosmeticos/customers/9844278001984","abrir")</f>
        <v/>
      </c>
      <c r="J628">
        <f>HYPERLINK("https://www.gebeauty.com.br/products/primer-cachos-definidos?ref=review","review")</f>
        <v/>
      </c>
      <c r="K628" t="inlineStr">
        <is>
          <t>SEND</t>
        </is>
      </c>
    </row>
    <row r="629">
      <c r="A629" t="inlineStr">
        <is>
          <t>Maria Clara</t>
        </is>
      </c>
      <c r="B629" t="inlineStr">
        <is>
          <t>+5581997556916</t>
        </is>
      </c>
      <c r="C629" t="inlineStr">
        <is>
          <t>Refill</t>
        </is>
      </c>
      <c r="D629" t="inlineStr">
        <is>
          <t>Primer Cachos</t>
        </is>
      </c>
      <c r="E629" t="n">
        <v>1</v>
      </c>
      <c r="F629" t="inlineStr">
        <is>
          <t>2025-11-28</t>
        </is>
      </c>
      <c r="G629" t="n">
        <v>218</v>
      </c>
      <c r="H629" t="inlineStr">
        <is>
          <t>Y</t>
        </is>
      </c>
      <c r="I629">
        <f>HYPERLINK("https://admin.shopify.com/store/ge-beauty-cosmeticos/customers/9898536796480","abrir")</f>
        <v/>
      </c>
      <c r="J629">
        <f>HYPERLINK("https://www.gebeauty.com.br/products/primer-cachos-definidos?ref=review","review")</f>
        <v/>
      </c>
      <c r="K629" t="inlineStr">
        <is>
          <t>HOLDOUT</t>
        </is>
      </c>
    </row>
    <row r="630">
      <c r="A630" t="inlineStr">
        <is>
          <t>Paula</t>
        </is>
      </c>
      <c r="B630" t="inlineStr">
        <is>
          <t>+5511973766484</t>
        </is>
      </c>
      <c r="C630" t="inlineStr">
        <is>
          <t>Refill</t>
        </is>
      </c>
      <c r="D630" t="inlineStr">
        <is>
          <t>Primer Cachos</t>
        </is>
      </c>
      <c r="E630" t="n">
        <v>1</v>
      </c>
      <c r="F630" t="inlineStr">
        <is>
          <t>2025-11-28</t>
        </is>
      </c>
      <c r="G630" t="n">
        <v>218</v>
      </c>
      <c r="H630" t="inlineStr">
        <is>
          <t>Y</t>
        </is>
      </c>
      <c r="I630">
        <f>HYPERLINK("https://admin.shopify.com/store/ge-beauty-cosmeticos/customers/9484603621696","abrir")</f>
        <v/>
      </c>
      <c r="J630">
        <f>HYPERLINK("https://www.gebeauty.com.br/products/primer-cachos-definidos?ref=review","review")</f>
        <v/>
      </c>
      <c r="K630" t="inlineStr">
        <is>
          <t>SEND</t>
        </is>
      </c>
    </row>
    <row r="631">
      <c r="A631" t="inlineStr">
        <is>
          <t>Maria Teresa</t>
        </is>
      </c>
      <c r="B631" t="inlineStr">
        <is>
          <t>+5582991055899</t>
        </is>
      </c>
      <c r="C631" t="inlineStr">
        <is>
          <t>Refill</t>
        </is>
      </c>
      <c r="D631" t="inlineStr">
        <is>
          <t>Primer Cachos</t>
        </is>
      </c>
      <c r="E631" t="n">
        <v>1</v>
      </c>
      <c r="F631" t="inlineStr">
        <is>
          <t>2025-11-28</t>
        </is>
      </c>
      <c r="G631" t="n">
        <v>218</v>
      </c>
      <c r="H631" t="inlineStr">
        <is>
          <t>Y</t>
        </is>
      </c>
      <c r="I631">
        <f>HYPERLINK("https://admin.shopify.com/store/ge-beauty-cosmeticos/customers/9907937608000","abrir")</f>
        <v/>
      </c>
      <c r="J631">
        <f>HYPERLINK("https://www.gebeauty.com.br/products/primer-cachos-definidos?ref=review","review")</f>
        <v/>
      </c>
      <c r="K631" t="inlineStr">
        <is>
          <t>SEND</t>
        </is>
      </c>
    </row>
    <row r="632">
      <c r="A632" t="inlineStr">
        <is>
          <t>Laura</t>
        </is>
      </c>
      <c r="B632" t="inlineStr">
        <is>
          <t>+5521988916332</t>
        </is>
      </c>
      <c r="C632" t="inlineStr">
        <is>
          <t>Refill</t>
        </is>
      </c>
      <c r="D632" t="inlineStr">
        <is>
          <t>Primer Cachos</t>
        </is>
      </c>
      <c r="E632" t="n">
        <v>1</v>
      </c>
      <c r="F632" t="inlineStr">
        <is>
          <t>2025-11-28</t>
        </is>
      </c>
      <c r="G632" t="n">
        <v>218</v>
      </c>
      <c r="H632" t="inlineStr">
        <is>
          <t>Y</t>
        </is>
      </c>
      <c r="I632">
        <f>HYPERLINK("https://admin.shopify.com/store/ge-beauty-cosmeticos/customers/9861314576704","abrir")</f>
        <v/>
      </c>
      <c r="J632">
        <f>HYPERLINK("https://www.gebeauty.com.br/products/primer-cachos-definidos?ref=review","review")</f>
        <v/>
      </c>
      <c r="K632" t="inlineStr">
        <is>
          <t>SEND</t>
        </is>
      </c>
    </row>
    <row r="633">
      <c r="A633" t="inlineStr">
        <is>
          <t>Julia</t>
        </is>
      </c>
      <c r="B633" t="inlineStr">
        <is>
          <t>+5519992355198</t>
        </is>
      </c>
      <c r="C633" t="inlineStr">
        <is>
          <t>Refill</t>
        </is>
      </c>
      <c r="D633" t="inlineStr">
        <is>
          <t>Primer Cachos</t>
        </is>
      </c>
      <c r="E633" t="n">
        <v>1</v>
      </c>
      <c r="F633" t="inlineStr">
        <is>
          <t>2025-11-28</t>
        </is>
      </c>
      <c r="G633" t="n">
        <v>218</v>
      </c>
      <c r="H633" t="inlineStr">
        <is>
          <t>Y</t>
        </is>
      </c>
      <c r="I633">
        <f>HYPERLINK("https://admin.shopify.com/store/ge-beauty-cosmeticos/customers/9781596062016","abrir")</f>
        <v/>
      </c>
      <c r="J633">
        <f>HYPERLINK("https://www.gebeauty.com.br/products/primer-cachos-definidos?ref=review","review")</f>
        <v/>
      </c>
      <c r="K633" t="inlineStr">
        <is>
          <t>SEND</t>
        </is>
      </c>
    </row>
    <row r="634">
      <c r="A634" t="inlineStr">
        <is>
          <t>Amábille</t>
        </is>
      </c>
      <c r="B634" t="inlineStr">
        <is>
          <t>+5511947145035</t>
        </is>
      </c>
      <c r="C634" t="inlineStr">
        <is>
          <t>Refill</t>
        </is>
      </c>
      <c r="D634" t="inlineStr">
        <is>
          <t>Primer Cachos</t>
        </is>
      </c>
      <c r="E634" t="n">
        <v>1</v>
      </c>
      <c r="F634" t="inlineStr">
        <is>
          <t>2025-11-28</t>
        </is>
      </c>
      <c r="G634" t="n">
        <v>218</v>
      </c>
      <c r="H634" t="inlineStr">
        <is>
          <t>Y</t>
        </is>
      </c>
      <c r="I634">
        <f>HYPERLINK("https://admin.shopify.com/store/ge-beauty-cosmeticos/customers/7761280106816","abrir")</f>
        <v/>
      </c>
      <c r="J634">
        <f>HYPERLINK("https://www.gebeauty.com.br/products/primer-cachos-definidos?ref=review","review")</f>
        <v/>
      </c>
      <c r="K634" t="inlineStr">
        <is>
          <t>SEND</t>
        </is>
      </c>
    </row>
    <row r="635">
      <c r="A635" t="inlineStr">
        <is>
          <t>Patricia</t>
        </is>
      </c>
      <c r="B635" t="inlineStr">
        <is>
          <t>+5541987720827</t>
        </is>
      </c>
      <c r="C635" t="inlineStr">
        <is>
          <t>Refill</t>
        </is>
      </c>
      <c r="D635" t="inlineStr">
        <is>
          <t>Primer Cachos</t>
        </is>
      </c>
      <c r="E635" t="n">
        <v>1</v>
      </c>
      <c r="F635" t="inlineStr">
        <is>
          <t>2025-11-28</t>
        </is>
      </c>
      <c r="G635" t="n">
        <v>218</v>
      </c>
      <c r="H635" t="inlineStr">
        <is>
          <t>Y</t>
        </is>
      </c>
      <c r="I635">
        <f>HYPERLINK("https://admin.shopify.com/store/ge-beauty-cosmeticos/customers/8904577450304","abrir")</f>
        <v/>
      </c>
      <c r="J635">
        <f>HYPERLINK("https://www.gebeauty.com.br/products/primer-cachos-definidos?ref=review","review")</f>
        <v/>
      </c>
      <c r="K635" t="inlineStr">
        <is>
          <t>SEND</t>
        </is>
      </c>
    </row>
    <row r="636">
      <c r="A636" t="inlineStr">
        <is>
          <t>Daniela</t>
        </is>
      </c>
      <c r="B636" t="inlineStr">
        <is>
          <t>+5581992325906</t>
        </is>
      </c>
      <c r="C636" t="inlineStr">
        <is>
          <t>Refill</t>
        </is>
      </c>
      <c r="D636" t="inlineStr">
        <is>
          <t>Primer Cachos</t>
        </is>
      </c>
      <c r="E636" t="n">
        <v>1</v>
      </c>
      <c r="F636" t="inlineStr">
        <is>
          <t>2025-11-28</t>
        </is>
      </c>
      <c r="G636" t="n">
        <v>218</v>
      </c>
      <c r="H636" t="inlineStr">
        <is>
          <t>Y</t>
        </is>
      </c>
      <c r="I636">
        <f>HYPERLINK("https://admin.shopify.com/store/ge-beauty-cosmeticos/customers/9768024736064","abrir")</f>
        <v/>
      </c>
      <c r="J636">
        <f>HYPERLINK("https://www.gebeauty.com.br/products/primer-cachos-definidos?ref=review","review")</f>
        <v/>
      </c>
      <c r="K636" t="inlineStr">
        <is>
          <t>SEND</t>
        </is>
      </c>
    </row>
    <row r="637">
      <c r="A637" t="inlineStr">
        <is>
          <t>Patrícia</t>
        </is>
      </c>
      <c r="B637" t="inlineStr">
        <is>
          <t>+5511989495952</t>
        </is>
      </c>
      <c r="C637" t="inlineStr">
        <is>
          <t>Refill</t>
        </is>
      </c>
      <c r="D637" t="inlineStr">
        <is>
          <t>Primer Cachos</t>
        </is>
      </c>
      <c r="E637" t="n">
        <v>1</v>
      </c>
      <c r="F637" t="inlineStr">
        <is>
          <t>2025-11-28</t>
        </is>
      </c>
      <c r="G637" t="n">
        <v>218</v>
      </c>
      <c r="H637" t="inlineStr">
        <is>
          <t>Y</t>
        </is>
      </c>
      <c r="I637">
        <f>HYPERLINK("https://admin.shopify.com/store/ge-beauty-cosmeticos/customers/9908013433152","abrir")</f>
        <v/>
      </c>
      <c r="J637">
        <f>HYPERLINK("https://www.gebeauty.com.br/products/primer-cachos-definidos?ref=review","review")</f>
        <v/>
      </c>
      <c r="K637" t="inlineStr">
        <is>
          <t>SEND</t>
        </is>
      </c>
    </row>
    <row r="638">
      <c r="A638" t="inlineStr">
        <is>
          <t>Flávia</t>
        </is>
      </c>
      <c r="B638" t="inlineStr">
        <is>
          <t>+5511986287003</t>
        </is>
      </c>
      <c r="C638" t="inlineStr">
        <is>
          <t>Refill</t>
        </is>
      </c>
      <c r="D638" t="inlineStr">
        <is>
          <t>Primer Cachos</t>
        </is>
      </c>
      <c r="E638" t="n">
        <v>1</v>
      </c>
      <c r="F638" t="inlineStr">
        <is>
          <t>2025-11-28</t>
        </is>
      </c>
      <c r="G638" t="n">
        <v>218</v>
      </c>
      <c r="H638" t="inlineStr">
        <is>
          <t>Y</t>
        </is>
      </c>
      <c r="I638">
        <f>HYPERLINK("https://admin.shopify.com/store/ge-beauty-cosmeticos/customers/7761846206784","abrir")</f>
        <v/>
      </c>
      <c r="J638">
        <f>HYPERLINK("https://www.gebeauty.com.br/products/primer-cachos-definidos?ref=review","review")</f>
        <v/>
      </c>
      <c r="K638" t="inlineStr">
        <is>
          <t>SEND</t>
        </is>
      </c>
    </row>
    <row r="639">
      <c r="A639" t="inlineStr">
        <is>
          <t>Marcela</t>
        </is>
      </c>
      <c r="B639" t="inlineStr">
        <is>
          <t>+5571999670553</t>
        </is>
      </c>
      <c r="C639" t="inlineStr">
        <is>
          <t>Refill</t>
        </is>
      </c>
      <c r="D639" t="inlineStr">
        <is>
          <t>Primer Cachos</t>
        </is>
      </c>
      <c r="E639" t="n">
        <v>1</v>
      </c>
      <c r="F639" t="inlineStr">
        <is>
          <t>2025-11-28</t>
        </is>
      </c>
      <c r="G639" t="n">
        <v>218</v>
      </c>
      <c r="H639" t="inlineStr">
        <is>
          <t>Y</t>
        </is>
      </c>
      <c r="I639">
        <f>HYPERLINK("https://admin.shopify.com/store/ge-beauty-cosmeticos/customers/9908358054208","abrir")</f>
        <v/>
      </c>
      <c r="J639">
        <f>HYPERLINK("https://www.gebeauty.com.br/products/primer-cachos-definidos?ref=review","review")</f>
        <v/>
      </c>
      <c r="K639" t="inlineStr">
        <is>
          <t>SEND</t>
        </is>
      </c>
    </row>
    <row r="640">
      <c r="A640" t="inlineStr">
        <is>
          <t>Simone</t>
        </is>
      </c>
      <c r="B640" t="inlineStr">
        <is>
          <t>+5531997175827</t>
        </is>
      </c>
      <c r="C640" t="inlineStr">
        <is>
          <t>Refill</t>
        </is>
      </c>
      <c r="D640" t="inlineStr">
        <is>
          <t>Primer Cachos</t>
        </is>
      </c>
      <c r="E640" t="n">
        <v>1</v>
      </c>
      <c r="F640" t="inlineStr">
        <is>
          <t>2025-11-28</t>
        </is>
      </c>
      <c r="G640" t="n">
        <v>218</v>
      </c>
      <c r="H640" t="inlineStr">
        <is>
          <t>Y</t>
        </is>
      </c>
      <c r="I640">
        <f>HYPERLINK("https://admin.shopify.com/store/ge-beauty-cosmeticos/customers/9896464318784","abrir")</f>
        <v/>
      </c>
      <c r="J640">
        <f>HYPERLINK("https://www.gebeauty.com.br/products/primer-cachos-definidos?ref=review","review")</f>
        <v/>
      </c>
      <c r="K640" t="inlineStr">
        <is>
          <t>SEND</t>
        </is>
      </c>
    </row>
    <row r="641">
      <c r="A641" t="inlineStr">
        <is>
          <t>Ellen</t>
        </is>
      </c>
      <c r="B641" t="inlineStr">
        <is>
          <t>+5511948123677</t>
        </is>
      </c>
      <c r="C641" t="inlineStr">
        <is>
          <t>Refill</t>
        </is>
      </c>
      <c r="D641" t="inlineStr">
        <is>
          <t>Primer Cachos</t>
        </is>
      </c>
      <c r="E641" t="n">
        <v>1</v>
      </c>
      <c r="F641" t="inlineStr">
        <is>
          <t>2025-11-28</t>
        </is>
      </c>
      <c r="G641" t="n">
        <v>218</v>
      </c>
      <c r="H641" t="inlineStr">
        <is>
          <t>Y</t>
        </is>
      </c>
      <c r="I641">
        <f>HYPERLINK("https://admin.shopify.com/store/ge-beauty-cosmeticos/customers/9901297434944","abrir")</f>
        <v/>
      </c>
      <c r="J641">
        <f>HYPERLINK("https://www.gebeauty.com.br/products/primer-cachos-definidos?ref=review","review")</f>
        <v/>
      </c>
      <c r="K641" t="inlineStr">
        <is>
          <t>SEND</t>
        </is>
      </c>
    </row>
    <row r="642">
      <c r="A642" t="inlineStr">
        <is>
          <t>Amanda</t>
        </is>
      </c>
      <c r="B642" t="inlineStr">
        <is>
          <t>+5511944024786</t>
        </is>
      </c>
      <c r="C642" t="inlineStr">
        <is>
          <t>Refill</t>
        </is>
      </c>
      <c r="D642" t="inlineStr">
        <is>
          <t>Primer Cachos</t>
        </is>
      </c>
      <c r="E642" t="n">
        <v>1</v>
      </c>
      <c r="F642" t="inlineStr">
        <is>
          <t>2025-11-28</t>
        </is>
      </c>
      <c r="G642" t="n">
        <v>218</v>
      </c>
      <c r="H642" t="inlineStr">
        <is>
          <t>Y</t>
        </is>
      </c>
      <c r="I642">
        <f>HYPERLINK("https://admin.shopify.com/store/ge-beauty-cosmeticos/customers/9824710885696","abrir")</f>
        <v/>
      </c>
      <c r="J642">
        <f>HYPERLINK("https://www.gebeauty.com.br/products/primer-cachos-definidos?ref=review","review")</f>
        <v/>
      </c>
      <c r="K642" t="inlineStr">
        <is>
          <t>SEND</t>
        </is>
      </c>
    </row>
    <row r="643">
      <c r="A643" t="inlineStr">
        <is>
          <t>Caroline</t>
        </is>
      </c>
      <c r="B643" t="inlineStr">
        <is>
          <t>+5511930364553</t>
        </is>
      </c>
      <c r="C643" t="inlineStr">
        <is>
          <t>Refill</t>
        </is>
      </c>
      <c r="D643" t="inlineStr">
        <is>
          <t>Primer Cachos</t>
        </is>
      </c>
      <c r="E643" t="n">
        <v>1</v>
      </c>
      <c r="F643" t="inlineStr">
        <is>
          <t>2025-11-28</t>
        </is>
      </c>
      <c r="G643" t="n">
        <v>218</v>
      </c>
      <c r="H643" t="inlineStr">
        <is>
          <t>Y</t>
        </is>
      </c>
      <c r="I643">
        <f>HYPERLINK("https://admin.shopify.com/store/ge-beauty-cosmeticos/customers/9896491155776","abrir")</f>
        <v/>
      </c>
      <c r="J643">
        <f>HYPERLINK("https://www.gebeauty.com.br/products/primer-cachos-definidos?ref=review","review")</f>
        <v/>
      </c>
      <c r="K643" t="inlineStr">
        <is>
          <t>SEND</t>
        </is>
      </c>
    </row>
    <row r="644">
      <c r="A644" t="inlineStr">
        <is>
          <t>Gabriela</t>
        </is>
      </c>
      <c r="B644" t="inlineStr">
        <is>
          <t>+5511983114150</t>
        </is>
      </c>
      <c r="C644" t="inlineStr">
        <is>
          <t>Refill</t>
        </is>
      </c>
      <c r="D644" t="inlineStr">
        <is>
          <t>Primer Cachos</t>
        </is>
      </c>
      <c r="E644" t="n">
        <v>1</v>
      </c>
      <c r="F644" t="inlineStr">
        <is>
          <t>2025-11-28</t>
        </is>
      </c>
      <c r="G644" t="n">
        <v>218</v>
      </c>
      <c r="H644" t="inlineStr">
        <is>
          <t>Y</t>
        </is>
      </c>
      <c r="I644">
        <f>HYPERLINK("https://admin.shopify.com/store/ge-beauty-cosmeticos/customers/9486595359040","abrir")</f>
        <v/>
      </c>
      <c r="J644">
        <f>HYPERLINK("https://www.gebeauty.com.br/products/primer-cachos-definidos?ref=review","review")</f>
        <v/>
      </c>
      <c r="K644" t="inlineStr">
        <is>
          <t>SEND</t>
        </is>
      </c>
    </row>
    <row r="645">
      <c r="A645" t="inlineStr">
        <is>
          <t>Bruno</t>
        </is>
      </c>
      <c r="B645" t="inlineStr">
        <is>
          <t>+5585988926615</t>
        </is>
      </c>
      <c r="C645" t="inlineStr">
        <is>
          <t>Refill</t>
        </is>
      </c>
      <c r="D645" t="inlineStr">
        <is>
          <t>Primer Cachos</t>
        </is>
      </c>
      <c r="E645" t="n">
        <v>1</v>
      </c>
      <c r="F645" t="inlineStr">
        <is>
          <t>2025-11-28</t>
        </is>
      </c>
      <c r="G645" t="n">
        <v>218</v>
      </c>
      <c r="H645" t="inlineStr">
        <is>
          <t>Y</t>
        </is>
      </c>
      <c r="I645">
        <f>HYPERLINK("https://admin.shopify.com/store/ge-beauty-cosmeticos/customers/9908920680768","abrir")</f>
        <v/>
      </c>
      <c r="J645">
        <f>HYPERLINK("https://www.gebeauty.com.br/products/primer-cachos-definidos?ref=review","review")</f>
        <v/>
      </c>
      <c r="K645" t="inlineStr">
        <is>
          <t>SEND</t>
        </is>
      </c>
    </row>
    <row r="646">
      <c r="A646" t="inlineStr">
        <is>
          <t>Amanda</t>
        </is>
      </c>
      <c r="B646" t="inlineStr">
        <is>
          <t>+5511991363521</t>
        </is>
      </c>
      <c r="C646" t="inlineStr">
        <is>
          <t>Refill</t>
        </is>
      </c>
      <c r="D646" t="inlineStr">
        <is>
          <t>Primer Cachos</t>
        </is>
      </c>
      <c r="E646" t="n">
        <v>1</v>
      </c>
      <c r="F646" t="inlineStr">
        <is>
          <t>2025-11-28</t>
        </is>
      </c>
      <c r="G646" t="n">
        <v>218</v>
      </c>
      <c r="H646" t="inlineStr">
        <is>
          <t>Y</t>
        </is>
      </c>
      <c r="I646">
        <f>HYPERLINK("https://admin.shopify.com/store/ge-beauty-cosmeticos/customers/9485048119616","abrir")</f>
        <v/>
      </c>
      <c r="J646">
        <f>HYPERLINK("https://www.gebeauty.com.br/products/primer-cachos-definidos?ref=review","review")</f>
        <v/>
      </c>
      <c r="K646" t="inlineStr">
        <is>
          <t>SEND</t>
        </is>
      </c>
    </row>
    <row r="647">
      <c r="A647" t="inlineStr">
        <is>
          <t>Vanderleia</t>
        </is>
      </c>
      <c r="B647" t="inlineStr">
        <is>
          <t>+5511987547197</t>
        </is>
      </c>
      <c r="C647" t="inlineStr">
        <is>
          <t>Refill</t>
        </is>
      </c>
      <c r="D647" t="inlineStr">
        <is>
          <t>Primer Cachos</t>
        </is>
      </c>
      <c r="E647" t="n">
        <v>1</v>
      </c>
      <c r="F647" t="inlineStr">
        <is>
          <t>2025-11-28</t>
        </is>
      </c>
      <c r="G647" t="n">
        <v>218</v>
      </c>
      <c r="H647" t="inlineStr">
        <is>
          <t>Y</t>
        </is>
      </c>
      <c r="I647">
        <f>HYPERLINK("https://admin.shopify.com/store/ge-beauty-cosmeticos/customers/9909174042944","abrir")</f>
        <v/>
      </c>
      <c r="J647">
        <f>HYPERLINK("https://www.gebeauty.com.br/products/primer-cachos-definidos?ref=review","review")</f>
        <v/>
      </c>
      <c r="K647" t="inlineStr">
        <is>
          <t>SEND</t>
        </is>
      </c>
    </row>
    <row r="648">
      <c r="A648" t="inlineStr">
        <is>
          <t>Catarina</t>
        </is>
      </c>
      <c r="B648" t="inlineStr">
        <is>
          <t>+5581999276620</t>
        </is>
      </c>
      <c r="C648" t="inlineStr">
        <is>
          <t>Refill</t>
        </is>
      </c>
      <c r="D648" t="inlineStr">
        <is>
          <t>Primer Cachos</t>
        </is>
      </c>
      <c r="E648" t="n">
        <v>1</v>
      </c>
      <c r="F648" t="inlineStr">
        <is>
          <t>2025-11-28</t>
        </is>
      </c>
      <c r="G648" t="n">
        <v>218</v>
      </c>
      <c r="H648" t="inlineStr">
        <is>
          <t>Y</t>
        </is>
      </c>
      <c r="I648">
        <f>HYPERLINK("https://admin.shopify.com/store/ge-beauty-cosmeticos/customers/8834942435648","abrir")</f>
        <v/>
      </c>
      <c r="J648">
        <f>HYPERLINK("https://www.gebeauty.com.br/products/primer-cachos-definidos?ref=review","review")</f>
        <v/>
      </c>
      <c r="K648" t="inlineStr">
        <is>
          <t>SEND</t>
        </is>
      </c>
    </row>
    <row r="649">
      <c r="A649" t="inlineStr">
        <is>
          <t>Priscila</t>
        </is>
      </c>
      <c r="B649" t="inlineStr">
        <is>
          <t>+5564981372434</t>
        </is>
      </c>
      <c r="C649" t="inlineStr">
        <is>
          <t>Refill</t>
        </is>
      </c>
      <c r="D649" t="inlineStr">
        <is>
          <t>Primer Cachos</t>
        </is>
      </c>
      <c r="E649" t="n">
        <v>1</v>
      </c>
      <c r="F649" t="inlineStr">
        <is>
          <t>2025-11-28</t>
        </is>
      </c>
      <c r="G649" t="n">
        <v>218</v>
      </c>
      <c r="H649" t="inlineStr">
        <is>
          <t>Y</t>
        </is>
      </c>
      <c r="I649">
        <f>HYPERLINK("https://admin.shopify.com/store/ge-beauty-cosmeticos/customers/9909309866304","abrir")</f>
        <v/>
      </c>
      <c r="J649">
        <f>HYPERLINK("https://www.gebeauty.com.br/products/primer-cachos-definidos?ref=review","review")</f>
        <v/>
      </c>
      <c r="K649" t="inlineStr">
        <is>
          <t>SEND</t>
        </is>
      </c>
    </row>
    <row r="650">
      <c r="A650" t="inlineStr">
        <is>
          <t>Layla</t>
        </is>
      </c>
      <c r="B650" t="inlineStr">
        <is>
          <t>+5561998352508</t>
        </is>
      </c>
      <c r="C650" t="inlineStr">
        <is>
          <t>Refill</t>
        </is>
      </c>
      <c r="D650" t="inlineStr">
        <is>
          <t>Primer Cachos</t>
        </is>
      </c>
      <c r="E650" t="n">
        <v>1</v>
      </c>
      <c r="F650" t="inlineStr">
        <is>
          <t>2025-11-28</t>
        </is>
      </c>
      <c r="G650" t="n">
        <v>218</v>
      </c>
      <c r="H650" t="inlineStr">
        <is>
          <t>Y</t>
        </is>
      </c>
      <c r="I650">
        <f>HYPERLINK("https://admin.shopify.com/store/ge-beauty-cosmeticos/customers/7761753538880","abrir")</f>
        <v/>
      </c>
      <c r="J650">
        <f>HYPERLINK("https://www.gebeauty.com.br/products/primer-cachos-definidos?ref=review","review")</f>
        <v/>
      </c>
      <c r="K650" t="inlineStr">
        <is>
          <t>SEND</t>
        </is>
      </c>
    </row>
    <row r="651">
      <c r="A651" t="inlineStr">
        <is>
          <t>Mariana</t>
        </is>
      </c>
      <c r="B651" t="inlineStr">
        <is>
          <t>+5531991202103</t>
        </is>
      </c>
      <c r="C651" t="inlineStr">
        <is>
          <t>Refill</t>
        </is>
      </c>
      <c r="D651" t="inlineStr">
        <is>
          <t>Primer Cachos</t>
        </is>
      </c>
      <c r="E651" t="n">
        <v>1</v>
      </c>
      <c r="F651" t="inlineStr">
        <is>
          <t>2025-11-28</t>
        </is>
      </c>
      <c r="G651" t="n">
        <v>218</v>
      </c>
      <c r="H651" t="inlineStr">
        <is>
          <t>Y</t>
        </is>
      </c>
      <c r="I651">
        <f>HYPERLINK("https://admin.shopify.com/store/ge-beauty-cosmeticos/customers/9881729958208","abrir")</f>
        <v/>
      </c>
      <c r="J651">
        <f>HYPERLINK("https://www.gebeauty.com.br/products/primer-cachos-definidos?ref=review","review")</f>
        <v/>
      </c>
      <c r="K651" t="inlineStr">
        <is>
          <t>SEND</t>
        </is>
      </c>
    </row>
    <row r="652">
      <c r="A652" t="inlineStr">
        <is>
          <t>Cristiane</t>
        </is>
      </c>
      <c r="B652" t="inlineStr">
        <is>
          <t>+5511996299691</t>
        </is>
      </c>
      <c r="C652" t="inlineStr">
        <is>
          <t>Refill</t>
        </is>
      </c>
      <c r="D652" t="inlineStr">
        <is>
          <t>Primer Cachos</t>
        </is>
      </c>
      <c r="E652" t="n">
        <v>1</v>
      </c>
      <c r="F652" t="inlineStr">
        <is>
          <t>2025-11-28</t>
        </is>
      </c>
      <c r="G652" t="n">
        <v>218</v>
      </c>
      <c r="H652" t="inlineStr">
        <is>
          <t>Y</t>
        </is>
      </c>
      <c r="I652">
        <f>HYPERLINK("https://admin.shopify.com/store/ge-beauty-cosmeticos/customers/7760917070144","abrir")</f>
        <v/>
      </c>
      <c r="J652">
        <f>HYPERLINK("https://www.gebeauty.com.br/products/primer-cachos-definidos?ref=review","review")</f>
        <v/>
      </c>
      <c r="K652" t="inlineStr">
        <is>
          <t>SEND</t>
        </is>
      </c>
    </row>
    <row r="653">
      <c r="A653" t="inlineStr">
        <is>
          <t>Camila</t>
        </is>
      </c>
      <c r="B653" t="inlineStr">
        <is>
          <t>+5517981265169</t>
        </is>
      </c>
      <c r="C653" t="inlineStr">
        <is>
          <t>Refill</t>
        </is>
      </c>
      <c r="D653" t="inlineStr">
        <is>
          <t>Primer Cachos</t>
        </is>
      </c>
      <c r="E653" t="n">
        <v>1</v>
      </c>
      <c r="F653" t="inlineStr">
        <is>
          <t>2025-11-28</t>
        </is>
      </c>
      <c r="G653" t="n">
        <v>218</v>
      </c>
      <c r="H653" t="inlineStr">
        <is>
          <t>Y</t>
        </is>
      </c>
      <c r="I653">
        <f>HYPERLINK("https://admin.shopify.com/store/ge-beauty-cosmeticos/customers/8229924438336","abrir")</f>
        <v/>
      </c>
      <c r="J653">
        <f>HYPERLINK("https://www.gebeauty.com.br/products/primer-cachos-definidos?ref=review","review")</f>
        <v/>
      </c>
      <c r="K653" t="inlineStr">
        <is>
          <t>SEND</t>
        </is>
      </c>
    </row>
    <row r="654">
      <c r="A654" t="inlineStr">
        <is>
          <t>Camila</t>
        </is>
      </c>
      <c r="B654" t="inlineStr">
        <is>
          <t>+5511974630056</t>
        </is>
      </c>
      <c r="C654" t="inlineStr">
        <is>
          <t>Refill</t>
        </is>
      </c>
      <c r="D654" t="inlineStr">
        <is>
          <t>Primer Cachos</t>
        </is>
      </c>
      <c r="E654" t="n">
        <v>1</v>
      </c>
      <c r="F654" t="inlineStr">
        <is>
          <t>2025-11-28</t>
        </is>
      </c>
      <c r="G654" t="n">
        <v>218</v>
      </c>
      <c r="H654" t="inlineStr">
        <is>
          <t>Y</t>
        </is>
      </c>
      <c r="I654">
        <f>HYPERLINK("https://admin.shopify.com/store/ge-beauty-cosmeticos/customers/9909508997440","abrir")</f>
        <v/>
      </c>
      <c r="J654">
        <f>HYPERLINK("https://www.gebeauty.com.br/products/primer-cachos-definidos?ref=review","review")</f>
        <v/>
      </c>
      <c r="K654" t="inlineStr">
        <is>
          <t>HOLDOUT</t>
        </is>
      </c>
    </row>
    <row r="655">
      <c r="A655" t="inlineStr">
        <is>
          <t>Fernanda</t>
        </is>
      </c>
      <c r="B655" t="inlineStr">
        <is>
          <t>+5571999654503</t>
        </is>
      </c>
      <c r="C655" t="inlineStr">
        <is>
          <t>Refill</t>
        </is>
      </c>
      <c r="D655" t="inlineStr">
        <is>
          <t>Primer Cachos</t>
        </is>
      </c>
      <c r="E655" t="n">
        <v>1</v>
      </c>
      <c r="F655" t="inlineStr">
        <is>
          <t>2025-11-28</t>
        </is>
      </c>
      <c r="G655" t="n">
        <v>218</v>
      </c>
      <c r="H655" t="inlineStr">
        <is>
          <t>Y</t>
        </is>
      </c>
      <c r="I655">
        <f>HYPERLINK("https://admin.shopify.com/store/ge-beauty-cosmeticos/customers/9486033158464","abrir")</f>
        <v/>
      </c>
      <c r="J655">
        <f>HYPERLINK("https://www.gebeauty.com.br/products/primer-cachos-definidos?ref=review","review")</f>
        <v/>
      </c>
      <c r="K655" t="inlineStr">
        <is>
          <t>SEND</t>
        </is>
      </c>
    </row>
    <row r="656">
      <c r="A656" t="inlineStr">
        <is>
          <t>Lilian</t>
        </is>
      </c>
      <c r="B656" t="inlineStr">
        <is>
          <t>+5513997879905</t>
        </is>
      </c>
      <c r="C656" t="inlineStr">
        <is>
          <t>Refill</t>
        </is>
      </c>
      <c r="D656" t="inlineStr">
        <is>
          <t>Primer Cachos</t>
        </is>
      </c>
      <c r="E656" t="n">
        <v>1</v>
      </c>
      <c r="F656" t="inlineStr">
        <is>
          <t>2025-11-28</t>
        </is>
      </c>
      <c r="G656" t="n">
        <v>218</v>
      </c>
      <c r="H656" t="inlineStr">
        <is>
          <t>Y</t>
        </is>
      </c>
      <c r="I656">
        <f>HYPERLINK("https://admin.shopify.com/store/ge-beauty-cosmeticos/customers/8908284592448","abrir")</f>
        <v/>
      </c>
      <c r="J656">
        <f>HYPERLINK("https://www.gebeauty.com.br/products/primer-cachos-definidos?ref=review","review")</f>
        <v/>
      </c>
      <c r="K656" t="inlineStr">
        <is>
          <t>SEND</t>
        </is>
      </c>
    </row>
    <row r="657">
      <c r="A657" t="inlineStr">
        <is>
          <t>Luísa</t>
        </is>
      </c>
      <c r="B657" t="inlineStr">
        <is>
          <t>+5561981183948</t>
        </is>
      </c>
      <c r="C657" t="inlineStr">
        <is>
          <t>Refill</t>
        </is>
      </c>
      <c r="D657" t="inlineStr">
        <is>
          <t>Primer Cachos</t>
        </is>
      </c>
      <c r="E657" t="n">
        <v>1</v>
      </c>
      <c r="F657" t="inlineStr">
        <is>
          <t>2025-11-28</t>
        </is>
      </c>
      <c r="G657" t="n">
        <v>218</v>
      </c>
      <c r="H657" t="inlineStr">
        <is>
          <t>Y</t>
        </is>
      </c>
      <c r="I657">
        <f>HYPERLINK("https://admin.shopify.com/store/ge-beauty-cosmeticos/customers/7761516396864","abrir")</f>
        <v/>
      </c>
      <c r="J657">
        <f>HYPERLINK("https://www.gebeauty.com.br/products/primer-cachos-definidos?ref=review","review")</f>
        <v/>
      </c>
      <c r="K657" t="inlineStr">
        <is>
          <t>SEND</t>
        </is>
      </c>
    </row>
    <row r="658">
      <c r="A658" t="inlineStr">
        <is>
          <t>Paloma</t>
        </is>
      </c>
      <c r="B658" t="inlineStr">
        <is>
          <t>+5581986047533</t>
        </is>
      </c>
      <c r="C658" t="inlineStr">
        <is>
          <t>Refill</t>
        </is>
      </c>
      <c r="D658" t="inlineStr">
        <is>
          <t>Primer Cachos</t>
        </is>
      </c>
      <c r="E658" t="n">
        <v>1</v>
      </c>
      <c r="F658" t="inlineStr">
        <is>
          <t>2025-11-28</t>
        </is>
      </c>
      <c r="G658" t="n">
        <v>218</v>
      </c>
      <c r="H658" t="inlineStr">
        <is>
          <t>Y</t>
        </is>
      </c>
      <c r="I658">
        <f>HYPERLINK("https://admin.shopify.com/store/ge-beauty-cosmeticos/customers/8894692393280","abrir")</f>
        <v/>
      </c>
      <c r="J658">
        <f>HYPERLINK("https://www.gebeauty.com.br/products/primer-cachos-definidos?ref=review","review")</f>
        <v/>
      </c>
      <c r="K658" t="inlineStr">
        <is>
          <t>SEND</t>
        </is>
      </c>
    </row>
    <row r="659">
      <c r="A659" t="inlineStr">
        <is>
          <t>Taísa</t>
        </is>
      </c>
      <c r="B659" t="inlineStr">
        <is>
          <t>+5511971522983</t>
        </is>
      </c>
      <c r="C659" t="inlineStr">
        <is>
          <t>Refill</t>
        </is>
      </c>
      <c r="D659" t="inlineStr">
        <is>
          <t>Primer Cachos</t>
        </is>
      </c>
      <c r="E659" t="n">
        <v>1</v>
      </c>
      <c r="F659" t="inlineStr">
        <is>
          <t>2025-11-28</t>
        </is>
      </c>
      <c r="G659" t="n">
        <v>218</v>
      </c>
      <c r="H659" t="inlineStr">
        <is>
          <t>Y</t>
        </is>
      </c>
      <c r="I659">
        <f>HYPERLINK("https://admin.shopify.com/store/ge-beauty-cosmeticos/customers/7759549563200","abrir")</f>
        <v/>
      </c>
      <c r="J659">
        <f>HYPERLINK("https://www.gebeauty.com.br/products/primer-cachos-definidos?ref=review","review")</f>
        <v/>
      </c>
      <c r="K659" t="inlineStr">
        <is>
          <t>HOLDOUT</t>
        </is>
      </c>
    </row>
    <row r="660">
      <c r="A660" t="inlineStr">
        <is>
          <t>Fabia</t>
        </is>
      </c>
      <c r="B660" t="inlineStr">
        <is>
          <t>+5581996786600</t>
        </is>
      </c>
      <c r="C660" t="inlineStr">
        <is>
          <t>Refill</t>
        </is>
      </c>
      <c r="D660" t="inlineStr">
        <is>
          <t>Primer Cachos</t>
        </is>
      </c>
      <c r="E660" t="n">
        <v>1</v>
      </c>
      <c r="F660" t="inlineStr">
        <is>
          <t>2025-11-28</t>
        </is>
      </c>
      <c r="G660" t="n">
        <v>218</v>
      </c>
      <c r="H660" t="inlineStr">
        <is>
          <t>Y</t>
        </is>
      </c>
      <c r="I660">
        <f>HYPERLINK("https://admin.shopify.com/store/ge-beauty-cosmeticos/customers/9909877637440","abrir")</f>
        <v/>
      </c>
      <c r="J660">
        <f>HYPERLINK("https://www.gebeauty.com.br/products/primer-cachos-definidos?ref=review","review")</f>
        <v/>
      </c>
      <c r="K660" t="inlineStr">
        <is>
          <t>SEND</t>
        </is>
      </c>
    </row>
    <row r="661">
      <c r="A661" t="inlineStr">
        <is>
          <t>Ana Carolina</t>
        </is>
      </c>
      <c r="B661" t="inlineStr">
        <is>
          <t>+5527997927384</t>
        </is>
      </c>
      <c r="C661" t="inlineStr">
        <is>
          <t>Refill</t>
        </is>
      </c>
      <c r="D661" t="inlineStr">
        <is>
          <t>Primer Cachos</t>
        </is>
      </c>
      <c r="E661" t="n">
        <v>1</v>
      </c>
      <c r="F661" t="inlineStr">
        <is>
          <t>2025-11-28</t>
        </is>
      </c>
      <c r="G661" t="n">
        <v>218</v>
      </c>
      <c r="H661" t="inlineStr">
        <is>
          <t>Y</t>
        </is>
      </c>
      <c r="I661">
        <f>HYPERLINK("https://admin.shopify.com/store/ge-beauty-cosmeticos/customers/9909919482176","abrir")</f>
        <v/>
      </c>
      <c r="J661">
        <f>HYPERLINK("https://www.gebeauty.com.br/products/primer-cachos-definidos?ref=review","review")</f>
        <v/>
      </c>
      <c r="K661" t="inlineStr">
        <is>
          <t>SEND</t>
        </is>
      </c>
    </row>
    <row r="662">
      <c r="A662" t="inlineStr">
        <is>
          <t>Carla</t>
        </is>
      </c>
      <c r="B662" t="inlineStr">
        <is>
          <t>+5579999285839</t>
        </is>
      </c>
      <c r="C662" t="inlineStr">
        <is>
          <t>Refill</t>
        </is>
      </c>
      <c r="D662" t="inlineStr">
        <is>
          <t>Primer Cachos</t>
        </is>
      </c>
      <c r="E662" t="n">
        <v>1</v>
      </c>
      <c r="F662" t="inlineStr">
        <is>
          <t>2025-11-28</t>
        </is>
      </c>
      <c r="G662" t="n">
        <v>218</v>
      </c>
      <c r="H662" t="inlineStr">
        <is>
          <t>Y</t>
        </is>
      </c>
      <c r="I662">
        <f>HYPERLINK("https://admin.shopify.com/store/ge-beauty-cosmeticos/customers/9683363594560","abrir")</f>
        <v/>
      </c>
      <c r="J662">
        <f>HYPERLINK("https://www.gebeauty.com.br/products/primer-cachos-definidos?ref=review","review")</f>
        <v/>
      </c>
      <c r="K662" t="inlineStr">
        <is>
          <t>SEND</t>
        </is>
      </c>
    </row>
    <row r="663">
      <c r="A663" t="inlineStr">
        <is>
          <t>Gisele</t>
        </is>
      </c>
      <c r="B663" t="inlineStr">
        <is>
          <t>+5571999951496</t>
        </is>
      </c>
      <c r="C663" t="inlineStr">
        <is>
          <t>Refill</t>
        </is>
      </c>
      <c r="D663" t="inlineStr">
        <is>
          <t>Primer Cachos</t>
        </is>
      </c>
      <c r="E663" t="n">
        <v>1</v>
      </c>
      <c r="F663" t="inlineStr">
        <is>
          <t>2025-11-28</t>
        </is>
      </c>
      <c r="G663" t="n">
        <v>218</v>
      </c>
      <c r="H663" t="inlineStr">
        <is>
          <t>Y</t>
        </is>
      </c>
      <c r="I663">
        <f>HYPERLINK("https://admin.shopify.com/store/ge-beauty-cosmeticos/customers/9486119043392","abrir")</f>
        <v/>
      </c>
      <c r="J663">
        <f>HYPERLINK("https://www.gebeauty.com.br/products/primer-cachos-definidos?ref=review","review")</f>
        <v/>
      </c>
      <c r="K663" t="inlineStr">
        <is>
          <t>SEND</t>
        </is>
      </c>
    </row>
    <row r="664">
      <c r="A664" t="inlineStr">
        <is>
          <t>Larissa</t>
        </is>
      </c>
      <c r="B664" t="inlineStr">
        <is>
          <t>+5511984873556</t>
        </is>
      </c>
      <c r="C664" t="inlineStr">
        <is>
          <t>Refill</t>
        </is>
      </c>
      <c r="D664" t="inlineStr">
        <is>
          <t>Primer Cachos</t>
        </is>
      </c>
      <c r="E664" t="n">
        <v>1</v>
      </c>
      <c r="F664" t="inlineStr">
        <is>
          <t>2025-11-28</t>
        </is>
      </c>
      <c r="G664" t="n">
        <v>218</v>
      </c>
      <c r="H664" t="inlineStr">
        <is>
          <t>Y</t>
        </is>
      </c>
      <c r="I664">
        <f>HYPERLINK("https://admin.shopify.com/store/ge-beauty-cosmeticos/customers/8916101857600","abrir")</f>
        <v/>
      </c>
      <c r="J664">
        <f>HYPERLINK("https://www.gebeauty.com.br/products/primer-cachos-definidos?ref=review","review")</f>
        <v/>
      </c>
      <c r="K664" t="inlineStr">
        <is>
          <t>SEND</t>
        </is>
      </c>
    </row>
    <row r="665">
      <c r="A665" t="inlineStr">
        <is>
          <t>Amanda</t>
        </is>
      </c>
      <c r="B665" t="inlineStr">
        <is>
          <t>+5511956551618</t>
        </is>
      </c>
      <c r="C665" t="inlineStr">
        <is>
          <t>Refill</t>
        </is>
      </c>
      <c r="D665" t="inlineStr">
        <is>
          <t>Primer Cachos</t>
        </is>
      </c>
      <c r="E665" t="n">
        <v>1</v>
      </c>
      <c r="F665" t="inlineStr">
        <is>
          <t>2025-11-28</t>
        </is>
      </c>
      <c r="G665" t="n">
        <v>218</v>
      </c>
      <c r="H665" t="inlineStr">
        <is>
          <t>Y</t>
        </is>
      </c>
      <c r="I665">
        <f>HYPERLINK("https://admin.shopify.com/store/ge-beauty-cosmeticos/customers/9909999731008","abrir")</f>
        <v/>
      </c>
      <c r="J665">
        <f>HYPERLINK("https://www.gebeauty.com.br/products/primer-cachos-definidos?ref=review","review")</f>
        <v/>
      </c>
      <c r="K665" t="inlineStr">
        <is>
          <t>SEND</t>
        </is>
      </c>
    </row>
    <row r="666">
      <c r="A666" t="inlineStr">
        <is>
          <t>Sandra</t>
        </is>
      </c>
      <c r="B666" t="inlineStr">
        <is>
          <t>+5515997633193</t>
        </is>
      </c>
      <c r="C666" t="inlineStr">
        <is>
          <t>Refill</t>
        </is>
      </c>
      <c r="D666" t="inlineStr">
        <is>
          <t>Primer Cachos</t>
        </is>
      </c>
      <c r="E666" t="n">
        <v>1</v>
      </c>
      <c r="F666" t="inlineStr">
        <is>
          <t>2025-11-28</t>
        </is>
      </c>
      <c r="G666" t="n">
        <v>218</v>
      </c>
      <c r="H666" t="inlineStr">
        <is>
          <t>Y</t>
        </is>
      </c>
      <c r="I666">
        <f>HYPERLINK("https://admin.shopify.com/store/ge-beauty-cosmeticos/customers/8352308625728","abrir")</f>
        <v/>
      </c>
      <c r="J666">
        <f>HYPERLINK("https://www.gebeauty.com.br/products/primer-cachos-definidos?ref=review","review")</f>
        <v/>
      </c>
      <c r="K666" t="inlineStr">
        <is>
          <t>SEND</t>
        </is>
      </c>
    </row>
    <row r="667">
      <c r="A667" t="inlineStr">
        <is>
          <t>Carolina</t>
        </is>
      </c>
      <c r="B667" t="inlineStr">
        <is>
          <t>+5534998017777</t>
        </is>
      </c>
      <c r="C667" t="inlineStr">
        <is>
          <t>Refill</t>
        </is>
      </c>
      <c r="D667" t="inlineStr">
        <is>
          <t>Primer Cachos</t>
        </is>
      </c>
      <c r="E667" t="n">
        <v>1</v>
      </c>
      <c r="F667" t="inlineStr">
        <is>
          <t>2025-11-28</t>
        </is>
      </c>
      <c r="G667" t="n">
        <v>218</v>
      </c>
      <c r="H667" t="inlineStr">
        <is>
          <t>Y</t>
        </is>
      </c>
      <c r="I667">
        <f>HYPERLINK("https://admin.shopify.com/store/ge-beauty-cosmeticos/customers/9910130213184","abrir")</f>
        <v/>
      </c>
      <c r="J667">
        <f>HYPERLINK("https://www.gebeauty.com.br/products/primer-cachos-definidos?ref=review","review")</f>
        <v/>
      </c>
      <c r="K667" t="inlineStr">
        <is>
          <t>SEND</t>
        </is>
      </c>
    </row>
    <row r="668">
      <c r="A668" t="inlineStr">
        <is>
          <t>Cynthia</t>
        </is>
      </c>
      <c r="B668" t="inlineStr">
        <is>
          <t>+5551981599757</t>
        </is>
      </c>
      <c r="C668" t="inlineStr">
        <is>
          <t>Refill</t>
        </is>
      </c>
      <c r="D668" t="inlineStr">
        <is>
          <t>Primer Cachos</t>
        </is>
      </c>
      <c r="E668" t="n">
        <v>1</v>
      </c>
      <c r="F668" t="inlineStr">
        <is>
          <t>2025-11-28</t>
        </is>
      </c>
      <c r="G668" t="n">
        <v>218</v>
      </c>
      <c r="H668" t="inlineStr">
        <is>
          <t>Y</t>
        </is>
      </c>
      <c r="I668">
        <f>HYPERLINK("https://admin.shopify.com/store/ge-beauty-cosmeticos/customers/9910122774848","abrir")</f>
        <v/>
      </c>
      <c r="J668">
        <f>HYPERLINK("https://www.gebeauty.com.br/products/primer-cachos-definidos?ref=review","review")</f>
        <v/>
      </c>
      <c r="K668" t="inlineStr">
        <is>
          <t>SEND</t>
        </is>
      </c>
    </row>
    <row r="669">
      <c r="A669" t="inlineStr">
        <is>
          <t>Maria Fernanda</t>
        </is>
      </c>
      <c r="B669" t="inlineStr">
        <is>
          <t>+5511942565119</t>
        </is>
      </c>
      <c r="C669" t="inlineStr">
        <is>
          <t>Refill</t>
        </is>
      </c>
      <c r="D669" t="inlineStr">
        <is>
          <t>Primer Cachos</t>
        </is>
      </c>
      <c r="E669" t="n">
        <v>1</v>
      </c>
      <c r="F669" t="inlineStr">
        <is>
          <t>2025-11-28</t>
        </is>
      </c>
      <c r="G669" t="n">
        <v>218</v>
      </c>
      <c r="H669" t="inlineStr">
        <is>
          <t>Y</t>
        </is>
      </c>
      <c r="I669">
        <f>HYPERLINK("https://admin.shopify.com/store/ge-beauty-cosmeticos/customers/9484736725312","abrir")</f>
        <v/>
      </c>
      <c r="J669">
        <f>HYPERLINK("https://www.gebeauty.com.br/products/primer-cachos-definidos?ref=review","review")</f>
        <v/>
      </c>
      <c r="K669" t="inlineStr">
        <is>
          <t>SEND</t>
        </is>
      </c>
    </row>
    <row r="670">
      <c r="A670" t="inlineStr">
        <is>
          <t>Ruana</t>
        </is>
      </c>
      <c r="B670" t="inlineStr">
        <is>
          <t>+5522998439898</t>
        </is>
      </c>
      <c r="C670" t="inlineStr">
        <is>
          <t>Refill</t>
        </is>
      </c>
      <c r="D670" t="inlineStr">
        <is>
          <t>Primer Cachos</t>
        </is>
      </c>
      <c r="E670" t="n">
        <v>1</v>
      </c>
      <c r="F670" t="inlineStr">
        <is>
          <t>2025-11-28</t>
        </is>
      </c>
      <c r="G670" t="n">
        <v>218</v>
      </c>
      <c r="H670" t="inlineStr">
        <is>
          <t>Y</t>
        </is>
      </c>
      <c r="I670">
        <f>HYPERLINK("https://admin.shopify.com/store/ge-beauty-cosmeticos/customers/7760086794560","abrir")</f>
        <v/>
      </c>
      <c r="J670">
        <f>HYPERLINK("https://www.gebeauty.com.br/products/primer-cachos-definidos?ref=review","review")</f>
        <v/>
      </c>
      <c r="K670" t="inlineStr">
        <is>
          <t>SEND</t>
        </is>
      </c>
    </row>
    <row r="671">
      <c r="A671" t="inlineStr">
        <is>
          <t>Glaucia</t>
        </is>
      </c>
      <c r="B671" t="inlineStr">
        <is>
          <t>+5541984075962</t>
        </is>
      </c>
      <c r="C671" t="inlineStr">
        <is>
          <t>Refill</t>
        </is>
      </c>
      <c r="D671" t="inlineStr">
        <is>
          <t>Primer Cachos</t>
        </is>
      </c>
      <c r="E671" t="n">
        <v>1</v>
      </c>
      <c r="F671" t="inlineStr">
        <is>
          <t>2025-11-28</t>
        </is>
      </c>
      <c r="G671" t="n">
        <v>218</v>
      </c>
      <c r="H671" t="inlineStr">
        <is>
          <t>Y</t>
        </is>
      </c>
      <c r="I671">
        <f>HYPERLINK("https://admin.shopify.com/store/ge-beauty-cosmeticos/customers/8927731319104","abrir")</f>
        <v/>
      </c>
      <c r="J671">
        <f>HYPERLINK("https://www.gebeauty.com.br/products/primer-cachos-definidos?ref=review","review")</f>
        <v/>
      </c>
      <c r="K671" t="inlineStr">
        <is>
          <t>SEND</t>
        </is>
      </c>
    </row>
    <row r="672">
      <c r="A672" t="inlineStr">
        <is>
          <t>Renata</t>
        </is>
      </c>
      <c r="B672" t="inlineStr">
        <is>
          <t>+5581996910060</t>
        </is>
      </c>
      <c r="C672" t="inlineStr">
        <is>
          <t>Refill</t>
        </is>
      </c>
      <c r="D672" t="inlineStr">
        <is>
          <t>Primer Cachos</t>
        </is>
      </c>
      <c r="E672" t="n">
        <v>1</v>
      </c>
      <c r="F672" t="inlineStr">
        <is>
          <t>2025-11-28</t>
        </is>
      </c>
      <c r="G672" t="n">
        <v>218</v>
      </c>
      <c r="H672" t="inlineStr">
        <is>
          <t>Y</t>
        </is>
      </c>
      <c r="I672">
        <f>HYPERLINK("https://admin.shopify.com/store/ge-beauty-cosmeticos/customers/9421042286912","abrir")</f>
        <v/>
      </c>
      <c r="J672">
        <f>HYPERLINK("https://www.gebeauty.com.br/products/primer-cachos-definidos?ref=review","review")</f>
        <v/>
      </c>
      <c r="K672" t="inlineStr">
        <is>
          <t>SEND</t>
        </is>
      </c>
    </row>
    <row r="673">
      <c r="A673" t="inlineStr">
        <is>
          <t>Marcella</t>
        </is>
      </c>
      <c r="B673" t="inlineStr">
        <is>
          <t>+5581997065105</t>
        </is>
      </c>
      <c r="C673" t="inlineStr">
        <is>
          <t>Refill</t>
        </is>
      </c>
      <c r="D673" t="inlineStr">
        <is>
          <t>Primer Cachos</t>
        </is>
      </c>
      <c r="E673" t="n">
        <v>1</v>
      </c>
      <c r="F673" t="inlineStr">
        <is>
          <t>2025-11-28</t>
        </is>
      </c>
      <c r="G673" t="n">
        <v>218</v>
      </c>
      <c r="H673" t="inlineStr">
        <is>
          <t>Y</t>
        </is>
      </c>
      <c r="I673">
        <f>HYPERLINK("https://admin.shopify.com/store/ge-beauty-cosmeticos/customers/9486311096640","abrir")</f>
        <v/>
      </c>
      <c r="J673">
        <f>HYPERLINK("https://www.gebeauty.com.br/products/primer-cachos-definidos?ref=review","review")</f>
        <v/>
      </c>
      <c r="K673" t="inlineStr">
        <is>
          <t>SEND</t>
        </is>
      </c>
    </row>
    <row r="674">
      <c r="A674" t="inlineStr">
        <is>
          <t>Lara</t>
        </is>
      </c>
      <c r="B674" t="inlineStr">
        <is>
          <t>+5521984775278</t>
        </is>
      </c>
      <c r="C674" t="inlineStr">
        <is>
          <t>Refill</t>
        </is>
      </c>
      <c r="D674" t="inlineStr">
        <is>
          <t>Primer Cachos</t>
        </is>
      </c>
      <c r="E674" t="n">
        <v>1</v>
      </c>
      <c r="F674" t="inlineStr">
        <is>
          <t>2025-11-28</t>
        </is>
      </c>
      <c r="G674" t="n">
        <v>218</v>
      </c>
      <c r="H674" t="inlineStr">
        <is>
          <t>Y</t>
        </is>
      </c>
      <c r="I674">
        <f>HYPERLINK("https://admin.shopify.com/store/ge-beauty-cosmeticos/customers/8908594184512","abrir")</f>
        <v/>
      </c>
      <c r="J674">
        <f>HYPERLINK("https://www.gebeauty.com.br/products/primer-cachos-definidos?ref=review","review")</f>
        <v/>
      </c>
      <c r="K674" t="inlineStr">
        <is>
          <t>HOLDOUT</t>
        </is>
      </c>
    </row>
    <row r="675">
      <c r="A675" t="inlineStr">
        <is>
          <t>Roberta</t>
        </is>
      </c>
      <c r="B675" t="inlineStr">
        <is>
          <t>+5521988266638</t>
        </is>
      </c>
      <c r="C675" t="inlineStr">
        <is>
          <t>Refill</t>
        </is>
      </c>
      <c r="D675" t="inlineStr">
        <is>
          <t>Primer Cachos</t>
        </is>
      </c>
      <c r="E675" t="n">
        <v>1</v>
      </c>
      <c r="F675" t="inlineStr">
        <is>
          <t>2025-11-29</t>
        </is>
      </c>
      <c r="G675" t="n">
        <v>217</v>
      </c>
      <c r="H675" t="inlineStr">
        <is>
          <t>Y</t>
        </is>
      </c>
      <c r="I675">
        <f>HYPERLINK("https://admin.shopify.com/store/ge-beauty-cosmeticos/customers/7759547826496","abrir")</f>
        <v/>
      </c>
      <c r="J675">
        <f>HYPERLINK("https://www.gebeauty.com.br/products/primer-cachos-definidos?ref=review","review")</f>
        <v/>
      </c>
      <c r="K675" t="inlineStr">
        <is>
          <t>SEND</t>
        </is>
      </c>
    </row>
    <row r="676">
      <c r="A676" t="inlineStr">
        <is>
          <t>Diana</t>
        </is>
      </c>
      <c r="B676" t="inlineStr">
        <is>
          <t>+5521998168476</t>
        </is>
      </c>
      <c r="C676" t="inlineStr">
        <is>
          <t>Refill</t>
        </is>
      </c>
      <c r="D676" t="inlineStr">
        <is>
          <t>Primer Cachos</t>
        </is>
      </c>
      <c r="E676" t="n">
        <v>1</v>
      </c>
      <c r="F676" t="inlineStr">
        <is>
          <t>2025-11-29</t>
        </is>
      </c>
      <c r="G676" t="n">
        <v>217</v>
      </c>
      <c r="H676" t="inlineStr">
        <is>
          <t>Y</t>
        </is>
      </c>
      <c r="I676">
        <f>HYPERLINK("https://admin.shopify.com/store/ge-beauty-cosmeticos/customers/9853773447488","abrir")</f>
        <v/>
      </c>
      <c r="J676">
        <f>HYPERLINK("https://www.gebeauty.com.br/products/primer-cachos-definidos?ref=review","review")</f>
        <v/>
      </c>
      <c r="K676" t="inlineStr">
        <is>
          <t>SEND</t>
        </is>
      </c>
    </row>
    <row r="677">
      <c r="A677" t="inlineStr">
        <is>
          <t>Vanessa</t>
        </is>
      </c>
      <c r="B677" t="inlineStr">
        <is>
          <t>+5511945358617</t>
        </is>
      </c>
      <c r="C677" t="inlineStr">
        <is>
          <t>Refill</t>
        </is>
      </c>
      <c r="D677" t="inlineStr">
        <is>
          <t>Primer Cachos</t>
        </is>
      </c>
      <c r="E677" t="n">
        <v>1</v>
      </c>
      <c r="F677" t="inlineStr">
        <is>
          <t>2025-11-29</t>
        </is>
      </c>
      <c r="G677" t="n">
        <v>217</v>
      </c>
      <c r="H677" t="inlineStr">
        <is>
          <t>Y</t>
        </is>
      </c>
      <c r="I677">
        <f>HYPERLINK("https://admin.shopify.com/store/ge-beauty-cosmeticos/customers/8903001899328","abrir")</f>
        <v/>
      </c>
      <c r="J677">
        <f>HYPERLINK("https://www.gebeauty.com.br/products/primer-cachos-definidos?ref=review","review")</f>
        <v/>
      </c>
      <c r="K677" t="inlineStr">
        <is>
          <t>SEND</t>
        </is>
      </c>
    </row>
    <row r="678">
      <c r="A678" t="inlineStr">
        <is>
          <t>Silvia</t>
        </is>
      </c>
      <c r="B678" t="inlineStr">
        <is>
          <t>+5511985220299</t>
        </is>
      </c>
      <c r="C678" t="inlineStr">
        <is>
          <t>Refill</t>
        </is>
      </c>
      <c r="D678" t="inlineStr">
        <is>
          <t>Primer Cachos</t>
        </is>
      </c>
      <c r="E678" t="n">
        <v>1</v>
      </c>
      <c r="F678" t="inlineStr">
        <is>
          <t>2025-11-29</t>
        </is>
      </c>
      <c r="G678" t="n">
        <v>217</v>
      </c>
      <c r="H678" t="inlineStr">
        <is>
          <t>Y</t>
        </is>
      </c>
      <c r="I678">
        <f>HYPERLINK("https://admin.shopify.com/store/ge-beauty-cosmeticos/customers/9654834594112","abrir")</f>
        <v/>
      </c>
      <c r="J678">
        <f>HYPERLINK("https://www.gebeauty.com.br/products/primer-cachos-definidos?ref=review","review")</f>
        <v/>
      </c>
      <c r="K678" t="inlineStr">
        <is>
          <t>SEND</t>
        </is>
      </c>
    </row>
    <row r="679">
      <c r="A679" t="inlineStr">
        <is>
          <t>Fernanda</t>
        </is>
      </c>
      <c r="B679" t="inlineStr">
        <is>
          <t>+5511991921215</t>
        </is>
      </c>
      <c r="C679" t="inlineStr">
        <is>
          <t>Refill</t>
        </is>
      </c>
      <c r="D679" t="inlineStr">
        <is>
          <t>Primer Cachos</t>
        </is>
      </c>
      <c r="E679" t="n">
        <v>1</v>
      </c>
      <c r="F679" t="inlineStr">
        <is>
          <t>2025-11-29</t>
        </is>
      </c>
      <c r="G679" t="n">
        <v>217</v>
      </c>
      <c r="H679" t="inlineStr">
        <is>
          <t>Y</t>
        </is>
      </c>
      <c r="I679">
        <f>HYPERLINK("https://admin.shopify.com/store/ge-beauty-cosmeticos/customers/8907220615488","abrir")</f>
        <v/>
      </c>
      <c r="J679">
        <f>HYPERLINK("https://www.gebeauty.com.br/products/primer-cachos-definidos?ref=review","review")</f>
        <v/>
      </c>
      <c r="K679" t="inlineStr">
        <is>
          <t>SEND</t>
        </is>
      </c>
    </row>
    <row r="680">
      <c r="A680" t="inlineStr">
        <is>
          <t>Mariana</t>
        </is>
      </c>
      <c r="B680" t="inlineStr">
        <is>
          <t>+5521999004126</t>
        </is>
      </c>
      <c r="C680" t="inlineStr">
        <is>
          <t>Refill</t>
        </is>
      </c>
      <c r="D680" t="inlineStr">
        <is>
          <t>Primer Cachos</t>
        </is>
      </c>
      <c r="E680" t="n">
        <v>1</v>
      </c>
      <c r="F680" t="inlineStr">
        <is>
          <t>2025-11-29</t>
        </is>
      </c>
      <c r="G680" t="n">
        <v>217</v>
      </c>
      <c r="H680" t="inlineStr">
        <is>
          <t>Y</t>
        </is>
      </c>
      <c r="I680">
        <f>HYPERLINK("https://admin.shopify.com/store/ge-beauty-cosmeticos/customers/7761818059072","abrir")</f>
        <v/>
      </c>
      <c r="J680">
        <f>HYPERLINK("https://www.gebeauty.com.br/products/primer-cachos-definidos?ref=review","review")</f>
        <v/>
      </c>
      <c r="K680" t="inlineStr">
        <is>
          <t>SEND</t>
        </is>
      </c>
    </row>
    <row r="681">
      <c r="A681" t="inlineStr">
        <is>
          <t>Gabriela</t>
        </is>
      </c>
      <c r="B681" t="inlineStr">
        <is>
          <t>+5541992901505</t>
        </is>
      </c>
      <c r="C681" t="inlineStr">
        <is>
          <t>Refill</t>
        </is>
      </c>
      <c r="D681" t="inlineStr">
        <is>
          <t>Primer Cachos</t>
        </is>
      </c>
      <c r="E681" t="n">
        <v>1</v>
      </c>
      <c r="F681" t="inlineStr">
        <is>
          <t>2025-11-29</t>
        </is>
      </c>
      <c r="G681" t="n">
        <v>217</v>
      </c>
      <c r="H681" t="inlineStr">
        <is>
          <t>Y</t>
        </is>
      </c>
      <c r="I681">
        <f>HYPERLINK("https://admin.shopify.com/store/ge-beauty-cosmeticos/customers/9485519749440","abrir")</f>
        <v/>
      </c>
      <c r="J681">
        <f>HYPERLINK("https://www.gebeauty.com.br/products/primer-cachos-definidos?ref=review","review")</f>
        <v/>
      </c>
      <c r="K681" t="inlineStr">
        <is>
          <t>SEND</t>
        </is>
      </c>
    </row>
    <row r="682">
      <c r="A682" t="inlineStr">
        <is>
          <t>Marina</t>
        </is>
      </c>
      <c r="B682" t="inlineStr">
        <is>
          <t>+5584999727626</t>
        </is>
      </c>
      <c r="C682" t="inlineStr">
        <is>
          <t>Refill</t>
        </is>
      </c>
      <c r="D682" t="inlineStr">
        <is>
          <t>Primer Cachos</t>
        </is>
      </c>
      <c r="E682" t="n">
        <v>1</v>
      </c>
      <c r="F682" t="inlineStr">
        <is>
          <t>2025-11-29</t>
        </is>
      </c>
      <c r="G682" t="n">
        <v>217</v>
      </c>
      <c r="H682" t="inlineStr">
        <is>
          <t>Y</t>
        </is>
      </c>
      <c r="I682">
        <f>HYPERLINK("https://admin.shopify.com/store/ge-beauty-cosmeticos/customers/9687236837696","abrir")</f>
        <v/>
      </c>
      <c r="J682">
        <f>HYPERLINK("https://www.gebeauty.com.br/products/primer-cachos-definidos?ref=review","review")</f>
        <v/>
      </c>
      <c r="K682" t="inlineStr">
        <is>
          <t>SEND</t>
        </is>
      </c>
    </row>
    <row r="683">
      <c r="A683" t="inlineStr">
        <is>
          <t>Carolina</t>
        </is>
      </c>
      <c r="B683" t="inlineStr">
        <is>
          <t>+5581999745599</t>
        </is>
      </c>
      <c r="C683" t="inlineStr">
        <is>
          <t>Refill</t>
        </is>
      </c>
      <c r="D683" t="inlineStr">
        <is>
          <t>Primer Cachos</t>
        </is>
      </c>
      <c r="E683" t="n">
        <v>1</v>
      </c>
      <c r="F683" t="inlineStr">
        <is>
          <t>2025-11-29</t>
        </is>
      </c>
      <c r="G683" t="n">
        <v>217</v>
      </c>
      <c r="H683" t="inlineStr">
        <is>
          <t>Y</t>
        </is>
      </c>
      <c r="I683">
        <f>HYPERLINK("https://admin.shopify.com/store/ge-beauty-cosmeticos/customers/9486196703552","abrir")</f>
        <v/>
      </c>
      <c r="J683">
        <f>HYPERLINK("https://www.gebeauty.com.br/products/primer-cachos-definidos?ref=review","review")</f>
        <v/>
      </c>
      <c r="K683" t="inlineStr">
        <is>
          <t>HOLDOUT</t>
        </is>
      </c>
    </row>
    <row r="684">
      <c r="A684" t="inlineStr">
        <is>
          <t>Renata</t>
        </is>
      </c>
      <c r="B684" t="inlineStr">
        <is>
          <t>+5581995255342</t>
        </is>
      </c>
      <c r="C684" t="inlineStr">
        <is>
          <t>Refill</t>
        </is>
      </c>
      <c r="D684" t="inlineStr">
        <is>
          <t>Primer Cachos</t>
        </is>
      </c>
      <c r="E684" t="n">
        <v>1</v>
      </c>
      <c r="F684" t="inlineStr">
        <is>
          <t>2025-11-29</t>
        </is>
      </c>
      <c r="G684" t="n">
        <v>217</v>
      </c>
      <c r="H684" t="inlineStr">
        <is>
          <t>Y</t>
        </is>
      </c>
      <c r="I684">
        <f>HYPERLINK("https://admin.shopify.com/store/ge-beauty-cosmeticos/customers/9485851885888","abrir")</f>
        <v/>
      </c>
      <c r="J684">
        <f>HYPERLINK("https://www.gebeauty.com.br/products/primer-cachos-definidos?ref=review","review")</f>
        <v/>
      </c>
      <c r="K684" t="inlineStr">
        <is>
          <t>SEND</t>
        </is>
      </c>
    </row>
    <row r="685">
      <c r="A685" t="inlineStr">
        <is>
          <t>Narda</t>
        </is>
      </c>
      <c r="B685" t="inlineStr">
        <is>
          <t>+5511994048864</t>
        </is>
      </c>
      <c r="C685" t="inlineStr">
        <is>
          <t>Refill</t>
        </is>
      </c>
      <c r="D685" t="inlineStr">
        <is>
          <t>Primer Cachos</t>
        </is>
      </c>
      <c r="E685" t="n">
        <v>1</v>
      </c>
      <c r="F685" t="inlineStr">
        <is>
          <t>2025-11-29</t>
        </is>
      </c>
      <c r="G685" t="n">
        <v>217</v>
      </c>
      <c r="H685" t="inlineStr">
        <is>
          <t>Y</t>
        </is>
      </c>
      <c r="I685">
        <f>HYPERLINK("https://admin.shopify.com/store/ge-beauty-cosmeticos/customers/9486318567744","abrir")</f>
        <v/>
      </c>
      <c r="J685">
        <f>HYPERLINK("https://www.gebeauty.com.br/products/primer-cachos-definidos?ref=review","review")</f>
        <v/>
      </c>
      <c r="K685" t="inlineStr">
        <is>
          <t>SEND</t>
        </is>
      </c>
    </row>
    <row r="686">
      <c r="A686" t="inlineStr">
        <is>
          <t>Natalia</t>
        </is>
      </c>
      <c r="B686" t="inlineStr">
        <is>
          <t>+5511966486819</t>
        </is>
      </c>
      <c r="C686" t="inlineStr">
        <is>
          <t>Refill</t>
        </is>
      </c>
      <c r="D686" t="inlineStr">
        <is>
          <t>Primer Cachos</t>
        </is>
      </c>
      <c r="E686" t="n">
        <v>1</v>
      </c>
      <c r="F686" t="inlineStr">
        <is>
          <t>2025-11-29</t>
        </is>
      </c>
      <c r="G686" t="n">
        <v>217</v>
      </c>
      <c r="H686" t="inlineStr">
        <is>
          <t>Y</t>
        </is>
      </c>
      <c r="I686">
        <f>HYPERLINK("https://admin.shopify.com/store/ge-beauty-cosmeticos/customers/9481564356928","abrir")</f>
        <v/>
      </c>
      <c r="J686">
        <f>HYPERLINK("https://www.gebeauty.com.br/products/primer-cachos-definidos?ref=review","review")</f>
        <v/>
      </c>
      <c r="K686" t="inlineStr">
        <is>
          <t>SEND</t>
        </is>
      </c>
    </row>
    <row r="687">
      <c r="A687" t="inlineStr">
        <is>
          <t>Emanuele</t>
        </is>
      </c>
      <c r="B687" t="inlineStr">
        <is>
          <t>+5581996329760</t>
        </is>
      </c>
      <c r="C687" t="inlineStr">
        <is>
          <t>Refill</t>
        </is>
      </c>
      <c r="D687" t="inlineStr">
        <is>
          <t>Primer Cachos</t>
        </is>
      </c>
      <c r="E687" t="n">
        <v>1</v>
      </c>
      <c r="F687" t="inlineStr">
        <is>
          <t>2025-11-29</t>
        </is>
      </c>
      <c r="G687" t="n">
        <v>217</v>
      </c>
      <c r="H687" t="inlineStr">
        <is>
          <t>Y</t>
        </is>
      </c>
      <c r="I687">
        <f>HYPERLINK("https://admin.shopify.com/store/ge-beauty-cosmeticos/customers/9485942587712","abrir")</f>
        <v/>
      </c>
      <c r="J687">
        <f>HYPERLINK("https://www.gebeauty.com.br/products/primer-cachos-definidos?ref=review","review")</f>
        <v/>
      </c>
      <c r="K687" t="inlineStr">
        <is>
          <t>SEND</t>
        </is>
      </c>
    </row>
    <row r="688">
      <c r="A688" t="inlineStr">
        <is>
          <t>Marina</t>
        </is>
      </c>
      <c r="B688" t="inlineStr">
        <is>
          <t>+5537998140880</t>
        </is>
      </c>
      <c r="C688" t="inlineStr">
        <is>
          <t>Refill</t>
        </is>
      </c>
      <c r="D688" t="inlineStr">
        <is>
          <t>Primer Cachos</t>
        </is>
      </c>
      <c r="E688" t="n">
        <v>1</v>
      </c>
      <c r="F688" t="inlineStr">
        <is>
          <t>2025-11-29</t>
        </is>
      </c>
      <c r="G688" t="n">
        <v>217</v>
      </c>
      <c r="H688" t="inlineStr">
        <is>
          <t>Y</t>
        </is>
      </c>
      <c r="I688">
        <f>HYPERLINK("https://admin.shopify.com/store/ge-beauty-cosmeticos/customers/8517826904384","abrir")</f>
        <v/>
      </c>
      <c r="J688">
        <f>HYPERLINK("https://www.gebeauty.com.br/products/primer-cachos-definidos?ref=review","review")</f>
        <v/>
      </c>
      <c r="K688" t="inlineStr">
        <is>
          <t>SEND</t>
        </is>
      </c>
    </row>
    <row r="689">
      <c r="A689" t="inlineStr">
        <is>
          <t>Amanda</t>
        </is>
      </c>
      <c r="B689" t="inlineStr">
        <is>
          <t>+5516981047531</t>
        </is>
      </c>
      <c r="C689" t="inlineStr">
        <is>
          <t>Refill</t>
        </is>
      </c>
      <c r="D689" t="inlineStr">
        <is>
          <t>Primer Cachos</t>
        </is>
      </c>
      <c r="E689" t="n">
        <v>1</v>
      </c>
      <c r="F689" t="inlineStr">
        <is>
          <t>2025-11-29</t>
        </is>
      </c>
      <c r="G689" t="n">
        <v>217</v>
      </c>
      <c r="H689" t="inlineStr">
        <is>
          <t>Y</t>
        </is>
      </c>
      <c r="I689">
        <f>HYPERLINK("https://admin.shopify.com/store/ge-beauty-cosmeticos/customers/9910099738944","abrir")</f>
        <v/>
      </c>
      <c r="J689">
        <f>HYPERLINK("https://www.gebeauty.com.br/products/primer-cachos-definidos?ref=review","review")</f>
        <v/>
      </c>
      <c r="K689" t="inlineStr">
        <is>
          <t>SEND</t>
        </is>
      </c>
    </row>
    <row r="690">
      <c r="A690" t="inlineStr">
        <is>
          <t>Giuliana</t>
        </is>
      </c>
      <c r="B690" t="inlineStr">
        <is>
          <t>+5511966071655</t>
        </is>
      </c>
      <c r="C690" t="inlineStr">
        <is>
          <t>Refill</t>
        </is>
      </c>
      <c r="D690" t="inlineStr">
        <is>
          <t>Primer Cachos</t>
        </is>
      </c>
      <c r="E690" t="n">
        <v>1</v>
      </c>
      <c r="F690" t="inlineStr">
        <is>
          <t>2025-11-29</t>
        </is>
      </c>
      <c r="G690" t="n">
        <v>217</v>
      </c>
      <c r="H690" t="inlineStr">
        <is>
          <t>Y</t>
        </is>
      </c>
      <c r="I690">
        <f>HYPERLINK("https://admin.shopify.com/store/ge-beauty-cosmeticos/customers/9888873382208","abrir")</f>
        <v/>
      </c>
      <c r="J690">
        <f>HYPERLINK("https://www.gebeauty.com.br/products/primer-cachos-definidos?ref=review","review")</f>
        <v/>
      </c>
      <c r="K690" t="inlineStr">
        <is>
          <t>SEND</t>
        </is>
      </c>
    </row>
    <row r="691">
      <c r="A691" t="inlineStr">
        <is>
          <t>Giovanna</t>
        </is>
      </c>
      <c r="B691" t="inlineStr">
        <is>
          <t>+5521971789269</t>
        </is>
      </c>
      <c r="C691" t="inlineStr">
        <is>
          <t>Refill</t>
        </is>
      </c>
      <c r="D691" t="inlineStr">
        <is>
          <t>Primer Cachos</t>
        </is>
      </c>
      <c r="E691" t="n">
        <v>1</v>
      </c>
      <c r="F691" t="inlineStr">
        <is>
          <t>2025-11-29</t>
        </is>
      </c>
      <c r="G691" t="n">
        <v>217</v>
      </c>
      <c r="H691" t="inlineStr">
        <is>
          <t>Y</t>
        </is>
      </c>
      <c r="I691">
        <f>HYPERLINK("https://admin.shopify.com/store/ge-beauty-cosmeticos/customers/9485606814016","abrir")</f>
        <v/>
      </c>
      <c r="J691">
        <f>HYPERLINK("https://www.gebeauty.com.br/products/primer-cachos-definidos?ref=review","review")</f>
        <v/>
      </c>
      <c r="K691" t="inlineStr">
        <is>
          <t>SEND</t>
        </is>
      </c>
    </row>
    <row r="692">
      <c r="A692" t="inlineStr">
        <is>
          <t>Robertta</t>
        </is>
      </c>
      <c r="B692" t="inlineStr">
        <is>
          <t>+5541998965690</t>
        </is>
      </c>
      <c r="C692" t="inlineStr">
        <is>
          <t>Refill</t>
        </is>
      </c>
      <c r="D692" t="inlineStr">
        <is>
          <t>Primer Cachos</t>
        </is>
      </c>
      <c r="E692" t="n">
        <v>1</v>
      </c>
      <c r="F692" t="inlineStr">
        <is>
          <t>2025-11-29</t>
        </is>
      </c>
      <c r="G692" t="n">
        <v>217</v>
      </c>
      <c r="H692" t="inlineStr">
        <is>
          <t>Y</t>
        </is>
      </c>
      <c r="I692">
        <f>HYPERLINK("https://admin.shopify.com/store/ge-beauty-cosmeticos/customers/9839353987392","abrir")</f>
        <v/>
      </c>
      <c r="J692">
        <f>HYPERLINK("https://www.gebeauty.com.br/products/primer-cachos-definidos?ref=review","review")</f>
        <v/>
      </c>
      <c r="K692" t="inlineStr">
        <is>
          <t>SEND</t>
        </is>
      </c>
    </row>
    <row r="693">
      <c r="A693" t="inlineStr">
        <is>
          <t>Gisele</t>
        </is>
      </c>
      <c r="B693" t="inlineStr">
        <is>
          <t>+5521997647047</t>
        </is>
      </c>
      <c r="C693" t="inlineStr">
        <is>
          <t>Refill</t>
        </is>
      </c>
      <c r="D693" t="inlineStr">
        <is>
          <t>Primer Cachos</t>
        </is>
      </c>
      <c r="E693" t="n">
        <v>1</v>
      </c>
      <c r="F693" t="inlineStr">
        <is>
          <t>2025-11-29</t>
        </is>
      </c>
      <c r="G693" t="n">
        <v>217</v>
      </c>
      <c r="H693" t="inlineStr">
        <is>
          <t>Y</t>
        </is>
      </c>
      <c r="I693">
        <f>HYPERLINK("https://admin.shopify.com/store/ge-beauty-cosmeticos/customers/8143950676288","abrir")</f>
        <v/>
      </c>
      <c r="J693">
        <f>HYPERLINK("https://www.gebeauty.com.br/products/primer-cachos-definidos?ref=review","review")</f>
        <v/>
      </c>
      <c r="K693" t="inlineStr">
        <is>
          <t>SEND</t>
        </is>
      </c>
    </row>
    <row r="694">
      <c r="A694" t="inlineStr">
        <is>
          <t>Nadia</t>
        </is>
      </c>
      <c r="B694" t="inlineStr">
        <is>
          <t>+5563981379820</t>
        </is>
      </c>
      <c r="C694" t="inlineStr">
        <is>
          <t>Refill</t>
        </is>
      </c>
      <c r="D694" t="inlineStr">
        <is>
          <t>Primer Cachos</t>
        </is>
      </c>
      <c r="E694" t="n">
        <v>1</v>
      </c>
      <c r="F694" t="inlineStr">
        <is>
          <t>2025-11-29</t>
        </is>
      </c>
      <c r="G694" t="n">
        <v>217</v>
      </c>
      <c r="H694" t="inlineStr">
        <is>
          <t>Y</t>
        </is>
      </c>
      <c r="I694">
        <f>HYPERLINK("https://admin.shopify.com/store/ge-beauty-cosmeticos/customers/7760292380992","abrir")</f>
        <v/>
      </c>
      <c r="J694">
        <f>HYPERLINK("https://www.gebeauty.com.br/products/primer-cachos-definidos?ref=review","review")</f>
        <v/>
      </c>
      <c r="K694" t="inlineStr">
        <is>
          <t>SEND</t>
        </is>
      </c>
    </row>
    <row r="695">
      <c r="A695" t="inlineStr">
        <is>
          <t>Natália</t>
        </is>
      </c>
      <c r="B695" t="inlineStr">
        <is>
          <t>+5565999888788</t>
        </is>
      </c>
      <c r="C695" t="inlineStr">
        <is>
          <t>Refill</t>
        </is>
      </c>
      <c r="D695" t="inlineStr">
        <is>
          <t>Primer Cachos</t>
        </is>
      </c>
      <c r="E695" t="n">
        <v>1</v>
      </c>
      <c r="F695" t="inlineStr">
        <is>
          <t>2025-11-29</t>
        </is>
      </c>
      <c r="G695" t="n">
        <v>217</v>
      </c>
      <c r="H695" t="inlineStr">
        <is>
          <t>Y</t>
        </is>
      </c>
      <c r="I695">
        <f>HYPERLINK("https://admin.shopify.com/store/ge-beauty-cosmeticos/customers/7760052552000","abrir")</f>
        <v/>
      </c>
      <c r="J695">
        <f>HYPERLINK("https://www.gebeauty.com.br/products/primer-cachos-definidos?ref=review","review")</f>
        <v/>
      </c>
      <c r="K695" t="inlineStr">
        <is>
          <t>HOLDOUT</t>
        </is>
      </c>
    </row>
    <row r="696">
      <c r="A696" t="inlineStr">
        <is>
          <t>Joyce</t>
        </is>
      </c>
      <c r="B696" t="inlineStr">
        <is>
          <t>+5521993063114</t>
        </is>
      </c>
      <c r="C696" t="inlineStr">
        <is>
          <t>Refill</t>
        </is>
      </c>
      <c r="D696" t="inlineStr">
        <is>
          <t>Primer Cachos</t>
        </is>
      </c>
      <c r="E696" t="n">
        <v>1</v>
      </c>
      <c r="F696" t="inlineStr">
        <is>
          <t>2025-11-29</t>
        </is>
      </c>
      <c r="G696" t="n">
        <v>217</v>
      </c>
      <c r="H696" t="inlineStr">
        <is>
          <t>Y</t>
        </is>
      </c>
      <c r="I696">
        <f>HYPERLINK("https://admin.shopify.com/store/ge-beauty-cosmeticos/customers/9895075971392","abrir")</f>
        <v/>
      </c>
      <c r="J696">
        <f>HYPERLINK("https://www.gebeauty.com.br/products/primer-cachos-definidos?ref=review","review")</f>
        <v/>
      </c>
      <c r="K696" t="inlineStr">
        <is>
          <t>HOLDOUT</t>
        </is>
      </c>
    </row>
    <row r="697">
      <c r="A697" t="inlineStr">
        <is>
          <t>Priscila</t>
        </is>
      </c>
      <c r="B697" t="inlineStr">
        <is>
          <t>+5561981420346</t>
        </is>
      </c>
      <c r="C697" t="inlineStr">
        <is>
          <t>Refill</t>
        </is>
      </c>
      <c r="D697" t="inlineStr">
        <is>
          <t>Primer Cachos</t>
        </is>
      </c>
      <c r="E697" t="n">
        <v>1</v>
      </c>
      <c r="F697" t="inlineStr">
        <is>
          <t>2025-11-29</t>
        </is>
      </c>
      <c r="G697" t="n">
        <v>217</v>
      </c>
      <c r="H697" t="inlineStr">
        <is>
          <t>Y</t>
        </is>
      </c>
      <c r="I697">
        <f>HYPERLINK("https://admin.shopify.com/store/ge-beauty-cosmeticos/customers/9912193352000","abrir")</f>
        <v/>
      </c>
      <c r="J697">
        <f>HYPERLINK("https://www.gebeauty.com.br/products/primer-cachos-definidos?ref=review","review")</f>
        <v/>
      </c>
      <c r="K697" t="inlineStr">
        <is>
          <t>SEND</t>
        </is>
      </c>
    </row>
    <row r="698">
      <c r="A698" t="inlineStr">
        <is>
          <t>Renata</t>
        </is>
      </c>
      <c r="B698" t="inlineStr">
        <is>
          <t>+5511998140420</t>
        </is>
      </c>
      <c r="C698" t="inlineStr">
        <is>
          <t>Refill</t>
        </is>
      </c>
      <c r="D698" t="inlineStr">
        <is>
          <t>Primer Cachos</t>
        </is>
      </c>
      <c r="E698" t="n">
        <v>1</v>
      </c>
      <c r="F698" t="inlineStr">
        <is>
          <t>2025-11-29</t>
        </is>
      </c>
      <c r="G698" t="n">
        <v>217</v>
      </c>
      <c r="H698" t="inlineStr">
        <is>
          <t>Y</t>
        </is>
      </c>
      <c r="I698">
        <f>HYPERLINK("https://admin.shopify.com/store/ge-beauty-cosmeticos/customers/7761303667008","abrir")</f>
        <v/>
      </c>
      <c r="J698">
        <f>HYPERLINK("https://www.gebeauty.com.br/products/primer-cachos-definidos?ref=review","review")</f>
        <v/>
      </c>
      <c r="K698" t="inlineStr">
        <is>
          <t>SEND</t>
        </is>
      </c>
    </row>
    <row r="699">
      <c r="A699" t="inlineStr">
        <is>
          <t>Roberta</t>
        </is>
      </c>
      <c r="B699" t="inlineStr">
        <is>
          <t>+5521972922511</t>
        </is>
      </c>
      <c r="C699" t="inlineStr">
        <is>
          <t>Refill</t>
        </is>
      </c>
      <c r="D699" t="inlineStr">
        <is>
          <t>Primer Cachos</t>
        </is>
      </c>
      <c r="E699" t="n">
        <v>1</v>
      </c>
      <c r="F699" t="inlineStr">
        <is>
          <t>2025-11-29</t>
        </is>
      </c>
      <c r="G699" t="n">
        <v>217</v>
      </c>
      <c r="H699" t="inlineStr">
        <is>
          <t>Y</t>
        </is>
      </c>
      <c r="I699">
        <f>HYPERLINK("https://admin.shopify.com/store/ge-beauty-cosmeticos/customers/9912237359424","abrir")</f>
        <v/>
      </c>
      <c r="J699">
        <f>HYPERLINK("https://www.gebeauty.com.br/products/primer-cachos-definidos?ref=review","review")</f>
        <v/>
      </c>
      <c r="K699" t="inlineStr">
        <is>
          <t>SEND</t>
        </is>
      </c>
    </row>
    <row r="700">
      <c r="A700" t="inlineStr">
        <is>
          <t>Caroline</t>
        </is>
      </c>
      <c r="B700" t="inlineStr">
        <is>
          <t>+5561998031673</t>
        </is>
      </c>
      <c r="C700" t="inlineStr">
        <is>
          <t>Refill</t>
        </is>
      </c>
      <c r="D700" t="inlineStr">
        <is>
          <t>Primer Cachos</t>
        </is>
      </c>
      <c r="E700" t="n">
        <v>1</v>
      </c>
      <c r="F700" t="inlineStr">
        <is>
          <t>2025-11-29</t>
        </is>
      </c>
      <c r="G700" t="n">
        <v>217</v>
      </c>
      <c r="H700" t="inlineStr">
        <is>
          <t>Y</t>
        </is>
      </c>
      <c r="I700">
        <f>HYPERLINK("https://admin.shopify.com/store/ge-beauty-cosmeticos/customers/9912273338688","abrir")</f>
        <v/>
      </c>
      <c r="J700">
        <f>HYPERLINK("https://www.gebeauty.com.br/products/primer-cachos-definidos?ref=review","review")</f>
        <v/>
      </c>
      <c r="K700" t="inlineStr">
        <is>
          <t>SEND</t>
        </is>
      </c>
    </row>
    <row r="701">
      <c r="A701" t="inlineStr">
        <is>
          <t>Clara</t>
        </is>
      </c>
      <c r="B701" t="inlineStr">
        <is>
          <t>+5521972232224</t>
        </is>
      </c>
      <c r="C701" t="inlineStr">
        <is>
          <t>Refill</t>
        </is>
      </c>
      <c r="D701" t="inlineStr">
        <is>
          <t>Primer Cachos</t>
        </is>
      </c>
      <c r="E701" t="n">
        <v>1</v>
      </c>
      <c r="F701" t="inlineStr">
        <is>
          <t>2025-11-29</t>
        </is>
      </c>
      <c r="G701" t="n">
        <v>217</v>
      </c>
      <c r="H701" t="inlineStr">
        <is>
          <t>Y</t>
        </is>
      </c>
      <c r="I701">
        <f>HYPERLINK("https://admin.shopify.com/store/ge-beauty-cosmeticos/customers/9486364082496","abrir")</f>
        <v/>
      </c>
      <c r="J701">
        <f>HYPERLINK("https://www.gebeauty.com.br/products/primer-cachos-definidos?ref=review","review")</f>
        <v/>
      </c>
      <c r="K701" t="inlineStr">
        <is>
          <t>SEND</t>
        </is>
      </c>
    </row>
    <row r="702">
      <c r="A702" t="inlineStr">
        <is>
          <t>Juliana</t>
        </is>
      </c>
      <c r="B702" t="inlineStr">
        <is>
          <t>+5541992041149</t>
        </is>
      </c>
      <c r="C702" t="inlineStr">
        <is>
          <t>Refill</t>
        </is>
      </c>
      <c r="D702" t="inlineStr">
        <is>
          <t>Primer Cachos</t>
        </is>
      </c>
      <c r="E702" t="n">
        <v>1</v>
      </c>
      <c r="F702" t="inlineStr">
        <is>
          <t>2025-11-29</t>
        </is>
      </c>
      <c r="G702" t="n">
        <v>217</v>
      </c>
      <c r="H702" t="inlineStr">
        <is>
          <t>Y</t>
        </is>
      </c>
      <c r="I702">
        <f>HYPERLINK("https://admin.shopify.com/store/ge-beauty-cosmeticos/customers/8967040401728","abrir")</f>
        <v/>
      </c>
      <c r="J702">
        <f>HYPERLINK("https://www.gebeauty.com.br/products/primer-cachos-definidos?ref=review","review")</f>
        <v/>
      </c>
      <c r="K702" t="inlineStr">
        <is>
          <t>SEND</t>
        </is>
      </c>
    </row>
    <row r="703">
      <c r="A703" t="inlineStr">
        <is>
          <t>Jaqueline</t>
        </is>
      </c>
      <c r="B703" t="inlineStr">
        <is>
          <t>+5511993097184</t>
        </is>
      </c>
      <c r="C703" t="inlineStr">
        <is>
          <t>Refill</t>
        </is>
      </c>
      <c r="D703" t="inlineStr">
        <is>
          <t>Primer Cachos</t>
        </is>
      </c>
      <c r="E703" t="n">
        <v>1</v>
      </c>
      <c r="F703" t="inlineStr">
        <is>
          <t>2025-11-29</t>
        </is>
      </c>
      <c r="G703" t="n">
        <v>217</v>
      </c>
      <c r="H703" t="inlineStr">
        <is>
          <t>Y</t>
        </is>
      </c>
      <c r="I703">
        <f>HYPERLINK("https://admin.shopify.com/store/ge-beauty-cosmeticos/customers/9896142078272","abrir")</f>
        <v/>
      </c>
      <c r="J703">
        <f>HYPERLINK("https://www.gebeauty.com.br/products/primer-cachos-definidos?ref=review","review")</f>
        <v/>
      </c>
      <c r="K703" t="inlineStr">
        <is>
          <t>SEND</t>
        </is>
      </c>
    </row>
    <row r="704">
      <c r="A704" t="inlineStr">
        <is>
          <t>Liza</t>
        </is>
      </c>
      <c r="B704" t="inlineStr">
        <is>
          <t>+5511976565818</t>
        </is>
      </c>
      <c r="C704" t="inlineStr">
        <is>
          <t>Refill</t>
        </is>
      </c>
      <c r="D704" t="inlineStr">
        <is>
          <t>Primer Cachos</t>
        </is>
      </c>
      <c r="E704" t="n">
        <v>1</v>
      </c>
      <c r="F704" t="inlineStr">
        <is>
          <t>2025-11-29</t>
        </is>
      </c>
      <c r="G704" t="n">
        <v>217</v>
      </c>
      <c r="H704" t="inlineStr">
        <is>
          <t>Y</t>
        </is>
      </c>
      <c r="I704">
        <f>HYPERLINK("https://admin.shopify.com/store/ge-beauty-cosmeticos/customers/7761990779200","abrir")</f>
        <v/>
      </c>
      <c r="J704">
        <f>HYPERLINK("https://www.gebeauty.com.br/products/primer-cachos-definidos?ref=review","review")</f>
        <v/>
      </c>
      <c r="K704" t="inlineStr">
        <is>
          <t>SEND</t>
        </is>
      </c>
    </row>
    <row r="705">
      <c r="A705" t="inlineStr">
        <is>
          <t>Juliana</t>
        </is>
      </c>
      <c r="B705" t="inlineStr">
        <is>
          <t>+5511997064959</t>
        </is>
      </c>
      <c r="C705" t="inlineStr">
        <is>
          <t>Refill</t>
        </is>
      </c>
      <c r="D705" t="inlineStr">
        <is>
          <t>Primer Cachos</t>
        </is>
      </c>
      <c r="E705" t="n">
        <v>1</v>
      </c>
      <c r="F705" t="inlineStr">
        <is>
          <t>2025-11-29</t>
        </is>
      </c>
      <c r="G705" t="n">
        <v>217</v>
      </c>
      <c r="H705" t="inlineStr">
        <is>
          <t>Y</t>
        </is>
      </c>
      <c r="I705">
        <f>HYPERLINK("https://admin.shopify.com/store/ge-beauty-cosmeticos/customers/9486375190848","abrir")</f>
        <v/>
      </c>
      <c r="J705">
        <f>HYPERLINK("https://www.gebeauty.com.br/products/primer-cachos-definidos?ref=review","review")</f>
        <v/>
      </c>
      <c r="K705" t="inlineStr">
        <is>
          <t>SEND</t>
        </is>
      </c>
    </row>
    <row r="706">
      <c r="A706" t="inlineStr">
        <is>
          <t>Graziele</t>
        </is>
      </c>
      <c r="B706" t="inlineStr">
        <is>
          <t>+5511965617126</t>
        </is>
      </c>
      <c r="C706" t="inlineStr">
        <is>
          <t>Refill</t>
        </is>
      </c>
      <c r="D706" t="inlineStr">
        <is>
          <t>Primer Cachos</t>
        </is>
      </c>
      <c r="E706" t="n">
        <v>1</v>
      </c>
      <c r="F706" t="inlineStr">
        <is>
          <t>2025-11-29</t>
        </is>
      </c>
      <c r="G706" t="n">
        <v>217</v>
      </c>
      <c r="H706" t="inlineStr">
        <is>
          <t>Y</t>
        </is>
      </c>
      <c r="I706">
        <f>HYPERLINK("https://admin.shopify.com/store/ge-beauty-cosmeticos/customers/9485899399488","abrir")</f>
        <v/>
      </c>
      <c r="J706">
        <f>HYPERLINK("https://www.gebeauty.com.br/products/primer-cachos-definidos?ref=review","review")</f>
        <v/>
      </c>
      <c r="K706" t="inlineStr">
        <is>
          <t>SEND</t>
        </is>
      </c>
    </row>
    <row r="707">
      <c r="A707" t="inlineStr">
        <is>
          <t>Amanda</t>
        </is>
      </c>
      <c r="B707" t="inlineStr">
        <is>
          <t>+5511941741001</t>
        </is>
      </c>
      <c r="C707" t="inlineStr">
        <is>
          <t>Refill</t>
        </is>
      </c>
      <c r="D707" t="inlineStr">
        <is>
          <t>Primer Cachos</t>
        </is>
      </c>
      <c r="E707" t="n">
        <v>1</v>
      </c>
      <c r="F707" t="inlineStr">
        <is>
          <t>2025-11-29</t>
        </is>
      </c>
      <c r="G707" t="n">
        <v>217</v>
      </c>
      <c r="H707" t="inlineStr">
        <is>
          <t>Y</t>
        </is>
      </c>
      <c r="I707">
        <f>HYPERLINK("https://admin.shopify.com/store/ge-beauty-cosmeticos/customers/9485622837568","abrir")</f>
        <v/>
      </c>
      <c r="J707">
        <f>HYPERLINK("https://www.gebeauty.com.br/products/primer-cachos-definidos?ref=review","review")</f>
        <v/>
      </c>
      <c r="K707" t="inlineStr">
        <is>
          <t>HOLDOUT</t>
        </is>
      </c>
    </row>
    <row r="708">
      <c r="A708" t="inlineStr">
        <is>
          <t>Talissa</t>
        </is>
      </c>
      <c r="B708" t="inlineStr">
        <is>
          <t>+5511996933344</t>
        </is>
      </c>
      <c r="C708" t="inlineStr">
        <is>
          <t>Refill</t>
        </is>
      </c>
      <c r="D708" t="inlineStr">
        <is>
          <t>Primer Cachos</t>
        </is>
      </c>
      <c r="E708" t="n">
        <v>1</v>
      </c>
      <c r="F708" t="inlineStr">
        <is>
          <t>2025-11-29</t>
        </is>
      </c>
      <c r="G708" t="n">
        <v>217</v>
      </c>
      <c r="H708" t="inlineStr">
        <is>
          <t>Y</t>
        </is>
      </c>
      <c r="I708">
        <f>HYPERLINK("https://admin.shopify.com/store/ge-beauty-cosmeticos/customers/9485869646144","abrir")</f>
        <v/>
      </c>
      <c r="J708">
        <f>HYPERLINK("https://www.gebeauty.com.br/products/primer-cachos-definidos?ref=review","review")</f>
        <v/>
      </c>
      <c r="K708" t="inlineStr">
        <is>
          <t>SEND</t>
        </is>
      </c>
    </row>
    <row r="709">
      <c r="A709" t="inlineStr">
        <is>
          <t>Lilian</t>
        </is>
      </c>
      <c r="B709" t="inlineStr">
        <is>
          <t>+5511994897699</t>
        </is>
      </c>
      <c r="C709" t="inlineStr">
        <is>
          <t>Refill</t>
        </is>
      </c>
      <c r="D709" t="inlineStr">
        <is>
          <t>Primer Cachos</t>
        </is>
      </c>
      <c r="E709" t="n">
        <v>1</v>
      </c>
      <c r="F709" t="inlineStr">
        <is>
          <t>2025-11-29</t>
        </is>
      </c>
      <c r="G709" t="n">
        <v>217</v>
      </c>
      <c r="H709" t="inlineStr">
        <is>
          <t>Y</t>
        </is>
      </c>
      <c r="I709">
        <f>HYPERLINK("https://admin.shopify.com/store/ge-beauty-cosmeticos/customers/7762169463104","abrir")</f>
        <v/>
      </c>
      <c r="J709">
        <f>HYPERLINK("https://www.gebeauty.com.br/products/primer-cachos-definidos?ref=review","review")</f>
        <v/>
      </c>
      <c r="K709" t="inlineStr">
        <is>
          <t>SEND</t>
        </is>
      </c>
    </row>
    <row r="710">
      <c r="A710" t="inlineStr">
        <is>
          <t>Melissa</t>
        </is>
      </c>
      <c r="B710" t="inlineStr">
        <is>
          <t>+5511948651506</t>
        </is>
      </c>
      <c r="C710" t="inlineStr">
        <is>
          <t>Refill</t>
        </is>
      </c>
      <c r="D710" t="inlineStr">
        <is>
          <t>Primer Cachos</t>
        </is>
      </c>
      <c r="E710" t="n">
        <v>1</v>
      </c>
      <c r="F710" t="inlineStr">
        <is>
          <t>2025-11-29</t>
        </is>
      </c>
      <c r="G710" t="n">
        <v>217</v>
      </c>
      <c r="H710" t="inlineStr">
        <is>
          <t>Y</t>
        </is>
      </c>
      <c r="I710">
        <f>HYPERLINK("https://admin.shopify.com/store/ge-beauty-cosmeticos/customers/9039663104320","abrir")</f>
        <v/>
      </c>
      <c r="J710">
        <f>HYPERLINK("https://www.gebeauty.com.br/products/primer-cachos-definidos?ref=review","review")</f>
        <v/>
      </c>
      <c r="K710" t="inlineStr">
        <is>
          <t>SEND</t>
        </is>
      </c>
    </row>
    <row r="711">
      <c r="A711" t="inlineStr">
        <is>
          <t>Juliana</t>
        </is>
      </c>
      <c r="B711" t="inlineStr">
        <is>
          <t>+5511991853691</t>
        </is>
      </c>
      <c r="C711" t="inlineStr">
        <is>
          <t>Refill</t>
        </is>
      </c>
      <c r="D711" t="inlineStr">
        <is>
          <t>Primer Cachos</t>
        </is>
      </c>
      <c r="E711" t="n">
        <v>1</v>
      </c>
      <c r="F711" t="inlineStr">
        <is>
          <t>2025-11-29</t>
        </is>
      </c>
      <c r="G711" t="n">
        <v>217</v>
      </c>
      <c r="H711" t="inlineStr">
        <is>
          <t>Y</t>
        </is>
      </c>
      <c r="I711">
        <f>HYPERLINK("https://admin.shopify.com/store/ge-beauty-cosmeticos/customers/9486286979392","abrir")</f>
        <v/>
      </c>
      <c r="J711">
        <f>HYPERLINK("https://www.gebeauty.com.br/products/primer-cachos-definidos?ref=review","review")</f>
        <v/>
      </c>
      <c r="K711" t="inlineStr">
        <is>
          <t>SEND</t>
        </is>
      </c>
    </row>
    <row r="712">
      <c r="A712" t="inlineStr">
        <is>
          <t>Licia</t>
        </is>
      </c>
      <c r="B712" t="inlineStr">
        <is>
          <t>+5598981245857</t>
        </is>
      </c>
      <c r="C712" t="inlineStr">
        <is>
          <t>Refill</t>
        </is>
      </c>
      <c r="D712" t="inlineStr">
        <is>
          <t>Primer Cachos</t>
        </is>
      </c>
      <c r="E712" t="n">
        <v>1</v>
      </c>
      <c r="F712" t="inlineStr">
        <is>
          <t>2025-11-29</t>
        </is>
      </c>
      <c r="G712" t="n">
        <v>217</v>
      </c>
      <c r="H712" t="inlineStr">
        <is>
          <t>Y</t>
        </is>
      </c>
      <c r="I712">
        <f>HYPERLINK("https://admin.shopify.com/store/ge-beauty-cosmeticos/customers/9912926044480","abrir")</f>
        <v/>
      </c>
      <c r="J712">
        <f>HYPERLINK("https://www.gebeauty.com.br/products/primer-cachos-definidos?ref=review","review")</f>
        <v/>
      </c>
      <c r="K712" t="inlineStr">
        <is>
          <t>HOLDOUT</t>
        </is>
      </c>
    </row>
    <row r="713">
      <c r="A713" t="inlineStr">
        <is>
          <t>Deisy</t>
        </is>
      </c>
      <c r="B713" t="inlineStr">
        <is>
          <t>+5548999065060</t>
        </is>
      </c>
      <c r="C713" t="inlineStr">
        <is>
          <t>Refill</t>
        </is>
      </c>
      <c r="D713" t="inlineStr">
        <is>
          <t>Primer Cachos</t>
        </is>
      </c>
      <c r="E713" t="n">
        <v>1</v>
      </c>
      <c r="F713" t="inlineStr">
        <is>
          <t>2025-11-29</t>
        </is>
      </c>
      <c r="G713" t="n">
        <v>217</v>
      </c>
      <c r="H713" t="inlineStr">
        <is>
          <t>Y</t>
        </is>
      </c>
      <c r="I713">
        <f>HYPERLINK("https://admin.shopify.com/store/ge-beauty-cosmeticos/customers/9912927224128","abrir")</f>
        <v/>
      </c>
      <c r="J713">
        <f>HYPERLINK("https://www.gebeauty.com.br/products/primer-cachos-definidos?ref=review","review")</f>
        <v/>
      </c>
      <c r="K713" t="inlineStr">
        <is>
          <t>SEND</t>
        </is>
      </c>
    </row>
    <row r="714">
      <c r="A714" t="inlineStr">
        <is>
          <t>Camila</t>
        </is>
      </c>
      <c r="B714" t="inlineStr">
        <is>
          <t>+5587999614638</t>
        </is>
      </c>
      <c r="C714" t="inlineStr">
        <is>
          <t>Refill</t>
        </is>
      </c>
      <c r="D714" t="inlineStr">
        <is>
          <t>Primer Cachos</t>
        </is>
      </c>
      <c r="E714" t="n">
        <v>1</v>
      </c>
      <c r="F714" t="inlineStr">
        <is>
          <t>2025-11-29</t>
        </is>
      </c>
      <c r="G714" t="n">
        <v>217</v>
      </c>
      <c r="H714" t="inlineStr">
        <is>
          <t>Y</t>
        </is>
      </c>
      <c r="I714">
        <f>HYPERLINK("https://admin.shopify.com/store/ge-beauty-cosmeticos/customers/9010631672128","abrir")</f>
        <v/>
      </c>
      <c r="J714">
        <f>HYPERLINK("https://www.gebeauty.com.br/products/primer-cachos-definidos?ref=review","review")</f>
        <v/>
      </c>
      <c r="K714" t="inlineStr">
        <is>
          <t>SEND</t>
        </is>
      </c>
    </row>
    <row r="715">
      <c r="A715" t="inlineStr">
        <is>
          <t>Renata</t>
        </is>
      </c>
      <c r="B715" t="inlineStr">
        <is>
          <t>+5584999069300</t>
        </is>
      </c>
      <c r="C715" t="inlineStr">
        <is>
          <t>Refill</t>
        </is>
      </c>
      <c r="D715" t="inlineStr">
        <is>
          <t>Primer Cachos</t>
        </is>
      </c>
      <c r="E715" t="n">
        <v>1</v>
      </c>
      <c r="F715" t="inlineStr">
        <is>
          <t>2025-11-29</t>
        </is>
      </c>
      <c r="G715" t="n">
        <v>217</v>
      </c>
      <c r="H715" t="inlineStr">
        <is>
          <t>Y</t>
        </is>
      </c>
      <c r="I715">
        <f>HYPERLINK("https://admin.shopify.com/store/ge-beauty-cosmeticos/customers/9484722307392","abrir")</f>
        <v/>
      </c>
      <c r="J715">
        <f>HYPERLINK("https://www.gebeauty.com.br/products/primer-cachos-definidos?ref=review","review")</f>
        <v/>
      </c>
      <c r="K715" t="inlineStr">
        <is>
          <t>SEND</t>
        </is>
      </c>
    </row>
    <row r="716">
      <c r="A716" t="inlineStr">
        <is>
          <t>Johanna</t>
        </is>
      </c>
      <c r="B716" t="inlineStr">
        <is>
          <t>+5583998699328</t>
        </is>
      </c>
      <c r="C716" t="inlineStr">
        <is>
          <t>Refill</t>
        </is>
      </c>
      <c r="D716" t="inlineStr">
        <is>
          <t>Primer Cachos</t>
        </is>
      </c>
      <c r="E716" t="n">
        <v>1</v>
      </c>
      <c r="F716" t="inlineStr">
        <is>
          <t>2025-11-29</t>
        </is>
      </c>
      <c r="G716" t="n">
        <v>217</v>
      </c>
      <c r="H716" t="inlineStr">
        <is>
          <t>Y</t>
        </is>
      </c>
      <c r="I716">
        <f>HYPERLINK("https://admin.shopify.com/store/ge-beauty-cosmeticos/customers/9912990204224","abrir")</f>
        <v/>
      </c>
      <c r="J716">
        <f>HYPERLINK("https://www.gebeauty.com.br/products/primer-cachos-definidos?ref=review","review")</f>
        <v/>
      </c>
      <c r="K716" t="inlineStr">
        <is>
          <t>SEND</t>
        </is>
      </c>
    </row>
    <row r="717">
      <c r="A717" t="inlineStr">
        <is>
          <t>Williany</t>
        </is>
      </c>
      <c r="B717" t="inlineStr">
        <is>
          <t>+5544999350644</t>
        </is>
      </c>
      <c r="C717" t="inlineStr">
        <is>
          <t>Refill</t>
        </is>
      </c>
      <c r="D717" t="inlineStr">
        <is>
          <t>Primer Cachos</t>
        </is>
      </c>
      <c r="E717" t="n">
        <v>1</v>
      </c>
      <c r="F717" t="inlineStr">
        <is>
          <t>2025-11-29</t>
        </is>
      </c>
      <c r="G717" t="n">
        <v>217</v>
      </c>
      <c r="H717" t="inlineStr">
        <is>
          <t>Y</t>
        </is>
      </c>
      <c r="I717">
        <f>HYPERLINK("https://admin.shopify.com/store/ge-beauty-cosmeticos/customers/9913081299264","abrir")</f>
        <v/>
      </c>
      <c r="J717">
        <f>HYPERLINK("https://www.gebeauty.com.br/products/primer-cachos-definidos?ref=review","review")</f>
        <v/>
      </c>
      <c r="K717" t="inlineStr">
        <is>
          <t>SEND</t>
        </is>
      </c>
    </row>
    <row r="718">
      <c r="A718" t="inlineStr">
        <is>
          <t>Adriele</t>
        </is>
      </c>
      <c r="B718" t="inlineStr">
        <is>
          <t>+5577999719101</t>
        </is>
      </c>
      <c r="C718" t="inlineStr">
        <is>
          <t>Refill</t>
        </is>
      </c>
      <c r="D718" t="inlineStr">
        <is>
          <t>Primer Cachos</t>
        </is>
      </c>
      <c r="E718" t="n">
        <v>1</v>
      </c>
      <c r="F718" t="inlineStr">
        <is>
          <t>2025-11-29</t>
        </is>
      </c>
      <c r="G718" t="n">
        <v>217</v>
      </c>
      <c r="H718" t="inlineStr">
        <is>
          <t>Y</t>
        </is>
      </c>
      <c r="I718">
        <f>HYPERLINK("https://admin.shopify.com/store/ge-beauty-cosmeticos/customers/9913161056576","abrir")</f>
        <v/>
      </c>
      <c r="J718">
        <f>HYPERLINK("https://www.gebeauty.com.br/products/primer-cachos-definidos?ref=review","review")</f>
        <v/>
      </c>
      <c r="K718" t="inlineStr">
        <is>
          <t>SEND</t>
        </is>
      </c>
    </row>
    <row r="719">
      <c r="A719" t="inlineStr">
        <is>
          <t>Mariana</t>
        </is>
      </c>
      <c r="B719" t="inlineStr">
        <is>
          <t>+5521998542874</t>
        </is>
      </c>
      <c r="C719" t="inlineStr">
        <is>
          <t>Refill</t>
        </is>
      </c>
      <c r="D719" t="inlineStr">
        <is>
          <t>Primer Cachos</t>
        </is>
      </c>
      <c r="E719" t="n">
        <v>1</v>
      </c>
      <c r="F719" t="inlineStr">
        <is>
          <t>2025-11-29</t>
        </is>
      </c>
      <c r="G719" t="n">
        <v>217</v>
      </c>
      <c r="H719" t="inlineStr">
        <is>
          <t>Y</t>
        </is>
      </c>
      <c r="I719">
        <f>HYPERLINK("https://admin.shopify.com/store/ge-beauty-cosmeticos/customers/9485199802688","abrir")</f>
        <v/>
      </c>
      <c r="J719">
        <f>HYPERLINK("https://www.gebeauty.com.br/products/primer-cachos-definidos?ref=review","review")</f>
        <v/>
      </c>
      <c r="K719" t="inlineStr">
        <is>
          <t>SEND</t>
        </is>
      </c>
    </row>
    <row r="720">
      <c r="A720" t="inlineStr">
        <is>
          <t>Laura</t>
        </is>
      </c>
      <c r="B720" t="inlineStr">
        <is>
          <t>+5534991430740</t>
        </is>
      </c>
      <c r="C720" t="inlineStr">
        <is>
          <t>Refill</t>
        </is>
      </c>
      <c r="D720" t="inlineStr">
        <is>
          <t>Primer Cachos</t>
        </is>
      </c>
      <c r="E720" t="n">
        <v>1</v>
      </c>
      <c r="F720" t="inlineStr">
        <is>
          <t>2025-11-29</t>
        </is>
      </c>
      <c r="G720" t="n">
        <v>217</v>
      </c>
      <c r="H720" t="inlineStr">
        <is>
          <t>Y</t>
        </is>
      </c>
      <c r="I720">
        <f>HYPERLINK("https://admin.shopify.com/store/ge-beauty-cosmeticos/customers/9913381028160","abrir")</f>
        <v/>
      </c>
      <c r="J720">
        <f>HYPERLINK("https://www.gebeauty.com.br/products/primer-cachos-definidos?ref=review","review")</f>
        <v/>
      </c>
      <c r="K720" t="inlineStr">
        <is>
          <t>SEND</t>
        </is>
      </c>
    </row>
    <row r="721">
      <c r="A721" t="inlineStr">
        <is>
          <t>Rosângela</t>
        </is>
      </c>
      <c r="B721" t="inlineStr">
        <is>
          <t>+5551998113116</t>
        </is>
      </c>
      <c r="C721" t="inlineStr">
        <is>
          <t>Refill</t>
        </is>
      </c>
      <c r="D721" t="inlineStr">
        <is>
          <t>Primer Cachos</t>
        </is>
      </c>
      <c r="E721" t="n">
        <v>1</v>
      </c>
      <c r="F721" t="inlineStr">
        <is>
          <t>2025-11-29</t>
        </is>
      </c>
      <c r="G721" t="n">
        <v>217</v>
      </c>
      <c r="H721" t="inlineStr">
        <is>
          <t>Y</t>
        </is>
      </c>
      <c r="I721">
        <f>HYPERLINK("https://admin.shopify.com/store/ge-beauty-cosmeticos/customers/9913415041344","abrir")</f>
        <v/>
      </c>
      <c r="J721">
        <f>HYPERLINK("https://www.gebeauty.com.br/products/primer-cachos-definidos?ref=review","review")</f>
        <v/>
      </c>
      <c r="K721" t="inlineStr">
        <is>
          <t>SEND</t>
        </is>
      </c>
    </row>
    <row r="722">
      <c r="A722" t="inlineStr">
        <is>
          <t>Luiza</t>
        </is>
      </c>
      <c r="B722" t="inlineStr">
        <is>
          <t>+5527999690353</t>
        </is>
      </c>
      <c r="C722" t="inlineStr">
        <is>
          <t>Refill</t>
        </is>
      </c>
      <c r="D722" t="inlineStr">
        <is>
          <t>Primer Cachos</t>
        </is>
      </c>
      <c r="E722" t="n">
        <v>1</v>
      </c>
      <c r="F722" t="inlineStr">
        <is>
          <t>2025-11-29</t>
        </is>
      </c>
      <c r="G722" t="n">
        <v>217</v>
      </c>
      <c r="H722" t="inlineStr">
        <is>
          <t>Y</t>
        </is>
      </c>
      <c r="I722">
        <f>HYPERLINK("https://admin.shopify.com/store/ge-beauty-cosmeticos/customers/9913438667072","abrir")</f>
        <v/>
      </c>
      <c r="J722">
        <f>HYPERLINK("https://www.gebeauty.com.br/products/primer-cachos-definidos?ref=review","review")</f>
        <v/>
      </c>
      <c r="K722" t="inlineStr">
        <is>
          <t>HOLDOUT</t>
        </is>
      </c>
    </row>
    <row r="723">
      <c r="A723" t="inlineStr">
        <is>
          <t>Lara</t>
        </is>
      </c>
      <c r="B723" t="inlineStr">
        <is>
          <t>+5519983047575</t>
        </is>
      </c>
      <c r="C723" t="inlineStr">
        <is>
          <t>Refill</t>
        </is>
      </c>
      <c r="D723" t="inlineStr">
        <is>
          <t>Primer Cachos</t>
        </is>
      </c>
      <c r="E723" t="n">
        <v>1</v>
      </c>
      <c r="F723" t="inlineStr">
        <is>
          <t>2025-11-29</t>
        </is>
      </c>
      <c r="G723" t="n">
        <v>217</v>
      </c>
      <c r="H723" t="inlineStr">
        <is>
          <t>Y</t>
        </is>
      </c>
      <c r="I723">
        <f>HYPERLINK("https://admin.shopify.com/store/ge-beauty-cosmeticos/customers/8438078800192","abrir")</f>
        <v/>
      </c>
      <c r="J723">
        <f>HYPERLINK("https://www.gebeauty.com.br/products/primer-cachos-definidos?ref=review","review")</f>
        <v/>
      </c>
      <c r="K723" t="inlineStr">
        <is>
          <t>SEND</t>
        </is>
      </c>
    </row>
    <row r="724">
      <c r="A724" t="inlineStr">
        <is>
          <t>Natália</t>
        </is>
      </c>
      <c r="B724" t="inlineStr">
        <is>
          <t>+5521979159555</t>
        </is>
      </c>
      <c r="C724" t="inlineStr">
        <is>
          <t>Refill</t>
        </is>
      </c>
      <c r="D724" t="inlineStr">
        <is>
          <t>Primer Cachos</t>
        </is>
      </c>
      <c r="E724" t="n">
        <v>1</v>
      </c>
      <c r="F724" t="inlineStr">
        <is>
          <t>2025-11-29</t>
        </is>
      </c>
      <c r="G724" t="n">
        <v>217</v>
      </c>
      <c r="H724" t="inlineStr">
        <is>
          <t>Y</t>
        </is>
      </c>
      <c r="I724">
        <f>HYPERLINK("https://admin.shopify.com/store/ge-beauty-cosmeticos/customers/9893735530816","abrir")</f>
        <v/>
      </c>
      <c r="J724">
        <f>HYPERLINK("https://www.gebeauty.com.br/products/primer-cachos-definidos?ref=review","review")</f>
        <v/>
      </c>
      <c r="K724" t="inlineStr">
        <is>
          <t>HOLDOUT</t>
        </is>
      </c>
    </row>
    <row r="725">
      <c r="A725" t="inlineStr">
        <is>
          <t>Jamile</t>
        </is>
      </c>
      <c r="B725" t="inlineStr">
        <is>
          <t>+5554991693128</t>
        </is>
      </c>
      <c r="C725" t="inlineStr">
        <is>
          <t>Refill</t>
        </is>
      </c>
      <c r="D725" t="inlineStr">
        <is>
          <t>Primer Cachos</t>
        </is>
      </c>
      <c r="E725" t="n">
        <v>1</v>
      </c>
      <c r="F725" t="inlineStr">
        <is>
          <t>2025-11-29</t>
        </is>
      </c>
      <c r="G725" t="n">
        <v>217</v>
      </c>
      <c r="H725" t="inlineStr">
        <is>
          <t>Y</t>
        </is>
      </c>
      <c r="I725">
        <f>HYPERLINK("https://admin.shopify.com/store/ge-beauty-cosmeticos/customers/9913548210496","abrir")</f>
        <v/>
      </c>
      <c r="J725">
        <f>HYPERLINK("https://www.gebeauty.com.br/products/primer-cachos-definidos?ref=review","review")</f>
        <v/>
      </c>
      <c r="K725" t="inlineStr">
        <is>
          <t>SEND</t>
        </is>
      </c>
    </row>
    <row r="726">
      <c r="A726" t="inlineStr">
        <is>
          <t>Monica</t>
        </is>
      </c>
      <c r="B726" t="inlineStr">
        <is>
          <t>+5577991947705</t>
        </is>
      </c>
      <c r="C726" t="inlineStr">
        <is>
          <t>Refill</t>
        </is>
      </c>
      <c r="D726" t="inlineStr">
        <is>
          <t>Primer Cachos</t>
        </is>
      </c>
      <c r="E726" t="n">
        <v>1</v>
      </c>
      <c r="F726" t="inlineStr">
        <is>
          <t>2025-11-29</t>
        </is>
      </c>
      <c r="G726" t="n">
        <v>217</v>
      </c>
      <c r="H726" t="inlineStr">
        <is>
          <t>Y</t>
        </is>
      </c>
      <c r="I726">
        <f>HYPERLINK("https://admin.shopify.com/store/ge-beauty-cosmeticos/customers/9849100796224","abrir")</f>
        <v/>
      </c>
      <c r="J726">
        <f>HYPERLINK("https://www.gebeauty.com.br/products/primer-cachos-definidos?ref=review","review")</f>
        <v/>
      </c>
      <c r="K726" t="inlineStr">
        <is>
          <t>SEND</t>
        </is>
      </c>
    </row>
    <row r="727">
      <c r="A727" t="inlineStr">
        <is>
          <t>Sandra</t>
        </is>
      </c>
      <c r="B727" t="inlineStr">
        <is>
          <t>+5585999870959</t>
        </is>
      </c>
      <c r="C727" t="inlineStr">
        <is>
          <t>Refill</t>
        </is>
      </c>
      <c r="D727" t="inlineStr">
        <is>
          <t>Primer Cachos</t>
        </is>
      </c>
      <c r="E727" t="n">
        <v>1</v>
      </c>
      <c r="F727" t="inlineStr">
        <is>
          <t>2025-11-29</t>
        </is>
      </c>
      <c r="G727" t="n">
        <v>217</v>
      </c>
      <c r="H727" t="inlineStr">
        <is>
          <t>Y</t>
        </is>
      </c>
      <c r="I727">
        <f>HYPERLINK("https://admin.shopify.com/store/ge-beauty-cosmeticos/customers/9913636684096","abrir")</f>
        <v/>
      </c>
      <c r="J727">
        <f>HYPERLINK("https://www.gebeauty.com.br/products/primer-cachos-definidos?ref=review","review")</f>
        <v/>
      </c>
      <c r="K727" t="inlineStr">
        <is>
          <t>SEND</t>
        </is>
      </c>
    </row>
    <row r="728">
      <c r="A728" t="inlineStr">
        <is>
          <t>Francisca</t>
        </is>
      </c>
      <c r="B728" t="inlineStr">
        <is>
          <t>+5585986096861</t>
        </is>
      </c>
      <c r="C728" t="inlineStr">
        <is>
          <t>Refill</t>
        </is>
      </c>
      <c r="D728" t="inlineStr">
        <is>
          <t>Primer Cachos</t>
        </is>
      </c>
      <c r="E728" t="n">
        <v>1</v>
      </c>
      <c r="F728" t="inlineStr">
        <is>
          <t>2025-11-29</t>
        </is>
      </c>
      <c r="G728" t="n">
        <v>217</v>
      </c>
      <c r="H728" t="inlineStr">
        <is>
          <t>Y</t>
        </is>
      </c>
      <c r="I728">
        <f>HYPERLINK("https://admin.shopify.com/store/ge-beauty-cosmeticos/customers/9754561085760","abrir")</f>
        <v/>
      </c>
      <c r="J728">
        <f>HYPERLINK("https://www.gebeauty.com.br/products/primer-cachos-definidos?ref=review","review")</f>
        <v/>
      </c>
      <c r="K728" t="inlineStr">
        <is>
          <t>SEND</t>
        </is>
      </c>
    </row>
    <row r="729">
      <c r="A729" t="inlineStr">
        <is>
          <t>Maria</t>
        </is>
      </c>
      <c r="B729" t="inlineStr">
        <is>
          <t>+5535988096660</t>
        </is>
      </c>
      <c r="C729" t="inlineStr">
        <is>
          <t>Refill</t>
        </is>
      </c>
      <c r="D729" t="inlineStr">
        <is>
          <t>Primer Cachos</t>
        </is>
      </c>
      <c r="E729" t="n">
        <v>1</v>
      </c>
      <c r="F729" t="inlineStr">
        <is>
          <t>2025-11-29</t>
        </is>
      </c>
      <c r="G729" t="n">
        <v>217</v>
      </c>
      <c r="H729" t="inlineStr">
        <is>
          <t>Y</t>
        </is>
      </c>
      <c r="I729">
        <f>HYPERLINK("https://admin.shopify.com/store/ge-beauty-cosmeticos/customers/9913686458688","abrir")</f>
        <v/>
      </c>
      <c r="J729">
        <f>HYPERLINK("https://www.gebeauty.com.br/products/primer-cachos-definidos?ref=review","review")</f>
        <v/>
      </c>
      <c r="K729" t="inlineStr">
        <is>
          <t>SEND</t>
        </is>
      </c>
    </row>
    <row r="730">
      <c r="A730" t="inlineStr">
        <is>
          <t>Maria Lúcia</t>
        </is>
      </c>
      <c r="B730" t="inlineStr">
        <is>
          <t>+5517988187211</t>
        </is>
      </c>
      <c r="C730" t="inlineStr">
        <is>
          <t>Refill</t>
        </is>
      </c>
      <c r="D730" t="inlineStr">
        <is>
          <t>Primer Cachos</t>
        </is>
      </c>
      <c r="E730" t="n">
        <v>1</v>
      </c>
      <c r="F730" t="inlineStr">
        <is>
          <t>2025-11-29</t>
        </is>
      </c>
      <c r="G730" t="n">
        <v>217</v>
      </c>
      <c r="H730" t="inlineStr">
        <is>
          <t>Y</t>
        </is>
      </c>
      <c r="I730">
        <f>HYPERLINK("https://admin.shopify.com/store/ge-beauty-cosmeticos/customers/9913670533440","abrir")</f>
        <v/>
      </c>
      <c r="J730">
        <f>HYPERLINK("https://www.gebeauty.com.br/products/primer-cachos-definidos?ref=review","review")</f>
        <v/>
      </c>
      <c r="K730" t="inlineStr">
        <is>
          <t>SEND</t>
        </is>
      </c>
    </row>
    <row r="731">
      <c r="A731" t="inlineStr">
        <is>
          <t>Luciana</t>
        </is>
      </c>
      <c r="B731" t="inlineStr">
        <is>
          <t>+5562981219761</t>
        </is>
      </c>
      <c r="C731" t="inlineStr">
        <is>
          <t>Refill</t>
        </is>
      </c>
      <c r="D731" t="inlineStr">
        <is>
          <t>Primer Cachos</t>
        </is>
      </c>
      <c r="E731" t="n">
        <v>1</v>
      </c>
      <c r="F731" t="inlineStr">
        <is>
          <t>2025-11-29</t>
        </is>
      </c>
      <c r="G731" t="n">
        <v>217</v>
      </c>
      <c r="H731" t="inlineStr">
        <is>
          <t>Y</t>
        </is>
      </c>
      <c r="I731">
        <f>HYPERLINK("https://admin.shopify.com/store/ge-beauty-cosmeticos/customers/9913733644608","abrir")</f>
        <v/>
      </c>
      <c r="J731">
        <f>HYPERLINK("https://www.gebeauty.com.br/products/primer-cachos-definidos?ref=review","review")</f>
        <v/>
      </c>
      <c r="K731" t="inlineStr">
        <is>
          <t>SEND</t>
        </is>
      </c>
    </row>
    <row r="732">
      <c r="A732" t="inlineStr">
        <is>
          <t>Renata</t>
        </is>
      </c>
      <c r="B732" t="inlineStr">
        <is>
          <t>+5527992783773</t>
        </is>
      </c>
      <c r="C732" t="inlineStr">
        <is>
          <t>Refill</t>
        </is>
      </c>
      <c r="D732" t="inlineStr">
        <is>
          <t>Primer Cachos</t>
        </is>
      </c>
      <c r="E732" t="n">
        <v>1</v>
      </c>
      <c r="F732" t="inlineStr">
        <is>
          <t>2025-11-29</t>
        </is>
      </c>
      <c r="G732" t="n">
        <v>217</v>
      </c>
      <c r="H732" t="inlineStr">
        <is>
          <t>Y</t>
        </is>
      </c>
      <c r="I732">
        <f>HYPERLINK("https://admin.shopify.com/store/ge-beauty-cosmeticos/customers/9900024201536","abrir")</f>
        <v/>
      </c>
      <c r="J732">
        <f>HYPERLINK("https://www.gebeauty.com.br/products/primer-cachos-definidos?ref=review","review")</f>
        <v/>
      </c>
      <c r="K732" t="inlineStr">
        <is>
          <t>HOLDOUT</t>
        </is>
      </c>
    </row>
    <row r="733">
      <c r="A733" t="inlineStr">
        <is>
          <t>Maria Julia</t>
        </is>
      </c>
      <c r="B733" t="inlineStr">
        <is>
          <t>+5543999821747</t>
        </is>
      </c>
      <c r="C733" t="inlineStr">
        <is>
          <t>Refill</t>
        </is>
      </c>
      <c r="D733" t="inlineStr">
        <is>
          <t>Primer Cachos</t>
        </is>
      </c>
      <c r="E733" t="n">
        <v>1</v>
      </c>
      <c r="F733" t="inlineStr">
        <is>
          <t>2025-11-29</t>
        </is>
      </c>
      <c r="G733" t="n">
        <v>217</v>
      </c>
      <c r="H733" t="inlineStr">
        <is>
          <t>Y</t>
        </is>
      </c>
      <c r="I733">
        <f>HYPERLINK("https://admin.shopify.com/store/ge-beauty-cosmeticos/customers/9486225670464","abrir")</f>
        <v/>
      </c>
      <c r="J733">
        <f>HYPERLINK("https://www.gebeauty.com.br/products/primer-cachos-definidos?ref=review","review")</f>
        <v/>
      </c>
      <c r="K733" t="inlineStr">
        <is>
          <t>SEND</t>
        </is>
      </c>
    </row>
    <row r="734">
      <c r="A734" t="inlineStr">
        <is>
          <t>Adriana</t>
        </is>
      </c>
      <c r="B734" t="inlineStr">
        <is>
          <t>+5519981231552</t>
        </is>
      </c>
      <c r="C734" t="inlineStr">
        <is>
          <t>Refill</t>
        </is>
      </c>
      <c r="D734" t="inlineStr">
        <is>
          <t>Primer Cachos</t>
        </is>
      </c>
      <c r="E734" t="n">
        <v>1</v>
      </c>
      <c r="F734" t="inlineStr">
        <is>
          <t>2025-11-29</t>
        </is>
      </c>
      <c r="G734" t="n">
        <v>217</v>
      </c>
      <c r="H734" t="inlineStr">
        <is>
          <t>Y</t>
        </is>
      </c>
      <c r="I734">
        <f>HYPERLINK("https://admin.shopify.com/store/ge-beauty-cosmeticos/customers/9913848758592","abrir")</f>
        <v/>
      </c>
      <c r="J734">
        <f>HYPERLINK("https://www.gebeauty.com.br/products/primer-cachos-definidos?ref=review","review")</f>
        <v/>
      </c>
      <c r="K734" t="inlineStr">
        <is>
          <t>SEND</t>
        </is>
      </c>
    </row>
    <row r="735">
      <c r="A735" t="inlineStr">
        <is>
          <t>Tatiane</t>
        </is>
      </c>
      <c r="B735" t="inlineStr">
        <is>
          <t>+5511997066819</t>
        </is>
      </c>
      <c r="C735" t="inlineStr">
        <is>
          <t>Refill</t>
        </is>
      </c>
      <c r="D735" t="inlineStr">
        <is>
          <t>Primer Cachos</t>
        </is>
      </c>
      <c r="E735" t="n">
        <v>1</v>
      </c>
      <c r="F735" t="inlineStr">
        <is>
          <t>2025-11-29</t>
        </is>
      </c>
      <c r="G735" t="n">
        <v>217</v>
      </c>
      <c r="H735" t="inlineStr">
        <is>
          <t>Y</t>
        </is>
      </c>
      <c r="I735">
        <f>HYPERLINK("https://admin.shopify.com/store/ge-beauty-cosmeticos/customers/9485974798656","abrir")</f>
        <v/>
      </c>
      <c r="J735">
        <f>HYPERLINK("https://www.gebeauty.com.br/products/primer-cachos-definidos?ref=review","review")</f>
        <v/>
      </c>
      <c r="K735" t="inlineStr">
        <is>
          <t>SEND</t>
        </is>
      </c>
    </row>
    <row r="736">
      <c r="A736" t="inlineStr">
        <is>
          <t>Alexandra</t>
        </is>
      </c>
      <c r="B736" t="inlineStr">
        <is>
          <t>+5527993097264</t>
        </is>
      </c>
      <c r="C736" t="inlineStr">
        <is>
          <t>Refill</t>
        </is>
      </c>
      <c r="D736" t="inlineStr">
        <is>
          <t>Primer Cachos</t>
        </is>
      </c>
      <c r="E736" t="n">
        <v>1</v>
      </c>
      <c r="F736" t="inlineStr">
        <is>
          <t>2025-11-29</t>
        </is>
      </c>
      <c r="G736" t="n">
        <v>217</v>
      </c>
      <c r="H736" t="inlineStr">
        <is>
          <t>Y</t>
        </is>
      </c>
      <c r="I736">
        <f>HYPERLINK("https://admin.shopify.com/store/ge-beauty-cosmeticos/customers/9864842051904","abrir")</f>
        <v/>
      </c>
      <c r="J736">
        <f>HYPERLINK("https://www.gebeauty.com.br/products/primer-cachos-definidos?ref=review","review")</f>
        <v/>
      </c>
      <c r="K736" t="inlineStr">
        <is>
          <t>SEND</t>
        </is>
      </c>
    </row>
    <row r="737">
      <c r="A737" t="inlineStr">
        <is>
          <t>Lara Juliana</t>
        </is>
      </c>
      <c r="B737" t="inlineStr">
        <is>
          <t>+5582991189130</t>
        </is>
      </c>
      <c r="C737" t="inlineStr">
        <is>
          <t>Refill</t>
        </is>
      </c>
      <c r="D737" t="inlineStr">
        <is>
          <t>Primer Cachos</t>
        </is>
      </c>
      <c r="E737" t="n">
        <v>1</v>
      </c>
      <c r="F737" t="inlineStr">
        <is>
          <t>2025-11-29</t>
        </is>
      </c>
      <c r="G737" t="n">
        <v>217</v>
      </c>
      <c r="H737" t="inlineStr">
        <is>
          <t>Y</t>
        </is>
      </c>
      <c r="I737">
        <f>HYPERLINK("https://admin.shopify.com/store/ge-beauty-cosmeticos/customers/9913966362944","abrir")</f>
        <v/>
      </c>
      <c r="J737">
        <f>HYPERLINK("https://www.gebeauty.com.br/products/primer-cachos-definidos?ref=review","review")</f>
        <v/>
      </c>
      <c r="K737" t="inlineStr">
        <is>
          <t>SEND</t>
        </is>
      </c>
    </row>
    <row r="738">
      <c r="A738" t="inlineStr">
        <is>
          <t>Caroline</t>
        </is>
      </c>
      <c r="B738" t="inlineStr">
        <is>
          <t>+5531983347883</t>
        </is>
      </c>
      <c r="C738" t="inlineStr">
        <is>
          <t>Refill</t>
        </is>
      </c>
      <c r="D738" t="inlineStr">
        <is>
          <t>Primer Cachos</t>
        </is>
      </c>
      <c r="E738" t="n">
        <v>1</v>
      </c>
      <c r="F738" t="inlineStr">
        <is>
          <t>2025-11-29</t>
        </is>
      </c>
      <c r="G738" t="n">
        <v>217</v>
      </c>
      <c r="H738" t="inlineStr">
        <is>
          <t>Y</t>
        </is>
      </c>
      <c r="I738">
        <f>HYPERLINK("https://admin.shopify.com/store/ge-beauty-cosmeticos/customers/9913936707904","abrir")</f>
        <v/>
      </c>
      <c r="J738">
        <f>HYPERLINK("https://www.gebeauty.com.br/products/primer-cachos-definidos?ref=review","review")</f>
        <v/>
      </c>
      <c r="K738" t="inlineStr">
        <is>
          <t>SEND</t>
        </is>
      </c>
    </row>
    <row r="739">
      <c r="A739" t="inlineStr">
        <is>
          <t>Natalia</t>
        </is>
      </c>
      <c r="B739" t="inlineStr">
        <is>
          <t>+5511999504838</t>
        </is>
      </c>
      <c r="C739" t="inlineStr">
        <is>
          <t>Refill</t>
        </is>
      </c>
      <c r="D739" t="inlineStr">
        <is>
          <t>Primer Cachos</t>
        </is>
      </c>
      <c r="E739" t="n">
        <v>1</v>
      </c>
      <c r="F739" t="inlineStr">
        <is>
          <t>2025-11-29</t>
        </is>
      </c>
      <c r="G739" t="n">
        <v>217</v>
      </c>
      <c r="H739" t="inlineStr">
        <is>
          <t>Y</t>
        </is>
      </c>
      <c r="I739">
        <f>HYPERLINK("https://admin.shopify.com/store/ge-beauty-cosmeticos/customers/9913988284736","abrir")</f>
        <v/>
      </c>
      <c r="J739">
        <f>HYPERLINK("https://www.gebeauty.com.br/products/primer-cachos-definidos?ref=review","review")</f>
        <v/>
      </c>
      <c r="K739" t="inlineStr">
        <is>
          <t>SEND</t>
        </is>
      </c>
    </row>
    <row r="740">
      <c r="A740" t="inlineStr">
        <is>
          <t>Maria Renata</t>
        </is>
      </c>
      <c r="B740" t="inlineStr">
        <is>
          <t>+5541995193113</t>
        </is>
      </c>
      <c r="C740" t="inlineStr">
        <is>
          <t>Refill</t>
        </is>
      </c>
      <c r="D740" t="inlineStr">
        <is>
          <t>Primer Cachos</t>
        </is>
      </c>
      <c r="E740" t="n">
        <v>1</v>
      </c>
      <c r="F740" t="inlineStr">
        <is>
          <t>2025-11-29</t>
        </is>
      </c>
      <c r="G740" t="n">
        <v>217</v>
      </c>
      <c r="H740" t="inlineStr">
        <is>
          <t>Y</t>
        </is>
      </c>
      <c r="I740">
        <f>HYPERLINK("https://admin.shopify.com/store/ge-beauty-cosmeticos/customers/9913981272384","abrir")</f>
        <v/>
      </c>
      <c r="J740">
        <f>HYPERLINK("https://www.gebeauty.com.br/products/primer-cachos-definidos?ref=review","review")</f>
        <v/>
      </c>
      <c r="K740" t="inlineStr">
        <is>
          <t>SEND</t>
        </is>
      </c>
    </row>
    <row r="741">
      <c r="A741" t="inlineStr">
        <is>
          <t>Barbara</t>
        </is>
      </c>
      <c r="B741" t="inlineStr">
        <is>
          <t>+5511950699944</t>
        </is>
      </c>
      <c r="C741" t="inlineStr">
        <is>
          <t>Refill</t>
        </is>
      </c>
      <c r="D741" t="inlineStr">
        <is>
          <t>Primer Cachos</t>
        </is>
      </c>
      <c r="E741" t="n">
        <v>1</v>
      </c>
      <c r="F741" t="inlineStr">
        <is>
          <t>2025-11-29</t>
        </is>
      </c>
      <c r="G741" t="n">
        <v>217</v>
      </c>
      <c r="H741" t="inlineStr">
        <is>
          <t>Y</t>
        </is>
      </c>
      <c r="I741">
        <f>HYPERLINK("https://admin.shopify.com/store/ge-beauty-cosmeticos/customers/7762195513664","abrir")</f>
        <v/>
      </c>
      <c r="J741">
        <f>HYPERLINK("https://www.gebeauty.com.br/products/primer-cachos-definidos?ref=review","review")</f>
        <v/>
      </c>
      <c r="K741" t="inlineStr">
        <is>
          <t>SEND</t>
        </is>
      </c>
    </row>
    <row r="742">
      <c r="A742" t="inlineStr">
        <is>
          <t>Fabienne</t>
        </is>
      </c>
      <c r="B742" t="inlineStr">
        <is>
          <t>+5511984489563</t>
        </is>
      </c>
      <c r="C742" t="inlineStr">
        <is>
          <t>Refill</t>
        </is>
      </c>
      <c r="D742" t="inlineStr">
        <is>
          <t>Primer Cachos</t>
        </is>
      </c>
      <c r="E742" t="n">
        <v>1</v>
      </c>
      <c r="F742" t="inlineStr">
        <is>
          <t>2025-11-29</t>
        </is>
      </c>
      <c r="G742" t="n">
        <v>217</v>
      </c>
      <c r="H742" t="inlineStr">
        <is>
          <t>Y</t>
        </is>
      </c>
      <c r="I742">
        <f>HYPERLINK("https://admin.shopify.com/store/ge-beauty-cosmeticos/customers/9914064109888","abrir")</f>
        <v/>
      </c>
      <c r="J742">
        <f>HYPERLINK("https://www.gebeauty.com.br/products/primer-cachos-definidos?ref=review","review")</f>
        <v/>
      </c>
      <c r="K742" t="inlineStr">
        <is>
          <t>SEND</t>
        </is>
      </c>
    </row>
    <row r="743">
      <c r="A743" t="inlineStr">
        <is>
          <t>Maria</t>
        </is>
      </c>
      <c r="B743" t="inlineStr">
        <is>
          <t>+5583987877976</t>
        </is>
      </c>
      <c r="C743" t="inlineStr">
        <is>
          <t>Refill</t>
        </is>
      </c>
      <c r="D743" t="inlineStr">
        <is>
          <t>Primer Cachos</t>
        </is>
      </c>
      <c r="E743" t="n">
        <v>1</v>
      </c>
      <c r="F743" t="inlineStr">
        <is>
          <t>2025-11-29</t>
        </is>
      </c>
      <c r="G743" t="n">
        <v>217</v>
      </c>
      <c r="H743" t="inlineStr">
        <is>
          <t>Y</t>
        </is>
      </c>
      <c r="I743">
        <f>HYPERLINK("https://admin.shopify.com/store/ge-beauty-cosmeticos/customers/8908317884736","abrir")</f>
        <v/>
      </c>
      <c r="J743">
        <f>HYPERLINK("https://www.gebeauty.com.br/products/primer-cachos-definidos?ref=review","review")</f>
        <v/>
      </c>
      <c r="K743" t="inlineStr">
        <is>
          <t>SEND</t>
        </is>
      </c>
    </row>
    <row r="744">
      <c r="A744" t="inlineStr">
        <is>
          <t>Raquel</t>
        </is>
      </c>
      <c r="B744" t="inlineStr">
        <is>
          <t>+5541999589078</t>
        </is>
      </c>
      <c r="C744" t="inlineStr">
        <is>
          <t>Refill</t>
        </is>
      </c>
      <c r="D744" t="inlineStr">
        <is>
          <t>Primer Cachos</t>
        </is>
      </c>
      <c r="E744" t="n">
        <v>1</v>
      </c>
      <c r="F744" t="inlineStr">
        <is>
          <t>2025-11-29</t>
        </is>
      </c>
      <c r="G744" t="n">
        <v>217</v>
      </c>
      <c r="H744" t="inlineStr">
        <is>
          <t>Y</t>
        </is>
      </c>
      <c r="I744">
        <f>HYPERLINK("https://admin.shopify.com/store/ge-beauty-cosmeticos/customers/7761626890560","abrir")</f>
        <v/>
      </c>
      <c r="J744">
        <f>HYPERLINK("https://www.gebeauty.com.br/products/primer-cachos-definidos?ref=review","review")</f>
        <v/>
      </c>
      <c r="K744" t="inlineStr">
        <is>
          <t>SEND</t>
        </is>
      </c>
    </row>
    <row r="745">
      <c r="A745" t="inlineStr">
        <is>
          <t>Amanda</t>
        </is>
      </c>
      <c r="B745" t="inlineStr">
        <is>
          <t>+5524999916331</t>
        </is>
      </c>
      <c r="C745" t="inlineStr">
        <is>
          <t>Refill</t>
        </is>
      </c>
      <c r="D745" t="inlineStr">
        <is>
          <t>Primer Cachos</t>
        </is>
      </c>
      <c r="E745" t="n">
        <v>1</v>
      </c>
      <c r="F745" t="inlineStr">
        <is>
          <t>2025-11-29</t>
        </is>
      </c>
      <c r="G745" t="n">
        <v>217</v>
      </c>
      <c r="H745" t="inlineStr">
        <is>
          <t>Y</t>
        </is>
      </c>
      <c r="I745">
        <f>HYPERLINK("https://admin.shopify.com/store/ge-beauty-cosmeticos/customers/8328744108352","abrir")</f>
        <v/>
      </c>
      <c r="J745">
        <f>HYPERLINK("https://www.gebeauty.com.br/products/primer-cachos-definidos?ref=review","review")</f>
        <v/>
      </c>
      <c r="K745" t="inlineStr">
        <is>
          <t>SEND</t>
        </is>
      </c>
    </row>
    <row r="746">
      <c r="A746" t="inlineStr">
        <is>
          <t>Natasha</t>
        </is>
      </c>
      <c r="B746" t="inlineStr">
        <is>
          <t>+5511993861919</t>
        </is>
      </c>
      <c r="C746" t="inlineStr">
        <is>
          <t>Refill</t>
        </is>
      </c>
      <c r="D746" t="inlineStr">
        <is>
          <t>Primer Cachos</t>
        </is>
      </c>
      <c r="E746" t="n">
        <v>1</v>
      </c>
      <c r="F746" t="inlineStr">
        <is>
          <t>2025-11-29</t>
        </is>
      </c>
      <c r="G746" t="n">
        <v>217</v>
      </c>
      <c r="H746" t="inlineStr">
        <is>
          <t>Y</t>
        </is>
      </c>
      <c r="I746">
        <f>HYPERLINK("https://admin.shopify.com/store/ge-beauty-cosmeticos/customers/9806180811072","abrir")</f>
        <v/>
      </c>
      <c r="J746">
        <f>HYPERLINK("https://www.gebeauty.com.br/products/primer-cachos-definidos?ref=review","review")</f>
        <v/>
      </c>
      <c r="K746" t="inlineStr">
        <is>
          <t>SEND</t>
        </is>
      </c>
    </row>
    <row r="747">
      <c r="A747" t="inlineStr">
        <is>
          <t>Vanessa</t>
        </is>
      </c>
      <c r="B747" t="inlineStr">
        <is>
          <t>+5521969958626</t>
        </is>
      </c>
      <c r="C747" t="inlineStr">
        <is>
          <t>Refill</t>
        </is>
      </c>
      <c r="D747" t="inlineStr">
        <is>
          <t>Primer Cachos</t>
        </is>
      </c>
      <c r="E747" t="n">
        <v>1</v>
      </c>
      <c r="F747" t="inlineStr">
        <is>
          <t>2025-11-29</t>
        </is>
      </c>
      <c r="G747" t="n">
        <v>217</v>
      </c>
      <c r="H747" t="inlineStr">
        <is>
          <t>Y</t>
        </is>
      </c>
      <c r="I747">
        <f>HYPERLINK("https://admin.shopify.com/store/ge-beauty-cosmeticos/customers/9914134298944","abrir")</f>
        <v/>
      </c>
      <c r="J747">
        <f>HYPERLINK("https://www.gebeauty.com.br/products/primer-cachos-definidos?ref=review","review")</f>
        <v/>
      </c>
      <c r="K747" t="inlineStr">
        <is>
          <t>SEND</t>
        </is>
      </c>
    </row>
    <row r="748">
      <c r="A748" t="inlineStr">
        <is>
          <t>Bruna</t>
        </is>
      </c>
      <c r="B748" t="inlineStr">
        <is>
          <t>+5571999560429</t>
        </is>
      </c>
      <c r="C748" t="inlineStr">
        <is>
          <t>Refill</t>
        </is>
      </c>
      <c r="D748" t="inlineStr">
        <is>
          <t>Primer Cachos</t>
        </is>
      </c>
      <c r="E748" t="n">
        <v>1</v>
      </c>
      <c r="F748" t="inlineStr">
        <is>
          <t>2025-11-29</t>
        </is>
      </c>
      <c r="G748" t="n">
        <v>217</v>
      </c>
      <c r="H748" t="inlineStr">
        <is>
          <t>Y</t>
        </is>
      </c>
      <c r="I748">
        <f>HYPERLINK("https://admin.shopify.com/store/ge-beauty-cosmeticos/customers/9914129154368","abrir")</f>
        <v/>
      </c>
      <c r="J748">
        <f>HYPERLINK("https://www.gebeauty.com.br/products/primer-cachos-definidos?ref=review","review")</f>
        <v/>
      </c>
      <c r="K748" t="inlineStr">
        <is>
          <t>SEND</t>
        </is>
      </c>
    </row>
    <row r="749">
      <c r="A749" t="inlineStr">
        <is>
          <t>Ligiane</t>
        </is>
      </c>
      <c r="B749" t="inlineStr">
        <is>
          <t>+5584988413239</t>
        </is>
      </c>
      <c r="C749" t="inlineStr">
        <is>
          <t>Refill</t>
        </is>
      </c>
      <c r="D749" t="inlineStr">
        <is>
          <t>Primer Cachos</t>
        </is>
      </c>
      <c r="E749" t="n">
        <v>1</v>
      </c>
      <c r="F749" t="inlineStr">
        <is>
          <t>2025-11-29</t>
        </is>
      </c>
      <c r="G749" t="n">
        <v>217</v>
      </c>
      <c r="H749" t="inlineStr">
        <is>
          <t>Y</t>
        </is>
      </c>
      <c r="I749">
        <f>HYPERLINK("https://admin.shopify.com/store/ge-beauty-cosmeticos/customers/9914188333376","abrir")</f>
        <v/>
      </c>
      <c r="J749">
        <f>HYPERLINK("https://www.gebeauty.com.br/products/primer-cachos-definidos?ref=review","review")</f>
        <v/>
      </c>
      <c r="K749" t="inlineStr">
        <is>
          <t>SEND</t>
        </is>
      </c>
    </row>
    <row r="750">
      <c r="A750" t="inlineStr">
        <is>
          <t>Gislei</t>
        </is>
      </c>
      <c r="B750" t="inlineStr">
        <is>
          <t>+5516991337491</t>
        </is>
      </c>
      <c r="C750" t="inlineStr">
        <is>
          <t>Refill</t>
        </is>
      </c>
      <c r="D750" t="inlineStr">
        <is>
          <t>Primer Cachos</t>
        </is>
      </c>
      <c r="E750" t="n">
        <v>1</v>
      </c>
      <c r="F750" t="inlineStr">
        <is>
          <t>2025-11-30</t>
        </is>
      </c>
      <c r="G750" t="n">
        <v>216</v>
      </c>
      <c r="H750" t="inlineStr">
        <is>
          <t>Y</t>
        </is>
      </c>
      <c r="I750">
        <f>HYPERLINK("https://admin.shopify.com/store/ge-beauty-cosmeticos/customers/9913218138432","abrir")</f>
        <v/>
      </c>
      <c r="J750">
        <f>HYPERLINK("https://www.gebeauty.com.br/products/primer-cachos-definidos?ref=review","review")</f>
        <v/>
      </c>
      <c r="K750" t="inlineStr">
        <is>
          <t>SEND</t>
        </is>
      </c>
    </row>
    <row r="751">
      <c r="A751" t="inlineStr">
        <is>
          <t>Sandra</t>
        </is>
      </c>
      <c r="B751" t="inlineStr">
        <is>
          <t>+5518997720080</t>
        </is>
      </c>
      <c r="C751" t="inlineStr">
        <is>
          <t>Refill</t>
        </is>
      </c>
      <c r="D751" t="inlineStr">
        <is>
          <t>Primer Cachos</t>
        </is>
      </c>
      <c r="E751" t="n">
        <v>1</v>
      </c>
      <c r="F751" t="inlineStr">
        <is>
          <t>2025-11-30</t>
        </is>
      </c>
      <c r="G751" t="n">
        <v>216</v>
      </c>
      <c r="H751" t="inlineStr">
        <is>
          <t>Y</t>
        </is>
      </c>
      <c r="I751">
        <f>HYPERLINK("https://admin.shopify.com/store/ge-beauty-cosmeticos/customers/9914251182400","abrir")</f>
        <v/>
      </c>
      <c r="J751">
        <f>HYPERLINK("https://www.gebeauty.com.br/products/primer-cachos-definidos?ref=review","review")</f>
        <v/>
      </c>
      <c r="K751" t="inlineStr">
        <is>
          <t>HOLDOUT</t>
        </is>
      </c>
    </row>
    <row r="752">
      <c r="A752" t="inlineStr">
        <is>
          <t>Milena</t>
        </is>
      </c>
      <c r="B752" t="inlineStr">
        <is>
          <t>+5538999082018</t>
        </is>
      </c>
      <c r="C752" t="inlineStr">
        <is>
          <t>Refill</t>
        </is>
      </c>
      <c r="D752" t="inlineStr">
        <is>
          <t>Primer Cachos</t>
        </is>
      </c>
      <c r="E752" t="n">
        <v>1</v>
      </c>
      <c r="F752" t="inlineStr">
        <is>
          <t>2025-11-30</t>
        </is>
      </c>
      <c r="G752" t="n">
        <v>216</v>
      </c>
      <c r="H752" t="inlineStr">
        <is>
          <t>Y</t>
        </is>
      </c>
      <c r="I752">
        <f>HYPERLINK("https://admin.shopify.com/store/ge-beauty-cosmeticos/customers/9914192134464","abrir")</f>
        <v/>
      </c>
      <c r="J752">
        <f>HYPERLINK("https://www.gebeauty.com.br/products/primer-cachos-definidos?ref=review","review")</f>
        <v/>
      </c>
      <c r="K752" t="inlineStr">
        <is>
          <t>SEND</t>
        </is>
      </c>
    </row>
    <row r="753">
      <c r="A753" t="inlineStr">
        <is>
          <t>Vanessa</t>
        </is>
      </c>
      <c r="B753" t="inlineStr">
        <is>
          <t>+5561992047337</t>
        </is>
      </c>
      <c r="C753" t="inlineStr">
        <is>
          <t>Refill</t>
        </is>
      </c>
      <c r="D753" t="inlineStr">
        <is>
          <t>Primer Cachos</t>
        </is>
      </c>
      <c r="E753" t="n">
        <v>1</v>
      </c>
      <c r="F753" t="inlineStr">
        <is>
          <t>2025-11-30</t>
        </is>
      </c>
      <c r="G753" t="n">
        <v>216</v>
      </c>
      <c r="H753" t="inlineStr">
        <is>
          <t>Y</t>
        </is>
      </c>
      <c r="I753">
        <f>HYPERLINK("https://admin.shopify.com/store/ge-beauty-cosmeticos/customers/7762159108416","abrir")</f>
        <v/>
      </c>
      <c r="J753">
        <f>HYPERLINK("https://www.gebeauty.com.br/products/primer-cachos-definidos?ref=review","review")</f>
        <v/>
      </c>
      <c r="K753" t="inlineStr">
        <is>
          <t>SEND</t>
        </is>
      </c>
    </row>
    <row r="754">
      <c r="A754" t="inlineStr">
        <is>
          <t>Maria Luiza</t>
        </is>
      </c>
      <c r="B754" t="inlineStr">
        <is>
          <t>+553584138885</t>
        </is>
      </c>
      <c r="C754" t="inlineStr">
        <is>
          <t>Refill</t>
        </is>
      </c>
      <c r="D754" t="inlineStr">
        <is>
          <t>Primer Cachos</t>
        </is>
      </c>
      <c r="E754" t="n">
        <v>1</v>
      </c>
      <c r="F754" t="inlineStr">
        <is>
          <t>2025-11-30</t>
        </is>
      </c>
      <c r="G754" t="n">
        <v>216</v>
      </c>
      <c r="H754" t="inlineStr">
        <is>
          <t>Y</t>
        </is>
      </c>
      <c r="I754">
        <f>HYPERLINK("https://admin.shopify.com/store/ge-beauty-cosmeticos/customers/9485961298240","abrir")</f>
        <v/>
      </c>
      <c r="J754">
        <f>HYPERLINK("https://www.gebeauty.com.br/products/primer-cachos-definidos?ref=review","review")</f>
        <v/>
      </c>
      <c r="K754" t="inlineStr">
        <is>
          <t>SEND</t>
        </is>
      </c>
    </row>
    <row r="755">
      <c r="A755" t="inlineStr">
        <is>
          <t>Julia</t>
        </is>
      </c>
      <c r="B755" t="inlineStr">
        <is>
          <t>+5511910783496</t>
        </is>
      </c>
      <c r="C755" t="inlineStr">
        <is>
          <t>Refill</t>
        </is>
      </c>
      <c r="D755" t="inlineStr">
        <is>
          <t>Primer Cachos</t>
        </is>
      </c>
      <c r="E755" t="n">
        <v>1</v>
      </c>
      <c r="F755" t="inlineStr">
        <is>
          <t>2025-11-30</t>
        </is>
      </c>
      <c r="G755" t="n">
        <v>216</v>
      </c>
      <c r="H755" t="inlineStr">
        <is>
          <t>Y</t>
        </is>
      </c>
      <c r="I755">
        <f>HYPERLINK("https://admin.shopify.com/store/ge-beauty-cosmeticos/customers/9914333430080","abrir")</f>
        <v/>
      </c>
      <c r="J755">
        <f>HYPERLINK("https://www.gebeauty.com.br/products/primer-cachos-definidos?ref=review","review")</f>
        <v/>
      </c>
      <c r="K755" t="inlineStr">
        <is>
          <t>SEND</t>
        </is>
      </c>
    </row>
    <row r="756">
      <c r="A756" t="inlineStr">
        <is>
          <t>Anna</t>
        </is>
      </c>
      <c r="B756" t="inlineStr">
        <is>
          <t>+5554991138192</t>
        </is>
      </c>
      <c r="C756" t="inlineStr">
        <is>
          <t>Refill</t>
        </is>
      </c>
      <c r="D756" t="inlineStr">
        <is>
          <t>Primer Cachos</t>
        </is>
      </c>
      <c r="E756" t="n">
        <v>1</v>
      </c>
      <c r="F756" t="inlineStr">
        <is>
          <t>2025-11-30</t>
        </is>
      </c>
      <c r="G756" t="n">
        <v>216</v>
      </c>
      <c r="H756" t="inlineStr">
        <is>
          <t>Y</t>
        </is>
      </c>
      <c r="I756">
        <f>HYPERLINK("https://admin.shopify.com/store/ge-beauty-cosmeticos/customers/9784762630464","abrir")</f>
        <v/>
      </c>
      <c r="J756">
        <f>HYPERLINK("https://www.gebeauty.com.br/products/primer-cachos-definidos?ref=review","review")</f>
        <v/>
      </c>
      <c r="K756" t="inlineStr">
        <is>
          <t>SEND</t>
        </is>
      </c>
    </row>
    <row r="757">
      <c r="A757" t="inlineStr">
        <is>
          <t>Karina</t>
        </is>
      </c>
      <c r="B757" t="inlineStr">
        <is>
          <t>+5514997415995</t>
        </is>
      </c>
      <c r="C757" t="inlineStr">
        <is>
          <t>Refill</t>
        </is>
      </c>
      <c r="D757" t="inlineStr">
        <is>
          <t>Primer Cachos</t>
        </is>
      </c>
      <c r="E757" t="n">
        <v>1</v>
      </c>
      <c r="F757" t="inlineStr">
        <is>
          <t>2025-11-30</t>
        </is>
      </c>
      <c r="G757" t="n">
        <v>216</v>
      </c>
      <c r="H757" t="inlineStr">
        <is>
          <t>Y</t>
        </is>
      </c>
      <c r="I757">
        <f>HYPERLINK("https://admin.shopify.com/store/ge-beauty-cosmeticos/customers/9485023478080","abrir")</f>
        <v/>
      </c>
      <c r="J757">
        <f>HYPERLINK("https://www.gebeauty.com.br/products/primer-cachos-definidos?ref=review","review")</f>
        <v/>
      </c>
      <c r="K757" t="inlineStr">
        <is>
          <t>SEND</t>
        </is>
      </c>
    </row>
    <row r="758">
      <c r="A758" t="inlineStr">
        <is>
          <t>Elyza</t>
        </is>
      </c>
      <c r="B758" t="inlineStr">
        <is>
          <t>+5561981301450</t>
        </is>
      </c>
      <c r="C758" t="inlineStr">
        <is>
          <t>Refill</t>
        </is>
      </c>
      <c r="D758" t="inlineStr">
        <is>
          <t>Primer Cachos</t>
        </is>
      </c>
      <c r="E758" t="n">
        <v>1</v>
      </c>
      <c r="F758" t="inlineStr">
        <is>
          <t>2025-11-30</t>
        </is>
      </c>
      <c r="G758" t="n">
        <v>216</v>
      </c>
      <c r="H758" t="inlineStr">
        <is>
          <t>Y</t>
        </is>
      </c>
      <c r="I758">
        <f>HYPERLINK("https://admin.shopify.com/store/ge-beauty-cosmeticos/customers/9914425508160","abrir")</f>
        <v/>
      </c>
      <c r="J758">
        <f>HYPERLINK("https://www.gebeauty.com.br/products/primer-cachos-definidos?ref=review","review")</f>
        <v/>
      </c>
      <c r="K758" t="inlineStr">
        <is>
          <t>HOLDOUT</t>
        </is>
      </c>
    </row>
    <row r="759">
      <c r="A759" t="inlineStr">
        <is>
          <t>Viviane</t>
        </is>
      </c>
      <c r="B759" t="inlineStr">
        <is>
          <t>+5515997896002</t>
        </is>
      </c>
      <c r="C759" t="inlineStr">
        <is>
          <t>Refill</t>
        </is>
      </c>
      <c r="D759" t="inlineStr">
        <is>
          <t>Primer Cachos</t>
        </is>
      </c>
      <c r="E759" t="n">
        <v>1</v>
      </c>
      <c r="F759" t="inlineStr">
        <is>
          <t>2025-11-30</t>
        </is>
      </c>
      <c r="G759" t="n">
        <v>216</v>
      </c>
      <c r="H759" t="inlineStr">
        <is>
          <t>Y</t>
        </is>
      </c>
      <c r="I759">
        <f>HYPERLINK("https://admin.shopify.com/store/ge-beauty-cosmeticos/customers/9913830146368","abrir")</f>
        <v/>
      </c>
      <c r="J759">
        <f>HYPERLINK("https://www.gebeauty.com.br/products/primer-cachos-definidos?ref=review","review")</f>
        <v/>
      </c>
      <c r="K759" t="inlineStr">
        <is>
          <t>SEND</t>
        </is>
      </c>
    </row>
    <row r="760">
      <c r="A760" t="inlineStr">
        <is>
          <t>Joana</t>
        </is>
      </c>
      <c r="B760" t="inlineStr">
        <is>
          <t>+5521972556622</t>
        </is>
      </c>
      <c r="C760" t="inlineStr">
        <is>
          <t>Refill</t>
        </is>
      </c>
      <c r="D760" t="inlineStr">
        <is>
          <t>Primer Cachos</t>
        </is>
      </c>
      <c r="E760" t="n">
        <v>1</v>
      </c>
      <c r="F760" t="inlineStr">
        <is>
          <t>2025-11-30</t>
        </is>
      </c>
      <c r="G760" t="n">
        <v>216</v>
      </c>
      <c r="H760" t="inlineStr">
        <is>
          <t>Y</t>
        </is>
      </c>
      <c r="I760">
        <f>HYPERLINK("https://admin.shopify.com/store/ge-beauty-cosmeticos/customers/9486140899648","abrir")</f>
        <v/>
      </c>
      <c r="J760">
        <f>HYPERLINK("https://www.gebeauty.com.br/products/primer-cachos-definidos?ref=review","review")</f>
        <v/>
      </c>
      <c r="K760" t="inlineStr">
        <is>
          <t>SEND</t>
        </is>
      </c>
    </row>
    <row r="761">
      <c r="A761" t="inlineStr">
        <is>
          <t>Danielle</t>
        </is>
      </c>
      <c r="B761" t="inlineStr">
        <is>
          <t>+5519995182823</t>
        </is>
      </c>
      <c r="C761" t="inlineStr">
        <is>
          <t>Refill</t>
        </is>
      </c>
      <c r="D761" t="inlineStr">
        <is>
          <t>Primer Cachos</t>
        </is>
      </c>
      <c r="E761" t="n">
        <v>1</v>
      </c>
      <c r="F761" t="inlineStr">
        <is>
          <t>2025-11-30</t>
        </is>
      </c>
      <c r="G761" t="n">
        <v>216</v>
      </c>
      <c r="H761" t="inlineStr">
        <is>
          <t>Y</t>
        </is>
      </c>
      <c r="I761">
        <f>HYPERLINK("https://admin.shopify.com/store/ge-beauty-cosmeticos/customers/9914734117184","abrir")</f>
        <v/>
      </c>
      <c r="J761">
        <f>HYPERLINK("https://www.gebeauty.com.br/products/primer-cachos-definidos?ref=review","review")</f>
        <v/>
      </c>
      <c r="K761" t="inlineStr">
        <is>
          <t>SEND</t>
        </is>
      </c>
    </row>
    <row r="762">
      <c r="A762" t="inlineStr">
        <is>
          <t>Claudia</t>
        </is>
      </c>
      <c r="B762" t="inlineStr">
        <is>
          <t>+5513981210090</t>
        </is>
      </c>
      <c r="C762" t="inlineStr">
        <is>
          <t>Refill</t>
        </is>
      </c>
      <c r="D762" t="inlineStr">
        <is>
          <t>Primer Cachos</t>
        </is>
      </c>
      <c r="E762" t="n">
        <v>1</v>
      </c>
      <c r="F762" t="inlineStr">
        <is>
          <t>2025-11-30</t>
        </is>
      </c>
      <c r="G762" t="n">
        <v>216</v>
      </c>
      <c r="H762" t="inlineStr">
        <is>
          <t>Y</t>
        </is>
      </c>
      <c r="I762">
        <f>HYPERLINK("https://admin.shopify.com/store/ge-beauty-cosmeticos/customers/9885148873024","abrir")</f>
        <v/>
      </c>
      <c r="J762">
        <f>HYPERLINK("https://www.gebeauty.com.br/products/primer-cachos-definidos?ref=review","review")</f>
        <v/>
      </c>
      <c r="K762" t="inlineStr">
        <is>
          <t>SEND</t>
        </is>
      </c>
    </row>
    <row r="763">
      <c r="A763" t="inlineStr">
        <is>
          <t>Cassia</t>
        </is>
      </c>
      <c r="B763" t="inlineStr">
        <is>
          <t>+5519994047007</t>
        </is>
      </c>
      <c r="C763" t="inlineStr">
        <is>
          <t>Refill</t>
        </is>
      </c>
      <c r="D763" t="inlineStr">
        <is>
          <t>Primer Cachos</t>
        </is>
      </c>
      <c r="E763" t="n">
        <v>1</v>
      </c>
      <c r="F763" t="inlineStr">
        <is>
          <t>2025-11-30</t>
        </is>
      </c>
      <c r="G763" t="n">
        <v>216</v>
      </c>
      <c r="H763" t="inlineStr">
        <is>
          <t>Y</t>
        </is>
      </c>
      <c r="I763">
        <f>HYPERLINK("https://admin.shopify.com/store/ge-beauty-cosmeticos/customers/9866330177856","abrir")</f>
        <v/>
      </c>
      <c r="J763">
        <f>HYPERLINK("https://www.gebeauty.com.br/products/primer-cachos-definidos?ref=review","review")</f>
        <v/>
      </c>
      <c r="K763" t="inlineStr">
        <is>
          <t>SEND</t>
        </is>
      </c>
    </row>
    <row r="764">
      <c r="A764" t="inlineStr">
        <is>
          <t>Amanda</t>
        </is>
      </c>
      <c r="B764" t="inlineStr">
        <is>
          <t>+5531992859595</t>
        </is>
      </c>
      <c r="C764" t="inlineStr">
        <is>
          <t>Refill</t>
        </is>
      </c>
      <c r="D764" t="inlineStr">
        <is>
          <t>Primer Cachos</t>
        </is>
      </c>
      <c r="E764" t="n">
        <v>1</v>
      </c>
      <c r="F764" t="inlineStr">
        <is>
          <t>2025-11-30</t>
        </is>
      </c>
      <c r="G764" t="n">
        <v>216</v>
      </c>
      <c r="H764" t="inlineStr">
        <is>
          <t>Y</t>
        </is>
      </c>
      <c r="I764">
        <f>HYPERLINK("https://admin.shopify.com/store/ge-beauty-cosmeticos/customers/9915388363072","abrir")</f>
        <v/>
      </c>
      <c r="J764">
        <f>HYPERLINK("https://www.gebeauty.com.br/products/primer-cachos-definidos?ref=review","review")</f>
        <v/>
      </c>
      <c r="K764" t="inlineStr">
        <is>
          <t>SEND</t>
        </is>
      </c>
    </row>
    <row r="765">
      <c r="A765" t="inlineStr">
        <is>
          <t>Anna</t>
        </is>
      </c>
      <c r="B765" t="inlineStr">
        <is>
          <t>+5511945488494</t>
        </is>
      </c>
      <c r="C765" t="inlineStr">
        <is>
          <t>Refill</t>
        </is>
      </c>
      <c r="D765" t="inlineStr">
        <is>
          <t>Primer Cachos</t>
        </is>
      </c>
      <c r="E765" t="n">
        <v>1</v>
      </c>
      <c r="F765" t="inlineStr">
        <is>
          <t>2025-11-30</t>
        </is>
      </c>
      <c r="G765" t="n">
        <v>216</v>
      </c>
      <c r="H765" t="inlineStr">
        <is>
          <t>Y</t>
        </is>
      </c>
      <c r="I765">
        <f>HYPERLINK("https://admin.shopify.com/store/ge-beauty-cosmeticos/customers/9485767344448","abrir")</f>
        <v/>
      </c>
      <c r="J765">
        <f>HYPERLINK("https://www.gebeauty.com.br/products/primer-cachos-definidos?ref=review","review")</f>
        <v/>
      </c>
      <c r="K765" t="inlineStr">
        <is>
          <t>SEND</t>
        </is>
      </c>
    </row>
    <row r="766">
      <c r="A766" t="inlineStr">
        <is>
          <t>Maura</t>
        </is>
      </c>
      <c r="B766" t="inlineStr">
        <is>
          <t>+5511996416320</t>
        </is>
      </c>
      <c r="C766" t="inlineStr">
        <is>
          <t>Refill</t>
        </is>
      </c>
      <c r="D766" t="inlineStr">
        <is>
          <t>Primer Cachos</t>
        </is>
      </c>
      <c r="E766" t="n">
        <v>1</v>
      </c>
      <c r="F766" t="inlineStr">
        <is>
          <t>2025-11-30</t>
        </is>
      </c>
      <c r="G766" t="n">
        <v>216</v>
      </c>
      <c r="H766" t="inlineStr">
        <is>
          <t>Y</t>
        </is>
      </c>
      <c r="I766">
        <f>HYPERLINK("https://admin.shopify.com/store/ge-beauty-cosmeticos/customers/8364821184832","abrir")</f>
        <v/>
      </c>
      <c r="J766">
        <f>HYPERLINK("https://www.gebeauty.com.br/products/primer-cachos-definidos?ref=review","review")</f>
        <v/>
      </c>
      <c r="K766" t="inlineStr">
        <is>
          <t>SEND</t>
        </is>
      </c>
    </row>
    <row r="767">
      <c r="A767" t="inlineStr">
        <is>
          <t>Ridania</t>
        </is>
      </c>
      <c r="B767" t="inlineStr">
        <is>
          <t>+5511984033340</t>
        </is>
      </c>
      <c r="C767" t="inlineStr">
        <is>
          <t>Refill</t>
        </is>
      </c>
      <c r="D767" t="inlineStr">
        <is>
          <t>Primer Cachos</t>
        </is>
      </c>
      <c r="E767" t="n">
        <v>1</v>
      </c>
      <c r="F767" t="inlineStr">
        <is>
          <t>2025-11-30</t>
        </is>
      </c>
      <c r="G767" t="n">
        <v>216</v>
      </c>
      <c r="H767" t="inlineStr">
        <is>
          <t>Y</t>
        </is>
      </c>
      <c r="I767">
        <f>HYPERLINK("https://admin.shopify.com/store/ge-beauty-cosmeticos/customers/9486406385984","abrir")</f>
        <v/>
      </c>
      <c r="J767">
        <f>HYPERLINK("https://www.gebeauty.com.br/products/primer-cachos-definidos?ref=review","review")</f>
        <v/>
      </c>
      <c r="K767" t="inlineStr">
        <is>
          <t>HOLDOUT</t>
        </is>
      </c>
    </row>
    <row r="768">
      <c r="A768" t="inlineStr">
        <is>
          <t>Raquel</t>
        </is>
      </c>
      <c r="B768" t="inlineStr">
        <is>
          <t>+5511970711855</t>
        </is>
      </c>
      <c r="C768" t="inlineStr">
        <is>
          <t>Refill</t>
        </is>
      </c>
      <c r="D768" t="inlineStr">
        <is>
          <t>Primer Cachos</t>
        </is>
      </c>
      <c r="E768" t="n">
        <v>1</v>
      </c>
      <c r="F768" t="inlineStr">
        <is>
          <t>2025-11-30</t>
        </is>
      </c>
      <c r="G768" t="n">
        <v>216</v>
      </c>
      <c r="H768" t="inlineStr">
        <is>
          <t>Y</t>
        </is>
      </c>
      <c r="I768">
        <f>HYPERLINK("https://admin.shopify.com/store/ge-beauty-cosmeticos/customers/9486037844288","abrir")</f>
        <v/>
      </c>
      <c r="J768">
        <f>HYPERLINK("https://www.gebeauty.com.br/products/primer-cachos-definidos?ref=review","review")</f>
        <v/>
      </c>
      <c r="K768" t="inlineStr">
        <is>
          <t>SEND</t>
        </is>
      </c>
    </row>
    <row r="769">
      <c r="A769" t="inlineStr">
        <is>
          <t>Patricia</t>
        </is>
      </c>
      <c r="B769" t="inlineStr">
        <is>
          <t>+5531988023804</t>
        </is>
      </c>
      <c r="C769" t="inlineStr">
        <is>
          <t>Refill</t>
        </is>
      </c>
      <c r="D769" t="inlineStr">
        <is>
          <t>Primer Cachos</t>
        </is>
      </c>
      <c r="E769" t="n">
        <v>1</v>
      </c>
      <c r="F769" t="inlineStr">
        <is>
          <t>2025-11-30</t>
        </is>
      </c>
      <c r="G769" t="n">
        <v>216</v>
      </c>
      <c r="H769" t="inlineStr">
        <is>
          <t>Y</t>
        </is>
      </c>
      <c r="I769">
        <f>HYPERLINK("https://admin.shopify.com/store/ge-beauty-cosmeticos/customers/9912454545728","abrir")</f>
        <v/>
      </c>
      <c r="J769">
        <f>HYPERLINK("https://www.gebeauty.com.br/products/primer-cachos-definidos?ref=review","review")</f>
        <v/>
      </c>
      <c r="K769" t="inlineStr">
        <is>
          <t>SEND</t>
        </is>
      </c>
    </row>
    <row r="770">
      <c r="A770" t="inlineStr">
        <is>
          <t>Isabella</t>
        </is>
      </c>
      <c r="B770" t="inlineStr">
        <is>
          <t>+5531998080244</t>
        </is>
      </c>
      <c r="C770" t="inlineStr">
        <is>
          <t>Refill</t>
        </is>
      </c>
      <c r="D770" t="inlineStr">
        <is>
          <t>Primer Cachos</t>
        </is>
      </c>
      <c r="E770" t="n">
        <v>1</v>
      </c>
      <c r="F770" t="inlineStr">
        <is>
          <t>2025-11-30</t>
        </is>
      </c>
      <c r="G770" t="n">
        <v>216</v>
      </c>
      <c r="H770" t="inlineStr">
        <is>
          <t>Y</t>
        </is>
      </c>
      <c r="I770">
        <f>HYPERLINK("https://admin.shopify.com/store/ge-beauty-cosmeticos/customers/9915544174912","abrir")</f>
        <v/>
      </c>
      <c r="J770">
        <f>HYPERLINK("https://www.gebeauty.com.br/products/primer-cachos-definidos?ref=review","review")</f>
        <v/>
      </c>
      <c r="K770" t="inlineStr">
        <is>
          <t>SEND</t>
        </is>
      </c>
    </row>
    <row r="771">
      <c r="A771" t="inlineStr">
        <is>
          <t>Amanda</t>
        </is>
      </c>
      <c r="B771" t="inlineStr">
        <is>
          <t>+5583999978731</t>
        </is>
      </c>
      <c r="C771" t="inlineStr">
        <is>
          <t>Refill</t>
        </is>
      </c>
      <c r="D771" t="inlineStr">
        <is>
          <t>Primer Cachos</t>
        </is>
      </c>
      <c r="E771" t="n">
        <v>1</v>
      </c>
      <c r="F771" t="inlineStr">
        <is>
          <t>2025-11-30</t>
        </is>
      </c>
      <c r="G771" t="n">
        <v>216</v>
      </c>
      <c r="H771" t="inlineStr">
        <is>
          <t>Y</t>
        </is>
      </c>
      <c r="I771">
        <f>HYPERLINK("https://admin.shopify.com/store/ge-beauty-cosmeticos/customers/9485118439744","abrir")</f>
        <v/>
      </c>
      <c r="J771">
        <f>HYPERLINK("https://www.gebeauty.com.br/products/primer-cachos-definidos?ref=review","review")</f>
        <v/>
      </c>
      <c r="K771" t="inlineStr">
        <is>
          <t>SEND</t>
        </is>
      </c>
    </row>
    <row r="772">
      <c r="A772" t="inlineStr">
        <is>
          <t>Priscilla</t>
        </is>
      </c>
      <c r="B772" t="inlineStr">
        <is>
          <t>+5571988304007</t>
        </is>
      </c>
      <c r="C772" t="inlineStr">
        <is>
          <t>Refill</t>
        </is>
      </c>
      <c r="D772" t="inlineStr">
        <is>
          <t>Primer Cachos</t>
        </is>
      </c>
      <c r="E772" t="n">
        <v>1</v>
      </c>
      <c r="F772" t="inlineStr">
        <is>
          <t>2025-11-30</t>
        </is>
      </c>
      <c r="G772" t="n">
        <v>216</v>
      </c>
      <c r="H772" t="inlineStr">
        <is>
          <t>Y</t>
        </is>
      </c>
      <c r="I772">
        <f>HYPERLINK("https://admin.shopify.com/store/ge-beauty-cosmeticos/customers/9915523563840","abrir")</f>
        <v/>
      </c>
      <c r="J772">
        <f>HYPERLINK("https://www.gebeauty.com.br/products/primer-cachos-definidos?ref=review","review")</f>
        <v/>
      </c>
      <c r="K772" t="inlineStr">
        <is>
          <t>HOLDOUT</t>
        </is>
      </c>
    </row>
    <row r="773">
      <c r="A773" t="inlineStr">
        <is>
          <t>Thais</t>
        </is>
      </c>
      <c r="B773" t="inlineStr">
        <is>
          <t>+5531987229962</t>
        </is>
      </c>
      <c r="C773" t="inlineStr">
        <is>
          <t>Refill</t>
        </is>
      </c>
      <c r="D773" t="inlineStr">
        <is>
          <t>Primer Cachos</t>
        </is>
      </c>
      <c r="E773" t="n">
        <v>1</v>
      </c>
      <c r="F773" t="inlineStr">
        <is>
          <t>2025-11-30</t>
        </is>
      </c>
      <c r="G773" t="n">
        <v>216</v>
      </c>
      <c r="H773" t="inlineStr">
        <is>
          <t>Y</t>
        </is>
      </c>
      <c r="I773">
        <f>HYPERLINK("https://admin.shopify.com/store/ge-beauty-cosmeticos/customers/9915633566016","abrir")</f>
        <v/>
      </c>
      <c r="J773">
        <f>HYPERLINK("https://www.gebeauty.com.br/products/primer-cachos-definidos?ref=review","review")</f>
        <v/>
      </c>
      <c r="K773" t="inlineStr">
        <is>
          <t>SEND</t>
        </is>
      </c>
    </row>
    <row r="774">
      <c r="A774" t="inlineStr">
        <is>
          <t>Silmara</t>
        </is>
      </c>
      <c r="B774" t="inlineStr">
        <is>
          <t>+5579998851531</t>
        </is>
      </c>
      <c r="C774" t="inlineStr">
        <is>
          <t>Refill</t>
        </is>
      </c>
      <c r="D774" t="inlineStr">
        <is>
          <t>Primer Cachos</t>
        </is>
      </c>
      <c r="E774" t="n">
        <v>1</v>
      </c>
      <c r="F774" t="inlineStr">
        <is>
          <t>2025-11-30</t>
        </is>
      </c>
      <c r="G774" t="n">
        <v>216</v>
      </c>
      <c r="H774" t="inlineStr">
        <is>
          <t>Y</t>
        </is>
      </c>
      <c r="I774">
        <f>HYPERLINK("https://admin.shopify.com/store/ge-beauty-cosmeticos/customers/9915510063424","abrir")</f>
        <v/>
      </c>
      <c r="J774">
        <f>HYPERLINK("https://www.gebeauty.com.br/products/primer-cachos-definidos?ref=review","review")</f>
        <v/>
      </c>
      <c r="K774" t="inlineStr">
        <is>
          <t>SEND</t>
        </is>
      </c>
    </row>
    <row r="775">
      <c r="A775" t="inlineStr">
        <is>
          <t>Shirley Alessandra</t>
        </is>
      </c>
      <c r="B775" t="inlineStr">
        <is>
          <t>+5537991948417</t>
        </is>
      </c>
      <c r="C775" t="inlineStr">
        <is>
          <t>Refill</t>
        </is>
      </c>
      <c r="D775" t="inlineStr">
        <is>
          <t>Primer Cachos</t>
        </is>
      </c>
      <c r="E775" t="n">
        <v>1</v>
      </c>
      <c r="F775" t="inlineStr">
        <is>
          <t>2025-11-30</t>
        </is>
      </c>
      <c r="G775" t="n">
        <v>216</v>
      </c>
      <c r="H775" t="inlineStr">
        <is>
          <t>Y</t>
        </is>
      </c>
      <c r="I775">
        <f>HYPERLINK("https://admin.shopify.com/store/ge-beauty-cosmeticos/customers/9915626225984","abrir")</f>
        <v/>
      </c>
      <c r="J775">
        <f>HYPERLINK("https://www.gebeauty.com.br/products/primer-cachos-definidos?ref=review","review")</f>
        <v/>
      </c>
      <c r="K775" t="inlineStr">
        <is>
          <t>SEND</t>
        </is>
      </c>
    </row>
    <row r="776">
      <c r="A776" t="inlineStr">
        <is>
          <t>Gabriela</t>
        </is>
      </c>
      <c r="B776" t="inlineStr">
        <is>
          <t>+5511999482622</t>
        </is>
      </c>
      <c r="C776" t="inlineStr">
        <is>
          <t>Refill</t>
        </is>
      </c>
      <c r="D776" t="inlineStr">
        <is>
          <t>Primer Cachos</t>
        </is>
      </c>
      <c r="E776" t="n">
        <v>1</v>
      </c>
      <c r="F776" t="inlineStr">
        <is>
          <t>2025-11-30</t>
        </is>
      </c>
      <c r="G776" t="n">
        <v>216</v>
      </c>
      <c r="H776" t="inlineStr">
        <is>
          <t>Y</t>
        </is>
      </c>
      <c r="I776">
        <f>HYPERLINK("https://admin.shopify.com/store/ge-beauty-cosmeticos/customers/9486151745856","abrir")</f>
        <v/>
      </c>
      <c r="J776">
        <f>HYPERLINK("https://www.gebeauty.com.br/products/primer-cachos-definidos?ref=review","review")</f>
        <v/>
      </c>
      <c r="K776" t="inlineStr">
        <is>
          <t>SEND</t>
        </is>
      </c>
    </row>
    <row r="777">
      <c r="A777" t="inlineStr">
        <is>
          <t>Denise</t>
        </is>
      </c>
      <c r="B777" t="inlineStr">
        <is>
          <t>+5521981712277</t>
        </is>
      </c>
      <c r="C777" t="inlineStr">
        <is>
          <t>Refill</t>
        </is>
      </c>
      <c r="D777" t="inlineStr">
        <is>
          <t>Primer Cachos</t>
        </is>
      </c>
      <c r="E777" t="n">
        <v>1</v>
      </c>
      <c r="F777" t="inlineStr">
        <is>
          <t>2025-11-30</t>
        </is>
      </c>
      <c r="G777" t="n">
        <v>216</v>
      </c>
      <c r="H777" t="inlineStr">
        <is>
          <t>Y</t>
        </is>
      </c>
      <c r="I777">
        <f>HYPERLINK("https://admin.shopify.com/store/ge-beauty-cosmeticos/customers/9485849198912","abrir")</f>
        <v/>
      </c>
      <c r="J777">
        <f>HYPERLINK("https://www.gebeauty.com.br/products/primer-cachos-definidos?ref=review","review")</f>
        <v/>
      </c>
      <c r="K777" t="inlineStr">
        <is>
          <t>SEND</t>
        </is>
      </c>
    </row>
    <row r="778">
      <c r="A778" t="inlineStr">
        <is>
          <t>Nathalia</t>
        </is>
      </c>
      <c r="B778" t="inlineStr">
        <is>
          <t>+5521997836672</t>
        </is>
      </c>
      <c r="C778" t="inlineStr">
        <is>
          <t>Refill</t>
        </is>
      </c>
      <c r="D778" t="inlineStr">
        <is>
          <t>Primer Cachos</t>
        </is>
      </c>
      <c r="E778" t="n">
        <v>1</v>
      </c>
      <c r="F778" t="inlineStr">
        <is>
          <t>2025-11-30</t>
        </is>
      </c>
      <c r="G778" t="n">
        <v>216</v>
      </c>
      <c r="H778" t="inlineStr">
        <is>
          <t>Y</t>
        </is>
      </c>
      <c r="I778">
        <f>HYPERLINK("https://admin.shopify.com/store/ge-beauty-cosmeticos/customers/9915721220416","abrir")</f>
        <v/>
      </c>
      <c r="J778">
        <f>HYPERLINK("https://www.gebeauty.com.br/products/primer-cachos-definidos?ref=review","review")</f>
        <v/>
      </c>
      <c r="K778" t="inlineStr">
        <is>
          <t>SEND</t>
        </is>
      </c>
    </row>
    <row r="779">
      <c r="A779" t="inlineStr">
        <is>
          <t>Priscila</t>
        </is>
      </c>
      <c r="B779" t="inlineStr">
        <is>
          <t>+5577998441213</t>
        </is>
      </c>
      <c r="C779" t="inlineStr">
        <is>
          <t>Refill</t>
        </is>
      </c>
      <c r="D779" t="inlineStr">
        <is>
          <t>Primer Cachos</t>
        </is>
      </c>
      <c r="E779" t="n">
        <v>1</v>
      </c>
      <c r="F779" t="inlineStr">
        <is>
          <t>2025-11-30</t>
        </is>
      </c>
      <c r="G779" t="n">
        <v>216</v>
      </c>
      <c r="H779" t="inlineStr">
        <is>
          <t>Y</t>
        </is>
      </c>
      <c r="I779">
        <f>HYPERLINK("https://admin.shopify.com/store/ge-beauty-cosmeticos/customers/9915802157376","abrir")</f>
        <v/>
      </c>
      <c r="J779">
        <f>HYPERLINK("https://www.gebeauty.com.br/products/primer-cachos-definidos?ref=review","review")</f>
        <v/>
      </c>
      <c r="K779" t="inlineStr">
        <is>
          <t>SEND</t>
        </is>
      </c>
    </row>
    <row r="780">
      <c r="A780" t="inlineStr">
        <is>
          <t>Julia</t>
        </is>
      </c>
      <c r="B780" t="inlineStr">
        <is>
          <t>+5551981638949</t>
        </is>
      </c>
      <c r="C780" t="inlineStr">
        <is>
          <t>Refill</t>
        </is>
      </c>
      <c r="D780" t="inlineStr">
        <is>
          <t>Primer Cachos</t>
        </is>
      </c>
      <c r="E780" t="n">
        <v>1</v>
      </c>
      <c r="F780" t="inlineStr">
        <is>
          <t>2025-11-30</t>
        </is>
      </c>
      <c r="G780" t="n">
        <v>216</v>
      </c>
      <c r="H780" t="inlineStr">
        <is>
          <t>Y</t>
        </is>
      </c>
      <c r="I780">
        <f>HYPERLINK("https://admin.shopify.com/store/ge-beauty-cosmeticos/customers/9586041323840","abrir")</f>
        <v/>
      </c>
      <c r="J780">
        <f>HYPERLINK("https://www.gebeauty.com.br/products/primer-cachos-definidos?ref=review","review")</f>
        <v/>
      </c>
      <c r="K780" t="inlineStr">
        <is>
          <t>SEND</t>
        </is>
      </c>
    </row>
    <row r="781">
      <c r="A781" t="inlineStr">
        <is>
          <t>Heloisa</t>
        </is>
      </c>
      <c r="B781" t="inlineStr">
        <is>
          <t>+5541999226199</t>
        </is>
      </c>
      <c r="C781" t="inlineStr">
        <is>
          <t>Refill</t>
        </is>
      </c>
      <c r="D781" t="inlineStr">
        <is>
          <t>Primer Cachos</t>
        </is>
      </c>
      <c r="E781" t="n">
        <v>1</v>
      </c>
      <c r="F781" t="inlineStr">
        <is>
          <t>2025-11-30</t>
        </is>
      </c>
      <c r="G781" t="n">
        <v>216</v>
      </c>
      <c r="H781" t="inlineStr">
        <is>
          <t>Y</t>
        </is>
      </c>
      <c r="I781">
        <f>HYPERLINK("https://admin.shopify.com/store/ge-beauty-cosmeticos/customers/9916044280128","abrir")</f>
        <v/>
      </c>
      <c r="J781">
        <f>HYPERLINK("https://www.gebeauty.com.br/products/primer-cachos-definidos?ref=review","review")</f>
        <v/>
      </c>
      <c r="K781" t="inlineStr">
        <is>
          <t>SEND</t>
        </is>
      </c>
    </row>
    <row r="782">
      <c r="A782" t="inlineStr">
        <is>
          <t>Rafaela</t>
        </is>
      </c>
      <c r="B782" t="inlineStr">
        <is>
          <t>+5581982130717</t>
        </is>
      </c>
      <c r="C782" t="inlineStr">
        <is>
          <t>Refill</t>
        </is>
      </c>
      <c r="D782" t="inlineStr">
        <is>
          <t>Primer Cachos</t>
        </is>
      </c>
      <c r="E782" t="n">
        <v>1</v>
      </c>
      <c r="F782" t="inlineStr">
        <is>
          <t>2025-11-30</t>
        </is>
      </c>
      <c r="G782" t="n">
        <v>216</v>
      </c>
      <c r="H782" t="inlineStr">
        <is>
          <t>Y</t>
        </is>
      </c>
      <c r="I782">
        <f>HYPERLINK("https://admin.shopify.com/store/ge-beauty-cosmeticos/customers/9916041068864","abrir")</f>
        <v/>
      </c>
      <c r="J782">
        <f>HYPERLINK("https://www.gebeauty.com.br/products/primer-cachos-definidos?ref=review","review")</f>
        <v/>
      </c>
      <c r="K782" t="inlineStr">
        <is>
          <t>SEND</t>
        </is>
      </c>
    </row>
    <row r="783">
      <c r="A783" t="inlineStr">
        <is>
          <t>Suely</t>
        </is>
      </c>
      <c r="B783" t="inlineStr">
        <is>
          <t>+5511999916281</t>
        </is>
      </c>
      <c r="C783" t="inlineStr">
        <is>
          <t>Refill</t>
        </is>
      </c>
      <c r="D783" t="inlineStr">
        <is>
          <t>Primer Cachos</t>
        </is>
      </c>
      <c r="E783" t="n">
        <v>1</v>
      </c>
      <c r="F783" t="inlineStr">
        <is>
          <t>2025-11-30</t>
        </is>
      </c>
      <c r="G783" t="n">
        <v>216</v>
      </c>
      <c r="H783" t="inlineStr">
        <is>
          <t>Y</t>
        </is>
      </c>
      <c r="I783">
        <f>HYPERLINK("https://admin.shopify.com/store/ge-beauty-cosmeticos/customers/9916096741696","abrir")</f>
        <v/>
      </c>
      <c r="J783">
        <f>HYPERLINK("https://www.gebeauty.com.br/products/primer-cachos-definidos?ref=review","review")</f>
        <v/>
      </c>
      <c r="K783" t="inlineStr">
        <is>
          <t>SEND</t>
        </is>
      </c>
    </row>
    <row r="784">
      <c r="A784" t="inlineStr">
        <is>
          <t>Nayara</t>
        </is>
      </c>
      <c r="B784" t="inlineStr">
        <is>
          <t>+5573999039486</t>
        </is>
      </c>
      <c r="C784" t="inlineStr">
        <is>
          <t>Refill</t>
        </is>
      </c>
      <c r="D784" t="inlineStr">
        <is>
          <t>Primer Cachos</t>
        </is>
      </c>
      <c r="E784" t="n">
        <v>1</v>
      </c>
      <c r="F784" t="inlineStr">
        <is>
          <t>2025-11-30</t>
        </is>
      </c>
      <c r="G784" t="n">
        <v>216</v>
      </c>
      <c r="H784" t="inlineStr">
        <is>
          <t>Y</t>
        </is>
      </c>
      <c r="I784">
        <f>HYPERLINK("https://admin.shopify.com/store/ge-beauty-cosmeticos/customers/8768662569280","abrir")</f>
        <v/>
      </c>
      <c r="J784">
        <f>HYPERLINK("https://www.gebeauty.com.br/products/primer-cachos-definidos?ref=review","review")</f>
        <v/>
      </c>
      <c r="K784" t="inlineStr">
        <is>
          <t>SEND</t>
        </is>
      </c>
    </row>
    <row r="785">
      <c r="A785" t="inlineStr">
        <is>
          <t>Ninha</t>
        </is>
      </c>
      <c r="B785" t="inlineStr">
        <is>
          <t>+5544991121613</t>
        </is>
      </c>
      <c r="C785" t="inlineStr">
        <is>
          <t>Refill</t>
        </is>
      </c>
      <c r="D785" t="inlineStr">
        <is>
          <t>Primer Cachos</t>
        </is>
      </c>
      <c r="E785" t="n">
        <v>1</v>
      </c>
      <c r="F785" t="inlineStr">
        <is>
          <t>2025-11-30</t>
        </is>
      </c>
      <c r="G785" t="n">
        <v>216</v>
      </c>
      <c r="H785" t="inlineStr">
        <is>
          <t>Y</t>
        </is>
      </c>
      <c r="I785">
        <f>HYPERLINK("https://admin.shopify.com/store/ge-beauty-cosmeticos/customers/9916164997440","abrir")</f>
        <v/>
      </c>
      <c r="J785">
        <f>HYPERLINK("https://www.gebeauty.com.br/products/primer-cachos-definidos?ref=review","review")</f>
        <v/>
      </c>
      <c r="K785" t="inlineStr">
        <is>
          <t>SEND</t>
        </is>
      </c>
    </row>
    <row r="786">
      <c r="A786" t="inlineStr">
        <is>
          <t>Heloisa</t>
        </is>
      </c>
      <c r="B786" t="inlineStr">
        <is>
          <t>+5541998934709</t>
        </is>
      </c>
      <c r="C786" t="inlineStr">
        <is>
          <t>Refill</t>
        </is>
      </c>
      <c r="D786" t="inlineStr">
        <is>
          <t>Primer Cachos</t>
        </is>
      </c>
      <c r="E786" t="n">
        <v>1</v>
      </c>
      <c r="F786" t="inlineStr">
        <is>
          <t>2025-11-30</t>
        </is>
      </c>
      <c r="G786" t="n">
        <v>216</v>
      </c>
      <c r="H786" t="inlineStr">
        <is>
          <t>Y</t>
        </is>
      </c>
      <c r="I786">
        <f>HYPERLINK("https://admin.shopify.com/store/ge-beauty-cosmeticos/customers/9486578385216","abrir")</f>
        <v/>
      </c>
      <c r="J786">
        <f>HYPERLINK("https://www.gebeauty.com.br/products/primer-cachos-definidos?ref=review","review")</f>
        <v/>
      </c>
      <c r="K786" t="inlineStr">
        <is>
          <t>SEND</t>
        </is>
      </c>
    </row>
    <row r="787">
      <c r="A787" t="inlineStr">
        <is>
          <t>Deborah</t>
        </is>
      </c>
      <c r="B787" t="inlineStr">
        <is>
          <t>+5581996820966</t>
        </is>
      </c>
      <c r="C787" t="inlineStr">
        <is>
          <t>Refill</t>
        </is>
      </c>
      <c r="D787" t="inlineStr">
        <is>
          <t>Primer Cachos</t>
        </is>
      </c>
      <c r="E787" t="n">
        <v>1</v>
      </c>
      <c r="F787" t="inlineStr">
        <is>
          <t>2026-01-20</t>
        </is>
      </c>
      <c r="G787" t="n">
        <v>165</v>
      </c>
      <c r="H787" t="inlineStr">
        <is>
          <t>Y</t>
        </is>
      </c>
      <c r="I787">
        <f>HYPERLINK("https://admin.shopify.com/store/ge-beauty-cosmeticos/customers/9916286239040","abrir")</f>
        <v/>
      </c>
      <c r="J787">
        <f>HYPERLINK("https://www.gebeauty.com.br/products/primer-cachos-definidos?ref=review","review")</f>
        <v/>
      </c>
      <c r="K787" t="inlineStr">
        <is>
          <t>SEND</t>
        </is>
      </c>
    </row>
    <row r="788">
      <c r="A788" t="inlineStr">
        <is>
          <t>Ligia</t>
        </is>
      </c>
      <c r="B788" t="inlineStr">
        <is>
          <t>+5562981334858</t>
        </is>
      </c>
      <c r="C788" t="inlineStr">
        <is>
          <t>Refill</t>
        </is>
      </c>
      <c r="D788" t="inlineStr">
        <is>
          <t>Primer Cachos</t>
        </is>
      </c>
      <c r="E788" t="n">
        <v>1</v>
      </c>
      <c r="F788" t="inlineStr">
        <is>
          <t>2025-11-30</t>
        </is>
      </c>
      <c r="G788" t="n">
        <v>216</v>
      </c>
      <c r="H788" t="inlineStr">
        <is>
          <t>Y</t>
        </is>
      </c>
      <c r="I788">
        <f>HYPERLINK("https://admin.shopify.com/store/ge-beauty-cosmeticos/customers/9916361605440","abrir")</f>
        <v/>
      </c>
      <c r="J788">
        <f>HYPERLINK("https://www.gebeauty.com.br/products/primer-cachos-definidos?ref=review","review")</f>
        <v/>
      </c>
      <c r="K788" t="inlineStr">
        <is>
          <t>SEND</t>
        </is>
      </c>
    </row>
    <row r="789">
      <c r="A789" t="inlineStr">
        <is>
          <t>Andrezza</t>
        </is>
      </c>
      <c r="B789" t="inlineStr">
        <is>
          <t>+5521979917400</t>
        </is>
      </c>
      <c r="C789" t="inlineStr">
        <is>
          <t>Refill</t>
        </is>
      </c>
      <c r="D789" t="inlineStr">
        <is>
          <t>Primer Cachos</t>
        </is>
      </c>
      <c r="E789" t="n">
        <v>1</v>
      </c>
      <c r="F789" t="inlineStr">
        <is>
          <t>2025-11-30</t>
        </is>
      </c>
      <c r="G789" t="n">
        <v>216</v>
      </c>
      <c r="H789" t="inlineStr">
        <is>
          <t>Y</t>
        </is>
      </c>
      <c r="I789">
        <f>HYPERLINK("https://admin.shopify.com/store/ge-beauty-cosmeticos/customers/9847223320896","abrir")</f>
        <v/>
      </c>
      <c r="J789">
        <f>HYPERLINK("https://www.gebeauty.com.br/products/primer-cachos-definidos?ref=review","review")</f>
        <v/>
      </c>
      <c r="K789" t="inlineStr">
        <is>
          <t>SEND</t>
        </is>
      </c>
    </row>
    <row r="790">
      <c r="A790" t="inlineStr">
        <is>
          <t>Letícia</t>
        </is>
      </c>
      <c r="B790" t="inlineStr">
        <is>
          <t>+5521985605762</t>
        </is>
      </c>
      <c r="C790" t="inlineStr">
        <is>
          <t>Refill</t>
        </is>
      </c>
      <c r="D790" t="inlineStr">
        <is>
          <t>Primer Cachos</t>
        </is>
      </c>
      <c r="E790" t="n">
        <v>1</v>
      </c>
      <c r="F790" t="inlineStr">
        <is>
          <t>2025-11-30</t>
        </is>
      </c>
      <c r="G790" t="n">
        <v>216</v>
      </c>
      <c r="H790" t="inlineStr">
        <is>
          <t>Y</t>
        </is>
      </c>
      <c r="I790">
        <f>HYPERLINK("https://admin.shopify.com/store/ge-beauty-cosmeticos/customers/9916589900096","abrir")</f>
        <v/>
      </c>
      <c r="J790">
        <f>HYPERLINK("https://www.gebeauty.com.br/products/primer-cachos-definidos?ref=review","review")</f>
        <v/>
      </c>
      <c r="K790" t="inlineStr">
        <is>
          <t>HOLDOUT</t>
        </is>
      </c>
    </row>
    <row r="791">
      <c r="A791" t="inlineStr">
        <is>
          <t>Gabriela</t>
        </is>
      </c>
      <c r="B791" t="inlineStr">
        <is>
          <t>+5521983009988</t>
        </is>
      </c>
      <c r="C791" t="inlineStr">
        <is>
          <t>Refill</t>
        </is>
      </c>
      <c r="D791" t="inlineStr">
        <is>
          <t>Primer Cachos</t>
        </is>
      </c>
      <c r="E791" t="n">
        <v>1</v>
      </c>
      <c r="F791" t="inlineStr">
        <is>
          <t>2025-11-30</t>
        </is>
      </c>
      <c r="G791" t="n">
        <v>216</v>
      </c>
      <c r="H791" t="inlineStr">
        <is>
          <t>Y</t>
        </is>
      </c>
      <c r="I791">
        <f>HYPERLINK("https://admin.shopify.com/store/ge-beauty-cosmeticos/customers/9642070933824","abrir")</f>
        <v/>
      </c>
      <c r="J791">
        <f>HYPERLINK("https://www.gebeauty.com.br/products/primer-cachos-definidos?ref=review","review")</f>
        <v/>
      </c>
      <c r="K791" t="inlineStr">
        <is>
          <t>SEND</t>
        </is>
      </c>
    </row>
    <row r="792">
      <c r="A792" t="inlineStr">
        <is>
          <t>Rachel di Paola</t>
        </is>
      </c>
      <c r="B792" t="inlineStr">
        <is>
          <t>+5581997537361</t>
        </is>
      </c>
      <c r="C792" t="inlineStr">
        <is>
          <t>Refill</t>
        </is>
      </c>
      <c r="D792" t="inlineStr">
        <is>
          <t>Primer Cachos</t>
        </is>
      </c>
      <c r="E792" t="n">
        <v>1</v>
      </c>
      <c r="F792" t="inlineStr">
        <is>
          <t>2025-11-30</t>
        </is>
      </c>
      <c r="G792" t="n">
        <v>216</v>
      </c>
      <c r="H792" t="inlineStr">
        <is>
          <t>Y</t>
        </is>
      </c>
      <c r="I792">
        <f>HYPERLINK("https://admin.shopify.com/store/ge-beauty-cosmeticos/customers/9916609167680","abrir")</f>
        <v/>
      </c>
      <c r="J792">
        <f>HYPERLINK("https://www.gebeauty.com.br/products/primer-cachos-definidos?ref=review","review")</f>
        <v/>
      </c>
      <c r="K792" t="inlineStr">
        <is>
          <t>SEND</t>
        </is>
      </c>
    </row>
    <row r="793">
      <c r="A793" t="inlineStr">
        <is>
          <t>Gabriella</t>
        </is>
      </c>
      <c r="B793" t="inlineStr">
        <is>
          <t>+5562993369898</t>
        </is>
      </c>
      <c r="C793" t="inlineStr">
        <is>
          <t>Refill</t>
        </is>
      </c>
      <c r="D793" t="inlineStr">
        <is>
          <t>Primer Cachos</t>
        </is>
      </c>
      <c r="E793" t="n">
        <v>1</v>
      </c>
      <c r="F793" t="inlineStr">
        <is>
          <t>2025-11-30</t>
        </is>
      </c>
      <c r="G793" t="n">
        <v>216</v>
      </c>
      <c r="H793" t="inlineStr">
        <is>
          <t>Y</t>
        </is>
      </c>
      <c r="I793">
        <f>HYPERLINK("https://admin.shopify.com/store/ge-beauty-cosmeticos/customers/9846266364224","abrir")</f>
        <v/>
      </c>
      <c r="J793">
        <f>HYPERLINK("https://www.gebeauty.com.br/products/primer-cachos-definidos?ref=review","review")</f>
        <v/>
      </c>
      <c r="K793" t="inlineStr">
        <is>
          <t>SEND</t>
        </is>
      </c>
    </row>
    <row r="794">
      <c r="A794" t="inlineStr">
        <is>
          <t>Rebeca</t>
        </is>
      </c>
      <c r="B794" t="inlineStr">
        <is>
          <t>+5592981591931</t>
        </is>
      </c>
      <c r="C794" t="inlineStr">
        <is>
          <t>Refill</t>
        </is>
      </c>
      <c r="D794" t="inlineStr">
        <is>
          <t>Primer Cachos</t>
        </is>
      </c>
      <c r="E794" t="n">
        <v>1</v>
      </c>
      <c r="F794" t="inlineStr">
        <is>
          <t>2025-11-30</t>
        </is>
      </c>
      <c r="G794" t="n">
        <v>216</v>
      </c>
      <c r="H794" t="inlineStr">
        <is>
          <t>Y</t>
        </is>
      </c>
      <c r="I794">
        <f>HYPERLINK("https://admin.shopify.com/store/ge-beauty-cosmeticos/customers/9430485238080","abrir")</f>
        <v/>
      </c>
      <c r="J794">
        <f>HYPERLINK("https://www.gebeauty.com.br/products/primer-cachos-definidos?ref=review","review")</f>
        <v/>
      </c>
      <c r="K794" t="inlineStr">
        <is>
          <t>HOLDOUT</t>
        </is>
      </c>
    </row>
    <row r="795">
      <c r="A795" t="inlineStr">
        <is>
          <t>Juliana</t>
        </is>
      </c>
      <c r="B795" t="inlineStr">
        <is>
          <t>+5511995752665</t>
        </is>
      </c>
      <c r="C795" t="inlineStr">
        <is>
          <t>Refill</t>
        </is>
      </c>
      <c r="D795" t="inlineStr">
        <is>
          <t>Primer Cachos</t>
        </is>
      </c>
      <c r="E795" t="n">
        <v>1</v>
      </c>
      <c r="F795" t="inlineStr">
        <is>
          <t>2025-11-30</t>
        </is>
      </c>
      <c r="G795" t="n">
        <v>216</v>
      </c>
      <c r="H795" t="inlineStr">
        <is>
          <t>Y</t>
        </is>
      </c>
      <c r="I795">
        <f>HYPERLINK("https://admin.shopify.com/store/ge-beauty-cosmeticos/customers/9916683026752","abrir")</f>
        <v/>
      </c>
      <c r="J795">
        <f>HYPERLINK("https://www.gebeauty.com.br/products/primer-cachos-definidos?ref=review","review")</f>
        <v/>
      </c>
      <c r="K795" t="inlineStr">
        <is>
          <t>SEND</t>
        </is>
      </c>
    </row>
    <row r="796">
      <c r="A796" t="inlineStr">
        <is>
          <t>Lucelia</t>
        </is>
      </c>
      <c r="B796" t="inlineStr">
        <is>
          <t>+5582996243461</t>
        </is>
      </c>
      <c r="C796" t="inlineStr">
        <is>
          <t>Refill</t>
        </is>
      </c>
      <c r="D796" t="inlineStr">
        <is>
          <t>Primer Cachos</t>
        </is>
      </c>
      <c r="E796" t="n">
        <v>1</v>
      </c>
      <c r="F796" t="inlineStr">
        <is>
          <t>2025-11-30</t>
        </is>
      </c>
      <c r="G796" t="n">
        <v>216</v>
      </c>
      <c r="H796" t="inlineStr">
        <is>
          <t>Y</t>
        </is>
      </c>
      <c r="I796">
        <f>HYPERLINK("https://admin.shopify.com/store/ge-beauty-cosmeticos/customers/9485499924800","abrir")</f>
        <v/>
      </c>
      <c r="J796">
        <f>HYPERLINK("https://www.gebeauty.com.br/products/primer-cachos-definidos?ref=review","review")</f>
        <v/>
      </c>
      <c r="K796" t="inlineStr">
        <is>
          <t>HOLDOUT</t>
        </is>
      </c>
    </row>
    <row r="797">
      <c r="A797" t="inlineStr">
        <is>
          <t>Patricia</t>
        </is>
      </c>
      <c r="B797" t="inlineStr">
        <is>
          <t>+5511999015889</t>
        </is>
      </c>
      <c r="C797" t="inlineStr">
        <is>
          <t>Refill</t>
        </is>
      </c>
      <c r="D797" t="inlineStr">
        <is>
          <t>Primer Cachos</t>
        </is>
      </c>
      <c r="E797" t="n">
        <v>1</v>
      </c>
      <c r="F797" t="inlineStr">
        <is>
          <t>2025-11-30</t>
        </is>
      </c>
      <c r="G797" t="n">
        <v>216</v>
      </c>
      <c r="H797" t="inlineStr">
        <is>
          <t>Y</t>
        </is>
      </c>
      <c r="I797">
        <f>HYPERLINK("https://admin.shopify.com/store/ge-beauty-cosmeticos/customers/7760359260480","abrir")</f>
        <v/>
      </c>
      <c r="J797">
        <f>HYPERLINK("https://www.gebeauty.com.br/products/primer-cachos-definidos?ref=review","review")</f>
        <v/>
      </c>
      <c r="K797" t="inlineStr">
        <is>
          <t>SEND</t>
        </is>
      </c>
    </row>
    <row r="798">
      <c r="A798" t="inlineStr">
        <is>
          <t>Vivian</t>
        </is>
      </c>
      <c r="B798" t="inlineStr">
        <is>
          <t>+5561981189099</t>
        </is>
      </c>
      <c r="C798" t="inlineStr">
        <is>
          <t>Refill</t>
        </is>
      </c>
      <c r="D798" t="inlineStr">
        <is>
          <t>Primer Cachos</t>
        </is>
      </c>
      <c r="E798" t="n">
        <v>1</v>
      </c>
      <c r="F798" t="inlineStr">
        <is>
          <t>2025-11-30</t>
        </is>
      </c>
      <c r="G798" t="n">
        <v>216</v>
      </c>
      <c r="H798" t="inlineStr">
        <is>
          <t>Y</t>
        </is>
      </c>
      <c r="I798">
        <f>HYPERLINK("https://admin.shopify.com/store/ge-beauty-cosmeticos/customers/9486555808064","abrir")</f>
        <v/>
      </c>
      <c r="J798">
        <f>HYPERLINK("https://www.gebeauty.com.br/products/primer-cachos-definidos?ref=review","review")</f>
        <v/>
      </c>
      <c r="K798" t="inlineStr">
        <is>
          <t>SEND</t>
        </is>
      </c>
    </row>
    <row r="799">
      <c r="A799" t="inlineStr">
        <is>
          <t>Luiza</t>
        </is>
      </c>
      <c r="B799" t="inlineStr">
        <is>
          <t>+5537991524302</t>
        </is>
      </c>
      <c r="C799" t="inlineStr">
        <is>
          <t>Refill</t>
        </is>
      </c>
      <c r="D799" t="inlineStr">
        <is>
          <t>Primer Cachos</t>
        </is>
      </c>
      <c r="E799" t="n">
        <v>1</v>
      </c>
      <c r="F799" t="inlineStr">
        <is>
          <t>2025-11-30</t>
        </is>
      </c>
      <c r="G799" t="n">
        <v>216</v>
      </c>
      <c r="H799" t="inlineStr">
        <is>
          <t>Y</t>
        </is>
      </c>
      <c r="I799">
        <f>HYPERLINK("https://admin.shopify.com/store/ge-beauty-cosmeticos/customers/9486655783232","abrir")</f>
        <v/>
      </c>
      <c r="J799">
        <f>HYPERLINK("https://www.gebeauty.com.br/products/primer-cachos-definidos?ref=review","review")</f>
        <v/>
      </c>
      <c r="K799" t="inlineStr">
        <is>
          <t>SEND</t>
        </is>
      </c>
    </row>
    <row r="800">
      <c r="A800" t="inlineStr">
        <is>
          <t>Cristiane</t>
        </is>
      </c>
      <c r="B800" t="inlineStr">
        <is>
          <t>+5521998094781</t>
        </is>
      </c>
      <c r="C800" t="inlineStr">
        <is>
          <t>Refill</t>
        </is>
      </c>
      <c r="D800" t="inlineStr">
        <is>
          <t>Primer Cachos</t>
        </is>
      </c>
      <c r="E800" t="n">
        <v>1</v>
      </c>
      <c r="F800" t="inlineStr">
        <is>
          <t>2025-11-30</t>
        </is>
      </c>
      <c r="G800" t="n">
        <v>216</v>
      </c>
      <c r="H800" t="inlineStr">
        <is>
          <t>Y</t>
        </is>
      </c>
      <c r="I800">
        <f>HYPERLINK("https://admin.shopify.com/store/ge-beauty-cosmeticos/customers/9916768125248","abrir")</f>
        <v/>
      </c>
      <c r="J800">
        <f>HYPERLINK("https://www.gebeauty.com.br/products/primer-cachos-definidos?ref=review","review")</f>
        <v/>
      </c>
      <c r="K800" t="inlineStr">
        <is>
          <t>SEND</t>
        </is>
      </c>
    </row>
    <row r="801">
      <c r="A801" t="inlineStr">
        <is>
          <t>Ana Paula</t>
        </is>
      </c>
      <c r="B801" t="inlineStr">
        <is>
          <t>+5548999320809</t>
        </is>
      </c>
      <c r="C801" t="inlineStr">
        <is>
          <t>Refill</t>
        </is>
      </c>
      <c r="D801" t="inlineStr">
        <is>
          <t>Primer Cachos</t>
        </is>
      </c>
      <c r="E801" t="n">
        <v>1</v>
      </c>
      <c r="F801" t="inlineStr">
        <is>
          <t>2025-11-30</t>
        </is>
      </c>
      <c r="G801" t="n">
        <v>216</v>
      </c>
      <c r="H801" t="inlineStr">
        <is>
          <t>Y</t>
        </is>
      </c>
      <c r="I801">
        <f>HYPERLINK("https://admin.shopify.com/store/ge-beauty-cosmeticos/customers/9689768264000","abrir")</f>
        <v/>
      </c>
      <c r="J801">
        <f>HYPERLINK("https://www.gebeauty.com.br/products/primer-cachos-definidos?ref=review","review")</f>
        <v/>
      </c>
      <c r="K801" t="inlineStr">
        <is>
          <t>SEND</t>
        </is>
      </c>
    </row>
    <row r="802">
      <c r="A802" t="inlineStr">
        <is>
          <t>Thainá</t>
        </is>
      </c>
      <c r="B802" t="inlineStr">
        <is>
          <t>+5548988098914</t>
        </is>
      </c>
      <c r="C802" t="inlineStr">
        <is>
          <t>Refill</t>
        </is>
      </c>
      <c r="D802" t="inlineStr">
        <is>
          <t>Primer Cachos</t>
        </is>
      </c>
      <c r="E802" t="n">
        <v>1</v>
      </c>
      <c r="F802" t="inlineStr">
        <is>
          <t>2025-11-30</t>
        </is>
      </c>
      <c r="G802" t="n">
        <v>216</v>
      </c>
      <c r="H802" t="inlineStr">
        <is>
          <t>Y</t>
        </is>
      </c>
      <c r="I802">
        <f>HYPERLINK("https://admin.shopify.com/store/ge-beauty-cosmeticos/customers/9916820717888","abrir")</f>
        <v/>
      </c>
      <c r="J802">
        <f>HYPERLINK("https://www.gebeauty.com.br/products/primer-cachos-definidos?ref=review","review")</f>
        <v/>
      </c>
      <c r="K802" t="inlineStr">
        <is>
          <t>SEND</t>
        </is>
      </c>
    </row>
    <row r="803">
      <c r="A803" t="inlineStr">
        <is>
          <t>Clara</t>
        </is>
      </c>
      <c r="B803" t="inlineStr">
        <is>
          <t>+5521974090973</t>
        </is>
      </c>
      <c r="C803" t="inlineStr">
        <is>
          <t>Refill</t>
        </is>
      </c>
      <c r="D803" t="inlineStr">
        <is>
          <t>Primer Cachos</t>
        </is>
      </c>
      <c r="E803" t="n">
        <v>1</v>
      </c>
      <c r="F803" t="inlineStr">
        <is>
          <t>2026-01-17</t>
        </is>
      </c>
      <c r="G803" t="n">
        <v>168</v>
      </c>
      <c r="H803" t="inlineStr">
        <is>
          <t>Y</t>
        </is>
      </c>
      <c r="I803">
        <f>HYPERLINK("https://admin.shopify.com/store/ge-beauty-cosmeticos/customers/9916873015616","abrir")</f>
        <v/>
      </c>
      <c r="J803">
        <f>HYPERLINK("https://www.gebeauty.com.br/products/primer-cachos-definidos?ref=review","review")</f>
        <v/>
      </c>
      <c r="K803" t="inlineStr">
        <is>
          <t>SEND</t>
        </is>
      </c>
    </row>
    <row r="804">
      <c r="A804" t="inlineStr">
        <is>
          <t>Thais</t>
        </is>
      </c>
      <c r="B804" t="inlineStr">
        <is>
          <t>+5571994027471</t>
        </is>
      </c>
      <c r="C804" t="inlineStr">
        <is>
          <t>Refill</t>
        </is>
      </c>
      <c r="D804" t="inlineStr">
        <is>
          <t>Primer Cachos</t>
        </is>
      </c>
      <c r="E804" t="n">
        <v>1</v>
      </c>
      <c r="F804" t="inlineStr">
        <is>
          <t>2025-11-30</t>
        </is>
      </c>
      <c r="G804" t="n">
        <v>216</v>
      </c>
      <c r="H804" t="inlineStr">
        <is>
          <t>Y</t>
        </is>
      </c>
      <c r="I804">
        <f>HYPERLINK("https://admin.shopify.com/store/ge-beauty-cosmeticos/customers/9916906045760","abrir")</f>
        <v/>
      </c>
      <c r="J804">
        <f>HYPERLINK("https://www.gebeauty.com.br/products/primer-cachos-definidos?ref=review","review")</f>
        <v/>
      </c>
      <c r="K804" t="inlineStr">
        <is>
          <t>SEND</t>
        </is>
      </c>
    </row>
    <row r="805">
      <c r="A805" t="inlineStr">
        <is>
          <t>Ana Lúcia</t>
        </is>
      </c>
      <c r="B805" t="inlineStr">
        <is>
          <t>+5562993402662</t>
        </is>
      </c>
      <c r="C805" t="inlineStr">
        <is>
          <t>Refill</t>
        </is>
      </c>
      <c r="D805" t="inlineStr">
        <is>
          <t>Primer Cachos</t>
        </is>
      </c>
      <c r="E805" t="n">
        <v>1</v>
      </c>
      <c r="F805" t="inlineStr">
        <is>
          <t>2025-11-30</t>
        </is>
      </c>
      <c r="G805" t="n">
        <v>216</v>
      </c>
      <c r="H805" t="inlineStr">
        <is>
          <t>Y</t>
        </is>
      </c>
      <c r="I805">
        <f>HYPERLINK("https://admin.shopify.com/store/ge-beauty-cosmeticos/customers/9917007102272","abrir")</f>
        <v/>
      </c>
      <c r="J805">
        <f>HYPERLINK("https://www.gebeauty.com.br/products/primer-cachos-definidos?ref=review","review")</f>
        <v/>
      </c>
      <c r="K805" t="inlineStr">
        <is>
          <t>SEND</t>
        </is>
      </c>
    </row>
    <row r="806">
      <c r="A806" t="inlineStr">
        <is>
          <t>Laura</t>
        </is>
      </c>
      <c r="B806" t="inlineStr">
        <is>
          <t>+5541999796471</t>
        </is>
      </c>
      <c r="C806" t="inlineStr">
        <is>
          <t>Refill</t>
        </is>
      </c>
      <c r="D806" t="inlineStr">
        <is>
          <t>Primer Cachos</t>
        </is>
      </c>
      <c r="E806" t="n">
        <v>1</v>
      </c>
      <c r="F806" t="inlineStr">
        <is>
          <t>2025-11-30</t>
        </is>
      </c>
      <c r="G806" t="n">
        <v>216</v>
      </c>
      <c r="H806" t="inlineStr">
        <is>
          <t>Y</t>
        </is>
      </c>
      <c r="I806">
        <f>HYPERLINK("https://admin.shopify.com/store/ge-beauty-cosmeticos/customers/9917011820864","abrir")</f>
        <v/>
      </c>
      <c r="J806">
        <f>HYPERLINK("https://www.gebeauty.com.br/products/primer-cachos-definidos?ref=review","review")</f>
        <v/>
      </c>
      <c r="K806" t="inlineStr">
        <is>
          <t>SEND</t>
        </is>
      </c>
    </row>
    <row r="807">
      <c r="A807" t="inlineStr">
        <is>
          <t>Elen Lucia</t>
        </is>
      </c>
      <c r="B807" t="inlineStr">
        <is>
          <t>+5551998943281</t>
        </is>
      </c>
      <c r="C807" t="inlineStr">
        <is>
          <t>Refill</t>
        </is>
      </c>
      <c r="D807" t="inlineStr">
        <is>
          <t>Primer Cachos</t>
        </is>
      </c>
      <c r="E807" t="n">
        <v>1</v>
      </c>
      <c r="F807" t="inlineStr">
        <is>
          <t>2025-11-30</t>
        </is>
      </c>
      <c r="G807" t="n">
        <v>216</v>
      </c>
      <c r="H807" t="inlineStr">
        <is>
          <t>Y</t>
        </is>
      </c>
      <c r="I807">
        <f>HYPERLINK("https://admin.shopify.com/store/ge-beauty-cosmeticos/customers/9917014147392","abrir")</f>
        <v/>
      </c>
      <c r="J807">
        <f>HYPERLINK("https://www.gebeauty.com.br/products/primer-cachos-definidos?ref=review","review")</f>
        <v/>
      </c>
      <c r="K807" t="inlineStr">
        <is>
          <t>SEND</t>
        </is>
      </c>
    </row>
    <row r="808">
      <c r="A808" t="inlineStr">
        <is>
          <t>Elisa</t>
        </is>
      </c>
      <c r="B808" t="inlineStr">
        <is>
          <t>+5531991102434</t>
        </is>
      </c>
      <c r="C808" t="inlineStr">
        <is>
          <t>Refill</t>
        </is>
      </c>
      <c r="D808" t="inlineStr">
        <is>
          <t>Primer Cachos</t>
        </is>
      </c>
      <c r="E808" t="n">
        <v>1</v>
      </c>
      <c r="F808" t="inlineStr">
        <is>
          <t>2025-11-30</t>
        </is>
      </c>
      <c r="G808" t="n">
        <v>216</v>
      </c>
      <c r="H808" t="inlineStr">
        <is>
          <t>Y</t>
        </is>
      </c>
      <c r="I808">
        <f>HYPERLINK("https://admin.shopify.com/store/ge-beauty-cosmeticos/customers/9916501393728","abrir")</f>
        <v/>
      </c>
      <c r="J808">
        <f>HYPERLINK("https://www.gebeauty.com.br/products/primer-cachos-definidos?ref=review","review")</f>
        <v/>
      </c>
      <c r="K808" t="inlineStr">
        <is>
          <t>SEND</t>
        </is>
      </c>
    </row>
    <row r="809">
      <c r="A809" t="inlineStr">
        <is>
          <t>Juliana</t>
        </is>
      </c>
      <c r="B809" t="inlineStr">
        <is>
          <t>+5521998775131</t>
        </is>
      </c>
      <c r="C809" t="inlineStr">
        <is>
          <t>Refill</t>
        </is>
      </c>
      <c r="D809" t="inlineStr">
        <is>
          <t>Primer Cachos</t>
        </is>
      </c>
      <c r="E809" t="n">
        <v>1</v>
      </c>
      <c r="F809" t="inlineStr">
        <is>
          <t>2025-11-30</t>
        </is>
      </c>
      <c r="G809" t="n">
        <v>216</v>
      </c>
      <c r="H809" t="inlineStr">
        <is>
          <t>Y</t>
        </is>
      </c>
      <c r="I809">
        <f>HYPERLINK("https://admin.shopify.com/store/ge-beauty-cosmeticos/customers/9917111632192","abrir")</f>
        <v/>
      </c>
      <c r="J809">
        <f>HYPERLINK("https://www.gebeauty.com.br/products/primer-cachos-definidos?ref=review","review")</f>
        <v/>
      </c>
      <c r="K809" t="inlineStr">
        <is>
          <t>SEND</t>
        </is>
      </c>
    </row>
    <row r="810">
      <c r="A810" t="inlineStr">
        <is>
          <t>Ana</t>
        </is>
      </c>
      <c r="B810" t="inlineStr">
        <is>
          <t>+5511993173705</t>
        </is>
      </c>
      <c r="C810" t="inlineStr">
        <is>
          <t>Refill</t>
        </is>
      </c>
      <c r="D810" t="inlineStr">
        <is>
          <t>Primer Cachos</t>
        </is>
      </c>
      <c r="E810" t="n">
        <v>1</v>
      </c>
      <c r="F810" t="inlineStr">
        <is>
          <t>2025-11-30</t>
        </is>
      </c>
      <c r="G810" t="n">
        <v>216</v>
      </c>
      <c r="H810" t="inlineStr">
        <is>
          <t>Y</t>
        </is>
      </c>
      <c r="I810">
        <f>HYPERLINK("https://admin.shopify.com/store/ge-beauty-cosmeticos/customers/7759866888512","abrir")</f>
        <v/>
      </c>
      <c r="J810">
        <f>HYPERLINK("https://www.gebeauty.com.br/products/primer-cachos-definidos?ref=review","review")</f>
        <v/>
      </c>
      <c r="K810" t="inlineStr">
        <is>
          <t>SEND</t>
        </is>
      </c>
    </row>
    <row r="811">
      <c r="A811" t="inlineStr">
        <is>
          <t>Patrícia</t>
        </is>
      </c>
      <c r="B811" t="inlineStr">
        <is>
          <t>+5581997094014</t>
        </is>
      </c>
      <c r="C811" t="inlineStr">
        <is>
          <t>Refill</t>
        </is>
      </c>
      <c r="D811" t="inlineStr">
        <is>
          <t>Primer Cachos</t>
        </is>
      </c>
      <c r="E811" t="n">
        <v>1</v>
      </c>
      <c r="F811" t="inlineStr">
        <is>
          <t>2025-11-30</t>
        </is>
      </c>
      <c r="G811" t="n">
        <v>216</v>
      </c>
      <c r="H811" t="inlineStr">
        <is>
          <t>Y</t>
        </is>
      </c>
      <c r="I811">
        <f>HYPERLINK("https://admin.shopify.com/store/ge-beauty-cosmeticos/customers/9917161439552","abrir")</f>
        <v/>
      </c>
      <c r="J811">
        <f>HYPERLINK("https://www.gebeauty.com.br/products/primer-cachos-definidos?ref=review","review")</f>
        <v/>
      </c>
      <c r="K811" t="inlineStr">
        <is>
          <t>SEND</t>
        </is>
      </c>
    </row>
    <row r="812">
      <c r="A812" t="inlineStr">
        <is>
          <t>Gabriela</t>
        </is>
      </c>
      <c r="B812" t="inlineStr">
        <is>
          <t>+5581996645759</t>
        </is>
      </c>
      <c r="C812" t="inlineStr">
        <is>
          <t>Refill</t>
        </is>
      </c>
      <c r="D812" t="inlineStr">
        <is>
          <t>Primer Cachos</t>
        </is>
      </c>
      <c r="E812" t="n">
        <v>1</v>
      </c>
      <c r="F812" t="inlineStr">
        <is>
          <t>2025-11-30</t>
        </is>
      </c>
      <c r="G812" t="n">
        <v>216</v>
      </c>
      <c r="H812" t="inlineStr">
        <is>
          <t>Y</t>
        </is>
      </c>
      <c r="I812">
        <f>HYPERLINK("https://admin.shopify.com/store/ge-beauty-cosmeticos/customers/9916951396672","abrir")</f>
        <v/>
      </c>
      <c r="J812">
        <f>HYPERLINK("https://www.gebeauty.com.br/products/primer-cachos-definidos?ref=review","review")</f>
        <v/>
      </c>
      <c r="K812" t="inlineStr">
        <is>
          <t>SEND</t>
        </is>
      </c>
    </row>
    <row r="813">
      <c r="A813" t="inlineStr">
        <is>
          <t>Samdra</t>
        </is>
      </c>
      <c r="B813" t="inlineStr">
        <is>
          <t>+5511931515120</t>
        </is>
      </c>
      <c r="C813" t="inlineStr">
        <is>
          <t>Refill</t>
        </is>
      </c>
      <c r="D813" t="inlineStr">
        <is>
          <t>Primer Cachos</t>
        </is>
      </c>
      <c r="E813" t="n">
        <v>1</v>
      </c>
      <c r="F813" t="inlineStr">
        <is>
          <t>2025-11-30</t>
        </is>
      </c>
      <c r="G813" t="n">
        <v>216</v>
      </c>
      <c r="H813" t="inlineStr">
        <is>
          <t>Y</t>
        </is>
      </c>
      <c r="I813">
        <f>HYPERLINK("https://admin.shopify.com/store/ge-beauty-cosmeticos/customers/9917192044864","abrir")</f>
        <v/>
      </c>
      <c r="J813">
        <f>HYPERLINK("https://www.gebeauty.com.br/products/primer-cachos-definidos?ref=review","review")</f>
        <v/>
      </c>
      <c r="K813" t="inlineStr">
        <is>
          <t>SEND</t>
        </is>
      </c>
    </row>
    <row r="814">
      <c r="A814" t="inlineStr">
        <is>
          <t>Renata</t>
        </is>
      </c>
      <c r="B814" t="inlineStr">
        <is>
          <t>+5511982824040</t>
        </is>
      </c>
      <c r="C814" t="inlineStr">
        <is>
          <t>Refill</t>
        </is>
      </c>
      <c r="D814" t="inlineStr">
        <is>
          <t>Primer Cachos</t>
        </is>
      </c>
      <c r="E814" t="n">
        <v>1</v>
      </c>
      <c r="F814" t="inlineStr">
        <is>
          <t>2025-11-30</t>
        </is>
      </c>
      <c r="G814" t="n">
        <v>216</v>
      </c>
      <c r="H814" t="inlineStr">
        <is>
          <t>Y</t>
        </is>
      </c>
      <c r="I814">
        <f>HYPERLINK("https://admin.shopify.com/store/ge-beauty-cosmeticos/customers/9486271480128","abrir")</f>
        <v/>
      </c>
      <c r="J814">
        <f>HYPERLINK("https://www.gebeauty.com.br/products/primer-cachos-definidos?ref=review","review")</f>
        <v/>
      </c>
      <c r="K814" t="inlineStr">
        <is>
          <t>SEND</t>
        </is>
      </c>
    </row>
    <row r="815">
      <c r="A815" t="inlineStr">
        <is>
          <t>Ananda</t>
        </is>
      </c>
      <c r="B815" t="inlineStr">
        <is>
          <t>+5553999730103</t>
        </is>
      </c>
      <c r="C815" t="inlineStr">
        <is>
          <t>Refill</t>
        </is>
      </c>
      <c r="D815" t="inlineStr">
        <is>
          <t>Primer Cachos</t>
        </is>
      </c>
      <c r="E815" t="n">
        <v>1</v>
      </c>
      <c r="F815" t="inlineStr">
        <is>
          <t>2025-11-30</t>
        </is>
      </c>
      <c r="G815" t="n">
        <v>216</v>
      </c>
      <c r="H815" t="inlineStr">
        <is>
          <t>Y</t>
        </is>
      </c>
      <c r="I815">
        <f>HYPERLINK("https://admin.shopify.com/store/ge-beauty-cosmeticos/customers/9915706507584","abrir")</f>
        <v/>
      </c>
      <c r="J815">
        <f>HYPERLINK("https://www.gebeauty.com.br/products/primer-cachos-definidos?ref=review","review")</f>
        <v/>
      </c>
      <c r="K815" t="inlineStr">
        <is>
          <t>SEND</t>
        </is>
      </c>
    </row>
    <row r="816">
      <c r="A816" t="inlineStr">
        <is>
          <t>Isabelle</t>
        </is>
      </c>
      <c r="B816" t="inlineStr">
        <is>
          <t>+5521969190097</t>
        </is>
      </c>
      <c r="C816" t="inlineStr">
        <is>
          <t>Refill</t>
        </is>
      </c>
      <c r="D816" t="inlineStr">
        <is>
          <t>Primer Cachos</t>
        </is>
      </c>
      <c r="E816" t="n">
        <v>1</v>
      </c>
      <c r="F816" t="inlineStr">
        <is>
          <t>2025-11-30</t>
        </is>
      </c>
      <c r="G816" t="n">
        <v>216</v>
      </c>
      <c r="H816" t="inlineStr">
        <is>
          <t>Y</t>
        </is>
      </c>
      <c r="I816">
        <f>HYPERLINK("https://admin.shopify.com/store/ge-beauty-cosmeticos/customers/9912236179776","abrir")</f>
        <v/>
      </c>
      <c r="J816">
        <f>HYPERLINK("https://www.gebeauty.com.br/products/primer-cachos-definidos?ref=review","review")</f>
        <v/>
      </c>
      <c r="K816" t="inlineStr">
        <is>
          <t>SEND</t>
        </is>
      </c>
    </row>
    <row r="817">
      <c r="A817" t="inlineStr">
        <is>
          <t>Maria Fernanda</t>
        </is>
      </c>
      <c r="B817" t="inlineStr">
        <is>
          <t>+5511999821022</t>
        </is>
      </c>
      <c r="C817" t="inlineStr">
        <is>
          <t>Refill</t>
        </is>
      </c>
      <c r="D817" t="inlineStr">
        <is>
          <t>Primer Cachos</t>
        </is>
      </c>
      <c r="E817" t="n">
        <v>1</v>
      </c>
      <c r="F817" t="inlineStr">
        <is>
          <t>2025-11-30</t>
        </is>
      </c>
      <c r="G817" t="n">
        <v>216</v>
      </c>
      <c r="H817" t="inlineStr">
        <is>
          <t>Y</t>
        </is>
      </c>
      <c r="I817">
        <f>HYPERLINK("https://admin.shopify.com/store/ge-beauty-cosmeticos/customers/9917414998336","abrir")</f>
        <v/>
      </c>
      <c r="J817">
        <f>HYPERLINK("https://www.gebeauty.com.br/products/primer-cachos-definidos?ref=review","review")</f>
        <v/>
      </c>
      <c r="K817" t="inlineStr">
        <is>
          <t>SEND</t>
        </is>
      </c>
    </row>
    <row r="818">
      <c r="A818" t="inlineStr">
        <is>
          <t>Fernanda</t>
        </is>
      </c>
      <c r="B818" t="inlineStr">
        <is>
          <t>+5581994695116</t>
        </is>
      </c>
      <c r="C818" t="inlineStr">
        <is>
          <t>Refill</t>
        </is>
      </c>
      <c r="D818" t="inlineStr">
        <is>
          <t>Primer Cachos</t>
        </is>
      </c>
      <c r="E818" t="n">
        <v>1</v>
      </c>
      <c r="F818" t="inlineStr">
        <is>
          <t>2025-11-30</t>
        </is>
      </c>
      <c r="G818" t="n">
        <v>216</v>
      </c>
      <c r="H818" t="inlineStr">
        <is>
          <t>Y</t>
        </is>
      </c>
      <c r="I818">
        <f>HYPERLINK("https://admin.shopify.com/store/ge-beauty-cosmeticos/customers/7761849352512","abrir")</f>
        <v/>
      </c>
      <c r="J818">
        <f>HYPERLINK("https://www.gebeauty.com.br/products/primer-cachos-definidos?ref=review","review")</f>
        <v/>
      </c>
      <c r="K818" t="inlineStr">
        <is>
          <t>SEND</t>
        </is>
      </c>
    </row>
    <row r="819">
      <c r="A819" t="inlineStr">
        <is>
          <t>Roberta</t>
        </is>
      </c>
      <c r="B819" t="inlineStr">
        <is>
          <t>+5511989116057</t>
        </is>
      </c>
      <c r="C819" t="inlineStr">
        <is>
          <t>Refill</t>
        </is>
      </c>
      <c r="D819" t="inlineStr">
        <is>
          <t>Primer Cachos</t>
        </is>
      </c>
      <c r="E819" t="n">
        <v>1</v>
      </c>
      <c r="F819" t="inlineStr">
        <is>
          <t>2025-11-30</t>
        </is>
      </c>
      <c r="G819" t="n">
        <v>216</v>
      </c>
      <c r="H819" t="inlineStr">
        <is>
          <t>Y</t>
        </is>
      </c>
      <c r="I819">
        <f>HYPERLINK("https://admin.shopify.com/store/ge-beauty-cosmeticos/customers/9917457629504","abrir")</f>
        <v/>
      </c>
      <c r="J819">
        <f>HYPERLINK("https://www.gebeauty.com.br/products/primer-cachos-definidos?ref=review","review")</f>
        <v/>
      </c>
      <c r="K819" t="inlineStr">
        <is>
          <t>SEND</t>
        </is>
      </c>
    </row>
    <row r="820">
      <c r="A820" t="inlineStr">
        <is>
          <t>Caroline</t>
        </is>
      </c>
      <c r="B820" t="inlineStr">
        <is>
          <t>+5565981333330</t>
        </is>
      </c>
      <c r="C820" t="inlineStr">
        <is>
          <t>Refill</t>
        </is>
      </c>
      <c r="D820" t="inlineStr">
        <is>
          <t>Primer Cachos</t>
        </is>
      </c>
      <c r="E820" t="n">
        <v>1</v>
      </c>
      <c r="F820" t="inlineStr">
        <is>
          <t>2025-11-30</t>
        </is>
      </c>
      <c r="G820" t="n">
        <v>216</v>
      </c>
      <c r="H820" t="inlineStr">
        <is>
          <t>Y</t>
        </is>
      </c>
      <c r="I820">
        <f>HYPERLINK("https://admin.shopify.com/store/ge-beauty-cosmeticos/customers/9917483483456","abrir")</f>
        <v/>
      </c>
      <c r="J820">
        <f>HYPERLINK("https://www.gebeauty.com.br/products/primer-cachos-definidos?ref=review","review")</f>
        <v/>
      </c>
      <c r="K820" t="inlineStr">
        <is>
          <t>SEND</t>
        </is>
      </c>
    </row>
    <row r="821">
      <c r="A821" t="inlineStr">
        <is>
          <t>Ana</t>
        </is>
      </c>
      <c r="B821" t="inlineStr">
        <is>
          <t>+5581996730063</t>
        </is>
      </c>
      <c r="C821" t="inlineStr">
        <is>
          <t>Refill</t>
        </is>
      </c>
      <c r="D821" t="inlineStr">
        <is>
          <t>Primer Cachos</t>
        </is>
      </c>
      <c r="E821" t="n">
        <v>1</v>
      </c>
      <c r="F821" t="inlineStr">
        <is>
          <t>2025-12-01</t>
        </is>
      </c>
      <c r="G821" t="n">
        <v>215</v>
      </c>
      <c r="H821" t="inlineStr">
        <is>
          <t>Y</t>
        </is>
      </c>
      <c r="I821">
        <f>HYPERLINK("https://admin.shopify.com/store/ge-beauty-cosmeticos/customers/9917402186048","abrir")</f>
        <v/>
      </c>
      <c r="J821">
        <f>HYPERLINK("https://www.gebeauty.com.br/products/primer-cachos-definidos?ref=review","review")</f>
        <v/>
      </c>
      <c r="K821" t="inlineStr">
        <is>
          <t>SEND</t>
        </is>
      </c>
    </row>
    <row r="822">
      <c r="A822" t="inlineStr">
        <is>
          <t>Karoline</t>
        </is>
      </c>
      <c r="B822" t="inlineStr">
        <is>
          <t>+5581992219221</t>
        </is>
      </c>
      <c r="C822" t="inlineStr">
        <is>
          <t>Refill</t>
        </is>
      </c>
      <c r="D822" t="inlineStr">
        <is>
          <t>Primer Cachos</t>
        </is>
      </c>
      <c r="E822" t="n">
        <v>1</v>
      </c>
      <c r="F822" t="inlineStr">
        <is>
          <t>2025-12-01</t>
        </is>
      </c>
      <c r="G822" t="n">
        <v>215</v>
      </c>
      <c r="H822" t="inlineStr">
        <is>
          <t>Y</t>
        </is>
      </c>
      <c r="I822">
        <f>HYPERLINK("https://admin.shopify.com/store/ge-beauty-cosmeticos/customers/8147014451520","abrir")</f>
        <v/>
      </c>
      <c r="J822">
        <f>HYPERLINK("https://www.gebeauty.com.br/products/primer-cachos-definidos?ref=review","review")</f>
        <v/>
      </c>
      <c r="K822" t="inlineStr">
        <is>
          <t>SEND</t>
        </is>
      </c>
    </row>
    <row r="823">
      <c r="A823" t="inlineStr">
        <is>
          <t>Jane</t>
        </is>
      </c>
      <c r="B823" t="inlineStr">
        <is>
          <t>+5531997871500</t>
        </is>
      </c>
      <c r="C823" t="inlineStr">
        <is>
          <t>Refill</t>
        </is>
      </c>
      <c r="D823" t="inlineStr">
        <is>
          <t>Primer Cachos</t>
        </is>
      </c>
      <c r="E823" t="n">
        <v>1</v>
      </c>
      <c r="F823" t="inlineStr">
        <is>
          <t>2025-12-01</t>
        </is>
      </c>
      <c r="G823" t="n">
        <v>215</v>
      </c>
      <c r="H823" t="inlineStr">
        <is>
          <t>N</t>
        </is>
      </c>
      <c r="I823">
        <f>HYPERLINK("https://admin.shopify.com/store/ge-beauty-cosmeticos/customers/9913813500224","abrir")</f>
        <v/>
      </c>
      <c r="J823">
        <f>HYPERLINK("https://www.gebeauty.com.br/products/primer-cachos-definidos?ref=review","review")</f>
        <v/>
      </c>
      <c r="K823" t="inlineStr">
        <is>
          <t>SEND</t>
        </is>
      </c>
    </row>
    <row r="824">
      <c r="A824" t="inlineStr">
        <is>
          <t>Daniela</t>
        </is>
      </c>
      <c r="B824" t="inlineStr">
        <is>
          <t>+5571987098360</t>
        </is>
      </c>
      <c r="C824" t="inlineStr">
        <is>
          <t>Refill</t>
        </is>
      </c>
      <c r="D824" t="inlineStr">
        <is>
          <t>Primer Cachos</t>
        </is>
      </c>
      <c r="E824" t="n">
        <v>1</v>
      </c>
      <c r="F824" t="inlineStr">
        <is>
          <t>2025-12-01</t>
        </is>
      </c>
      <c r="G824" t="n">
        <v>215</v>
      </c>
      <c r="H824" t="inlineStr">
        <is>
          <t>Y</t>
        </is>
      </c>
      <c r="I824">
        <f>HYPERLINK("https://admin.shopify.com/store/ge-beauty-cosmeticos/customers/9916776415552","abrir")</f>
        <v/>
      </c>
      <c r="J824">
        <f>HYPERLINK("https://www.gebeauty.com.br/products/primer-cachos-definidos?ref=review","review")</f>
        <v/>
      </c>
      <c r="K824" t="inlineStr">
        <is>
          <t>SEND</t>
        </is>
      </c>
    </row>
    <row r="825">
      <c r="A825" t="inlineStr">
        <is>
          <t>Ana</t>
        </is>
      </c>
      <c r="B825" t="inlineStr">
        <is>
          <t>+5538988282521</t>
        </is>
      </c>
      <c r="C825" t="inlineStr">
        <is>
          <t>Refill</t>
        </is>
      </c>
      <c r="D825" t="inlineStr">
        <is>
          <t>Primer Cachos</t>
        </is>
      </c>
      <c r="E825" t="n">
        <v>1</v>
      </c>
      <c r="F825" t="inlineStr">
        <is>
          <t>2025-12-01</t>
        </is>
      </c>
      <c r="G825" t="n">
        <v>215</v>
      </c>
      <c r="H825" t="inlineStr">
        <is>
          <t>Y</t>
        </is>
      </c>
      <c r="I825">
        <f>HYPERLINK("https://admin.shopify.com/store/ge-beauty-cosmeticos/customers/9486342127936","abrir")</f>
        <v/>
      </c>
      <c r="J825">
        <f>HYPERLINK("https://www.gebeauty.com.br/products/primer-cachos-definidos?ref=review","review")</f>
        <v/>
      </c>
      <c r="K825" t="inlineStr">
        <is>
          <t>SEND</t>
        </is>
      </c>
    </row>
    <row r="826">
      <c r="A826" t="inlineStr">
        <is>
          <t>Alana</t>
        </is>
      </c>
      <c r="B826" t="inlineStr">
        <is>
          <t>+5524999055479</t>
        </is>
      </c>
      <c r="C826" t="inlineStr">
        <is>
          <t>Refill</t>
        </is>
      </c>
      <c r="D826" t="inlineStr">
        <is>
          <t>Primer Cachos</t>
        </is>
      </c>
      <c r="E826" t="n">
        <v>1</v>
      </c>
      <c r="F826" t="inlineStr">
        <is>
          <t>2025-12-01</t>
        </is>
      </c>
      <c r="G826" t="n">
        <v>215</v>
      </c>
      <c r="H826" t="inlineStr">
        <is>
          <t>Y</t>
        </is>
      </c>
      <c r="I826">
        <f>HYPERLINK("https://admin.shopify.com/store/ge-beauty-cosmeticos/customers/9917762437440","abrir")</f>
        <v/>
      </c>
      <c r="J826">
        <f>HYPERLINK("https://www.gebeauty.com.br/products/primer-cachos-definidos?ref=review","review")</f>
        <v/>
      </c>
      <c r="K826" t="inlineStr">
        <is>
          <t>SEND</t>
        </is>
      </c>
    </row>
    <row r="827">
      <c r="A827" t="inlineStr">
        <is>
          <t>Isabelle</t>
        </is>
      </c>
      <c r="B827" t="inlineStr">
        <is>
          <t>+5581992586066</t>
        </is>
      </c>
      <c r="C827" t="inlineStr">
        <is>
          <t>Refill</t>
        </is>
      </c>
      <c r="D827" t="inlineStr">
        <is>
          <t>Primer Cachos</t>
        </is>
      </c>
      <c r="E827" t="n">
        <v>1</v>
      </c>
      <c r="F827" t="inlineStr">
        <is>
          <t>2025-12-01</t>
        </is>
      </c>
      <c r="G827" t="n">
        <v>215</v>
      </c>
      <c r="H827" t="inlineStr">
        <is>
          <t>Y</t>
        </is>
      </c>
      <c r="I827">
        <f>HYPERLINK("https://admin.shopify.com/store/ge-beauty-cosmeticos/customers/9917632348480","abrir")</f>
        <v/>
      </c>
      <c r="J827">
        <f>HYPERLINK("https://www.gebeauty.com.br/products/primer-cachos-definidos?ref=review","review")</f>
        <v/>
      </c>
      <c r="K827" t="inlineStr">
        <is>
          <t>SEND</t>
        </is>
      </c>
    </row>
    <row r="828">
      <c r="A828" t="inlineStr">
        <is>
          <t>Karine</t>
        </is>
      </c>
      <c r="B828" t="inlineStr">
        <is>
          <t>+5582999213933</t>
        </is>
      </c>
      <c r="C828" t="inlineStr">
        <is>
          <t>Refill</t>
        </is>
      </c>
      <c r="D828" t="inlineStr">
        <is>
          <t>Primer Cachos</t>
        </is>
      </c>
      <c r="E828" t="n">
        <v>1</v>
      </c>
      <c r="F828" t="inlineStr">
        <is>
          <t>2025-12-01</t>
        </is>
      </c>
      <c r="G828" t="n">
        <v>215</v>
      </c>
      <c r="H828" t="inlineStr">
        <is>
          <t>Y</t>
        </is>
      </c>
      <c r="I828">
        <f>HYPERLINK("https://admin.shopify.com/store/ge-beauty-cosmeticos/customers/9837292912960","abrir")</f>
        <v/>
      </c>
      <c r="J828">
        <f>HYPERLINK("https://www.gebeauty.com.br/products/primer-cachos-definidos?ref=review","review")</f>
        <v/>
      </c>
      <c r="K828" t="inlineStr">
        <is>
          <t>SEND</t>
        </is>
      </c>
    </row>
    <row r="829">
      <c r="A829" t="inlineStr">
        <is>
          <t>Adriana</t>
        </is>
      </c>
      <c r="B829" t="inlineStr">
        <is>
          <t>+5511996932677</t>
        </is>
      </c>
      <c r="C829" t="inlineStr">
        <is>
          <t>Refill</t>
        </is>
      </c>
      <c r="D829" t="inlineStr">
        <is>
          <t>Primer Cachos</t>
        </is>
      </c>
      <c r="E829" t="n">
        <v>1</v>
      </c>
      <c r="F829" t="inlineStr">
        <is>
          <t>2025-12-01</t>
        </is>
      </c>
      <c r="G829" t="n">
        <v>215</v>
      </c>
      <c r="H829" t="inlineStr">
        <is>
          <t>Y</t>
        </is>
      </c>
      <c r="I829">
        <f>HYPERLINK("https://admin.shopify.com/store/ge-beauty-cosmeticos/customers/9485284180288","abrir")</f>
        <v/>
      </c>
      <c r="J829">
        <f>HYPERLINK("https://www.gebeauty.com.br/products/primer-cachos-definidos?ref=review","review")</f>
        <v/>
      </c>
      <c r="K829" t="inlineStr">
        <is>
          <t>SEND</t>
        </is>
      </c>
    </row>
    <row r="830">
      <c r="A830" t="inlineStr">
        <is>
          <t>Leticia</t>
        </is>
      </c>
      <c r="B830" t="inlineStr">
        <is>
          <t>+5513991530491</t>
        </is>
      </c>
      <c r="C830" t="inlineStr">
        <is>
          <t>Refill</t>
        </is>
      </c>
      <c r="D830" t="inlineStr">
        <is>
          <t>Primer Cachos</t>
        </is>
      </c>
      <c r="E830" t="n">
        <v>1</v>
      </c>
      <c r="F830" t="inlineStr">
        <is>
          <t>2025-12-01</t>
        </is>
      </c>
      <c r="G830" t="n">
        <v>215</v>
      </c>
      <c r="H830" t="inlineStr">
        <is>
          <t>Y</t>
        </is>
      </c>
      <c r="I830">
        <f>HYPERLINK("https://admin.shopify.com/store/ge-beauty-cosmeticos/customers/8613192270144","abrir")</f>
        <v/>
      </c>
      <c r="J830">
        <f>HYPERLINK("https://www.gebeauty.com.br/products/primer-cachos-definidos?ref=review","review")</f>
        <v/>
      </c>
      <c r="K830" t="inlineStr">
        <is>
          <t>SEND</t>
        </is>
      </c>
    </row>
    <row r="831">
      <c r="A831" t="inlineStr">
        <is>
          <t>Vanessa</t>
        </is>
      </c>
      <c r="B831" t="inlineStr">
        <is>
          <t>+5515997590315</t>
        </is>
      </c>
      <c r="C831" t="inlineStr">
        <is>
          <t>Refill</t>
        </is>
      </c>
      <c r="D831" t="inlineStr">
        <is>
          <t>Primer Cachos</t>
        </is>
      </c>
      <c r="E831" t="n">
        <v>1</v>
      </c>
      <c r="F831" t="inlineStr">
        <is>
          <t>2025-12-01</t>
        </is>
      </c>
      <c r="G831" t="n">
        <v>215</v>
      </c>
      <c r="H831" t="inlineStr">
        <is>
          <t>Y</t>
        </is>
      </c>
      <c r="I831">
        <f>HYPERLINK("https://admin.shopify.com/store/ge-beauty-cosmeticos/customers/9917839868224","abrir")</f>
        <v/>
      </c>
      <c r="J831">
        <f>HYPERLINK("https://www.gebeauty.com.br/products/primer-cachos-definidos?ref=review","review")</f>
        <v/>
      </c>
      <c r="K831" t="inlineStr">
        <is>
          <t>SEND</t>
        </is>
      </c>
    </row>
    <row r="832">
      <c r="A832" t="inlineStr">
        <is>
          <t>Nathália</t>
        </is>
      </c>
      <c r="B832" t="inlineStr">
        <is>
          <t>+5592984309862</t>
        </is>
      </c>
      <c r="C832" t="inlineStr">
        <is>
          <t>Refill</t>
        </is>
      </c>
      <c r="D832" t="inlineStr">
        <is>
          <t>Primer Cachos</t>
        </is>
      </c>
      <c r="E832" t="n">
        <v>1</v>
      </c>
      <c r="F832" t="inlineStr">
        <is>
          <t>2025-12-01</t>
        </is>
      </c>
      <c r="G832" t="n">
        <v>215</v>
      </c>
      <c r="H832" t="inlineStr">
        <is>
          <t>Y</t>
        </is>
      </c>
      <c r="I832">
        <f>HYPERLINK("https://admin.shopify.com/store/ge-beauty-cosmeticos/customers/9917862445376","abrir")</f>
        <v/>
      </c>
      <c r="J832">
        <f>HYPERLINK("https://www.gebeauty.com.br/products/primer-cachos-definidos?ref=review","review")</f>
        <v/>
      </c>
      <c r="K832" t="inlineStr">
        <is>
          <t>SEND</t>
        </is>
      </c>
    </row>
    <row r="833">
      <c r="A833" t="inlineStr">
        <is>
          <t>Thaís</t>
        </is>
      </c>
      <c r="B833" t="inlineStr">
        <is>
          <t>+5521969292220</t>
        </is>
      </c>
      <c r="C833" t="inlineStr">
        <is>
          <t>Refill</t>
        </is>
      </c>
      <c r="D833" t="inlineStr">
        <is>
          <t>Primer Cachos</t>
        </is>
      </c>
      <c r="E833" t="n">
        <v>1</v>
      </c>
      <c r="F833" t="inlineStr">
        <is>
          <t>2025-12-01</t>
        </is>
      </c>
      <c r="G833" t="n">
        <v>215</v>
      </c>
      <c r="H833" t="inlineStr">
        <is>
          <t>Y</t>
        </is>
      </c>
      <c r="I833">
        <f>HYPERLINK("https://admin.shopify.com/store/ge-beauty-cosmeticos/customers/9917892493632","abrir")</f>
        <v/>
      </c>
      <c r="J833">
        <f>HYPERLINK("https://www.gebeauty.com.br/products/primer-cachos-definidos?ref=review","review")</f>
        <v/>
      </c>
      <c r="K833" t="inlineStr">
        <is>
          <t>SEND</t>
        </is>
      </c>
    </row>
    <row r="834">
      <c r="A834" t="inlineStr">
        <is>
          <t>Liane</t>
        </is>
      </c>
      <c r="B834" t="inlineStr">
        <is>
          <t>+5522999179680</t>
        </is>
      </c>
      <c r="C834" t="inlineStr">
        <is>
          <t>Refill</t>
        </is>
      </c>
      <c r="D834" t="inlineStr">
        <is>
          <t>Primer Cachos</t>
        </is>
      </c>
      <c r="E834" t="n">
        <v>1</v>
      </c>
      <c r="F834" t="inlineStr">
        <is>
          <t>2025-12-01</t>
        </is>
      </c>
      <c r="G834" t="n">
        <v>215</v>
      </c>
      <c r="H834" t="inlineStr">
        <is>
          <t>Y</t>
        </is>
      </c>
      <c r="I834">
        <f>HYPERLINK("https://admin.shopify.com/store/ge-beauty-cosmeticos/customers/9486371356992","abrir")</f>
        <v/>
      </c>
      <c r="J834">
        <f>HYPERLINK("https://www.gebeauty.com.br/products/primer-cachos-definidos?ref=review","review")</f>
        <v/>
      </c>
      <c r="K834" t="inlineStr">
        <is>
          <t>SEND</t>
        </is>
      </c>
    </row>
    <row r="835">
      <c r="A835" t="inlineStr">
        <is>
          <t>Tatiana</t>
        </is>
      </c>
      <c r="B835" t="inlineStr">
        <is>
          <t>+5511970557506</t>
        </is>
      </c>
      <c r="C835" t="inlineStr">
        <is>
          <t>Refill</t>
        </is>
      </c>
      <c r="D835" t="inlineStr">
        <is>
          <t>Primer Cachos</t>
        </is>
      </c>
      <c r="E835" t="n">
        <v>1</v>
      </c>
      <c r="F835" t="inlineStr">
        <is>
          <t>2025-12-01</t>
        </is>
      </c>
      <c r="G835" t="n">
        <v>215</v>
      </c>
      <c r="H835" t="inlineStr">
        <is>
          <t>Y</t>
        </is>
      </c>
      <c r="I835">
        <f>HYPERLINK("https://admin.shopify.com/store/ge-beauty-cosmeticos/customers/9917853335872","abrir")</f>
        <v/>
      </c>
      <c r="J835">
        <f>HYPERLINK("https://www.gebeauty.com.br/products/primer-cachos-definidos?ref=review","review")</f>
        <v/>
      </c>
      <c r="K835" t="inlineStr">
        <is>
          <t>SEND</t>
        </is>
      </c>
    </row>
    <row r="836">
      <c r="A836" t="inlineStr">
        <is>
          <t>Renata</t>
        </is>
      </c>
      <c r="B836" t="inlineStr">
        <is>
          <t>+5511981492822</t>
        </is>
      </c>
      <c r="C836" t="inlineStr">
        <is>
          <t>Refill</t>
        </is>
      </c>
      <c r="D836" t="inlineStr">
        <is>
          <t>Primer Cachos</t>
        </is>
      </c>
      <c r="E836" t="n">
        <v>1</v>
      </c>
      <c r="F836" t="inlineStr">
        <is>
          <t>2025-12-01</t>
        </is>
      </c>
      <c r="G836" t="n">
        <v>215</v>
      </c>
      <c r="H836" t="inlineStr">
        <is>
          <t>Y</t>
        </is>
      </c>
      <c r="I836">
        <f>HYPERLINK("https://admin.shopify.com/store/ge-beauty-cosmeticos/customers/9484998902080","abrir")</f>
        <v/>
      </c>
      <c r="J836">
        <f>HYPERLINK("https://www.gebeauty.com.br/products/primer-cachos-definidos?ref=review","review")</f>
        <v/>
      </c>
      <c r="K836" t="inlineStr">
        <is>
          <t>SEND</t>
        </is>
      </c>
    </row>
    <row r="837">
      <c r="A837" t="inlineStr">
        <is>
          <t>Gabriela</t>
        </is>
      </c>
      <c r="B837" t="inlineStr">
        <is>
          <t>+5581999617160</t>
        </is>
      </c>
      <c r="C837" t="inlineStr">
        <is>
          <t>Refill</t>
        </is>
      </c>
      <c r="D837" t="inlineStr">
        <is>
          <t>Primer Cachos</t>
        </is>
      </c>
      <c r="E837" t="n">
        <v>1</v>
      </c>
      <c r="F837" t="inlineStr">
        <is>
          <t>2025-12-01</t>
        </is>
      </c>
      <c r="G837" t="n">
        <v>215</v>
      </c>
      <c r="H837" t="inlineStr">
        <is>
          <t>Y</t>
        </is>
      </c>
      <c r="I837">
        <f>HYPERLINK("https://admin.shopify.com/store/ge-beauty-cosmeticos/customers/9485967950144","abrir")</f>
        <v/>
      </c>
      <c r="J837">
        <f>HYPERLINK("https://www.gebeauty.com.br/products/primer-cachos-definidos?ref=review","review")</f>
        <v/>
      </c>
      <c r="K837" t="inlineStr">
        <is>
          <t>SEND</t>
        </is>
      </c>
    </row>
    <row r="838">
      <c r="A838" t="inlineStr">
        <is>
          <t>Andrea</t>
        </is>
      </c>
      <c r="B838" t="inlineStr">
        <is>
          <t>+5582988020762</t>
        </is>
      </c>
      <c r="C838" t="inlineStr">
        <is>
          <t>Refill</t>
        </is>
      </c>
      <c r="D838" t="inlineStr">
        <is>
          <t>Primer Cachos</t>
        </is>
      </c>
      <c r="E838" t="n">
        <v>1</v>
      </c>
      <c r="F838" t="inlineStr">
        <is>
          <t>2025-12-01</t>
        </is>
      </c>
      <c r="G838" t="n">
        <v>215</v>
      </c>
      <c r="H838" t="inlineStr">
        <is>
          <t>Y</t>
        </is>
      </c>
      <c r="I838">
        <f>HYPERLINK("https://admin.shopify.com/store/ge-beauty-cosmeticos/customers/9918141038912","abrir")</f>
        <v/>
      </c>
      <c r="J838">
        <f>HYPERLINK("https://www.gebeauty.com.br/products/primer-cachos-definidos?ref=review","review")</f>
        <v/>
      </c>
      <c r="K838" t="inlineStr">
        <is>
          <t>SEND</t>
        </is>
      </c>
    </row>
    <row r="839">
      <c r="A839" t="inlineStr">
        <is>
          <t>Carolina</t>
        </is>
      </c>
      <c r="B839" t="inlineStr">
        <is>
          <t>+5585991384062</t>
        </is>
      </c>
      <c r="C839" t="inlineStr">
        <is>
          <t>Refill</t>
        </is>
      </c>
      <c r="D839" t="inlineStr">
        <is>
          <t>Primer Cachos</t>
        </is>
      </c>
      <c r="E839" t="n">
        <v>1</v>
      </c>
      <c r="F839" t="inlineStr">
        <is>
          <t>2025-12-01</t>
        </is>
      </c>
      <c r="G839" t="n">
        <v>215</v>
      </c>
      <c r="H839" t="inlineStr">
        <is>
          <t>Y</t>
        </is>
      </c>
      <c r="I839">
        <f>HYPERLINK("https://admin.shopify.com/store/ge-beauty-cosmeticos/customers/9918541594944","abrir")</f>
        <v/>
      </c>
      <c r="J839">
        <f>HYPERLINK("https://www.gebeauty.com.br/products/primer-cachos-definidos?ref=review","review")</f>
        <v/>
      </c>
      <c r="K839" t="inlineStr">
        <is>
          <t>SEND</t>
        </is>
      </c>
    </row>
    <row r="840">
      <c r="A840" t="inlineStr">
        <is>
          <t>Stefanny</t>
        </is>
      </c>
      <c r="B840" t="inlineStr">
        <is>
          <t>+5562991085032</t>
        </is>
      </c>
      <c r="C840" t="inlineStr">
        <is>
          <t>Refill</t>
        </is>
      </c>
      <c r="D840" t="inlineStr">
        <is>
          <t>Primer Cachos</t>
        </is>
      </c>
      <c r="E840" t="n">
        <v>1</v>
      </c>
      <c r="F840" t="inlineStr">
        <is>
          <t>2025-12-01</t>
        </is>
      </c>
      <c r="G840" t="n">
        <v>215</v>
      </c>
      <c r="H840" t="inlineStr">
        <is>
          <t>Y</t>
        </is>
      </c>
      <c r="I840">
        <f>HYPERLINK("https://admin.shopify.com/store/ge-beauty-cosmeticos/customers/9916177318208","abrir")</f>
        <v/>
      </c>
      <c r="J840">
        <f>HYPERLINK("https://www.gebeauty.com.br/products/primer-cachos-definidos?ref=review","review")</f>
        <v/>
      </c>
      <c r="K840" t="inlineStr">
        <is>
          <t>SEND</t>
        </is>
      </c>
    </row>
    <row r="841">
      <c r="A841" t="inlineStr">
        <is>
          <t>Tatiana</t>
        </is>
      </c>
      <c r="B841" t="inlineStr">
        <is>
          <t>+5547999859031</t>
        </is>
      </c>
      <c r="C841" t="inlineStr">
        <is>
          <t>Refill</t>
        </is>
      </c>
      <c r="D841" t="inlineStr">
        <is>
          <t>Primer Cachos</t>
        </is>
      </c>
      <c r="E841" t="n">
        <v>1</v>
      </c>
      <c r="F841" t="inlineStr">
        <is>
          <t>2025-12-01</t>
        </is>
      </c>
      <c r="G841" t="n">
        <v>215</v>
      </c>
      <c r="H841" t="inlineStr">
        <is>
          <t>Y</t>
        </is>
      </c>
      <c r="I841">
        <f>HYPERLINK("https://admin.shopify.com/store/ge-beauty-cosmeticos/customers/9918873338176","abrir")</f>
        <v/>
      </c>
      <c r="J841">
        <f>HYPERLINK("https://www.gebeauty.com.br/products/primer-cachos-definidos?ref=review","review")</f>
        <v/>
      </c>
      <c r="K841" t="inlineStr">
        <is>
          <t>SEND</t>
        </is>
      </c>
    </row>
    <row r="842">
      <c r="A842" t="inlineStr">
        <is>
          <t>Isabela</t>
        </is>
      </c>
      <c r="B842" t="inlineStr">
        <is>
          <t>+5521998454011</t>
        </is>
      </c>
      <c r="C842" t="inlineStr">
        <is>
          <t>Refill</t>
        </is>
      </c>
      <c r="D842" t="inlineStr">
        <is>
          <t>Primer Cachos</t>
        </is>
      </c>
      <c r="E842" t="n">
        <v>1</v>
      </c>
      <c r="F842" t="inlineStr">
        <is>
          <t>2025-12-01</t>
        </is>
      </c>
      <c r="G842" t="n">
        <v>215</v>
      </c>
      <c r="H842" t="inlineStr">
        <is>
          <t>Y</t>
        </is>
      </c>
      <c r="I842">
        <f>HYPERLINK("https://admin.shopify.com/store/ge-beauty-cosmeticos/customers/9485911949632","abrir")</f>
        <v/>
      </c>
      <c r="J842">
        <f>HYPERLINK("https://www.gebeauty.com.br/products/primer-cachos-definidos?ref=review","review")</f>
        <v/>
      </c>
      <c r="K842" t="inlineStr">
        <is>
          <t>HOLDOUT</t>
        </is>
      </c>
    </row>
    <row r="843">
      <c r="A843" t="inlineStr">
        <is>
          <t>Isabela</t>
        </is>
      </c>
      <c r="B843" t="inlineStr">
        <is>
          <t>+5571988993067</t>
        </is>
      </c>
      <c r="C843" t="inlineStr">
        <is>
          <t>Refill</t>
        </is>
      </c>
      <c r="D843" t="inlineStr">
        <is>
          <t>Primer Cachos</t>
        </is>
      </c>
      <c r="E843" t="n">
        <v>1</v>
      </c>
      <c r="F843" t="inlineStr">
        <is>
          <t>2025-12-01</t>
        </is>
      </c>
      <c r="G843" t="n">
        <v>215</v>
      </c>
      <c r="H843" t="inlineStr">
        <is>
          <t>Y</t>
        </is>
      </c>
      <c r="I843">
        <f>HYPERLINK("https://admin.shopify.com/store/ge-beauty-cosmeticos/customers/9919231787328","abrir")</f>
        <v/>
      </c>
      <c r="J843">
        <f>HYPERLINK("https://www.gebeauty.com.br/products/primer-cachos-definidos?ref=review","review")</f>
        <v/>
      </c>
      <c r="K843" t="inlineStr">
        <is>
          <t>SEND</t>
        </is>
      </c>
    </row>
    <row r="844">
      <c r="A844" t="inlineStr">
        <is>
          <t>Maryana</t>
        </is>
      </c>
      <c r="B844" t="inlineStr">
        <is>
          <t>+5585987881696</t>
        </is>
      </c>
      <c r="C844" t="inlineStr">
        <is>
          <t>Refill</t>
        </is>
      </c>
      <c r="D844" t="inlineStr">
        <is>
          <t>Primer Cachos</t>
        </is>
      </c>
      <c r="E844" t="n">
        <v>1</v>
      </c>
      <c r="F844" t="inlineStr">
        <is>
          <t>2025-12-01</t>
        </is>
      </c>
      <c r="G844" t="n">
        <v>215</v>
      </c>
      <c r="H844" t="inlineStr">
        <is>
          <t>Y</t>
        </is>
      </c>
      <c r="I844">
        <f>HYPERLINK("https://admin.shopify.com/store/ge-beauty-cosmeticos/customers/9583301656896","abrir")</f>
        <v/>
      </c>
      <c r="J844">
        <f>HYPERLINK("https://www.gebeauty.com.br/products/primer-cachos-definidos?ref=review","review")</f>
        <v/>
      </c>
      <c r="K844" t="inlineStr">
        <is>
          <t>SEND</t>
        </is>
      </c>
    </row>
    <row r="845">
      <c r="A845" t="inlineStr">
        <is>
          <t>Fernanda</t>
        </is>
      </c>
      <c r="B845" t="inlineStr">
        <is>
          <t>+5538988139279</t>
        </is>
      </c>
      <c r="C845" t="inlineStr">
        <is>
          <t>Refill</t>
        </is>
      </c>
      <c r="D845" t="inlineStr">
        <is>
          <t>Primer Cachos</t>
        </is>
      </c>
      <c r="E845" t="n">
        <v>1</v>
      </c>
      <c r="F845" t="inlineStr">
        <is>
          <t>2025-12-01</t>
        </is>
      </c>
      <c r="G845" t="n">
        <v>215</v>
      </c>
      <c r="H845" t="inlineStr">
        <is>
          <t>Y</t>
        </is>
      </c>
      <c r="I845">
        <f>HYPERLINK("https://admin.shopify.com/store/ge-beauty-cosmeticos/customers/7759231123776","abrir")</f>
        <v/>
      </c>
      <c r="J845">
        <f>HYPERLINK("https://www.gebeauty.com.br/products/primer-cachos-definidos?ref=review","review")</f>
        <v/>
      </c>
      <c r="K845" t="inlineStr">
        <is>
          <t>SEND</t>
        </is>
      </c>
    </row>
    <row r="846">
      <c r="A846" t="inlineStr">
        <is>
          <t>Rebeca</t>
        </is>
      </c>
      <c r="B846" t="inlineStr">
        <is>
          <t>+5511968420090</t>
        </is>
      </c>
      <c r="C846" t="inlineStr">
        <is>
          <t>Refill</t>
        </is>
      </c>
      <c r="D846" t="inlineStr">
        <is>
          <t>Primer Cachos</t>
        </is>
      </c>
      <c r="E846" t="n">
        <v>1</v>
      </c>
      <c r="F846" t="inlineStr">
        <is>
          <t>2025-12-01</t>
        </is>
      </c>
      <c r="G846" t="n">
        <v>215</v>
      </c>
      <c r="H846" t="inlineStr">
        <is>
          <t>Y</t>
        </is>
      </c>
      <c r="I846">
        <f>HYPERLINK("https://admin.shopify.com/store/ge-beauty-cosmeticos/customers/9919317901632","abrir")</f>
        <v/>
      </c>
      <c r="J846">
        <f>HYPERLINK("https://www.gebeauty.com.br/products/primer-cachos-definidos?ref=review","review")</f>
        <v/>
      </c>
      <c r="K846" t="inlineStr">
        <is>
          <t>SEND</t>
        </is>
      </c>
    </row>
    <row r="847">
      <c r="A847" t="inlineStr">
        <is>
          <t>Giovana</t>
        </is>
      </c>
      <c r="B847" t="inlineStr">
        <is>
          <t>+5511963457475</t>
        </is>
      </c>
      <c r="C847" t="inlineStr">
        <is>
          <t>Refill</t>
        </is>
      </c>
      <c r="D847" t="inlineStr">
        <is>
          <t>Primer Cachos</t>
        </is>
      </c>
      <c r="E847" t="n">
        <v>1</v>
      </c>
      <c r="F847" t="inlineStr">
        <is>
          <t>2025-12-01</t>
        </is>
      </c>
      <c r="G847" t="n">
        <v>215</v>
      </c>
      <c r="H847" t="inlineStr">
        <is>
          <t>Y</t>
        </is>
      </c>
      <c r="I847">
        <f>HYPERLINK("https://admin.shopify.com/store/ge-beauty-cosmeticos/customers/9485034160448","abrir")</f>
        <v/>
      </c>
      <c r="J847">
        <f>HYPERLINK("https://www.gebeauty.com.br/products/primer-cachos-definidos?ref=review","review")</f>
        <v/>
      </c>
      <c r="K847" t="inlineStr">
        <is>
          <t>SEND</t>
        </is>
      </c>
    </row>
    <row r="848">
      <c r="A848" t="inlineStr">
        <is>
          <t>Nathalia</t>
        </is>
      </c>
      <c r="B848" t="inlineStr">
        <is>
          <t>+5521987581156</t>
        </is>
      </c>
      <c r="C848" t="inlineStr">
        <is>
          <t>Refill</t>
        </is>
      </c>
      <c r="D848" t="inlineStr">
        <is>
          <t>Primer Cachos</t>
        </is>
      </c>
      <c r="E848" t="n">
        <v>1</v>
      </c>
      <c r="F848" t="inlineStr">
        <is>
          <t>2025-12-01</t>
        </is>
      </c>
      <c r="G848" t="n">
        <v>215</v>
      </c>
      <c r="H848" t="inlineStr">
        <is>
          <t>Y</t>
        </is>
      </c>
      <c r="I848">
        <f>HYPERLINK("https://admin.shopify.com/store/ge-beauty-cosmeticos/customers/9910836199744","abrir")</f>
        <v/>
      </c>
      <c r="J848">
        <f>HYPERLINK("https://www.gebeauty.com.br/products/primer-cachos-definidos?ref=review","review")</f>
        <v/>
      </c>
      <c r="K848" t="inlineStr">
        <is>
          <t>SEND</t>
        </is>
      </c>
    </row>
    <row r="849">
      <c r="A849" t="inlineStr">
        <is>
          <t>Ana Flávia</t>
        </is>
      </c>
      <c r="B849" t="inlineStr">
        <is>
          <t>+5534999106504</t>
        </is>
      </c>
      <c r="C849" t="inlineStr">
        <is>
          <t>Refill</t>
        </is>
      </c>
      <c r="D849" t="inlineStr">
        <is>
          <t>Primer Cachos</t>
        </is>
      </c>
      <c r="E849" t="n">
        <v>1</v>
      </c>
      <c r="F849" t="inlineStr">
        <is>
          <t>2025-12-01</t>
        </is>
      </c>
      <c r="G849" t="n">
        <v>215</v>
      </c>
      <c r="H849" t="inlineStr">
        <is>
          <t>Y</t>
        </is>
      </c>
      <c r="I849">
        <f>HYPERLINK("https://admin.shopify.com/store/ge-beauty-cosmeticos/customers/9486272430400","abrir")</f>
        <v/>
      </c>
      <c r="J849">
        <f>HYPERLINK("https://www.gebeauty.com.br/products/primer-cachos-definidos?ref=review","review")</f>
        <v/>
      </c>
      <c r="K849" t="inlineStr">
        <is>
          <t>SEND</t>
        </is>
      </c>
    </row>
    <row r="850">
      <c r="A850" t="inlineStr">
        <is>
          <t>Carolina</t>
        </is>
      </c>
      <c r="B850" t="inlineStr">
        <is>
          <t>+5514981258870</t>
        </is>
      </c>
      <c r="C850" t="inlineStr">
        <is>
          <t>Refill</t>
        </is>
      </c>
      <c r="D850" t="inlineStr">
        <is>
          <t>Primer Cachos</t>
        </is>
      </c>
      <c r="E850" t="n">
        <v>1</v>
      </c>
      <c r="F850" t="inlineStr">
        <is>
          <t>2025-12-01</t>
        </is>
      </c>
      <c r="G850" t="n">
        <v>215</v>
      </c>
      <c r="H850" t="inlineStr">
        <is>
          <t>Y</t>
        </is>
      </c>
      <c r="I850">
        <f>HYPERLINK("https://admin.shopify.com/store/ge-beauty-cosmeticos/customers/9919728222528","abrir")</f>
        <v/>
      </c>
      <c r="J850">
        <f>HYPERLINK("https://www.gebeauty.com.br/products/primer-cachos-definidos?ref=review","review")</f>
        <v/>
      </c>
      <c r="K850" t="inlineStr">
        <is>
          <t>SEND</t>
        </is>
      </c>
    </row>
    <row r="851">
      <c r="A851" t="inlineStr">
        <is>
          <t>Letícia</t>
        </is>
      </c>
      <c r="B851" t="inlineStr">
        <is>
          <t>+5519998149802</t>
        </is>
      </c>
      <c r="C851" t="inlineStr">
        <is>
          <t>Refill</t>
        </is>
      </c>
      <c r="D851" t="inlineStr">
        <is>
          <t>Primer Cachos</t>
        </is>
      </c>
      <c r="E851" t="n">
        <v>1</v>
      </c>
      <c r="F851" t="inlineStr">
        <is>
          <t>2025-12-01</t>
        </is>
      </c>
      <c r="G851" t="n">
        <v>215</v>
      </c>
      <c r="H851" t="inlineStr">
        <is>
          <t>Y</t>
        </is>
      </c>
      <c r="I851">
        <f>HYPERLINK("https://admin.shopify.com/store/ge-beauty-cosmeticos/customers/9687708467520","abrir")</f>
        <v/>
      </c>
      <c r="J851">
        <f>HYPERLINK("https://www.gebeauty.com.br/products/primer-cachos-definidos?ref=review","review")</f>
        <v/>
      </c>
      <c r="K851" t="inlineStr">
        <is>
          <t>SEND</t>
        </is>
      </c>
    </row>
    <row r="852">
      <c r="A852" t="inlineStr">
        <is>
          <t>Amanda</t>
        </is>
      </c>
      <c r="B852" t="inlineStr">
        <is>
          <t>+5511986069000</t>
        </is>
      </c>
      <c r="C852" t="inlineStr">
        <is>
          <t>Refill</t>
        </is>
      </c>
      <c r="D852" t="inlineStr">
        <is>
          <t>Primer Cachos</t>
        </is>
      </c>
      <c r="E852" t="n">
        <v>1</v>
      </c>
      <c r="F852" t="inlineStr">
        <is>
          <t>2025-12-01</t>
        </is>
      </c>
      <c r="G852" t="n">
        <v>215</v>
      </c>
      <c r="H852" t="inlineStr">
        <is>
          <t>Y</t>
        </is>
      </c>
      <c r="I852">
        <f>HYPERLINK("https://admin.shopify.com/store/ge-beauty-cosmeticos/customers/9485190922560","abrir")</f>
        <v/>
      </c>
      <c r="J852">
        <f>HYPERLINK("https://www.gebeauty.com.br/products/primer-cachos-definidos?ref=review","review")</f>
        <v/>
      </c>
      <c r="K852" t="inlineStr">
        <is>
          <t>SEND</t>
        </is>
      </c>
    </row>
    <row r="853">
      <c r="A853" t="inlineStr">
        <is>
          <t>Tamires</t>
        </is>
      </c>
      <c r="B853" t="inlineStr">
        <is>
          <t>+5554981072716</t>
        </is>
      </c>
      <c r="C853" t="inlineStr">
        <is>
          <t>Refill</t>
        </is>
      </c>
      <c r="D853" t="inlineStr">
        <is>
          <t>Primer Cachos</t>
        </is>
      </c>
      <c r="E853" t="n">
        <v>1</v>
      </c>
      <c r="F853" t="inlineStr">
        <is>
          <t>2025-12-01</t>
        </is>
      </c>
      <c r="G853" t="n">
        <v>215</v>
      </c>
      <c r="H853" t="inlineStr">
        <is>
          <t>Y</t>
        </is>
      </c>
      <c r="I853">
        <f>HYPERLINK("https://admin.shopify.com/store/ge-beauty-cosmeticos/customers/9484419203392","abrir")</f>
        <v/>
      </c>
      <c r="J853">
        <f>HYPERLINK("https://www.gebeauty.com.br/products/primer-cachos-definidos?ref=review","review")</f>
        <v/>
      </c>
      <c r="K853" t="inlineStr">
        <is>
          <t>SEND</t>
        </is>
      </c>
    </row>
    <row r="854">
      <c r="A854" t="inlineStr">
        <is>
          <t>Danielle</t>
        </is>
      </c>
      <c r="B854" t="inlineStr">
        <is>
          <t>+5573999975500</t>
        </is>
      </c>
      <c r="C854" t="inlineStr">
        <is>
          <t>Refill</t>
        </is>
      </c>
      <c r="D854" t="inlineStr">
        <is>
          <t>Primer Cachos</t>
        </is>
      </c>
      <c r="E854" t="n">
        <v>1</v>
      </c>
      <c r="F854" t="inlineStr">
        <is>
          <t>2025-12-01</t>
        </is>
      </c>
      <c r="G854" t="n">
        <v>215</v>
      </c>
      <c r="H854" t="inlineStr">
        <is>
          <t>Y</t>
        </is>
      </c>
      <c r="I854">
        <f>HYPERLINK("https://admin.shopify.com/store/ge-beauty-cosmeticos/customers/9486272495936","abrir")</f>
        <v/>
      </c>
      <c r="J854">
        <f>HYPERLINK("https://www.gebeauty.com.br/products/primer-cachos-definidos?ref=review","review")</f>
        <v/>
      </c>
      <c r="K854" t="inlineStr">
        <is>
          <t>SEND</t>
        </is>
      </c>
    </row>
    <row r="855">
      <c r="A855" t="inlineStr">
        <is>
          <t>Isabella</t>
        </is>
      </c>
      <c r="B855" t="inlineStr">
        <is>
          <t>+5521969248200</t>
        </is>
      </c>
      <c r="C855" t="inlineStr">
        <is>
          <t>Refill</t>
        </is>
      </c>
      <c r="D855" t="inlineStr">
        <is>
          <t>Primer Cachos</t>
        </is>
      </c>
      <c r="E855" t="n">
        <v>1</v>
      </c>
      <c r="F855" t="inlineStr">
        <is>
          <t>2025-12-01</t>
        </is>
      </c>
      <c r="G855" t="n">
        <v>215</v>
      </c>
      <c r="H855" t="inlineStr">
        <is>
          <t>Y</t>
        </is>
      </c>
      <c r="I855">
        <f>HYPERLINK("https://admin.shopify.com/store/ge-beauty-cosmeticos/customers/9920346915136","abrir")</f>
        <v/>
      </c>
      <c r="J855">
        <f>HYPERLINK("https://www.gebeauty.com.br/products/primer-cachos-definidos?ref=review","review")</f>
        <v/>
      </c>
      <c r="K855" t="inlineStr">
        <is>
          <t>SEND</t>
        </is>
      </c>
    </row>
    <row r="856">
      <c r="A856" t="inlineStr">
        <is>
          <t>Amanda</t>
        </is>
      </c>
      <c r="B856" t="inlineStr">
        <is>
          <t>+5535998644112</t>
        </is>
      </c>
      <c r="C856" t="inlineStr">
        <is>
          <t>Refill</t>
        </is>
      </c>
      <c r="D856" t="inlineStr">
        <is>
          <t>Primer Cachos</t>
        </is>
      </c>
      <c r="E856" t="n">
        <v>1</v>
      </c>
      <c r="F856" t="inlineStr">
        <is>
          <t>2025-12-01</t>
        </is>
      </c>
      <c r="G856" t="n">
        <v>215</v>
      </c>
      <c r="H856" t="inlineStr">
        <is>
          <t>Y</t>
        </is>
      </c>
      <c r="I856">
        <f>HYPERLINK("https://admin.shopify.com/store/ge-beauty-cosmeticos/customers/9920477888832","abrir")</f>
        <v/>
      </c>
      <c r="J856">
        <f>HYPERLINK("https://www.gebeauty.com.br/products/primer-cachos-definidos?ref=review","review")</f>
        <v/>
      </c>
      <c r="K856" t="inlineStr">
        <is>
          <t>SEND</t>
        </is>
      </c>
    </row>
    <row r="857">
      <c r="B857" t="inlineStr">
        <is>
          <t>+5521994802904</t>
        </is>
      </c>
      <c r="C857" t="inlineStr">
        <is>
          <t>Refill</t>
        </is>
      </c>
      <c r="D857" t="inlineStr">
        <is>
          <t>Primer Cachos</t>
        </is>
      </c>
      <c r="E857" t="n">
        <v>1</v>
      </c>
      <c r="F857" t="inlineStr">
        <is>
          <t>2025-12-01</t>
        </is>
      </c>
      <c r="G857" t="n">
        <v>215</v>
      </c>
      <c r="H857" t="inlineStr">
        <is>
          <t>Y</t>
        </is>
      </c>
      <c r="I857">
        <f>HYPERLINK("https://admin.shopify.com/store/ge-beauty-cosmeticos/customers/9485600489792","abrir")</f>
        <v/>
      </c>
      <c r="J857">
        <f>HYPERLINK("https://www.gebeauty.com.br/products/primer-cachos-definidos?ref=review","review")</f>
        <v/>
      </c>
      <c r="K857" t="inlineStr">
        <is>
          <t>SEND</t>
        </is>
      </c>
    </row>
    <row r="858">
      <c r="A858" t="inlineStr">
        <is>
          <t>Tatiane</t>
        </is>
      </c>
      <c r="B858" t="inlineStr">
        <is>
          <t>+5521998793755</t>
        </is>
      </c>
      <c r="C858" t="inlineStr">
        <is>
          <t>Refill</t>
        </is>
      </c>
      <c r="D858" t="inlineStr">
        <is>
          <t>Primer Cachos</t>
        </is>
      </c>
      <c r="E858" t="n">
        <v>1</v>
      </c>
      <c r="F858" t="inlineStr">
        <is>
          <t>2025-12-01</t>
        </is>
      </c>
      <c r="G858" t="n">
        <v>215</v>
      </c>
      <c r="H858" t="inlineStr">
        <is>
          <t>Y</t>
        </is>
      </c>
      <c r="I858">
        <f>HYPERLINK("https://admin.shopify.com/store/ge-beauty-cosmeticos/customers/9920738066752","abrir")</f>
        <v/>
      </c>
      <c r="J858">
        <f>HYPERLINK("https://www.gebeauty.com.br/products/primer-cachos-definidos?ref=review","review")</f>
        <v/>
      </c>
      <c r="K858" t="inlineStr">
        <is>
          <t>SEND</t>
        </is>
      </c>
    </row>
    <row r="859">
      <c r="A859" t="inlineStr">
        <is>
          <t>Gilmara</t>
        </is>
      </c>
      <c r="B859" t="inlineStr">
        <is>
          <t>+5575998969630</t>
        </is>
      </c>
      <c r="C859" t="inlineStr">
        <is>
          <t>Refill</t>
        </is>
      </c>
      <c r="D859" t="inlineStr">
        <is>
          <t>Primer Cachos</t>
        </is>
      </c>
      <c r="E859" t="n">
        <v>1</v>
      </c>
      <c r="F859" t="inlineStr">
        <is>
          <t>2025-12-01</t>
        </is>
      </c>
      <c r="G859" t="n">
        <v>215</v>
      </c>
      <c r="H859" t="inlineStr">
        <is>
          <t>Y</t>
        </is>
      </c>
      <c r="I859">
        <f>HYPERLINK("https://admin.shopify.com/store/ge-beauty-cosmeticos/customers/9920818086208","abrir")</f>
        <v/>
      </c>
      <c r="J859">
        <f>HYPERLINK("https://www.gebeauty.com.br/products/primer-cachos-definidos?ref=review","review")</f>
        <v/>
      </c>
      <c r="K859" t="inlineStr">
        <is>
          <t>HOLDOUT</t>
        </is>
      </c>
    </row>
    <row r="860">
      <c r="A860" t="inlineStr">
        <is>
          <t>Fernanda</t>
        </is>
      </c>
      <c r="B860" t="inlineStr">
        <is>
          <t>+5511995184436</t>
        </is>
      </c>
      <c r="C860" t="inlineStr">
        <is>
          <t>Refill</t>
        </is>
      </c>
      <c r="D860" t="inlineStr">
        <is>
          <t>Primer Cachos</t>
        </is>
      </c>
      <c r="E860" t="n">
        <v>1</v>
      </c>
      <c r="F860" t="inlineStr">
        <is>
          <t>2025-12-01</t>
        </is>
      </c>
      <c r="G860" t="n">
        <v>215</v>
      </c>
      <c r="H860" t="inlineStr">
        <is>
          <t>Y</t>
        </is>
      </c>
      <c r="I860">
        <f>HYPERLINK("https://admin.shopify.com/store/ge-beauty-cosmeticos/customers/9920856719680","abrir")</f>
        <v/>
      </c>
      <c r="J860">
        <f>HYPERLINK("https://www.gebeauty.com.br/products/primer-cachos-definidos?ref=review","review")</f>
        <v/>
      </c>
      <c r="K860" t="inlineStr">
        <is>
          <t>SEND</t>
        </is>
      </c>
    </row>
    <row r="861">
      <c r="A861" t="inlineStr">
        <is>
          <t>Jocastra</t>
        </is>
      </c>
      <c r="B861" t="inlineStr">
        <is>
          <t>+5585981841135</t>
        </is>
      </c>
      <c r="C861" t="inlineStr">
        <is>
          <t>Refill</t>
        </is>
      </c>
      <c r="D861" t="inlineStr">
        <is>
          <t>Primer Cachos</t>
        </is>
      </c>
      <c r="E861" t="n">
        <v>1</v>
      </c>
      <c r="F861" t="inlineStr">
        <is>
          <t>2025-12-02</t>
        </is>
      </c>
      <c r="G861" t="n">
        <v>214</v>
      </c>
      <c r="H861" t="inlineStr">
        <is>
          <t>Y</t>
        </is>
      </c>
      <c r="I861">
        <f>HYPERLINK("https://admin.shopify.com/store/ge-beauty-cosmeticos/customers/9921023476032","abrir")</f>
        <v/>
      </c>
      <c r="J861">
        <f>HYPERLINK("https://www.gebeauty.com.br/products/primer-cachos-definidos?ref=review","review")</f>
        <v/>
      </c>
      <c r="K861" t="inlineStr">
        <is>
          <t>SEND</t>
        </is>
      </c>
    </row>
    <row r="862">
      <c r="A862" t="inlineStr">
        <is>
          <t>Anna</t>
        </is>
      </c>
      <c r="B862" t="inlineStr">
        <is>
          <t>+5511999334823</t>
        </is>
      </c>
      <c r="C862" t="inlineStr">
        <is>
          <t>Refill</t>
        </is>
      </c>
      <c r="D862" t="inlineStr">
        <is>
          <t>Primer Cachos</t>
        </is>
      </c>
      <c r="E862" t="n">
        <v>1</v>
      </c>
      <c r="F862" t="inlineStr">
        <is>
          <t>2025-12-02</t>
        </is>
      </c>
      <c r="G862" t="n">
        <v>214</v>
      </c>
      <c r="H862" t="inlineStr">
        <is>
          <t>Y</t>
        </is>
      </c>
      <c r="I862">
        <f>HYPERLINK("https://admin.shopify.com/store/ge-beauty-cosmeticos/customers/9424236020032","abrir")</f>
        <v/>
      </c>
      <c r="J862">
        <f>HYPERLINK("https://www.gebeauty.com.br/products/primer-cachos-definidos?ref=review","review")</f>
        <v/>
      </c>
      <c r="K862" t="inlineStr">
        <is>
          <t>SEND</t>
        </is>
      </c>
    </row>
    <row r="863">
      <c r="A863" t="inlineStr">
        <is>
          <t>Ivan</t>
        </is>
      </c>
      <c r="B863" t="inlineStr">
        <is>
          <t>+551144373939</t>
        </is>
      </c>
      <c r="C863" t="inlineStr">
        <is>
          <t>Refill</t>
        </is>
      </c>
      <c r="D863" t="inlineStr">
        <is>
          <t>Primer Cachos</t>
        </is>
      </c>
      <c r="E863" t="n">
        <v>1</v>
      </c>
      <c r="F863" t="inlineStr">
        <is>
          <t>2025-12-02</t>
        </is>
      </c>
      <c r="G863" t="n">
        <v>214</v>
      </c>
      <c r="H863" t="inlineStr">
        <is>
          <t>Y</t>
        </is>
      </c>
      <c r="I863">
        <f>HYPERLINK("https://admin.shopify.com/store/ge-beauty-cosmeticos/customers/9921357021504","abrir")</f>
        <v/>
      </c>
      <c r="J863">
        <f>HYPERLINK("https://www.gebeauty.com.br/products/primer-cachos-definidos?ref=review","review")</f>
        <v/>
      </c>
      <c r="K863" t="inlineStr">
        <is>
          <t>SEND</t>
        </is>
      </c>
    </row>
    <row r="864">
      <c r="A864" t="inlineStr">
        <is>
          <t>Fabiana</t>
        </is>
      </c>
      <c r="B864" t="inlineStr">
        <is>
          <t>+5511988103065</t>
        </is>
      </c>
      <c r="C864" t="inlineStr">
        <is>
          <t>Refill</t>
        </is>
      </c>
      <c r="D864" t="inlineStr">
        <is>
          <t>Primer Cachos</t>
        </is>
      </c>
      <c r="E864" t="n">
        <v>1</v>
      </c>
      <c r="F864" t="inlineStr">
        <is>
          <t>2025-12-02</t>
        </is>
      </c>
      <c r="G864" t="n">
        <v>214</v>
      </c>
      <c r="H864" t="inlineStr">
        <is>
          <t>Y</t>
        </is>
      </c>
      <c r="I864">
        <f>HYPERLINK("https://admin.shopify.com/store/ge-beauty-cosmeticos/customers/9921416724800","abrir")</f>
        <v/>
      </c>
      <c r="J864">
        <f>HYPERLINK("https://www.gebeauty.com.br/products/primer-cachos-definidos?ref=review","review")</f>
        <v/>
      </c>
      <c r="K864" t="inlineStr">
        <is>
          <t>SEND</t>
        </is>
      </c>
    </row>
    <row r="865">
      <c r="A865" t="inlineStr">
        <is>
          <t>Daniela</t>
        </is>
      </c>
      <c r="B865" t="inlineStr">
        <is>
          <t>+5561992960126</t>
        </is>
      </c>
      <c r="C865" t="inlineStr">
        <is>
          <t>Refill</t>
        </is>
      </c>
      <c r="D865" t="inlineStr">
        <is>
          <t>Primer Cachos</t>
        </is>
      </c>
      <c r="E865" t="n">
        <v>1</v>
      </c>
      <c r="F865" t="inlineStr">
        <is>
          <t>2025-12-02</t>
        </is>
      </c>
      <c r="G865" t="n">
        <v>214</v>
      </c>
      <c r="H865" t="inlineStr">
        <is>
          <t>Y</t>
        </is>
      </c>
      <c r="I865">
        <f>HYPERLINK("https://admin.shopify.com/store/ge-beauty-cosmeticos/customers/9922198962496","abrir")</f>
        <v/>
      </c>
      <c r="J865">
        <f>HYPERLINK("https://www.gebeauty.com.br/products/primer-cachos-definidos?ref=review","review")</f>
        <v/>
      </c>
      <c r="K865" t="inlineStr">
        <is>
          <t>SEND</t>
        </is>
      </c>
    </row>
    <row r="866">
      <c r="A866" t="inlineStr">
        <is>
          <t>Ana Clara</t>
        </is>
      </c>
      <c r="B866" t="inlineStr">
        <is>
          <t>+5561981174849</t>
        </is>
      </c>
      <c r="C866" t="inlineStr">
        <is>
          <t>Refill</t>
        </is>
      </c>
      <c r="D866" t="inlineStr">
        <is>
          <t>Primer Cachos</t>
        </is>
      </c>
      <c r="E866" t="n">
        <v>1</v>
      </c>
      <c r="F866" t="inlineStr">
        <is>
          <t>2025-12-02</t>
        </is>
      </c>
      <c r="G866" t="n">
        <v>214</v>
      </c>
      <c r="H866" t="inlineStr">
        <is>
          <t>Y</t>
        </is>
      </c>
      <c r="I866">
        <f>HYPERLINK("https://admin.shopify.com/store/ge-beauty-cosmeticos/customers/9922727706944","abrir")</f>
        <v/>
      </c>
      <c r="J866">
        <f>HYPERLINK("https://www.gebeauty.com.br/products/primer-cachos-definidos?ref=review","review")</f>
        <v/>
      </c>
      <c r="K866" t="inlineStr">
        <is>
          <t>SEND</t>
        </is>
      </c>
    </row>
    <row r="867">
      <c r="A867" t="inlineStr">
        <is>
          <t>Bruna</t>
        </is>
      </c>
      <c r="B867" t="inlineStr">
        <is>
          <t>+5554981315492</t>
        </is>
      </c>
      <c r="C867" t="inlineStr">
        <is>
          <t>Refill</t>
        </is>
      </c>
      <c r="D867" t="inlineStr">
        <is>
          <t>Primer Cachos</t>
        </is>
      </c>
      <c r="E867" t="n">
        <v>1</v>
      </c>
      <c r="F867" t="inlineStr">
        <is>
          <t>2025-12-02</t>
        </is>
      </c>
      <c r="G867" t="n">
        <v>214</v>
      </c>
      <c r="H867" t="inlineStr">
        <is>
          <t>Y</t>
        </is>
      </c>
      <c r="I867">
        <f>HYPERLINK("https://admin.shopify.com/store/ge-beauty-cosmeticos/customers/7759576269120","abrir")</f>
        <v/>
      </c>
      <c r="J867">
        <f>HYPERLINK("https://www.gebeauty.com.br/products/primer-cachos-definidos?ref=review","review")</f>
        <v/>
      </c>
      <c r="K867" t="inlineStr">
        <is>
          <t>SEND</t>
        </is>
      </c>
    </row>
    <row r="868">
      <c r="A868" t="inlineStr">
        <is>
          <t>Beatriz</t>
        </is>
      </c>
      <c r="B868" t="inlineStr">
        <is>
          <t>+5511966398627</t>
        </is>
      </c>
      <c r="C868" t="inlineStr">
        <is>
          <t>Refill</t>
        </is>
      </c>
      <c r="D868" t="inlineStr">
        <is>
          <t>Primer Cachos</t>
        </is>
      </c>
      <c r="E868" t="n">
        <v>1</v>
      </c>
      <c r="F868" t="inlineStr">
        <is>
          <t>2025-12-02</t>
        </is>
      </c>
      <c r="G868" t="n">
        <v>214</v>
      </c>
      <c r="H868" t="inlineStr">
        <is>
          <t>Y</t>
        </is>
      </c>
      <c r="I868">
        <f>HYPERLINK("https://admin.shopify.com/store/ge-beauty-cosmeticos/customers/9923529703744","abrir")</f>
        <v/>
      </c>
      <c r="J868">
        <f>HYPERLINK("https://www.gebeauty.com.br/products/primer-cachos-definidos?ref=review","review")</f>
        <v/>
      </c>
      <c r="K868" t="inlineStr">
        <is>
          <t>SEND</t>
        </is>
      </c>
    </row>
    <row r="869">
      <c r="A869" t="inlineStr">
        <is>
          <t>Cristiana</t>
        </is>
      </c>
      <c r="B869" t="inlineStr">
        <is>
          <t>+5581991274887</t>
        </is>
      </c>
      <c r="C869" t="inlineStr">
        <is>
          <t>Refill</t>
        </is>
      </c>
      <c r="D869" t="inlineStr">
        <is>
          <t>Primer Cachos</t>
        </is>
      </c>
      <c r="E869" t="n">
        <v>1</v>
      </c>
      <c r="F869" t="inlineStr">
        <is>
          <t>2025-12-02</t>
        </is>
      </c>
      <c r="G869" t="n">
        <v>214</v>
      </c>
      <c r="H869" t="inlineStr">
        <is>
          <t>Y</t>
        </is>
      </c>
      <c r="I869">
        <f>HYPERLINK("https://admin.shopify.com/store/ge-beauty-cosmeticos/customers/9923648717120","abrir")</f>
        <v/>
      </c>
      <c r="J869">
        <f>HYPERLINK("https://www.gebeauty.com.br/products/primer-cachos-definidos?ref=review","review")</f>
        <v/>
      </c>
      <c r="K869" t="inlineStr">
        <is>
          <t>SEND</t>
        </is>
      </c>
    </row>
    <row r="870">
      <c r="A870" t="inlineStr">
        <is>
          <t>Flavia</t>
        </is>
      </c>
      <c r="B870" t="inlineStr">
        <is>
          <t>+5567999815775</t>
        </is>
      </c>
      <c r="C870" t="inlineStr">
        <is>
          <t>Refill</t>
        </is>
      </c>
      <c r="D870" t="inlineStr">
        <is>
          <t>Primer Cachos</t>
        </is>
      </c>
      <c r="E870" t="n">
        <v>1</v>
      </c>
      <c r="F870" t="inlineStr">
        <is>
          <t>2025-12-03</t>
        </is>
      </c>
      <c r="G870" t="n">
        <v>213</v>
      </c>
      <c r="H870" t="inlineStr">
        <is>
          <t>Y</t>
        </is>
      </c>
      <c r="I870">
        <f>HYPERLINK("https://admin.shopify.com/store/ge-beauty-cosmeticos/customers/9924246307136","abrir")</f>
        <v/>
      </c>
      <c r="J870">
        <f>HYPERLINK("https://www.gebeauty.com.br/products/primer-cachos-definidos?ref=review","review")</f>
        <v/>
      </c>
      <c r="K870" t="inlineStr">
        <is>
          <t>SEND</t>
        </is>
      </c>
    </row>
    <row r="871">
      <c r="A871" t="inlineStr">
        <is>
          <t>Natasha</t>
        </is>
      </c>
      <c r="B871" t="inlineStr">
        <is>
          <t>+5511941411572</t>
        </is>
      </c>
      <c r="C871" t="inlineStr">
        <is>
          <t>Refill</t>
        </is>
      </c>
      <c r="D871" t="inlineStr">
        <is>
          <t>Primer Cachos</t>
        </is>
      </c>
      <c r="E871" t="n">
        <v>1</v>
      </c>
      <c r="F871" t="inlineStr">
        <is>
          <t>2025-12-03</t>
        </is>
      </c>
      <c r="G871" t="n">
        <v>213</v>
      </c>
      <c r="H871" t="inlineStr">
        <is>
          <t>Y</t>
        </is>
      </c>
      <c r="I871">
        <f>HYPERLINK("https://admin.shopify.com/store/ge-beauty-cosmeticos/customers/9925264802112","abrir")</f>
        <v/>
      </c>
      <c r="J871">
        <f>HYPERLINK("https://www.gebeauty.com.br/products/primer-cachos-definidos?ref=review","review")</f>
        <v/>
      </c>
      <c r="K871" t="inlineStr">
        <is>
          <t>SEND</t>
        </is>
      </c>
    </row>
    <row r="872">
      <c r="A872" t="inlineStr">
        <is>
          <t>Marcella</t>
        </is>
      </c>
      <c r="B872" t="inlineStr">
        <is>
          <t>+5521985610646</t>
        </is>
      </c>
      <c r="C872" t="inlineStr">
        <is>
          <t>Refill</t>
        </is>
      </c>
      <c r="D872" t="inlineStr">
        <is>
          <t>Primer Cachos</t>
        </is>
      </c>
      <c r="E872" t="n">
        <v>1</v>
      </c>
      <c r="F872" t="inlineStr">
        <is>
          <t>2025-12-03</t>
        </is>
      </c>
      <c r="G872" t="n">
        <v>213</v>
      </c>
      <c r="H872" t="inlineStr">
        <is>
          <t>Y</t>
        </is>
      </c>
      <c r="I872">
        <f>HYPERLINK("https://admin.shopify.com/store/ge-beauty-cosmeticos/customers/9485822427456","abrir")</f>
        <v/>
      </c>
      <c r="J872">
        <f>HYPERLINK("https://www.gebeauty.com.br/products/primer-cachos-definidos?ref=review","review")</f>
        <v/>
      </c>
      <c r="K872" t="inlineStr">
        <is>
          <t>SEND</t>
        </is>
      </c>
    </row>
    <row r="873">
      <c r="A873" t="inlineStr">
        <is>
          <t>Solange</t>
        </is>
      </c>
      <c r="B873" t="inlineStr">
        <is>
          <t>+5581982030772</t>
        </is>
      </c>
      <c r="C873" t="inlineStr">
        <is>
          <t>Refill</t>
        </is>
      </c>
      <c r="D873" t="inlineStr">
        <is>
          <t>Primer Cachos</t>
        </is>
      </c>
      <c r="E873" t="n">
        <v>1</v>
      </c>
      <c r="F873" t="inlineStr">
        <is>
          <t>2025-12-03</t>
        </is>
      </c>
      <c r="G873" t="n">
        <v>213</v>
      </c>
      <c r="H873" t="inlineStr">
        <is>
          <t>Y</t>
        </is>
      </c>
      <c r="I873">
        <f>HYPERLINK("https://admin.shopify.com/store/ge-beauty-cosmeticos/customers/9875845415232","abrir")</f>
        <v/>
      </c>
      <c r="J873">
        <f>HYPERLINK("https://www.gebeauty.com.br/products/primer-cachos-definidos?ref=review","review")</f>
        <v/>
      </c>
      <c r="K873" t="inlineStr">
        <is>
          <t>SEND</t>
        </is>
      </c>
    </row>
    <row r="874">
      <c r="A874" t="inlineStr">
        <is>
          <t>Renata</t>
        </is>
      </c>
      <c r="B874" t="inlineStr">
        <is>
          <t>+5511991083873</t>
        </is>
      </c>
      <c r="C874" t="inlineStr">
        <is>
          <t>Refill</t>
        </is>
      </c>
      <c r="D874" t="inlineStr">
        <is>
          <t>Primer Cachos</t>
        </is>
      </c>
      <c r="E874" t="n">
        <v>1</v>
      </c>
      <c r="F874" t="inlineStr">
        <is>
          <t>2025-12-03</t>
        </is>
      </c>
      <c r="G874" t="n">
        <v>213</v>
      </c>
      <c r="H874" t="inlineStr">
        <is>
          <t>Y</t>
        </is>
      </c>
      <c r="I874">
        <f>HYPERLINK("https://admin.shopify.com/store/ge-beauty-cosmeticos/customers/9475263758656","abrir")</f>
        <v/>
      </c>
      <c r="J874">
        <f>HYPERLINK("https://www.gebeauty.com.br/products/primer-cachos-definidos?ref=review","review")</f>
        <v/>
      </c>
      <c r="K874" t="inlineStr">
        <is>
          <t>SEND</t>
        </is>
      </c>
    </row>
    <row r="875">
      <c r="A875" t="inlineStr">
        <is>
          <t>Anna</t>
        </is>
      </c>
      <c r="B875" t="inlineStr">
        <is>
          <t>+5521995842099</t>
        </is>
      </c>
      <c r="C875" t="inlineStr">
        <is>
          <t>Refill</t>
        </is>
      </c>
      <c r="D875" t="inlineStr">
        <is>
          <t>Primer Cachos</t>
        </is>
      </c>
      <c r="E875" t="n">
        <v>1</v>
      </c>
      <c r="F875" t="inlineStr">
        <is>
          <t>2025-12-03</t>
        </is>
      </c>
      <c r="G875" t="n">
        <v>213</v>
      </c>
      <c r="H875" t="inlineStr">
        <is>
          <t>Y</t>
        </is>
      </c>
      <c r="I875">
        <f>HYPERLINK("https://admin.shopify.com/store/ge-beauty-cosmeticos/customers/9926285623616","abrir")</f>
        <v/>
      </c>
      <c r="J875">
        <f>HYPERLINK("https://www.gebeauty.com.br/products/primer-cachos-definidos?ref=review","review")</f>
        <v/>
      </c>
      <c r="K875" t="inlineStr">
        <is>
          <t>SEND</t>
        </is>
      </c>
    </row>
    <row r="876">
      <c r="A876" t="inlineStr">
        <is>
          <t>Barbara</t>
        </is>
      </c>
      <c r="B876" t="inlineStr">
        <is>
          <t>+5555996810450</t>
        </is>
      </c>
      <c r="C876" t="inlineStr">
        <is>
          <t>Refill</t>
        </is>
      </c>
      <c r="D876" t="inlineStr">
        <is>
          <t>Primer Cachos</t>
        </is>
      </c>
      <c r="E876" t="n">
        <v>1</v>
      </c>
      <c r="F876" t="inlineStr">
        <is>
          <t>2025-12-03</t>
        </is>
      </c>
      <c r="G876" t="n">
        <v>213</v>
      </c>
      <c r="H876" t="inlineStr">
        <is>
          <t>Y</t>
        </is>
      </c>
      <c r="I876">
        <f>HYPERLINK("https://admin.shopify.com/store/ge-beauty-cosmeticos/customers/9486580056384","abrir")</f>
        <v/>
      </c>
      <c r="J876">
        <f>HYPERLINK("https://www.gebeauty.com.br/products/primer-cachos-definidos?ref=review","review")</f>
        <v/>
      </c>
      <c r="K876" t="inlineStr">
        <is>
          <t>SEND</t>
        </is>
      </c>
    </row>
    <row r="877">
      <c r="A877" t="inlineStr">
        <is>
          <t>Dalel</t>
        </is>
      </c>
      <c r="B877" t="inlineStr">
        <is>
          <t>+5532471798002</t>
        </is>
      </c>
      <c r="C877" t="inlineStr">
        <is>
          <t>Refill</t>
        </is>
      </c>
      <c r="D877" t="inlineStr">
        <is>
          <t>Primer Cachos</t>
        </is>
      </c>
      <c r="E877" t="n">
        <v>1</v>
      </c>
      <c r="F877" t="inlineStr">
        <is>
          <t>2025-12-03</t>
        </is>
      </c>
      <c r="G877" t="n">
        <v>213</v>
      </c>
      <c r="H877" t="inlineStr">
        <is>
          <t>Y</t>
        </is>
      </c>
      <c r="I877">
        <f>HYPERLINK("https://admin.shopify.com/store/ge-beauty-cosmeticos/customers/9925585273152","abrir")</f>
        <v/>
      </c>
      <c r="J877">
        <f>HYPERLINK("https://www.gebeauty.com.br/products/primer-cachos-definidos?ref=review","review")</f>
        <v/>
      </c>
      <c r="K877" t="inlineStr">
        <is>
          <t>SEND</t>
        </is>
      </c>
    </row>
    <row r="878">
      <c r="A878" t="inlineStr">
        <is>
          <t>Izabela</t>
        </is>
      </c>
      <c r="B878" t="inlineStr">
        <is>
          <t>+5581991423264</t>
        </is>
      </c>
      <c r="C878" t="inlineStr">
        <is>
          <t>Refill</t>
        </is>
      </c>
      <c r="D878" t="inlineStr">
        <is>
          <t>Primer Cachos</t>
        </is>
      </c>
      <c r="E878" t="n">
        <v>1</v>
      </c>
      <c r="F878" t="inlineStr">
        <is>
          <t>2025-12-03</t>
        </is>
      </c>
      <c r="G878" t="n">
        <v>213</v>
      </c>
      <c r="H878" t="inlineStr">
        <is>
          <t>Y</t>
        </is>
      </c>
      <c r="I878">
        <f>HYPERLINK("https://admin.shopify.com/store/ge-beauty-cosmeticos/customers/9926460571968","abrir")</f>
        <v/>
      </c>
      <c r="J878">
        <f>HYPERLINK("https://www.gebeauty.com.br/products/primer-cachos-definidos?ref=review","review")</f>
        <v/>
      </c>
      <c r="K878" t="inlineStr">
        <is>
          <t>SEND</t>
        </is>
      </c>
    </row>
    <row r="879">
      <c r="A879" t="inlineStr">
        <is>
          <t>Deborah</t>
        </is>
      </c>
      <c r="B879" t="inlineStr">
        <is>
          <t>+5587996222553</t>
        </is>
      </c>
      <c r="C879" t="inlineStr">
        <is>
          <t>Refill</t>
        </is>
      </c>
      <c r="D879" t="inlineStr">
        <is>
          <t>Primer Cachos</t>
        </is>
      </c>
      <c r="E879" t="n">
        <v>1</v>
      </c>
      <c r="F879" t="inlineStr">
        <is>
          <t>2025-12-03</t>
        </is>
      </c>
      <c r="G879" t="n">
        <v>213</v>
      </c>
      <c r="H879" t="inlineStr">
        <is>
          <t>Y</t>
        </is>
      </c>
      <c r="I879">
        <f>HYPERLINK("https://admin.shopify.com/store/ge-beauty-cosmeticos/customers/9926395363648","abrir")</f>
        <v/>
      </c>
      <c r="J879">
        <f>HYPERLINK("https://www.gebeauty.com.br/products/primer-cachos-definidos?ref=review","review")</f>
        <v/>
      </c>
      <c r="K879" t="inlineStr">
        <is>
          <t>SEND</t>
        </is>
      </c>
    </row>
    <row r="880">
      <c r="A880" t="inlineStr">
        <is>
          <t>Juliana</t>
        </is>
      </c>
      <c r="B880" t="inlineStr">
        <is>
          <t>+5511974334225</t>
        </is>
      </c>
      <c r="C880" t="inlineStr">
        <is>
          <t>Refill</t>
        </is>
      </c>
      <c r="D880" t="inlineStr">
        <is>
          <t>Primer Cachos</t>
        </is>
      </c>
      <c r="E880" t="n">
        <v>1</v>
      </c>
      <c r="F880" t="inlineStr">
        <is>
          <t>2025-12-04</t>
        </is>
      </c>
      <c r="G880" t="n">
        <v>212</v>
      </c>
      <c r="H880" t="inlineStr">
        <is>
          <t>Y</t>
        </is>
      </c>
      <c r="I880">
        <f>HYPERLINK("https://admin.shopify.com/store/ge-beauty-cosmeticos/customers/9796416241984","abrir")</f>
        <v/>
      </c>
      <c r="J880">
        <f>HYPERLINK("https://www.gebeauty.com.br/products/primer-cachos-definidos?ref=review","review")</f>
        <v/>
      </c>
      <c r="K880" t="inlineStr">
        <is>
          <t>SEND</t>
        </is>
      </c>
    </row>
    <row r="881">
      <c r="A881" t="inlineStr">
        <is>
          <t>Rosane</t>
        </is>
      </c>
      <c r="B881" t="inlineStr">
        <is>
          <t>+5511999855276</t>
        </is>
      </c>
      <c r="C881" t="inlineStr">
        <is>
          <t>Refill</t>
        </is>
      </c>
      <c r="D881" t="inlineStr">
        <is>
          <t>Primer Cachos</t>
        </is>
      </c>
      <c r="E881" t="n">
        <v>1</v>
      </c>
      <c r="F881" t="inlineStr">
        <is>
          <t>2025-12-04</t>
        </is>
      </c>
      <c r="G881" t="n">
        <v>212</v>
      </c>
      <c r="H881" t="inlineStr">
        <is>
          <t>Y</t>
        </is>
      </c>
      <c r="I881">
        <f>HYPERLINK("https://admin.shopify.com/store/ge-beauty-cosmeticos/customers/9925159190848","abrir")</f>
        <v/>
      </c>
      <c r="J881">
        <f>HYPERLINK("https://www.gebeauty.com.br/products/primer-cachos-definidos?ref=review","review")</f>
        <v/>
      </c>
      <c r="K881" t="inlineStr">
        <is>
          <t>SEND</t>
        </is>
      </c>
    </row>
    <row r="882">
      <c r="A882" t="inlineStr">
        <is>
          <t>Julia</t>
        </is>
      </c>
      <c r="B882" t="inlineStr">
        <is>
          <t>+5521986136715</t>
        </is>
      </c>
      <c r="C882" t="inlineStr">
        <is>
          <t>Refill</t>
        </is>
      </c>
      <c r="D882" t="inlineStr">
        <is>
          <t>Primer Cachos</t>
        </is>
      </c>
      <c r="E882" t="n">
        <v>1</v>
      </c>
      <c r="F882" t="inlineStr">
        <is>
          <t>2025-12-04</t>
        </is>
      </c>
      <c r="G882" t="n">
        <v>212</v>
      </c>
      <c r="H882" t="inlineStr">
        <is>
          <t>Y</t>
        </is>
      </c>
      <c r="I882">
        <f>HYPERLINK("https://admin.shopify.com/store/ge-beauty-cosmeticos/customers/9922577006912","abrir")</f>
        <v/>
      </c>
      <c r="J882">
        <f>HYPERLINK("https://www.gebeauty.com.br/products/primer-cachos-definidos?ref=review","review")</f>
        <v/>
      </c>
      <c r="K882" t="inlineStr">
        <is>
          <t>SEND</t>
        </is>
      </c>
    </row>
    <row r="883">
      <c r="A883" t="inlineStr">
        <is>
          <t>Thiciane</t>
        </is>
      </c>
      <c r="B883" t="inlineStr">
        <is>
          <t>+5583999868095</t>
        </is>
      </c>
      <c r="C883" t="inlineStr">
        <is>
          <t>Refill</t>
        </is>
      </c>
      <c r="D883" t="inlineStr">
        <is>
          <t>Primer Cachos</t>
        </is>
      </c>
      <c r="E883" t="n">
        <v>1</v>
      </c>
      <c r="F883" t="inlineStr">
        <is>
          <t>2025-12-04</t>
        </is>
      </c>
      <c r="G883" t="n">
        <v>212</v>
      </c>
      <c r="H883" t="inlineStr">
        <is>
          <t>Y</t>
        </is>
      </c>
      <c r="I883">
        <f>HYPERLINK("https://admin.shopify.com/store/ge-beauty-cosmeticos/customers/9928924856640","abrir")</f>
        <v/>
      </c>
      <c r="J883">
        <f>HYPERLINK("https://www.gebeauty.com.br/products/primer-cachos-definidos?ref=review","review")</f>
        <v/>
      </c>
      <c r="K883" t="inlineStr">
        <is>
          <t>SEND</t>
        </is>
      </c>
    </row>
    <row r="884">
      <c r="A884" t="inlineStr">
        <is>
          <t>Juliana</t>
        </is>
      </c>
      <c r="B884" t="inlineStr">
        <is>
          <t>+5581984622400</t>
        </is>
      </c>
      <c r="C884" t="inlineStr">
        <is>
          <t>Refill</t>
        </is>
      </c>
      <c r="D884" t="inlineStr">
        <is>
          <t>Primer Cachos</t>
        </is>
      </c>
      <c r="E884" t="n">
        <v>1</v>
      </c>
      <c r="F884" t="inlineStr">
        <is>
          <t>2025-12-04</t>
        </is>
      </c>
      <c r="G884" t="n">
        <v>212</v>
      </c>
      <c r="H884" t="inlineStr">
        <is>
          <t>Y</t>
        </is>
      </c>
      <c r="I884">
        <f>HYPERLINK("https://admin.shopify.com/store/ge-beauty-cosmeticos/customers/9835332927808","abrir")</f>
        <v/>
      </c>
      <c r="J884">
        <f>HYPERLINK("https://www.gebeauty.com.br/products/primer-cachos-definidos?ref=review","review")</f>
        <v/>
      </c>
      <c r="K884" t="inlineStr">
        <is>
          <t>HOLDOUT</t>
        </is>
      </c>
    </row>
    <row r="885">
      <c r="A885" t="inlineStr">
        <is>
          <t>Janice</t>
        </is>
      </c>
      <c r="B885" t="inlineStr">
        <is>
          <t>+5561981653829</t>
        </is>
      </c>
      <c r="C885" t="inlineStr">
        <is>
          <t>Refill</t>
        </is>
      </c>
      <c r="D885" t="inlineStr">
        <is>
          <t>Primer Cachos</t>
        </is>
      </c>
      <c r="E885" t="n">
        <v>1</v>
      </c>
      <c r="F885" t="inlineStr">
        <is>
          <t>2025-12-04</t>
        </is>
      </c>
      <c r="G885" t="n">
        <v>212</v>
      </c>
      <c r="H885" t="inlineStr">
        <is>
          <t>Y</t>
        </is>
      </c>
      <c r="I885">
        <f>HYPERLINK("https://admin.shopify.com/store/ge-beauty-cosmeticos/customers/9929217343808","abrir")</f>
        <v/>
      </c>
      <c r="J885">
        <f>HYPERLINK("https://www.gebeauty.com.br/products/primer-cachos-definidos?ref=review","review")</f>
        <v/>
      </c>
      <c r="K885" t="inlineStr">
        <is>
          <t>SEND</t>
        </is>
      </c>
    </row>
    <row r="886">
      <c r="A886" t="inlineStr">
        <is>
          <t>Vanessa</t>
        </is>
      </c>
      <c r="B886" t="inlineStr">
        <is>
          <t>+5542998070556</t>
        </is>
      </c>
      <c r="C886" t="inlineStr">
        <is>
          <t>Refill</t>
        </is>
      </c>
      <c r="D886" t="inlineStr">
        <is>
          <t>Primer Cachos</t>
        </is>
      </c>
      <c r="E886" t="n">
        <v>1</v>
      </c>
      <c r="F886" t="inlineStr">
        <is>
          <t>2025-12-04</t>
        </is>
      </c>
      <c r="G886" t="n">
        <v>212</v>
      </c>
      <c r="H886" t="inlineStr">
        <is>
          <t>Y</t>
        </is>
      </c>
      <c r="I886">
        <f>HYPERLINK("https://admin.shopify.com/store/ge-beauty-cosmeticos/customers/9895707902272","abrir")</f>
        <v/>
      </c>
      <c r="J886">
        <f>HYPERLINK("https://www.gebeauty.com.br/products/primer-cachos-definidos?ref=review","review")</f>
        <v/>
      </c>
      <c r="K886" t="inlineStr">
        <is>
          <t>SEND</t>
        </is>
      </c>
    </row>
    <row r="887">
      <c r="A887" t="inlineStr">
        <is>
          <t>Estelita</t>
        </is>
      </c>
      <c r="B887" t="inlineStr">
        <is>
          <t>+5511955522400</t>
        </is>
      </c>
      <c r="C887" t="inlineStr">
        <is>
          <t>Refill</t>
        </is>
      </c>
      <c r="D887" t="inlineStr">
        <is>
          <t>Primer Cachos</t>
        </is>
      </c>
      <c r="E887" t="n">
        <v>1</v>
      </c>
      <c r="F887" t="inlineStr">
        <is>
          <t>2025-12-04</t>
        </is>
      </c>
      <c r="G887" t="n">
        <v>212</v>
      </c>
      <c r="H887" t="inlineStr">
        <is>
          <t>Y</t>
        </is>
      </c>
      <c r="I887">
        <f>HYPERLINK("https://admin.shopify.com/store/ge-beauty-cosmeticos/customers/9929654174016","abrir")</f>
        <v/>
      </c>
      <c r="J887">
        <f>HYPERLINK("https://www.gebeauty.com.br/products/primer-cachos-definidos?ref=review","review")</f>
        <v/>
      </c>
      <c r="K887" t="inlineStr">
        <is>
          <t>SEND</t>
        </is>
      </c>
    </row>
    <row r="888">
      <c r="A888" t="inlineStr">
        <is>
          <t>Fernanda</t>
        </is>
      </c>
      <c r="B888" t="inlineStr">
        <is>
          <t>+5571984886886</t>
        </is>
      </c>
      <c r="C888" t="inlineStr">
        <is>
          <t>Refill</t>
        </is>
      </c>
      <c r="D888" t="inlineStr">
        <is>
          <t>Primer Cachos</t>
        </is>
      </c>
      <c r="E888" t="n">
        <v>1</v>
      </c>
      <c r="F888" t="inlineStr">
        <is>
          <t>2025-12-05</t>
        </is>
      </c>
      <c r="G888" t="n">
        <v>211</v>
      </c>
      <c r="H888" t="inlineStr">
        <is>
          <t>Y</t>
        </is>
      </c>
      <c r="I888">
        <f>HYPERLINK("https://admin.shopify.com/store/ge-beauty-cosmeticos/customers/9929985851712","abrir")</f>
        <v/>
      </c>
      <c r="J888">
        <f>HYPERLINK("https://www.gebeauty.com.br/products/primer-cachos-definidos?ref=review","review")</f>
        <v/>
      </c>
      <c r="K888" t="inlineStr">
        <is>
          <t>HOLDOUT</t>
        </is>
      </c>
    </row>
    <row r="889">
      <c r="A889" t="inlineStr">
        <is>
          <t>Bethina</t>
        </is>
      </c>
      <c r="B889" t="inlineStr">
        <is>
          <t>+5554991026338</t>
        </is>
      </c>
      <c r="C889" t="inlineStr">
        <is>
          <t>Refill</t>
        </is>
      </c>
      <c r="D889" t="inlineStr">
        <is>
          <t>Primer Cachos</t>
        </is>
      </c>
      <c r="E889" t="n">
        <v>1</v>
      </c>
      <c r="F889" t="inlineStr">
        <is>
          <t>2025-12-05</t>
        </is>
      </c>
      <c r="G889" t="n">
        <v>211</v>
      </c>
      <c r="H889" t="inlineStr">
        <is>
          <t>Y</t>
        </is>
      </c>
      <c r="I889">
        <f>HYPERLINK("https://admin.shopify.com/store/ge-beauty-cosmeticos/customers/9930247602496","abrir")</f>
        <v/>
      </c>
      <c r="J889">
        <f>HYPERLINK("https://www.gebeauty.com.br/products/primer-cachos-definidos?ref=review","review")</f>
        <v/>
      </c>
      <c r="K889" t="inlineStr">
        <is>
          <t>SEND</t>
        </is>
      </c>
    </row>
    <row r="890">
      <c r="A890" t="inlineStr">
        <is>
          <t>Anna</t>
        </is>
      </c>
      <c r="B890" t="inlineStr">
        <is>
          <t>+5516993516732</t>
        </is>
      </c>
      <c r="C890" t="inlineStr">
        <is>
          <t>Refill</t>
        </is>
      </c>
      <c r="D890" t="inlineStr">
        <is>
          <t>Primer Cachos</t>
        </is>
      </c>
      <c r="E890" t="n">
        <v>1</v>
      </c>
      <c r="F890" t="inlineStr">
        <is>
          <t>2025-12-05</t>
        </is>
      </c>
      <c r="G890" t="n">
        <v>211</v>
      </c>
      <c r="H890" t="inlineStr">
        <is>
          <t>Y</t>
        </is>
      </c>
      <c r="I890">
        <f>HYPERLINK("https://admin.shopify.com/store/ge-beauty-cosmeticos/customers/9486400717120","abrir")</f>
        <v/>
      </c>
      <c r="J890">
        <f>HYPERLINK("https://www.gebeauty.com.br/products/primer-cachos-definidos?ref=review","review")</f>
        <v/>
      </c>
      <c r="K890" t="inlineStr">
        <is>
          <t>SEND</t>
        </is>
      </c>
    </row>
    <row r="891">
      <c r="A891" t="inlineStr">
        <is>
          <t>Kassia</t>
        </is>
      </c>
      <c r="B891" t="inlineStr">
        <is>
          <t>+5585997222164</t>
        </is>
      </c>
      <c r="C891" t="inlineStr">
        <is>
          <t>Refill</t>
        </is>
      </c>
      <c r="D891" t="inlineStr">
        <is>
          <t>Primer Cachos</t>
        </is>
      </c>
      <c r="E891" t="n">
        <v>1</v>
      </c>
      <c r="F891" t="inlineStr">
        <is>
          <t>2025-12-05</t>
        </is>
      </c>
      <c r="G891" t="n">
        <v>211</v>
      </c>
      <c r="H891" t="inlineStr">
        <is>
          <t>Y</t>
        </is>
      </c>
      <c r="I891">
        <f>HYPERLINK("https://admin.shopify.com/store/ge-beauty-cosmeticos/customers/9931556553024","abrir")</f>
        <v/>
      </c>
      <c r="J891">
        <f>HYPERLINK("https://www.gebeauty.com.br/products/primer-cachos-definidos?ref=review","review")</f>
        <v/>
      </c>
      <c r="K891" t="inlineStr">
        <is>
          <t>SEND</t>
        </is>
      </c>
    </row>
    <row r="892">
      <c r="A892" t="inlineStr">
        <is>
          <t>Maria Eduarda</t>
        </is>
      </c>
      <c r="B892" t="inlineStr">
        <is>
          <t>+5527996574130</t>
        </is>
      </c>
      <c r="C892" t="inlineStr">
        <is>
          <t>Refill</t>
        </is>
      </c>
      <c r="D892" t="inlineStr">
        <is>
          <t>Primer Cachos</t>
        </is>
      </c>
      <c r="E892" t="n">
        <v>1</v>
      </c>
      <c r="F892" t="inlineStr">
        <is>
          <t>2025-12-05</t>
        </is>
      </c>
      <c r="G892" t="n">
        <v>211</v>
      </c>
      <c r="H892" t="inlineStr">
        <is>
          <t>Y</t>
        </is>
      </c>
      <c r="I892">
        <f>HYPERLINK("https://admin.shopify.com/store/ge-beauty-cosmeticos/customers/9650115346752","abrir")</f>
        <v/>
      </c>
      <c r="J892">
        <f>HYPERLINK("https://www.gebeauty.com.br/products/primer-cachos-definidos?ref=review","review")</f>
        <v/>
      </c>
      <c r="K892" t="inlineStr">
        <is>
          <t>SEND</t>
        </is>
      </c>
    </row>
    <row r="893">
      <c r="A893" t="inlineStr">
        <is>
          <t>Catarina</t>
        </is>
      </c>
      <c r="B893" t="inlineStr">
        <is>
          <t>+5581999808070</t>
        </is>
      </c>
      <c r="C893" t="inlineStr">
        <is>
          <t>Refill</t>
        </is>
      </c>
      <c r="D893" t="inlineStr">
        <is>
          <t>Primer Cachos</t>
        </is>
      </c>
      <c r="E893" t="n">
        <v>1</v>
      </c>
      <c r="F893" t="inlineStr">
        <is>
          <t>2025-12-05</t>
        </is>
      </c>
      <c r="G893" t="n">
        <v>211</v>
      </c>
      <c r="H893" t="inlineStr">
        <is>
          <t>Y</t>
        </is>
      </c>
      <c r="I893">
        <f>HYPERLINK("https://admin.shopify.com/store/ge-beauty-cosmeticos/customers/9932661522752","abrir")</f>
        <v/>
      </c>
      <c r="J893">
        <f>HYPERLINK("https://www.gebeauty.com.br/products/primer-cachos-definidos?ref=review","review")</f>
        <v/>
      </c>
      <c r="K893" t="inlineStr">
        <is>
          <t>SEND</t>
        </is>
      </c>
    </row>
    <row r="894">
      <c r="A894" t="inlineStr">
        <is>
          <t>Ana Cristina</t>
        </is>
      </c>
      <c r="B894" t="inlineStr">
        <is>
          <t>+5538991560446</t>
        </is>
      </c>
      <c r="C894" t="inlineStr">
        <is>
          <t>Refill</t>
        </is>
      </c>
      <c r="D894" t="inlineStr">
        <is>
          <t>Primer Cachos</t>
        </is>
      </c>
      <c r="E894" t="n">
        <v>1</v>
      </c>
      <c r="F894" t="inlineStr">
        <is>
          <t>2025-12-05</t>
        </is>
      </c>
      <c r="G894" t="n">
        <v>211</v>
      </c>
      <c r="H894" t="inlineStr">
        <is>
          <t>Y</t>
        </is>
      </c>
      <c r="I894">
        <f>HYPERLINK("https://admin.shopify.com/store/ge-beauty-cosmeticos/customers/9932726600000","abrir")</f>
        <v/>
      </c>
      <c r="J894">
        <f>HYPERLINK("https://www.gebeauty.com.br/products/primer-cachos-definidos?ref=review","review")</f>
        <v/>
      </c>
      <c r="K894" t="inlineStr">
        <is>
          <t>SEND</t>
        </is>
      </c>
    </row>
    <row r="895">
      <c r="A895" t="inlineStr">
        <is>
          <t>Adrianne</t>
        </is>
      </c>
      <c r="B895" t="inlineStr">
        <is>
          <t>+5583996585135</t>
        </is>
      </c>
      <c r="C895" t="inlineStr">
        <is>
          <t>Refill</t>
        </is>
      </c>
      <c r="D895" t="inlineStr">
        <is>
          <t>Primer Cachos</t>
        </is>
      </c>
      <c r="E895" t="n">
        <v>1</v>
      </c>
      <c r="F895" t="inlineStr">
        <is>
          <t>2025-12-05</t>
        </is>
      </c>
      <c r="G895" t="n">
        <v>211</v>
      </c>
      <c r="H895" t="inlineStr">
        <is>
          <t>Y</t>
        </is>
      </c>
      <c r="I895">
        <f>HYPERLINK("https://admin.shopify.com/store/ge-beauty-cosmeticos/customers/7762373968192","abrir")</f>
        <v/>
      </c>
      <c r="J895">
        <f>HYPERLINK("https://www.gebeauty.com.br/products/primer-cachos-definidos?ref=review","review")</f>
        <v/>
      </c>
      <c r="K895" t="inlineStr">
        <is>
          <t>SEND</t>
        </is>
      </c>
    </row>
    <row r="896">
      <c r="A896" t="inlineStr">
        <is>
          <t>Tamara</t>
        </is>
      </c>
      <c r="B896" t="inlineStr">
        <is>
          <t>+5511993420410</t>
        </is>
      </c>
      <c r="C896" t="inlineStr">
        <is>
          <t>Refill</t>
        </is>
      </c>
      <c r="D896" t="inlineStr">
        <is>
          <t>Primer Cachos</t>
        </is>
      </c>
      <c r="E896" t="n">
        <v>1</v>
      </c>
      <c r="F896" t="inlineStr">
        <is>
          <t>2025-12-05</t>
        </is>
      </c>
      <c r="G896" t="n">
        <v>211</v>
      </c>
      <c r="H896" t="inlineStr">
        <is>
          <t>Y</t>
        </is>
      </c>
      <c r="I896">
        <f>HYPERLINK("https://admin.shopify.com/store/ge-beauty-cosmeticos/customers/9933465485632","abrir")</f>
        <v/>
      </c>
      <c r="J896">
        <f>HYPERLINK("https://www.gebeauty.com.br/products/primer-cachos-definidos?ref=review","review")</f>
        <v/>
      </c>
      <c r="K896" t="inlineStr">
        <is>
          <t>SEND</t>
        </is>
      </c>
    </row>
    <row r="897">
      <c r="A897" t="inlineStr">
        <is>
          <t>Carolina</t>
        </is>
      </c>
      <c r="B897" t="inlineStr">
        <is>
          <t>+5541988162249</t>
        </is>
      </c>
      <c r="C897" t="inlineStr">
        <is>
          <t>Refill</t>
        </is>
      </c>
      <c r="D897" t="inlineStr">
        <is>
          <t>Primer Cachos</t>
        </is>
      </c>
      <c r="E897" t="n">
        <v>1</v>
      </c>
      <c r="F897" t="inlineStr">
        <is>
          <t>2025-12-06</t>
        </is>
      </c>
      <c r="G897" t="n">
        <v>210</v>
      </c>
      <c r="H897" t="inlineStr">
        <is>
          <t>Y</t>
        </is>
      </c>
      <c r="I897">
        <f>HYPERLINK("https://admin.shopify.com/store/ge-beauty-cosmeticos/customers/8616748843328","abrir")</f>
        <v/>
      </c>
      <c r="J897">
        <f>HYPERLINK("https://www.gebeauty.com.br/products/primer-cachos-definidos?ref=review","review")</f>
        <v/>
      </c>
      <c r="K897" t="inlineStr">
        <is>
          <t>SEND</t>
        </is>
      </c>
    </row>
    <row r="898">
      <c r="A898" t="inlineStr">
        <is>
          <t>Larissa</t>
        </is>
      </c>
      <c r="B898" t="inlineStr">
        <is>
          <t>+5531991392251</t>
        </is>
      </c>
      <c r="C898" t="inlineStr">
        <is>
          <t>Refill</t>
        </is>
      </c>
      <c r="D898" t="inlineStr">
        <is>
          <t>Primer Cachos</t>
        </is>
      </c>
      <c r="E898" t="n">
        <v>1</v>
      </c>
      <c r="F898" t="inlineStr">
        <is>
          <t>2025-12-06</t>
        </is>
      </c>
      <c r="G898" t="n">
        <v>210</v>
      </c>
      <c r="H898" t="inlineStr">
        <is>
          <t>Y</t>
        </is>
      </c>
      <c r="I898">
        <f>HYPERLINK("https://admin.shopify.com/store/ge-beauty-cosmeticos/customers/9933928694080","abrir")</f>
        <v/>
      </c>
      <c r="J898">
        <f>HYPERLINK("https://www.gebeauty.com.br/products/primer-cachos-definidos?ref=review","review")</f>
        <v/>
      </c>
      <c r="K898" t="inlineStr">
        <is>
          <t>SEND</t>
        </is>
      </c>
    </row>
    <row r="899">
      <c r="A899" t="inlineStr">
        <is>
          <t>Patricia</t>
        </is>
      </c>
      <c r="B899" t="inlineStr">
        <is>
          <t>+5541999368367</t>
        </is>
      </c>
      <c r="C899" t="inlineStr">
        <is>
          <t>Refill</t>
        </is>
      </c>
      <c r="D899" t="inlineStr">
        <is>
          <t>Primer Cachos</t>
        </is>
      </c>
      <c r="E899" t="n">
        <v>1</v>
      </c>
      <c r="F899" t="inlineStr">
        <is>
          <t>2025-12-06</t>
        </is>
      </c>
      <c r="G899" t="n">
        <v>210</v>
      </c>
      <c r="H899" t="inlineStr">
        <is>
          <t>Y</t>
        </is>
      </c>
      <c r="I899">
        <f>HYPERLINK("https://admin.shopify.com/store/ge-beauty-cosmeticos/customers/9925158699328","abrir")</f>
        <v/>
      </c>
      <c r="J899">
        <f>HYPERLINK("https://www.gebeauty.com.br/products/primer-cachos-definidos?ref=review","review")</f>
        <v/>
      </c>
      <c r="K899" t="inlineStr">
        <is>
          <t>HOLDOUT</t>
        </is>
      </c>
    </row>
    <row r="900">
      <c r="A900" t="inlineStr">
        <is>
          <t>Renato</t>
        </is>
      </c>
      <c r="B900" t="inlineStr">
        <is>
          <t>+5511963831980</t>
        </is>
      </c>
      <c r="C900" t="inlineStr">
        <is>
          <t>Refill</t>
        </is>
      </c>
      <c r="D900" t="inlineStr">
        <is>
          <t>Primer Cachos</t>
        </is>
      </c>
      <c r="E900" t="n">
        <v>1</v>
      </c>
      <c r="F900" t="inlineStr">
        <is>
          <t>2025-12-06</t>
        </is>
      </c>
      <c r="G900" t="n">
        <v>210</v>
      </c>
      <c r="H900" t="inlineStr">
        <is>
          <t>Y</t>
        </is>
      </c>
      <c r="I900">
        <f>HYPERLINK("https://admin.shopify.com/store/ge-beauty-cosmeticos/customers/8253759127872","abrir")</f>
        <v/>
      </c>
      <c r="J900">
        <f>HYPERLINK("https://www.gebeauty.com.br/products/primer-cachos-definidos?ref=review","review")</f>
        <v/>
      </c>
      <c r="K900" t="inlineStr">
        <is>
          <t>SEND</t>
        </is>
      </c>
    </row>
    <row r="901">
      <c r="A901" t="inlineStr">
        <is>
          <t>Rayanne</t>
        </is>
      </c>
      <c r="B901" t="inlineStr">
        <is>
          <t>+5581985455243</t>
        </is>
      </c>
      <c r="C901" t="inlineStr">
        <is>
          <t>Refill</t>
        </is>
      </c>
      <c r="D901" t="inlineStr">
        <is>
          <t>Primer Cachos</t>
        </is>
      </c>
      <c r="E901" t="n">
        <v>1</v>
      </c>
      <c r="F901" t="inlineStr">
        <is>
          <t>2025-12-07</t>
        </is>
      </c>
      <c r="G901" t="n">
        <v>209</v>
      </c>
      <c r="H901" t="inlineStr">
        <is>
          <t>Y</t>
        </is>
      </c>
      <c r="I901">
        <f>HYPERLINK("https://admin.shopify.com/store/ge-beauty-cosmeticos/customers/9937584783680","abrir")</f>
        <v/>
      </c>
      <c r="J901">
        <f>HYPERLINK("https://www.gebeauty.com.br/products/primer-cachos-definidos?ref=review","review")</f>
        <v/>
      </c>
      <c r="K901" t="inlineStr">
        <is>
          <t>HOLDOUT</t>
        </is>
      </c>
    </row>
    <row r="902">
      <c r="A902" t="inlineStr">
        <is>
          <t>Marcia</t>
        </is>
      </c>
      <c r="B902" t="inlineStr">
        <is>
          <t>+5581998132647</t>
        </is>
      </c>
      <c r="C902" t="inlineStr">
        <is>
          <t>Refill</t>
        </is>
      </c>
      <c r="D902" t="inlineStr">
        <is>
          <t>Primer Cachos</t>
        </is>
      </c>
      <c r="E902" t="n">
        <v>1</v>
      </c>
      <c r="F902" t="inlineStr">
        <is>
          <t>2025-12-07</t>
        </is>
      </c>
      <c r="G902" t="n">
        <v>209</v>
      </c>
      <c r="H902" t="inlineStr">
        <is>
          <t>Y</t>
        </is>
      </c>
      <c r="I902">
        <f>HYPERLINK("https://admin.shopify.com/store/ge-beauty-cosmeticos/customers/9933464371520","abrir")</f>
        <v/>
      </c>
      <c r="J902">
        <f>HYPERLINK("https://www.gebeauty.com.br/products/primer-cachos-definidos?ref=review","review")</f>
        <v/>
      </c>
      <c r="K902" t="inlineStr">
        <is>
          <t>HOLDOUT</t>
        </is>
      </c>
    </row>
    <row r="903">
      <c r="A903" t="inlineStr">
        <is>
          <t>Nathallia</t>
        </is>
      </c>
      <c r="B903" t="inlineStr">
        <is>
          <t>+5562984054698</t>
        </is>
      </c>
      <c r="C903" t="inlineStr">
        <is>
          <t>Refill</t>
        </is>
      </c>
      <c r="D903" t="inlineStr">
        <is>
          <t>Primer Cachos</t>
        </is>
      </c>
      <c r="E903" t="n">
        <v>1</v>
      </c>
      <c r="F903" t="inlineStr">
        <is>
          <t>2025-12-07</t>
        </is>
      </c>
      <c r="G903" t="n">
        <v>209</v>
      </c>
      <c r="H903" t="inlineStr">
        <is>
          <t>Y</t>
        </is>
      </c>
      <c r="I903">
        <f>HYPERLINK("https://admin.shopify.com/store/ge-beauty-cosmeticos/customers/9940233060672","abrir")</f>
        <v/>
      </c>
      <c r="J903">
        <f>HYPERLINK("https://www.gebeauty.com.br/products/primer-cachos-definidos?ref=review","review")</f>
        <v/>
      </c>
      <c r="K903" t="inlineStr">
        <is>
          <t>SEND</t>
        </is>
      </c>
    </row>
    <row r="904">
      <c r="A904" t="inlineStr">
        <is>
          <t>Luiza</t>
        </is>
      </c>
      <c r="B904" t="inlineStr">
        <is>
          <t>+5581988239697</t>
        </is>
      </c>
      <c r="C904" t="inlineStr">
        <is>
          <t>Refill</t>
        </is>
      </c>
      <c r="D904" t="inlineStr">
        <is>
          <t>Primer Cachos</t>
        </is>
      </c>
      <c r="E904" t="n">
        <v>1</v>
      </c>
      <c r="F904" t="inlineStr">
        <is>
          <t>2025-12-07</t>
        </is>
      </c>
      <c r="G904" t="n">
        <v>209</v>
      </c>
      <c r="H904" t="inlineStr">
        <is>
          <t>Y</t>
        </is>
      </c>
      <c r="I904">
        <f>HYPERLINK("https://admin.shopify.com/store/ge-beauty-cosmeticos/customers/9940268941632","abrir")</f>
        <v/>
      </c>
      <c r="J904">
        <f>HYPERLINK("https://www.gebeauty.com.br/products/primer-cachos-definidos?ref=review","review")</f>
        <v/>
      </c>
      <c r="K904" t="inlineStr">
        <is>
          <t>SEND</t>
        </is>
      </c>
    </row>
    <row r="905">
      <c r="A905" t="inlineStr">
        <is>
          <t>Luciana</t>
        </is>
      </c>
      <c r="B905" t="inlineStr">
        <is>
          <t>+5519997985882</t>
        </is>
      </c>
      <c r="C905" t="inlineStr">
        <is>
          <t>Refill</t>
        </is>
      </c>
      <c r="D905" t="inlineStr">
        <is>
          <t>Primer Cachos</t>
        </is>
      </c>
      <c r="E905" t="n">
        <v>1</v>
      </c>
      <c r="F905" t="inlineStr">
        <is>
          <t>2025-12-07</t>
        </is>
      </c>
      <c r="G905" t="n">
        <v>209</v>
      </c>
      <c r="H905" t="inlineStr">
        <is>
          <t>Y</t>
        </is>
      </c>
      <c r="I905">
        <f>HYPERLINK("https://admin.shopify.com/store/ge-beauty-cosmeticos/customers/9894151749952","abrir")</f>
        <v/>
      </c>
      <c r="J905">
        <f>HYPERLINK("https://www.gebeauty.com.br/products/primer-cachos-definidos?ref=review","review")</f>
        <v/>
      </c>
      <c r="K905" t="inlineStr">
        <is>
          <t>SEND</t>
        </is>
      </c>
    </row>
    <row r="906">
      <c r="A906" t="inlineStr">
        <is>
          <t>Karina</t>
        </is>
      </c>
      <c r="B906" t="inlineStr">
        <is>
          <t>+5581992730509</t>
        </is>
      </c>
      <c r="C906" t="inlineStr">
        <is>
          <t>Refill</t>
        </is>
      </c>
      <c r="D906" t="inlineStr">
        <is>
          <t>Primer Cachos</t>
        </is>
      </c>
      <c r="E906" t="n">
        <v>1</v>
      </c>
      <c r="F906" t="inlineStr">
        <is>
          <t>2025-12-07</t>
        </is>
      </c>
      <c r="G906" t="n">
        <v>209</v>
      </c>
      <c r="H906" t="inlineStr">
        <is>
          <t>Y</t>
        </is>
      </c>
      <c r="I906">
        <f>HYPERLINK("https://admin.shopify.com/store/ge-beauty-cosmeticos/customers/9825985659200","abrir")</f>
        <v/>
      </c>
      <c r="J906">
        <f>HYPERLINK("https://www.gebeauty.com.br/products/primer-cachos-definidos?ref=review","review")</f>
        <v/>
      </c>
      <c r="K906" t="inlineStr">
        <is>
          <t>SEND</t>
        </is>
      </c>
    </row>
    <row r="907">
      <c r="A907" t="inlineStr">
        <is>
          <t>Priscila</t>
        </is>
      </c>
      <c r="B907" t="inlineStr">
        <is>
          <t>+5511987484228</t>
        </is>
      </c>
      <c r="C907" t="inlineStr">
        <is>
          <t>Refill</t>
        </is>
      </c>
      <c r="D907" t="inlineStr">
        <is>
          <t>Primer Cachos</t>
        </is>
      </c>
      <c r="E907" t="n">
        <v>1</v>
      </c>
      <c r="F907" t="inlineStr">
        <is>
          <t>2025-12-08</t>
        </is>
      </c>
      <c r="G907" t="n">
        <v>208</v>
      </c>
      <c r="H907" t="inlineStr">
        <is>
          <t>Y</t>
        </is>
      </c>
      <c r="I907">
        <f>HYPERLINK("https://admin.shopify.com/store/ge-beauty-cosmeticos/customers/7762053005632","abrir")</f>
        <v/>
      </c>
      <c r="J907">
        <f>HYPERLINK("https://www.gebeauty.com.br/products/primer-cachos-definidos?ref=review","review")</f>
        <v/>
      </c>
      <c r="K907" t="inlineStr">
        <is>
          <t>HOLDOUT</t>
        </is>
      </c>
    </row>
    <row r="908">
      <c r="A908" t="inlineStr">
        <is>
          <t>Maria</t>
        </is>
      </c>
      <c r="B908" t="inlineStr">
        <is>
          <t>+5541991526163</t>
        </is>
      </c>
      <c r="C908" t="inlineStr">
        <is>
          <t>Refill</t>
        </is>
      </c>
      <c r="D908" t="inlineStr">
        <is>
          <t>Primer Cachos</t>
        </is>
      </c>
      <c r="E908" t="n">
        <v>1</v>
      </c>
      <c r="F908" t="inlineStr">
        <is>
          <t>2025-12-08</t>
        </is>
      </c>
      <c r="G908" t="n">
        <v>208</v>
      </c>
      <c r="H908" t="inlineStr">
        <is>
          <t>Y</t>
        </is>
      </c>
      <c r="I908">
        <f>HYPERLINK("https://admin.shopify.com/store/ge-beauty-cosmeticos/customers/9942258876736","abrir")</f>
        <v/>
      </c>
      <c r="J908">
        <f>HYPERLINK("https://www.gebeauty.com.br/products/primer-cachos-definidos?ref=review","review")</f>
        <v/>
      </c>
      <c r="K908" t="inlineStr">
        <is>
          <t>SEND</t>
        </is>
      </c>
    </row>
    <row r="909">
      <c r="A909" t="inlineStr">
        <is>
          <t>Patricia</t>
        </is>
      </c>
      <c r="B909" t="inlineStr">
        <is>
          <t>+5574988259570</t>
        </is>
      </c>
      <c r="C909" t="inlineStr">
        <is>
          <t>Refill</t>
        </is>
      </c>
      <c r="D909" t="inlineStr">
        <is>
          <t>Primer Cachos</t>
        </is>
      </c>
      <c r="E909" t="n">
        <v>1</v>
      </c>
      <c r="F909" t="inlineStr">
        <is>
          <t>2025-12-08</t>
        </is>
      </c>
      <c r="G909" t="n">
        <v>208</v>
      </c>
      <c r="H909" t="inlineStr">
        <is>
          <t>Y</t>
        </is>
      </c>
      <c r="I909">
        <f>HYPERLINK("https://admin.shopify.com/store/ge-beauty-cosmeticos/customers/9942468133184","abrir")</f>
        <v/>
      </c>
      <c r="J909">
        <f>HYPERLINK("https://www.gebeauty.com.br/products/primer-cachos-definidos?ref=review","review")</f>
        <v/>
      </c>
      <c r="K909" t="inlineStr">
        <is>
          <t>SEND</t>
        </is>
      </c>
    </row>
    <row r="910">
      <c r="A910" t="inlineStr">
        <is>
          <t>Alessandra</t>
        </is>
      </c>
      <c r="B910" t="inlineStr">
        <is>
          <t>+5511973554522</t>
        </is>
      </c>
      <c r="C910" t="inlineStr">
        <is>
          <t>Refill</t>
        </is>
      </c>
      <c r="D910" t="inlineStr">
        <is>
          <t>Primer Cachos</t>
        </is>
      </c>
      <c r="E910" t="n">
        <v>1</v>
      </c>
      <c r="F910" t="inlineStr">
        <is>
          <t>2025-12-08</t>
        </is>
      </c>
      <c r="G910" t="n">
        <v>208</v>
      </c>
      <c r="H910" t="inlineStr">
        <is>
          <t>Y</t>
        </is>
      </c>
      <c r="I910">
        <f>HYPERLINK("https://admin.shopify.com/store/ge-beauty-cosmeticos/customers/9942821241152","abrir")</f>
        <v/>
      </c>
      <c r="J910">
        <f>HYPERLINK("https://www.gebeauty.com.br/products/primer-cachos-definidos?ref=review","review")</f>
        <v/>
      </c>
      <c r="K910" t="inlineStr">
        <is>
          <t>SEND</t>
        </is>
      </c>
    </row>
    <row r="911">
      <c r="A911" t="inlineStr">
        <is>
          <t>Nayumi</t>
        </is>
      </c>
      <c r="B911" t="inlineStr">
        <is>
          <t>+5511987307099</t>
        </is>
      </c>
      <c r="C911" t="inlineStr">
        <is>
          <t>Refill</t>
        </is>
      </c>
      <c r="D911" t="inlineStr">
        <is>
          <t>Primer Cachos</t>
        </is>
      </c>
      <c r="E911" t="n">
        <v>1</v>
      </c>
      <c r="F911" t="inlineStr">
        <is>
          <t>2025-12-08</t>
        </is>
      </c>
      <c r="G911" t="n">
        <v>208</v>
      </c>
      <c r="H911" t="inlineStr">
        <is>
          <t>Y</t>
        </is>
      </c>
      <c r="I911">
        <f>HYPERLINK("https://admin.shopify.com/store/ge-beauty-cosmeticos/customers/9942905553216","abrir")</f>
        <v/>
      </c>
      <c r="J911">
        <f>HYPERLINK("https://www.gebeauty.com.br/products/primer-cachos-definidos?ref=review","review")</f>
        <v/>
      </c>
      <c r="K911" t="inlineStr">
        <is>
          <t>SEND</t>
        </is>
      </c>
    </row>
    <row r="912">
      <c r="A912" t="inlineStr">
        <is>
          <t>Suzete</t>
        </is>
      </c>
      <c r="B912" t="inlineStr">
        <is>
          <t>+5511944803130</t>
        </is>
      </c>
      <c r="C912" t="inlineStr">
        <is>
          <t>Refill</t>
        </is>
      </c>
      <c r="D912" t="inlineStr">
        <is>
          <t>Primer Cachos</t>
        </is>
      </c>
      <c r="E912" t="n">
        <v>1</v>
      </c>
      <c r="F912" t="inlineStr">
        <is>
          <t>2025-12-08</t>
        </is>
      </c>
      <c r="G912" t="n">
        <v>208</v>
      </c>
      <c r="H912" t="inlineStr">
        <is>
          <t>Y</t>
        </is>
      </c>
      <c r="I912">
        <f>HYPERLINK("https://admin.shopify.com/store/ge-beauty-cosmeticos/customers/9943198138688","abrir")</f>
        <v/>
      </c>
      <c r="J912">
        <f>HYPERLINK("https://www.gebeauty.com.br/products/primer-cachos-definidos?ref=review","review")</f>
        <v/>
      </c>
      <c r="K912" t="inlineStr">
        <is>
          <t>HOLDOUT</t>
        </is>
      </c>
    </row>
    <row r="913">
      <c r="A913" t="inlineStr">
        <is>
          <t>Alice</t>
        </is>
      </c>
      <c r="B913" t="inlineStr">
        <is>
          <t>+5571997008078</t>
        </is>
      </c>
      <c r="C913" t="inlineStr">
        <is>
          <t>Refill</t>
        </is>
      </c>
      <c r="D913" t="inlineStr">
        <is>
          <t>Primer Cachos</t>
        </is>
      </c>
      <c r="E913" t="n">
        <v>1</v>
      </c>
      <c r="F913" t="inlineStr">
        <is>
          <t>2025-12-08</t>
        </is>
      </c>
      <c r="G913" t="n">
        <v>208</v>
      </c>
      <c r="H913" t="inlineStr">
        <is>
          <t>Y</t>
        </is>
      </c>
      <c r="I913">
        <f>HYPERLINK("https://admin.shopify.com/store/ge-beauty-cosmeticos/customers/9943257973056","abrir")</f>
        <v/>
      </c>
      <c r="J913">
        <f>HYPERLINK("https://www.gebeauty.com.br/products/primer-cachos-definidos?ref=review","review")</f>
        <v/>
      </c>
      <c r="K913" t="inlineStr">
        <is>
          <t>HOLDOUT</t>
        </is>
      </c>
    </row>
    <row r="914">
      <c r="A914" t="inlineStr">
        <is>
          <t>Graziela</t>
        </is>
      </c>
      <c r="B914" t="inlineStr">
        <is>
          <t>+5548999215460</t>
        </is>
      </c>
      <c r="C914" t="inlineStr">
        <is>
          <t>Refill</t>
        </is>
      </c>
      <c r="D914" t="inlineStr">
        <is>
          <t>Primer Cachos</t>
        </is>
      </c>
      <c r="E914" t="n">
        <v>1</v>
      </c>
      <c r="F914" t="inlineStr">
        <is>
          <t>2025-12-08</t>
        </is>
      </c>
      <c r="G914" t="n">
        <v>208</v>
      </c>
      <c r="H914" t="inlineStr">
        <is>
          <t>Y</t>
        </is>
      </c>
      <c r="I914">
        <f>HYPERLINK("https://admin.shopify.com/store/ge-beauty-cosmeticos/customers/9763486662976","abrir")</f>
        <v/>
      </c>
      <c r="J914">
        <f>HYPERLINK("https://www.gebeauty.com.br/products/primer-cachos-definidos?ref=review","review")</f>
        <v/>
      </c>
      <c r="K914" t="inlineStr">
        <is>
          <t>SEND</t>
        </is>
      </c>
    </row>
    <row r="915">
      <c r="A915" t="inlineStr">
        <is>
          <t>Debora</t>
        </is>
      </c>
      <c r="B915" t="inlineStr">
        <is>
          <t>+5521992723667</t>
        </is>
      </c>
      <c r="C915" t="inlineStr">
        <is>
          <t>Refill</t>
        </is>
      </c>
      <c r="D915" t="inlineStr">
        <is>
          <t>Primer Cachos</t>
        </is>
      </c>
      <c r="E915" t="n">
        <v>1</v>
      </c>
      <c r="F915" t="inlineStr">
        <is>
          <t>2025-12-08</t>
        </is>
      </c>
      <c r="G915" t="n">
        <v>208</v>
      </c>
      <c r="H915" t="inlineStr">
        <is>
          <t>Y</t>
        </is>
      </c>
      <c r="I915">
        <f>HYPERLINK("https://admin.shopify.com/store/ge-beauty-cosmeticos/customers/9485606748480","abrir")</f>
        <v/>
      </c>
      <c r="J915">
        <f>HYPERLINK("https://www.gebeauty.com.br/products/primer-cachos-definidos?ref=review","review")</f>
        <v/>
      </c>
      <c r="K915" t="inlineStr">
        <is>
          <t>SEND</t>
        </is>
      </c>
    </row>
    <row r="916">
      <c r="A916" t="inlineStr">
        <is>
          <t>Amanda</t>
        </is>
      </c>
      <c r="B916" t="inlineStr">
        <is>
          <t>+5561996618878</t>
        </is>
      </c>
      <c r="C916" t="inlineStr">
        <is>
          <t>Refill</t>
        </is>
      </c>
      <c r="D916" t="inlineStr">
        <is>
          <t>Primer Cachos</t>
        </is>
      </c>
      <c r="E916" t="n">
        <v>1</v>
      </c>
      <c r="F916" t="inlineStr">
        <is>
          <t>2025-12-08</t>
        </is>
      </c>
      <c r="G916" t="n">
        <v>208</v>
      </c>
      <c r="H916" t="inlineStr">
        <is>
          <t>Y</t>
        </is>
      </c>
      <c r="I916">
        <f>HYPERLINK("https://admin.shopify.com/store/ge-beauty-cosmeticos/customers/9087837012288","abrir")</f>
        <v/>
      </c>
      <c r="J916">
        <f>HYPERLINK("https://www.gebeauty.com.br/products/primer-cachos-definidos?ref=review","review")</f>
        <v/>
      </c>
      <c r="K916" t="inlineStr">
        <is>
          <t>SEND</t>
        </is>
      </c>
    </row>
    <row r="917">
      <c r="A917" t="inlineStr">
        <is>
          <t>Bianca</t>
        </is>
      </c>
      <c r="B917" t="inlineStr">
        <is>
          <t>+551130230561</t>
        </is>
      </c>
      <c r="C917" t="inlineStr">
        <is>
          <t>Refill</t>
        </is>
      </c>
      <c r="D917" t="inlineStr">
        <is>
          <t>Primer Cachos</t>
        </is>
      </c>
      <c r="E917" t="n">
        <v>1</v>
      </c>
      <c r="F917" t="inlineStr">
        <is>
          <t>2025-12-08</t>
        </is>
      </c>
      <c r="G917" t="n">
        <v>208</v>
      </c>
      <c r="H917" t="inlineStr">
        <is>
          <t>Y</t>
        </is>
      </c>
      <c r="I917">
        <f>HYPERLINK("https://admin.shopify.com/store/ge-beauty-cosmeticos/customers/9943422271808","abrir")</f>
        <v/>
      </c>
      <c r="J917">
        <f>HYPERLINK("https://www.gebeauty.com.br/products/primer-cachos-definidos?ref=review","review")</f>
        <v/>
      </c>
      <c r="K917" t="inlineStr">
        <is>
          <t>SEND</t>
        </is>
      </c>
    </row>
    <row r="918">
      <c r="A918" t="inlineStr">
        <is>
          <t>Diana</t>
        </is>
      </c>
      <c r="B918" t="inlineStr">
        <is>
          <t>+5548992111514</t>
        </is>
      </c>
      <c r="C918" t="inlineStr">
        <is>
          <t>Refill</t>
        </is>
      </c>
      <c r="D918" t="inlineStr">
        <is>
          <t>Primer Cachos</t>
        </is>
      </c>
      <c r="E918" t="n">
        <v>1</v>
      </c>
      <c r="F918" t="inlineStr">
        <is>
          <t>2025-12-08</t>
        </is>
      </c>
      <c r="G918" t="n">
        <v>208</v>
      </c>
      <c r="H918" t="inlineStr">
        <is>
          <t>Y</t>
        </is>
      </c>
      <c r="I918">
        <f>HYPERLINK("https://admin.shopify.com/store/ge-beauty-cosmeticos/customers/9922322334016","abrir")</f>
        <v/>
      </c>
      <c r="J918">
        <f>HYPERLINK("https://www.gebeauty.com.br/products/primer-cachos-definidos?ref=review","review")</f>
        <v/>
      </c>
      <c r="K918" t="inlineStr">
        <is>
          <t>SEND</t>
        </is>
      </c>
    </row>
    <row r="919">
      <c r="A919" t="inlineStr">
        <is>
          <t>Isabela</t>
        </is>
      </c>
      <c r="B919" t="inlineStr">
        <is>
          <t>+5527995792111</t>
        </is>
      </c>
      <c r="C919" t="inlineStr">
        <is>
          <t>Refill</t>
        </is>
      </c>
      <c r="D919" t="inlineStr">
        <is>
          <t>Primer Cachos</t>
        </is>
      </c>
      <c r="E919" t="n">
        <v>1</v>
      </c>
      <c r="F919" t="inlineStr">
        <is>
          <t>2025-12-08</t>
        </is>
      </c>
      <c r="G919" t="n">
        <v>208</v>
      </c>
      <c r="H919" t="inlineStr">
        <is>
          <t>Y</t>
        </is>
      </c>
      <c r="I919">
        <f>HYPERLINK("https://admin.shopify.com/store/ge-beauty-cosmeticos/customers/9943889314112","abrir")</f>
        <v/>
      </c>
      <c r="J919">
        <f>HYPERLINK("https://www.gebeauty.com.br/products/primer-cachos-definidos?ref=review","review")</f>
        <v/>
      </c>
      <c r="K919" t="inlineStr">
        <is>
          <t>SEND</t>
        </is>
      </c>
    </row>
    <row r="920">
      <c r="A920" t="inlineStr">
        <is>
          <t>Amanda</t>
        </is>
      </c>
      <c r="B920" t="inlineStr">
        <is>
          <t>+5571999894559</t>
        </is>
      </c>
      <c r="C920" t="inlineStr">
        <is>
          <t>Refill</t>
        </is>
      </c>
      <c r="D920" t="inlineStr">
        <is>
          <t>Primer Cachos</t>
        </is>
      </c>
      <c r="E920" t="n">
        <v>1</v>
      </c>
      <c r="F920" t="inlineStr">
        <is>
          <t>2025-12-08</t>
        </is>
      </c>
      <c r="G920" t="n">
        <v>208</v>
      </c>
      <c r="H920" t="inlineStr">
        <is>
          <t>Y</t>
        </is>
      </c>
      <c r="I920">
        <f>HYPERLINK("https://admin.shopify.com/store/ge-beauty-cosmeticos/customers/9720313479488","abrir")</f>
        <v/>
      </c>
      <c r="J920">
        <f>HYPERLINK("https://www.gebeauty.com.br/products/primer-cachos-definidos?ref=review","review")</f>
        <v/>
      </c>
      <c r="K920" t="inlineStr">
        <is>
          <t>SEND</t>
        </is>
      </c>
    </row>
    <row r="921">
      <c r="A921" t="inlineStr">
        <is>
          <t>Andrea</t>
        </is>
      </c>
      <c r="B921" t="inlineStr">
        <is>
          <t>+5521982770883</t>
        </is>
      </c>
      <c r="C921" t="inlineStr">
        <is>
          <t>Refill</t>
        </is>
      </c>
      <c r="D921" t="inlineStr">
        <is>
          <t>Primer Cachos</t>
        </is>
      </c>
      <c r="E921" t="n">
        <v>1</v>
      </c>
      <c r="F921" t="inlineStr">
        <is>
          <t>2025-12-09</t>
        </is>
      </c>
      <c r="G921" t="n">
        <v>207</v>
      </c>
      <c r="H921" t="inlineStr">
        <is>
          <t>Y</t>
        </is>
      </c>
      <c r="I921">
        <f>HYPERLINK("https://admin.shopify.com/store/ge-beauty-cosmeticos/customers/9944324833600","abrir")</f>
        <v/>
      </c>
      <c r="J921">
        <f>HYPERLINK("https://www.gebeauty.com.br/products/primer-cachos-definidos?ref=review","review")</f>
        <v/>
      </c>
      <c r="K921" t="inlineStr">
        <is>
          <t>SEND</t>
        </is>
      </c>
    </row>
    <row r="922">
      <c r="A922" t="inlineStr">
        <is>
          <t>Wiviane</t>
        </is>
      </c>
      <c r="B922" t="inlineStr">
        <is>
          <t>+5541991413333</t>
        </is>
      </c>
      <c r="C922" t="inlineStr">
        <is>
          <t>Refill</t>
        </is>
      </c>
      <c r="D922" t="inlineStr">
        <is>
          <t>Primer Cachos</t>
        </is>
      </c>
      <c r="E922" t="n">
        <v>1</v>
      </c>
      <c r="F922" t="inlineStr">
        <is>
          <t>2025-12-09</t>
        </is>
      </c>
      <c r="G922" t="n">
        <v>207</v>
      </c>
      <c r="H922" t="inlineStr">
        <is>
          <t>Y</t>
        </is>
      </c>
      <c r="I922">
        <f>HYPERLINK("https://admin.shopify.com/store/ge-beauty-cosmeticos/customers/9946063110464","abrir")</f>
        <v/>
      </c>
      <c r="J922">
        <f>HYPERLINK("https://www.gebeauty.com.br/products/primer-cachos-definidos?ref=review","review")</f>
        <v/>
      </c>
      <c r="K922" t="inlineStr">
        <is>
          <t>SEND</t>
        </is>
      </c>
    </row>
    <row r="923">
      <c r="A923" t="inlineStr">
        <is>
          <t>Carolina</t>
        </is>
      </c>
      <c r="B923" t="inlineStr">
        <is>
          <t>+5521998716111</t>
        </is>
      </c>
      <c r="C923" t="inlineStr">
        <is>
          <t>Refill</t>
        </is>
      </c>
      <c r="D923" t="inlineStr">
        <is>
          <t>Primer Cachos</t>
        </is>
      </c>
      <c r="E923" t="n">
        <v>1</v>
      </c>
      <c r="F923" t="inlineStr">
        <is>
          <t>2025-12-09</t>
        </is>
      </c>
      <c r="G923" t="n">
        <v>207</v>
      </c>
      <c r="H923" t="inlineStr">
        <is>
          <t>Y</t>
        </is>
      </c>
      <c r="I923">
        <f>HYPERLINK("https://admin.shopify.com/store/ge-beauty-cosmeticos/customers/9947004567872","abrir")</f>
        <v/>
      </c>
      <c r="J923">
        <f>HYPERLINK("https://www.gebeauty.com.br/products/primer-cachos-definidos?ref=review","review")</f>
        <v/>
      </c>
      <c r="K923" t="inlineStr">
        <is>
          <t>SEND</t>
        </is>
      </c>
    </row>
    <row r="924">
      <c r="A924" t="inlineStr">
        <is>
          <t>Lilian</t>
        </is>
      </c>
      <c r="B924" t="inlineStr">
        <is>
          <t>+5585994483000</t>
        </is>
      </c>
      <c r="C924" t="inlineStr">
        <is>
          <t>Refill</t>
        </is>
      </c>
      <c r="D924" t="inlineStr">
        <is>
          <t>Primer Cachos</t>
        </is>
      </c>
      <c r="E924" t="n">
        <v>1</v>
      </c>
      <c r="F924" t="inlineStr">
        <is>
          <t>2025-12-09</t>
        </is>
      </c>
      <c r="G924" t="n">
        <v>207</v>
      </c>
      <c r="H924" t="inlineStr">
        <is>
          <t>Y</t>
        </is>
      </c>
      <c r="I924">
        <f>HYPERLINK("https://admin.shopify.com/store/ge-beauty-cosmeticos/customers/9850028392768","abrir")</f>
        <v/>
      </c>
      <c r="J924">
        <f>HYPERLINK("https://www.gebeauty.com.br/products/primer-cachos-definidos?ref=review","review")</f>
        <v/>
      </c>
      <c r="K924" t="inlineStr">
        <is>
          <t>SEND</t>
        </is>
      </c>
    </row>
    <row r="925">
      <c r="A925" t="inlineStr">
        <is>
          <t>Mariana</t>
        </is>
      </c>
      <c r="B925" t="inlineStr">
        <is>
          <t>+5598991707615</t>
        </is>
      </c>
      <c r="C925" t="inlineStr">
        <is>
          <t>Refill</t>
        </is>
      </c>
      <c r="D925" t="inlineStr">
        <is>
          <t>Primer Cachos</t>
        </is>
      </c>
      <c r="E925" t="n">
        <v>1</v>
      </c>
      <c r="F925" t="inlineStr">
        <is>
          <t>2025-12-09</t>
        </is>
      </c>
      <c r="G925" t="n">
        <v>207</v>
      </c>
      <c r="H925" t="inlineStr">
        <is>
          <t>Y</t>
        </is>
      </c>
      <c r="I925">
        <f>HYPERLINK("https://admin.shopify.com/store/ge-beauty-cosmeticos/customers/9947077935424","abrir")</f>
        <v/>
      </c>
      <c r="J925">
        <f>HYPERLINK("https://www.gebeauty.com.br/products/primer-cachos-definidos?ref=review","review")</f>
        <v/>
      </c>
      <c r="K925" t="inlineStr">
        <is>
          <t>SEND</t>
        </is>
      </c>
    </row>
    <row r="926">
      <c r="A926" t="inlineStr">
        <is>
          <t>Jacqueline</t>
        </is>
      </c>
      <c r="B926" t="inlineStr">
        <is>
          <t>+5521987468035</t>
        </is>
      </c>
      <c r="C926" t="inlineStr">
        <is>
          <t>Refill</t>
        </is>
      </c>
      <c r="D926" t="inlineStr">
        <is>
          <t>Primer Cachos</t>
        </is>
      </c>
      <c r="E926" t="n">
        <v>1</v>
      </c>
      <c r="F926" t="inlineStr">
        <is>
          <t>2025-12-09</t>
        </is>
      </c>
      <c r="G926" t="n">
        <v>207</v>
      </c>
      <c r="H926" t="inlineStr">
        <is>
          <t>Y</t>
        </is>
      </c>
      <c r="I926">
        <f>HYPERLINK("https://admin.shopify.com/store/ge-beauty-cosmeticos/customers/9947362591040","abrir")</f>
        <v/>
      </c>
      <c r="J926">
        <f>HYPERLINK("https://www.gebeauty.com.br/products/primer-cachos-definidos?ref=review","review")</f>
        <v/>
      </c>
      <c r="K926" t="inlineStr">
        <is>
          <t>SEND</t>
        </is>
      </c>
    </row>
    <row r="927">
      <c r="A927" t="inlineStr">
        <is>
          <t>Elaine</t>
        </is>
      </c>
      <c r="B927" t="inlineStr">
        <is>
          <t>+5511991615489</t>
        </is>
      </c>
      <c r="C927" t="inlineStr">
        <is>
          <t>Refill</t>
        </is>
      </c>
      <c r="D927" t="inlineStr">
        <is>
          <t>Primer Cachos</t>
        </is>
      </c>
      <c r="E927" t="n">
        <v>1</v>
      </c>
      <c r="F927" t="inlineStr">
        <is>
          <t>2025-12-09</t>
        </is>
      </c>
      <c r="G927" t="n">
        <v>207</v>
      </c>
      <c r="H927" t="inlineStr">
        <is>
          <t>Y</t>
        </is>
      </c>
      <c r="I927">
        <f>HYPERLINK("https://admin.shopify.com/store/ge-beauty-cosmeticos/customers/9946451378496","abrir")</f>
        <v/>
      </c>
      <c r="J927">
        <f>HYPERLINK("https://www.gebeauty.com.br/products/primer-cachos-definidos?ref=review","review")</f>
        <v/>
      </c>
      <c r="K927" t="inlineStr">
        <is>
          <t>SEND</t>
        </is>
      </c>
    </row>
    <row r="928">
      <c r="A928" t="inlineStr">
        <is>
          <t>Margaret</t>
        </is>
      </c>
      <c r="B928" t="inlineStr">
        <is>
          <t>+5511999320131</t>
        </is>
      </c>
      <c r="C928" t="inlineStr">
        <is>
          <t>Refill</t>
        </is>
      </c>
      <c r="D928" t="inlineStr">
        <is>
          <t>Primer Cachos</t>
        </is>
      </c>
      <c r="E928" t="n">
        <v>1</v>
      </c>
      <c r="F928" t="inlineStr">
        <is>
          <t>2025-12-09</t>
        </is>
      </c>
      <c r="G928" t="n">
        <v>207</v>
      </c>
      <c r="H928" t="inlineStr">
        <is>
          <t>Y</t>
        </is>
      </c>
      <c r="I928">
        <f>HYPERLINK("https://admin.shopify.com/store/ge-beauty-cosmeticos/customers/9947625652544","abrir")</f>
        <v/>
      </c>
      <c r="J928">
        <f>HYPERLINK("https://www.gebeauty.com.br/products/primer-cachos-definidos?ref=review","review")</f>
        <v/>
      </c>
      <c r="K928" t="inlineStr">
        <is>
          <t>SEND</t>
        </is>
      </c>
    </row>
    <row r="929">
      <c r="A929" t="inlineStr">
        <is>
          <t>Amanda</t>
        </is>
      </c>
      <c r="B929" t="inlineStr">
        <is>
          <t>+5511975681024</t>
        </is>
      </c>
      <c r="C929" t="inlineStr">
        <is>
          <t>Refill</t>
        </is>
      </c>
      <c r="D929" t="inlineStr">
        <is>
          <t>Primer Cachos</t>
        </is>
      </c>
      <c r="E929" t="n">
        <v>1</v>
      </c>
      <c r="F929" t="inlineStr">
        <is>
          <t>2025-12-09</t>
        </is>
      </c>
      <c r="G929" t="n">
        <v>207</v>
      </c>
      <c r="H929" t="inlineStr">
        <is>
          <t>Y</t>
        </is>
      </c>
      <c r="I929">
        <f>HYPERLINK("https://admin.shopify.com/store/ge-beauty-cosmeticos/customers/9947635777856","abrir")</f>
        <v/>
      </c>
      <c r="J929">
        <f>HYPERLINK("https://www.gebeauty.com.br/products/primer-cachos-definidos?ref=review","review")</f>
        <v/>
      </c>
      <c r="K929" t="inlineStr">
        <is>
          <t>HOLDOUT</t>
        </is>
      </c>
    </row>
    <row r="930">
      <c r="A930" t="inlineStr">
        <is>
          <t>Roberta</t>
        </is>
      </c>
      <c r="B930" t="inlineStr">
        <is>
          <t>+5511998548822</t>
        </is>
      </c>
      <c r="C930" t="inlineStr">
        <is>
          <t>Refill</t>
        </is>
      </c>
      <c r="D930" t="inlineStr">
        <is>
          <t>Primer Cachos</t>
        </is>
      </c>
      <c r="E930" t="n">
        <v>1</v>
      </c>
      <c r="F930" t="inlineStr">
        <is>
          <t>2025-12-09</t>
        </is>
      </c>
      <c r="G930" t="n">
        <v>207</v>
      </c>
      <c r="H930" t="inlineStr">
        <is>
          <t>Y</t>
        </is>
      </c>
      <c r="I930">
        <f>HYPERLINK("https://admin.shopify.com/store/ge-beauty-cosmeticos/customers/9608893530432","abrir")</f>
        <v/>
      </c>
      <c r="J930">
        <f>HYPERLINK("https://www.gebeauty.com.br/products/primer-cachos-definidos?ref=review","review")</f>
        <v/>
      </c>
      <c r="K930" t="inlineStr">
        <is>
          <t>SEND</t>
        </is>
      </c>
    </row>
    <row r="931">
      <c r="A931" t="inlineStr">
        <is>
          <t>Patricia</t>
        </is>
      </c>
      <c r="B931" t="inlineStr">
        <is>
          <t>+5511986555901</t>
        </is>
      </c>
      <c r="C931" t="inlineStr">
        <is>
          <t>Refill</t>
        </is>
      </c>
      <c r="D931" t="inlineStr">
        <is>
          <t>Primer Cachos</t>
        </is>
      </c>
      <c r="E931" t="n">
        <v>1</v>
      </c>
      <c r="F931" t="inlineStr">
        <is>
          <t>2025-12-09</t>
        </is>
      </c>
      <c r="G931" t="n">
        <v>207</v>
      </c>
      <c r="H931" t="inlineStr">
        <is>
          <t>Y</t>
        </is>
      </c>
      <c r="I931">
        <f>HYPERLINK("https://admin.shopify.com/store/ge-beauty-cosmeticos/customers/9947649147200","abrir")</f>
        <v/>
      </c>
      <c r="J931">
        <f>HYPERLINK("https://www.gebeauty.com.br/products/primer-cachos-definidos?ref=review","review")</f>
        <v/>
      </c>
      <c r="K931" t="inlineStr">
        <is>
          <t>SEND</t>
        </is>
      </c>
    </row>
    <row r="932">
      <c r="A932" t="inlineStr">
        <is>
          <t>Juliana</t>
        </is>
      </c>
      <c r="B932" t="inlineStr">
        <is>
          <t>+5571991413483</t>
        </is>
      </c>
      <c r="C932" t="inlineStr">
        <is>
          <t>Refill</t>
        </is>
      </c>
      <c r="D932" t="inlineStr">
        <is>
          <t>Primer Cachos</t>
        </is>
      </c>
      <c r="E932" t="n">
        <v>1</v>
      </c>
      <c r="F932" t="inlineStr">
        <is>
          <t>2025-12-10</t>
        </is>
      </c>
      <c r="G932" t="n">
        <v>206</v>
      </c>
      <c r="H932" t="inlineStr">
        <is>
          <t>Y</t>
        </is>
      </c>
      <c r="I932">
        <f>HYPERLINK("https://admin.shopify.com/store/ge-beauty-cosmeticos/customers/9950165565760","abrir")</f>
        <v/>
      </c>
      <c r="J932">
        <f>HYPERLINK("https://www.gebeauty.com.br/products/primer-cachos-definidos?ref=review","review")</f>
        <v/>
      </c>
      <c r="K932" t="inlineStr">
        <is>
          <t>SEND</t>
        </is>
      </c>
    </row>
    <row r="933">
      <c r="A933" t="inlineStr">
        <is>
          <t>Natália</t>
        </is>
      </c>
      <c r="B933" t="inlineStr">
        <is>
          <t>+5581988220398</t>
        </is>
      </c>
      <c r="C933" t="inlineStr">
        <is>
          <t>Refill</t>
        </is>
      </c>
      <c r="D933" t="inlineStr">
        <is>
          <t>Primer Cachos</t>
        </is>
      </c>
      <c r="E933" t="n">
        <v>1</v>
      </c>
      <c r="F933" t="inlineStr">
        <is>
          <t>2025-12-10</t>
        </is>
      </c>
      <c r="G933" t="n">
        <v>206</v>
      </c>
      <c r="H933" t="inlineStr">
        <is>
          <t>Y</t>
        </is>
      </c>
      <c r="I933">
        <f>HYPERLINK("https://admin.shopify.com/store/ge-beauty-cosmeticos/customers/9950502519104","abrir")</f>
        <v/>
      </c>
      <c r="J933">
        <f>HYPERLINK("https://www.gebeauty.com.br/products/primer-cachos-definidos?ref=review","review")</f>
        <v/>
      </c>
      <c r="K933" t="inlineStr">
        <is>
          <t>HOLDOUT</t>
        </is>
      </c>
    </row>
    <row r="934">
      <c r="A934" t="inlineStr">
        <is>
          <t>Monica</t>
        </is>
      </c>
      <c r="B934" t="inlineStr">
        <is>
          <t>+5519997657231</t>
        </is>
      </c>
      <c r="C934" t="inlineStr">
        <is>
          <t>Refill</t>
        </is>
      </c>
      <c r="D934" t="inlineStr">
        <is>
          <t>Primer Cachos</t>
        </is>
      </c>
      <c r="E934" t="n">
        <v>1</v>
      </c>
      <c r="F934" t="inlineStr">
        <is>
          <t>2025-12-10</t>
        </is>
      </c>
      <c r="G934" t="n">
        <v>206</v>
      </c>
      <c r="H934" t="inlineStr">
        <is>
          <t>Y</t>
        </is>
      </c>
      <c r="I934">
        <f>HYPERLINK("https://admin.shopify.com/store/ge-beauty-cosmeticos/customers/9950626251072","abrir")</f>
        <v/>
      </c>
      <c r="J934">
        <f>HYPERLINK("https://www.gebeauty.com.br/products/primer-cachos-definidos?ref=review","review")</f>
        <v/>
      </c>
      <c r="K934" t="inlineStr">
        <is>
          <t>SEND</t>
        </is>
      </c>
    </row>
    <row r="935">
      <c r="A935" t="inlineStr">
        <is>
          <t>Caroline</t>
        </is>
      </c>
      <c r="B935" t="inlineStr">
        <is>
          <t>+5511932949480</t>
        </is>
      </c>
      <c r="C935" t="inlineStr">
        <is>
          <t>Refill</t>
        </is>
      </c>
      <c r="D935" t="inlineStr">
        <is>
          <t>Primer Cachos</t>
        </is>
      </c>
      <c r="E935" t="n">
        <v>1</v>
      </c>
      <c r="F935" t="inlineStr">
        <is>
          <t>2025-12-10</t>
        </is>
      </c>
      <c r="G935" t="n">
        <v>206</v>
      </c>
      <c r="H935" t="inlineStr">
        <is>
          <t>Y</t>
        </is>
      </c>
      <c r="I935">
        <f>HYPERLINK("https://admin.shopify.com/store/ge-beauty-cosmeticos/customers/9485906542912","abrir")</f>
        <v/>
      </c>
      <c r="J935">
        <f>HYPERLINK("https://www.gebeauty.com.br/products/primer-cachos-definidos?ref=review","review")</f>
        <v/>
      </c>
      <c r="K935" t="inlineStr">
        <is>
          <t>SEND</t>
        </is>
      </c>
    </row>
    <row r="936">
      <c r="A936" t="inlineStr">
        <is>
          <t>Alissa</t>
        </is>
      </c>
      <c r="B936" t="inlineStr">
        <is>
          <t>+5579999120808</t>
        </is>
      </c>
      <c r="C936" t="inlineStr">
        <is>
          <t>Refill</t>
        </is>
      </c>
      <c r="D936" t="inlineStr">
        <is>
          <t>Primer Cachos</t>
        </is>
      </c>
      <c r="E936" t="n">
        <v>1</v>
      </c>
      <c r="F936" t="inlineStr">
        <is>
          <t>2025-12-10</t>
        </is>
      </c>
      <c r="G936" t="n">
        <v>206</v>
      </c>
      <c r="H936" t="inlineStr">
        <is>
          <t>Y</t>
        </is>
      </c>
      <c r="I936">
        <f>HYPERLINK("https://admin.shopify.com/store/ge-beauty-cosmeticos/customers/8259915972928","abrir")</f>
        <v/>
      </c>
      <c r="J936">
        <f>HYPERLINK("https://www.gebeauty.com.br/products/primer-cachos-definidos?ref=review","review")</f>
        <v/>
      </c>
      <c r="K936" t="inlineStr">
        <is>
          <t>SEND</t>
        </is>
      </c>
    </row>
    <row r="937">
      <c r="A937" t="inlineStr">
        <is>
          <t>Isabel</t>
        </is>
      </c>
      <c r="B937" t="inlineStr">
        <is>
          <t>+5511999130069</t>
        </is>
      </c>
      <c r="C937" t="inlineStr">
        <is>
          <t>Refill</t>
        </is>
      </c>
      <c r="D937" t="inlineStr">
        <is>
          <t>Primer Cachos</t>
        </is>
      </c>
      <c r="E937" t="n">
        <v>1</v>
      </c>
      <c r="F937" t="inlineStr">
        <is>
          <t>2025-12-10</t>
        </is>
      </c>
      <c r="G937" t="n">
        <v>206</v>
      </c>
      <c r="H937" t="inlineStr">
        <is>
          <t>Y</t>
        </is>
      </c>
      <c r="I937">
        <f>HYPERLINK("https://admin.shopify.com/store/ge-beauty-cosmeticos/customers/9950937907520","abrir")</f>
        <v/>
      </c>
      <c r="J937">
        <f>HYPERLINK("https://www.gebeauty.com.br/products/primer-cachos-definidos?ref=review","review")</f>
        <v/>
      </c>
      <c r="K937" t="inlineStr">
        <is>
          <t>SEND</t>
        </is>
      </c>
    </row>
    <row r="938">
      <c r="A938" t="inlineStr">
        <is>
          <t>Carolina</t>
        </is>
      </c>
      <c r="B938" t="inlineStr">
        <is>
          <t>+5562982870094</t>
        </is>
      </c>
      <c r="C938" t="inlineStr">
        <is>
          <t>Refill</t>
        </is>
      </c>
      <c r="D938" t="inlineStr">
        <is>
          <t>Primer Cachos</t>
        </is>
      </c>
      <c r="E938" t="n">
        <v>1</v>
      </c>
      <c r="F938" t="inlineStr">
        <is>
          <t>2025-12-10</t>
        </is>
      </c>
      <c r="G938" t="n">
        <v>206</v>
      </c>
      <c r="H938" t="inlineStr">
        <is>
          <t>Y</t>
        </is>
      </c>
      <c r="I938">
        <f>HYPERLINK("https://admin.shopify.com/store/ge-beauty-cosmeticos/customers/8281751781696","abrir")</f>
        <v/>
      </c>
      <c r="J938">
        <f>HYPERLINK("https://www.gebeauty.com.br/products/primer-cachos-definidos?ref=review","review")</f>
        <v/>
      </c>
      <c r="K938" t="inlineStr">
        <is>
          <t>SEND</t>
        </is>
      </c>
    </row>
    <row r="939">
      <c r="A939" t="inlineStr">
        <is>
          <t>Gabriela</t>
        </is>
      </c>
      <c r="B939" t="inlineStr">
        <is>
          <t>+5582999241026</t>
        </is>
      </c>
      <c r="C939" t="inlineStr">
        <is>
          <t>Refill</t>
        </is>
      </c>
      <c r="D939" t="inlineStr">
        <is>
          <t>Primer Cachos</t>
        </is>
      </c>
      <c r="E939" t="n">
        <v>1</v>
      </c>
      <c r="F939" t="inlineStr">
        <is>
          <t>2025-12-11</t>
        </is>
      </c>
      <c r="G939" t="n">
        <v>205</v>
      </c>
      <c r="H939" t="inlineStr">
        <is>
          <t>Y</t>
        </is>
      </c>
      <c r="I939">
        <f>HYPERLINK("https://admin.shopify.com/store/ge-beauty-cosmeticos/customers/9485050839360","abrir")</f>
        <v/>
      </c>
      <c r="J939">
        <f>HYPERLINK("https://www.gebeauty.com.br/products/primer-cachos-definidos?ref=review","review")</f>
        <v/>
      </c>
      <c r="K939" t="inlineStr">
        <is>
          <t>SEND</t>
        </is>
      </c>
    </row>
    <row r="940">
      <c r="A940" t="inlineStr">
        <is>
          <t>Beatriz</t>
        </is>
      </c>
      <c r="B940" t="inlineStr">
        <is>
          <t>+5511985584100</t>
        </is>
      </c>
      <c r="C940" t="inlineStr">
        <is>
          <t>Refill</t>
        </is>
      </c>
      <c r="D940" t="inlineStr">
        <is>
          <t>Primer Cachos</t>
        </is>
      </c>
      <c r="E940" t="n">
        <v>1</v>
      </c>
      <c r="F940" t="inlineStr">
        <is>
          <t>2025-12-11</t>
        </is>
      </c>
      <c r="G940" t="n">
        <v>205</v>
      </c>
      <c r="H940" t="inlineStr">
        <is>
          <t>Y</t>
        </is>
      </c>
      <c r="I940">
        <f>HYPERLINK("https://admin.shopify.com/store/ge-beauty-cosmeticos/customers/9639640138048","abrir")</f>
        <v/>
      </c>
      <c r="J940">
        <f>HYPERLINK("https://www.gebeauty.com.br/products/primer-cachos-definidos?ref=review","review")</f>
        <v/>
      </c>
      <c r="K940" t="inlineStr">
        <is>
          <t>SEND</t>
        </is>
      </c>
    </row>
    <row r="941">
      <c r="A941" t="inlineStr">
        <is>
          <t>Cássia</t>
        </is>
      </c>
      <c r="B941" t="inlineStr">
        <is>
          <t>+5519993360207</t>
        </is>
      </c>
      <c r="C941" t="inlineStr">
        <is>
          <t>Refill</t>
        </is>
      </c>
      <c r="D941" t="inlineStr">
        <is>
          <t>Primer Cachos</t>
        </is>
      </c>
      <c r="E941" t="n">
        <v>1</v>
      </c>
      <c r="F941" t="inlineStr">
        <is>
          <t>2025-12-11</t>
        </is>
      </c>
      <c r="G941" t="n">
        <v>205</v>
      </c>
      <c r="H941" t="inlineStr">
        <is>
          <t>N</t>
        </is>
      </c>
      <c r="I941">
        <f>HYPERLINK("https://admin.shopify.com/store/ge-beauty-cosmeticos/customers/9953039483200","abrir")</f>
        <v/>
      </c>
      <c r="J941">
        <f>HYPERLINK("https://www.gebeauty.com.br/products/primer-cachos-definidos?ref=review","review")</f>
        <v/>
      </c>
      <c r="K941" t="inlineStr">
        <is>
          <t>SEND</t>
        </is>
      </c>
    </row>
    <row r="942">
      <c r="A942" t="inlineStr">
        <is>
          <t>Maria</t>
        </is>
      </c>
      <c r="B942" t="inlineStr">
        <is>
          <t>+5581996020593</t>
        </is>
      </c>
      <c r="C942" t="inlineStr">
        <is>
          <t>Refill</t>
        </is>
      </c>
      <c r="D942" t="inlineStr">
        <is>
          <t>Primer Cachos</t>
        </is>
      </c>
      <c r="E942" t="n">
        <v>1</v>
      </c>
      <c r="F942" t="inlineStr">
        <is>
          <t>2025-12-11</t>
        </is>
      </c>
      <c r="G942" t="n">
        <v>205</v>
      </c>
      <c r="H942" t="inlineStr">
        <is>
          <t>Y</t>
        </is>
      </c>
      <c r="I942">
        <f>HYPERLINK("https://admin.shopify.com/store/ge-beauty-cosmeticos/customers/9953523237184","abrir")</f>
        <v/>
      </c>
      <c r="J942">
        <f>HYPERLINK("https://www.gebeauty.com.br/products/primer-cachos-definidos?ref=review","review")</f>
        <v/>
      </c>
      <c r="K942" t="inlineStr">
        <is>
          <t>SEND</t>
        </is>
      </c>
    </row>
    <row r="943">
      <c r="A943" t="inlineStr">
        <is>
          <t>Janna</t>
        </is>
      </c>
      <c r="B943" t="inlineStr">
        <is>
          <t>+5585998271377</t>
        </is>
      </c>
      <c r="C943" t="inlineStr">
        <is>
          <t>Refill</t>
        </is>
      </c>
      <c r="D943" t="inlineStr">
        <is>
          <t>Primer Cachos</t>
        </is>
      </c>
      <c r="E943" t="n">
        <v>1</v>
      </c>
      <c r="F943" t="inlineStr">
        <is>
          <t>2025-12-11</t>
        </is>
      </c>
      <c r="G943" t="n">
        <v>205</v>
      </c>
      <c r="H943" t="inlineStr">
        <is>
          <t>Y</t>
        </is>
      </c>
      <c r="I943">
        <f>HYPERLINK("https://admin.shopify.com/store/ge-beauty-cosmeticos/customers/9953593884992","abrir")</f>
        <v/>
      </c>
      <c r="J943">
        <f>HYPERLINK("https://www.gebeauty.com.br/products/primer-cachos-definidos?ref=review","review")</f>
        <v/>
      </c>
      <c r="K943" t="inlineStr">
        <is>
          <t>SEND</t>
        </is>
      </c>
    </row>
    <row r="944">
      <c r="A944" t="inlineStr">
        <is>
          <t>Alice</t>
        </is>
      </c>
      <c r="B944" t="inlineStr">
        <is>
          <t>+5521981525958</t>
        </is>
      </c>
      <c r="C944" t="inlineStr">
        <is>
          <t>Refill</t>
        </is>
      </c>
      <c r="D944" t="inlineStr">
        <is>
          <t>Primer Cachos</t>
        </is>
      </c>
      <c r="E944" t="n">
        <v>1</v>
      </c>
      <c r="F944" t="inlineStr">
        <is>
          <t>2025-12-12</t>
        </is>
      </c>
      <c r="G944" t="n">
        <v>204</v>
      </c>
      <c r="H944" t="inlineStr">
        <is>
          <t>Y</t>
        </is>
      </c>
      <c r="I944">
        <f>HYPERLINK("https://admin.shopify.com/store/ge-beauty-cosmeticos/customers/9172772454720","abrir")</f>
        <v/>
      </c>
      <c r="J944">
        <f>HYPERLINK("https://www.gebeauty.com.br/products/primer-cachos-definidos?ref=review","review")</f>
        <v/>
      </c>
      <c r="K944" t="inlineStr">
        <is>
          <t>SEND</t>
        </is>
      </c>
    </row>
    <row r="945">
      <c r="A945" t="inlineStr">
        <is>
          <t>Giliane</t>
        </is>
      </c>
      <c r="B945" t="inlineStr">
        <is>
          <t>+5531987755277</t>
        </is>
      </c>
      <c r="C945" t="inlineStr">
        <is>
          <t>Refill</t>
        </is>
      </c>
      <c r="D945" t="inlineStr">
        <is>
          <t>Primer Cachos</t>
        </is>
      </c>
      <c r="E945" t="n">
        <v>1</v>
      </c>
      <c r="F945" t="inlineStr">
        <is>
          <t>2025-12-12</t>
        </is>
      </c>
      <c r="G945" t="n">
        <v>204</v>
      </c>
      <c r="H945" t="inlineStr">
        <is>
          <t>Y</t>
        </is>
      </c>
      <c r="I945">
        <f>HYPERLINK("https://admin.shopify.com/store/ge-beauty-cosmeticos/customers/9485120045376","abrir")</f>
        <v/>
      </c>
      <c r="J945">
        <f>HYPERLINK("https://www.gebeauty.com.br/products/primer-cachos-definidos?ref=review","review")</f>
        <v/>
      </c>
      <c r="K945" t="inlineStr">
        <is>
          <t>SEND</t>
        </is>
      </c>
    </row>
    <row r="946">
      <c r="A946" t="inlineStr">
        <is>
          <t>Tereza</t>
        </is>
      </c>
      <c r="B946" t="inlineStr">
        <is>
          <t>+5511982701201</t>
        </is>
      </c>
      <c r="C946" t="inlineStr">
        <is>
          <t>Refill</t>
        </is>
      </c>
      <c r="D946" t="inlineStr">
        <is>
          <t>Primer Cachos</t>
        </is>
      </c>
      <c r="E946" t="n">
        <v>1</v>
      </c>
      <c r="F946" t="inlineStr">
        <is>
          <t>2025-12-12</t>
        </is>
      </c>
      <c r="G946" t="n">
        <v>204</v>
      </c>
      <c r="H946" t="inlineStr">
        <is>
          <t>Y</t>
        </is>
      </c>
      <c r="I946">
        <f>HYPERLINK("https://admin.shopify.com/store/ge-beauty-cosmeticos/customers/9955802087744","abrir")</f>
        <v/>
      </c>
      <c r="J946">
        <f>HYPERLINK("https://www.gebeauty.com.br/products/primer-cachos-definidos?ref=review","review")</f>
        <v/>
      </c>
      <c r="K946" t="inlineStr">
        <is>
          <t>SEND</t>
        </is>
      </c>
    </row>
    <row r="947">
      <c r="A947" t="inlineStr">
        <is>
          <t>Geisi</t>
        </is>
      </c>
      <c r="B947" t="inlineStr">
        <is>
          <t>+5511994049525</t>
        </is>
      </c>
      <c r="C947" t="inlineStr">
        <is>
          <t>Refill</t>
        </is>
      </c>
      <c r="D947" t="inlineStr">
        <is>
          <t>Primer Cachos</t>
        </is>
      </c>
      <c r="E947" t="n">
        <v>1</v>
      </c>
      <c r="F947" t="inlineStr">
        <is>
          <t>2025-12-12</t>
        </is>
      </c>
      <c r="G947" t="n">
        <v>204</v>
      </c>
      <c r="H947" t="inlineStr">
        <is>
          <t>Y</t>
        </is>
      </c>
      <c r="I947">
        <f>HYPERLINK("https://admin.shopify.com/store/ge-beauty-cosmeticos/customers/7762015191360","abrir")</f>
        <v/>
      </c>
      <c r="J947">
        <f>HYPERLINK("https://www.gebeauty.com.br/products/primer-cachos-definidos?ref=review","review")</f>
        <v/>
      </c>
      <c r="K947" t="inlineStr">
        <is>
          <t>SEND</t>
        </is>
      </c>
    </row>
    <row r="948">
      <c r="A948" t="inlineStr">
        <is>
          <t>Camilla</t>
        </is>
      </c>
      <c r="B948" t="inlineStr">
        <is>
          <t>+5534992639552</t>
        </is>
      </c>
      <c r="C948" t="inlineStr">
        <is>
          <t>Refill</t>
        </is>
      </c>
      <c r="D948" t="inlineStr">
        <is>
          <t>Primer Cachos</t>
        </is>
      </c>
      <c r="E948" t="n">
        <v>1</v>
      </c>
      <c r="F948" t="inlineStr">
        <is>
          <t>2025-12-12</t>
        </is>
      </c>
      <c r="G948" t="n">
        <v>204</v>
      </c>
      <c r="H948" t="inlineStr">
        <is>
          <t>Y</t>
        </is>
      </c>
      <c r="I948">
        <f>HYPERLINK("https://admin.shopify.com/store/ge-beauty-cosmeticos/customers/9533559374144","abrir")</f>
        <v/>
      </c>
      <c r="J948">
        <f>HYPERLINK("https://www.gebeauty.com.br/products/primer-cachos-definidos?ref=review","review")</f>
        <v/>
      </c>
      <c r="K948" t="inlineStr">
        <is>
          <t>SEND</t>
        </is>
      </c>
    </row>
    <row r="949">
      <c r="A949" t="inlineStr">
        <is>
          <t>Lis Fernanda</t>
        </is>
      </c>
      <c r="B949" t="inlineStr">
        <is>
          <t>+5521999413003</t>
        </is>
      </c>
      <c r="C949" t="inlineStr">
        <is>
          <t>Refill</t>
        </is>
      </c>
      <c r="D949" t="inlineStr">
        <is>
          <t>Primer Cachos</t>
        </is>
      </c>
      <c r="E949" t="n">
        <v>1</v>
      </c>
      <c r="F949" t="inlineStr">
        <is>
          <t>2025-12-13</t>
        </is>
      </c>
      <c r="G949" t="n">
        <v>203</v>
      </c>
      <c r="H949" t="inlineStr">
        <is>
          <t>Y</t>
        </is>
      </c>
      <c r="I949">
        <f>HYPERLINK("https://admin.shopify.com/store/ge-beauty-cosmeticos/customers/9956418224448","abrir")</f>
        <v/>
      </c>
      <c r="J949">
        <f>HYPERLINK("https://www.gebeauty.com.br/products/primer-cachos-definidos?ref=review","review")</f>
        <v/>
      </c>
      <c r="K949" t="inlineStr">
        <is>
          <t>SEND</t>
        </is>
      </c>
    </row>
    <row r="950">
      <c r="A950" t="inlineStr">
        <is>
          <t>Lorena</t>
        </is>
      </c>
      <c r="B950" t="inlineStr">
        <is>
          <t>+5592982370031</t>
        </is>
      </c>
      <c r="C950" t="inlineStr">
        <is>
          <t>Refill</t>
        </is>
      </c>
      <c r="D950" t="inlineStr">
        <is>
          <t>Primer Cachos</t>
        </is>
      </c>
      <c r="E950" t="n">
        <v>1</v>
      </c>
      <c r="F950" t="inlineStr">
        <is>
          <t>2025-12-13</t>
        </is>
      </c>
      <c r="G950" t="n">
        <v>203</v>
      </c>
      <c r="H950" t="inlineStr">
        <is>
          <t>Y</t>
        </is>
      </c>
      <c r="I950">
        <f>HYPERLINK("https://admin.shopify.com/store/ge-beauty-cosmeticos/customers/9485934199104","abrir")</f>
        <v/>
      </c>
      <c r="J950">
        <f>HYPERLINK("https://www.gebeauty.com.br/products/primer-cachos-definidos?ref=review","review")</f>
        <v/>
      </c>
      <c r="K950" t="inlineStr">
        <is>
          <t>SEND</t>
        </is>
      </c>
    </row>
    <row r="951">
      <c r="A951" t="inlineStr">
        <is>
          <t>Jussara</t>
        </is>
      </c>
      <c r="B951" t="inlineStr">
        <is>
          <t>+5512981197686</t>
        </is>
      </c>
      <c r="C951" t="inlineStr">
        <is>
          <t>Refill</t>
        </is>
      </c>
      <c r="D951" t="inlineStr">
        <is>
          <t>Primer Cachos</t>
        </is>
      </c>
      <c r="E951" t="n">
        <v>1</v>
      </c>
      <c r="F951" t="inlineStr">
        <is>
          <t>2025-12-13</t>
        </is>
      </c>
      <c r="G951" t="n">
        <v>203</v>
      </c>
      <c r="H951" t="inlineStr">
        <is>
          <t>Y</t>
        </is>
      </c>
      <c r="I951">
        <f>HYPERLINK("https://admin.shopify.com/store/ge-beauty-cosmeticos/customers/9957346214208","abrir")</f>
        <v/>
      </c>
      <c r="J951">
        <f>HYPERLINK("https://www.gebeauty.com.br/products/primer-cachos-definidos?ref=review","review")</f>
        <v/>
      </c>
      <c r="K951" t="inlineStr">
        <is>
          <t>SEND</t>
        </is>
      </c>
    </row>
    <row r="952">
      <c r="A952" t="inlineStr">
        <is>
          <t>Irlane</t>
        </is>
      </c>
      <c r="B952" t="inlineStr">
        <is>
          <t>+5581997327164</t>
        </is>
      </c>
      <c r="C952" t="inlineStr">
        <is>
          <t>Refill</t>
        </is>
      </c>
      <c r="D952" t="inlineStr">
        <is>
          <t>Primer Cachos</t>
        </is>
      </c>
      <c r="E952" t="n">
        <v>1</v>
      </c>
      <c r="F952" t="inlineStr">
        <is>
          <t>2025-12-13</t>
        </is>
      </c>
      <c r="G952" t="n">
        <v>203</v>
      </c>
      <c r="H952" t="inlineStr">
        <is>
          <t>Y</t>
        </is>
      </c>
      <c r="I952">
        <f>HYPERLINK("https://admin.shopify.com/store/ge-beauty-cosmeticos/customers/9957933384000","abrir")</f>
        <v/>
      </c>
      <c r="J952">
        <f>HYPERLINK("https://www.gebeauty.com.br/products/primer-cachos-definidos?ref=review","review")</f>
        <v/>
      </c>
      <c r="K952" t="inlineStr">
        <is>
          <t>SEND</t>
        </is>
      </c>
    </row>
    <row r="953">
      <c r="A953" t="inlineStr">
        <is>
          <t>Katia</t>
        </is>
      </c>
      <c r="B953" t="inlineStr">
        <is>
          <t>+5511997225011</t>
        </is>
      </c>
      <c r="C953" t="inlineStr">
        <is>
          <t>Refill</t>
        </is>
      </c>
      <c r="D953" t="inlineStr">
        <is>
          <t>Primer Cachos</t>
        </is>
      </c>
      <c r="E953" t="n">
        <v>1</v>
      </c>
      <c r="F953" t="inlineStr">
        <is>
          <t>2025-12-13</t>
        </is>
      </c>
      <c r="G953" t="n">
        <v>203</v>
      </c>
      <c r="H953" t="inlineStr">
        <is>
          <t>Y</t>
        </is>
      </c>
      <c r="I953">
        <f>HYPERLINK("https://admin.shopify.com/store/ge-beauty-cosmeticos/customers/9957967659328","abrir")</f>
        <v/>
      </c>
      <c r="J953">
        <f>HYPERLINK("https://www.gebeauty.com.br/products/primer-cachos-definidos?ref=review","review")</f>
        <v/>
      </c>
      <c r="K953" t="inlineStr">
        <is>
          <t>SEND</t>
        </is>
      </c>
    </row>
    <row r="954">
      <c r="A954" t="inlineStr">
        <is>
          <t>Mariana</t>
        </is>
      </c>
      <c r="B954" t="inlineStr">
        <is>
          <t>+5581996648090</t>
        </is>
      </c>
      <c r="C954" t="inlineStr">
        <is>
          <t>Refill</t>
        </is>
      </c>
      <c r="D954" t="inlineStr">
        <is>
          <t>Primer Cachos</t>
        </is>
      </c>
      <c r="E954" t="n">
        <v>1</v>
      </c>
      <c r="F954" t="inlineStr">
        <is>
          <t>2025-12-13</t>
        </is>
      </c>
      <c r="G954" t="n">
        <v>203</v>
      </c>
      <c r="H954" t="inlineStr">
        <is>
          <t>Y</t>
        </is>
      </c>
      <c r="I954">
        <f>HYPERLINK("https://admin.shopify.com/store/ge-beauty-cosmeticos/customers/9958457278784","abrir")</f>
        <v/>
      </c>
      <c r="J954">
        <f>HYPERLINK("https://www.gebeauty.com.br/products/primer-cachos-definidos?ref=review","review")</f>
        <v/>
      </c>
      <c r="K954" t="inlineStr">
        <is>
          <t>SEND</t>
        </is>
      </c>
    </row>
    <row r="955">
      <c r="A955" t="inlineStr">
        <is>
          <t>Ana</t>
        </is>
      </c>
      <c r="B955" t="inlineStr">
        <is>
          <t>+5584999086098</t>
        </is>
      </c>
      <c r="C955" t="inlineStr">
        <is>
          <t>Refill</t>
        </is>
      </c>
      <c r="D955" t="inlineStr">
        <is>
          <t>Primer Cachos</t>
        </is>
      </c>
      <c r="E955" t="n">
        <v>1</v>
      </c>
      <c r="F955" t="inlineStr">
        <is>
          <t>2025-12-13</t>
        </is>
      </c>
      <c r="G955" t="n">
        <v>203</v>
      </c>
      <c r="H955" t="inlineStr">
        <is>
          <t>Y</t>
        </is>
      </c>
      <c r="I955">
        <f>HYPERLINK("https://admin.shopify.com/store/ge-beauty-cosmeticos/customers/9958661128512","abrir")</f>
        <v/>
      </c>
      <c r="J955">
        <f>HYPERLINK("https://www.gebeauty.com.br/products/primer-cachos-definidos?ref=review","review")</f>
        <v/>
      </c>
      <c r="K955" t="inlineStr">
        <is>
          <t>SEND</t>
        </is>
      </c>
    </row>
    <row r="956">
      <c r="A956" t="inlineStr">
        <is>
          <t>Victoria</t>
        </is>
      </c>
      <c r="B956" t="inlineStr">
        <is>
          <t>+5511976608760</t>
        </is>
      </c>
      <c r="C956" t="inlineStr">
        <is>
          <t>Refill</t>
        </is>
      </c>
      <c r="D956" t="inlineStr">
        <is>
          <t>Primer Cachos</t>
        </is>
      </c>
      <c r="E956" t="n">
        <v>1</v>
      </c>
      <c r="F956" t="inlineStr">
        <is>
          <t>2025-12-13</t>
        </is>
      </c>
      <c r="G956" t="n">
        <v>203</v>
      </c>
      <c r="H956" t="inlineStr">
        <is>
          <t>Y</t>
        </is>
      </c>
      <c r="I956">
        <f>HYPERLINK("https://admin.shopify.com/store/ge-beauty-cosmeticos/customers/9958756843840","abrir")</f>
        <v/>
      </c>
      <c r="J956">
        <f>HYPERLINK("https://www.gebeauty.com.br/products/primer-cachos-definidos?ref=review","review")</f>
        <v/>
      </c>
      <c r="K956" t="inlineStr">
        <is>
          <t>SEND</t>
        </is>
      </c>
    </row>
    <row r="957">
      <c r="A957" t="inlineStr">
        <is>
          <t>Ana</t>
        </is>
      </c>
      <c r="B957" t="inlineStr">
        <is>
          <t>+5521988174177</t>
        </is>
      </c>
      <c r="C957" t="inlineStr">
        <is>
          <t>Refill</t>
        </is>
      </c>
      <c r="D957" t="inlineStr">
        <is>
          <t>Primer Cachos</t>
        </is>
      </c>
      <c r="E957" t="n">
        <v>1</v>
      </c>
      <c r="F957" t="inlineStr">
        <is>
          <t>2025-12-14</t>
        </is>
      </c>
      <c r="G957" t="n">
        <v>202</v>
      </c>
      <c r="H957" t="inlineStr">
        <is>
          <t>Y</t>
        </is>
      </c>
      <c r="I957">
        <f>HYPERLINK("https://admin.shopify.com/store/ge-beauty-cosmeticos/customers/7761916952896","abrir")</f>
        <v/>
      </c>
      <c r="J957">
        <f>HYPERLINK("https://www.gebeauty.com.br/products/primer-cachos-definidos?ref=review","review")</f>
        <v/>
      </c>
      <c r="K957" t="inlineStr">
        <is>
          <t>SEND</t>
        </is>
      </c>
    </row>
    <row r="958">
      <c r="A958" t="inlineStr">
        <is>
          <t>Julia</t>
        </is>
      </c>
      <c r="B958" t="inlineStr">
        <is>
          <t>+5519995454341</t>
        </is>
      </c>
      <c r="C958" t="inlineStr">
        <is>
          <t>Refill</t>
        </is>
      </c>
      <c r="D958" t="inlineStr">
        <is>
          <t>Primer Cachos</t>
        </is>
      </c>
      <c r="E958" t="n">
        <v>1</v>
      </c>
      <c r="F958" t="inlineStr">
        <is>
          <t>2025-12-14</t>
        </is>
      </c>
      <c r="G958" t="n">
        <v>202</v>
      </c>
      <c r="H958" t="inlineStr">
        <is>
          <t>Y</t>
        </is>
      </c>
      <c r="I958">
        <f>HYPERLINK("https://admin.shopify.com/store/ge-beauty-cosmeticos/customers/9827591782720","abrir")</f>
        <v/>
      </c>
      <c r="J958">
        <f>HYPERLINK("https://www.gebeauty.com.br/products/primer-cachos-definidos?ref=review","review")</f>
        <v/>
      </c>
      <c r="K958" t="inlineStr">
        <is>
          <t>HOLDOUT</t>
        </is>
      </c>
    </row>
    <row r="959">
      <c r="A959" t="inlineStr">
        <is>
          <t>Laura</t>
        </is>
      </c>
      <c r="B959" t="inlineStr">
        <is>
          <t>+5561992010273</t>
        </is>
      </c>
      <c r="C959" t="inlineStr">
        <is>
          <t>Refill</t>
        </is>
      </c>
      <c r="D959" t="inlineStr">
        <is>
          <t>Primer Cachos</t>
        </is>
      </c>
      <c r="E959" t="n">
        <v>1</v>
      </c>
      <c r="F959" t="inlineStr">
        <is>
          <t>2025-12-14</t>
        </is>
      </c>
      <c r="G959" t="n">
        <v>202</v>
      </c>
      <c r="H959" t="inlineStr">
        <is>
          <t>Y</t>
        </is>
      </c>
      <c r="I959">
        <f>HYPERLINK("https://admin.shopify.com/store/ge-beauty-cosmeticos/customers/9485786612032","abrir")</f>
        <v/>
      </c>
      <c r="J959">
        <f>HYPERLINK("https://www.gebeauty.com.br/products/primer-cachos-definidos?ref=review","review")</f>
        <v/>
      </c>
      <c r="K959" t="inlineStr">
        <is>
          <t>SEND</t>
        </is>
      </c>
    </row>
    <row r="960">
      <c r="A960" t="inlineStr">
        <is>
          <t>Patricia</t>
        </is>
      </c>
      <c r="B960" t="inlineStr">
        <is>
          <t>+551938732171</t>
        </is>
      </c>
      <c r="C960" t="inlineStr">
        <is>
          <t>Refill</t>
        </is>
      </c>
      <c r="D960" t="inlineStr">
        <is>
          <t>Primer Cachos</t>
        </is>
      </c>
      <c r="E960" t="n">
        <v>1</v>
      </c>
      <c r="F960" t="inlineStr">
        <is>
          <t>2025-12-14</t>
        </is>
      </c>
      <c r="G960" t="n">
        <v>202</v>
      </c>
      <c r="H960" t="inlineStr">
        <is>
          <t>Y</t>
        </is>
      </c>
      <c r="I960">
        <f>HYPERLINK("https://admin.shopify.com/store/ge-beauty-cosmeticos/customers/9486201946432","abrir")</f>
        <v/>
      </c>
      <c r="J960">
        <f>HYPERLINK("https://www.gebeauty.com.br/products/primer-cachos-definidos?ref=review","review")</f>
        <v/>
      </c>
      <c r="K960" t="inlineStr">
        <is>
          <t>SEND</t>
        </is>
      </c>
    </row>
    <row r="961">
      <c r="A961" t="inlineStr">
        <is>
          <t>Vanessa</t>
        </is>
      </c>
      <c r="B961" t="inlineStr">
        <is>
          <t>+5581999530925</t>
        </is>
      </c>
      <c r="C961" t="inlineStr">
        <is>
          <t>Refill</t>
        </is>
      </c>
      <c r="D961" t="inlineStr">
        <is>
          <t>Primer Cachos</t>
        </is>
      </c>
      <c r="E961" t="n">
        <v>1</v>
      </c>
      <c r="F961" t="inlineStr">
        <is>
          <t>2025-12-14</t>
        </is>
      </c>
      <c r="G961" t="n">
        <v>202</v>
      </c>
      <c r="H961" t="inlineStr">
        <is>
          <t>Y</t>
        </is>
      </c>
      <c r="I961">
        <f>HYPERLINK("https://admin.shopify.com/store/ge-beauty-cosmeticos/customers/7762442649920","abrir")</f>
        <v/>
      </c>
      <c r="J961">
        <f>HYPERLINK("https://www.gebeauty.com.br/products/primer-cachos-definidos?ref=review","review")</f>
        <v/>
      </c>
      <c r="K961" t="inlineStr">
        <is>
          <t>SEND</t>
        </is>
      </c>
    </row>
    <row r="962">
      <c r="A962" t="inlineStr">
        <is>
          <t>Rayssa</t>
        </is>
      </c>
      <c r="B962" t="inlineStr">
        <is>
          <t>+5585988957399</t>
        </is>
      </c>
      <c r="C962" t="inlineStr">
        <is>
          <t>Refill</t>
        </is>
      </c>
      <c r="D962" t="inlineStr">
        <is>
          <t>Primer Cachos</t>
        </is>
      </c>
      <c r="E962" t="n">
        <v>1</v>
      </c>
      <c r="F962" t="inlineStr">
        <is>
          <t>2025-12-14</t>
        </is>
      </c>
      <c r="G962" t="n">
        <v>202</v>
      </c>
      <c r="H962" t="inlineStr">
        <is>
          <t>Y</t>
        </is>
      </c>
      <c r="I962">
        <f>HYPERLINK("https://admin.shopify.com/store/ge-beauty-cosmeticos/customers/9484916883776","abrir")</f>
        <v/>
      </c>
      <c r="J962">
        <f>HYPERLINK("https://www.gebeauty.com.br/products/primer-cachos-definidos?ref=review","review")</f>
        <v/>
      </c>
      <c r="K962" t="inlineStr">
        <is>
          <t>HOLDOUT</t>
        </is>
      </c>
    </row>
    <row r="963">
      <c r="A963" t="inlineStr">
        <is>
          <t>Rafaela</t>
        </is>
      </c>
      <c r="B963" t="inlineStr">
        <is>
          <t>+5511993703489</t>
        </is>
      </c>
      <c r="C963" t="inlineStr">
        <is>
          <t>Refill</t>
        </is>
      </c>
      <c r="D963" t="inlineStr">
        <is>
          <t>Primer Cachos</t>
        </is>
      </c>
      <c r="E963" t="n">
        <v>1</v>
      </c>
      <c r="F963" t="inlineStr">
        <is>
          <t>2025-12-14</t>
        </is>
      </c>
      <c r="G963" t="n">
        <v>202</v>
      </c>
      <c r="H963" t="inlineStr">
        <is>
          <t>Y</t>
        </is>
      </c>
      <c r="I963">
        <f>HYPERLINK("https://admin.shopify.com/store/ge-beauty-cosmeticos/customers/9958477562176","abrir")</f>
        <v/>
      </c>
      <c r="J963">
        <f>HYPERLINK("https://www.gebeauty.com.br/products/primer-cachos-definidos?ref=review","review")</f>
        <v/>
      </c>
      <c r="K963" t="inlineStr">
        <is>
          <t>SEND</t>
        </is>
      </c>
    </row>
    <row r="964">
      <c r="A964" t="inlineStr">
        <is>
          <t>Cibele</t>
        </is>
      </c>
      <c r="B964" t="inlineStr">
        <is>
          <t>+5511971702408</t>
        </is>
      </c>
      <c r="C964" t="inlineStr">
        <is>
          <t>Refill</t>
        </is>
      </c>
      <c r="D964" t="inlineStr">
        <is>
          <t>Primer Cachos</t>
        </is>
      </c>
      <c r="E964" t="n">
        <v>1</v>
      </c>
      <c r="F964" t="inlineStr">
        <is>
          <t>2025-12-14</t>
        </is>
      </c>
      <c r="G964" t="n">
        <v>202</v>
      </c>
      <c r="H964" t="inlineStr">
        <is>
          <t>Y</t>
        </is>
      </c>
      <c r="I964">
        <f>HYPERLINK("https://admin.shopify.com/store/ge-beauty-cosmeticos/customers/9960818442560","abrir")</f>
        <v/>
      </c>
      <c r="J964">
        <f>HYPERLINK("https://www.gebeauty.com.br/products/primer-cachos-definidos?ref=review","review")</f>
        <v/>
      </c>
      <c r="K964" t="inlineStr">
        <is>
          <t>SEND</t>
        </is>
      </c>
    </row>
    <row r="965">
      <c r="A965" t="inlineStr">
        <is>
          <t>Giovanna</t>
        </is>
      </c>
      <c r="B965" t="inlineStr">
        <is>
          <t>+5541998221818</t>
        </is>
      </c>
      <c r="C965" t="inlineStr">
        <is>
          <t>Refill</t>
        </is>
      </c>
      <c r="D965" t="inlineStr">
        <is>
          <t>Primer Cachos</t>
        </is>
      </c>
      <c r="E965" t="n">
        <v>1</v>
      </c>
      <c r="F965" t="inlineStr">
        <is>
          <t>2025-12-14</t>
        </is>
      </c>
      <c r="G965" t="n">
        <v>202</v>
      </c>
      <c r="H965" t="inlineStr">
        <is>
          <t>Y</t>
        </is>
      </c>
      <c r="I965">
        <f>HYPERLINK("https://admin.shopify.com/store/ge-beauty-cosmeticos/customers/7760859529536","abrir")</f>
        <v/>
      </c>
      <c r="J965">
        <f>HYPERLINK("https://www.gebeauty.com.br/products/primer-cachos-definidos?ref=review","review")</f>
        <v/>
      </c>
      <c r="K965" t="inlineStr">
        <is>
          <t>HOLDOUT</t>
        </is>
      </c>
    </row>
    <row r="966">
      <c r="A966" t="inlineStr">
        <is>
          <t>Beatrice</t>
        </is>
      </c>
      <c r="B966" t="inlineStr">
        <is>
          <t>+5511982222282</t>
        </is>
      </c>
      <c r="C966" t="inlineStr">
        <is>
          <t>Refill</t>
        </is>
      </c>
      <c r="D966" t="inlineStr">
        <is>
          <t>Primer Cachos</t>
        </is>
      </c>
      <c r="E966" t="n">
        <v>1</v>
      </c>
      <c r="F966" t="inlineStr">
        <is>
          <t>2025-12-14</t>
        </is>
      </c>
      <c r="G966" t="n">
        <v>202</v>
      </c>
      <c r="H966" t="inlineStr">
        <is>
          <t>Y</t>
        </is>
      </c>
      <c r="I966">
        <f>HYPERLINK("https://admin.shopify.com/store/ge-beauty-cosmeticos/customers/9485479641408","abrir")</f>
        <v/>
      </c>
      <c r="J966">
        <f>HYPERLINK("https://www.gebeauty.com.br/products/primer-cachos-definidos?ref=review","review")</f>
        <v/>
      </c>
      <c r="K966" t="inlineStr">
        <is>
          <t>SEND</t>
        </is>
      </c>
    </row>
    <row r="967">
      <c r="A967" t="inlineStr">
        <is>
          <t>Luana</t>
        </is>
      </c>
      <c r="B967" t="inlineStr">
        <is>
          <t>+5511995677067</t>
        </is>
      </c>
      <c r="C967" t="inlineStr">
        <is>
          <t>Refill</t>
        </is>
      </c>
      <c r="D967" t="inlineStr">
        <is>
          <t>Primer Cachos</t>
        </is>
      </c>
      <c r="E967" t="n">
        <v>1</v>
      </c>
      <c r="F967" t="inlineStr">
        <is>
          <t>2025-12-15</t>
        </is>
      </c>
      <c r="G967" t="n">
        <v>201</v>
      </c>
      <c r="H967" t="inlineStr">
        <is>
          <t>Y</t>
        </is>
      </c>
      <c r="I967">
        <f>HYPERLINK("https://admin.shopify.com/store/ge-beauty-cosmeticos/customers/9961746334016","abrir")</f>
        <v/>
      </c>
      <c r="J967">
        <f>HYPERLINK("https://www.gebeauty.com.br/products/primer-cachos-definidos?ref=review","review")</f>
        <v/>
      </c>
      <c r="K967" t="inlineStr">
        <is>
          <t>SEND</t>
        </is>
      </c>
    </row>
    <row r="968">
      <c r="A968" t="inlineStr">
        <is>
          <t>Débora</t>
        </is>
      </c>
      <c r="B968" t="inlineStr">
        <is>
          <t>+5551999332487</t>
        </is>
      </c>
      <c r="C968" t="inlineStr">
        <is>
          <t>Refill</t>
        </is>
      </c>
      <c r="D968" t="inlineStr">
        <is>
          <t>Primer Cachos</t>
        </is>
      </c>
      <c r="E968" t="n">
        <v>1</v>
      </c>
      <c r="F968" t="inlineStr">
        <is>
          <t>2025-12-15</t>
        </is>
      </c>
      <c r="G968" t="n">
        <v>201</v>
      </c>
      <c r="H968" t="inlineStr">
        <is>
          <t>Y</t>
        </is>
      </c>
      <c r="I968">
        <f>HYPERLINK("https://admin.shopify.com/store/ge-beauty-cosmeticos/customers/9961741812032","abrir")</f>
        <v/>
      </c>
      <c r="J968">
        <f>HYPERLINK("https://www.gebeauty.com.br/products/primer-cachos-definidos?ref=review","review")</f>
        <v/>
      </c>
      <c r="K968" t="inlineStr">
        <is>
          <t>SEND</t>
        </is>
      </c>
    </row>
    <row r="969">
      <c r="A969" t="inlineStr">
        <is>
          <t>Isadora</t>
        </is>
      </c>
      <c r="B969" t="inlineStr">
        <is>
          <t>+5571991999960</t>
        </is>
      </c>
      <c r="C969" t="inlineStr">
        <is>
          <t>Refill</t>
        </is>
      </c>
      <c r="D969" t="inlineStr">
        <is>
          <t>Primer Cachos</t>
        </is>
      </c>
      <c r="E969" t="n">
        <v>1</v>
      </c>
      <c r="F969" t="inlineStr">
        <is>
          <t>2025-12-15</t>
        </is>
      </c>
      <c r="G969" t="n">
        <v>201</v>
      </c>
      <c r="H969" t="inlineStr">
        <is>
          <t>Y</t>
        </is>
      </c>
      <c r="I969">
        <f>HYPERLINK("https://admin.shopify.com/store/ge-beauty-cosmeticos/customers/9962834755904","abrir")</f>
        <v/>
      </c>
      <c r="J969">
        <f>HYPERLINK("https://www.gebeauty.com.br/products/primer-cachos-definidos?ref=review","review")</f>
        <v/>
      </c>
      <c r="K969" t="inlineStr">
        <is>
          <t>SEND</t>
        </is>
      </c>
    </row>
    <row r="970">
      <c r="A970" t="inlineStr">
        <is>
          <t>Maria Fernanda</t>
        </is>
      </c>
      <c r="B970" t="inlineStr">
        <is>
          <t>+5512991150858</t>
        </is>
      </c>
      <c r="C970" t="inlineStr">
        <is>
          <t>Refill</t>
        </is>
      </c>
      <c r="D970" t="inlineStr">
        <is>
          <t>Primer Cachos</t>
        </is>
      </c>
      <c r="E970" t="n">
        <v>1</v>
      </c>
      <c r="F970" t="inlineStr">
        <is>
          <t>2025-12-15</t>
        </is>
      </c>
      <c r="G970" t="n">
        <v>201</v>
      </c>
      <c r="H970" t="inlineStr">
        <is>
          <t>Y</t>
        </is>
      </c>
      <c r="I970">
        <f>HYPERLINK("https://admin.shopify.com/store/ge-beauty-cosmeticos/customers/9486449738048","abrir")</f>
        <v/>
      </c>
      <c r="J970">
        <f>HYPERLINK("https://www.gebeauty.com.br/products/primer-cachos-definidos?ref=review","review")</f>
        <v/>
      </c>
      <c r="K970" t="inlineStr">
        <is>
          <t>SEND</t>
        </is>
      </c>
    </row>
    <row r="971">
      <c r="A971" t="inlineStr">
        <is>
          <t>Carlos</t>
        </is>
      </c>
      <c r="B971" t="inlineStr">
        <is>
          <t>+5514996194406</t>
        </is>
      </c>
      <c r="C971" t="inlineStr">
        <is>
          <t>Refill</t>
        </is>
      </c>
      <c r="D971" t="inlineStr">
        <is>
          <t>Primer Cachos</t>
        </is>
      </c>
      <c r="E971" t="n">
        <v>1</v>
      </c>
      <c r="F971" t="inlineStr">
        <is>
          <t>2025-12-15</t>
        </is>
      </c>
      <c r="G971" t="n">
        <v>201</v>
      </c>
      <c r="H971" t="inlineStr">
        <is>
          <t>Y</t>
        </is>
      </c>
      <c r="I971">
        <f>HYPERLINK("https://admin.shopify.com/store/ge-beauty-cosmeticos/customers/9962809721152","abrir")</f>
        <v/>
      </c>
      <c r="J971">
        <f>HYPERLINK("https://www.gebeauty.com.br/products/primer-cachos-definidos?ref=review","review")</f>
        <v/>
      </c>
      <c r="K971" t="inlineStr">
        <is>
          <t>SEND</t>
        </is>
      </c>
    </row>
    <row r="972">
      <c r="A972" t="inlineStr">
        <is>
          <t>Marcela</t>
        </is>
      </c>
      <c r="B972" t="inlineStr">
        <is>
          <t>+5511996581575</t>
        </is>
      </c>
      <c r="C972" t="inlineStr">
        <is>
          <t>Refill</t>
        </is>
      </c>
      <c r="D972" t="inlineStr">
        <is>
          <t>Primer Cachos</t>
        </is>
      </c>
      <c r="E972" t="n">
        <v>1</v>
      </c>
      <c r="F972" t="inlineStr">
        <is>
          <t>2025-12-15</t>
        </is>
      </c>
      <c r="G972" t="n">
        <v>201</v>
      </c>
      <c r="H972" t="inlineStr">
        <is>
          <t>Y</t>
        </is>
      </c>
      <c r="I972">
        <f>HYPERLINK("https://admin.shopify.com/store/ge-beauty-cosmeticos/customers/9964198035776","abrir")</f>
        <v/>
      </c>
      <c r="J972">
        <f>HYPERLINK("https://www.gebeauty.com.br/products/primer-cachos-definidos?ref=review","review")</f>
        <v/>
      </c>
      <c r="K972" t="inlineStr">
        <is>
          <t>SEND</t>
        </is>
      </c>
    </row>
    <row r="973">
      <c r="A973" t="inlineStr">
        <is>
          <t>Luiza</t>
        </is>
      </c>
      <c r="B973" t="inlineStr">
        <is>
          <t>+5511999440866</t>
        </is>
      </c>
      <c r="C973" t="inlineStr">
        <is>
          <t>Refill</t>
        </is>
      </c>
      <c r="D973" t="inlineStr">
        <is>
          <t>Primer Cachos</t>
        </is>
      </c>
      <c r="E973" t="n">
        <v>1</v>
      </c>
      <c r="F973" t="inlineStr">
        <is>
          <t>2025-12-16</t>
        </is>
      </c>
      <c r="G973" t="n">
        <v>200</v>
      </c>
      <c r="H973" t="inlineStr">
        <is>
          <t>Y</t>
        </is>
      </c>
      <c r="I973">
        <f>HYPERLINK("https://admin.shopify.com/store/ge-beauty-cosmeticos/customers/9964609864000","abrir")</f>
        <v/>
      </c>
      <c r="J973">
        <f>HYPERLINK("https://www.gebeauty.com.br/products/primer-cachos-definidos?ref=review","review")</f>
        <v/>
      </c>
      <c r="K973" t="inlineStr">
        <is>
          <t>HOLDOUT</t>
        </is>
      </c>
    </row>
    <row r="974">
      <c r="A974" t="inlineStr">
        <is>
          <t>Talitha</t>
        </is>
      </c>
      <c r="B974" t="inlineStr">
        <is>
          <t>+5519981177876</t>
        </is>
      </c>
      <c r="C974" t="inlineStr">
        <is>
          <t>Refill</t>
        </is>
      </c>
      <c r="D974" t="inlineStr">
        <is>
          <t>Primer Cachos</t>
        </is>
      </c>
      <c r="E974" t="n">
        <v>1</v>
      </c>
      <c r="F974" t="inlineStr">
        <is>
          <t>2025-12-16</t>
        </is>
      </c>
      <c r="G974" t="n">
        <v>200</v>
      </c>
      <c r="H974" t="inlineStr">
        <is>
          <t>Y</t>
        </is>
      </c>
      <c r="I974">
        <f>HYPERLINK("https://admin.shopify.com/store/ge-beauty-cosmeticos/customers/9965177307456","abrir")</f>
        <v/>
      </c>
      <c r="J974">
        <f>HYPERLINK("https://www.gebeauty.com.br/products/primer-cachos-definidos?ref=review","review")</f>
        <v/>
      </c>
      <c r="K974" t="inlineStr">
        <is>
          <t>SEND</t>
        </is>
      </c>
    </row>
    <row r="975">
      <c r="A975" t="inlineStr">
        <is>
          <t>Letícia</t>
        </is>
      </c>
      <c r="B975" t="inlineStr">
        <is>
          <t>+5511934667368</t>
        </is>
      </c>
      <c r="C975" t="inlineStr">
        <is>
          <t>Refill</t>
        </is>
      </c>
      <c r="D975" t="inlineStr">
        <is>
          <t>Primer Cachos</t>
        </is>
      </c>
      <c r="E975" t="n">
        <v>1</v>
      </c>
      <c r="F975" t="inlineStr">
        <is>
          <t>2026-02-12</t>
        </is>
      </c>
      <c r="G975" t="n">
        <v>142</v>
      </c>
      <c r="H975" t="inlineStr">
        <is>
          <t>Y</t>
        </is>
      </c>
      <c r="I975">
        <f>HYPERLINK("https://admin.shopify.com/store/ge-beauty-cosmeticos/customers/9707193401664","abrir")</f>
        <v/>
      </c>
      <c r="J975">
        <f>HYPERLINK("https://www.gebeauty.com.br/products/primer-cachos-definidos?ref=review","review")</f>
        <v/>
      </c>
      <c r="K975" t="inlineStr">
        <is>
          <t>SEND</t>
        </is>
      </c>
    </row>
    <row r="976">
      <c r="A976" t="inlineStr">
        <is>
          <t>Carolina Angélica</t>
        </is>
      </c>
      <c r="B976" t="inlineStr">
        <is>
          <t>+5565999959800</t>
        </is>
      </c>
      <c r="C976" t="inlineStr">
        <is>
          <t>Refill</t>
        </is>
      </c>
      <c r="D976" t="inlineStr">
        <is>
          <t>Primer Cachos</t>
        </is>
      </c>
      <c r="E976" t="n">
        <v>1</v>
      </c>
      <c r="F976" t="inlineStr">
        <is>
          <t>2025-12-16</t>
        </is>
      </c>
      <c r="G976" t="n">
        <v>200</v>
      </c>
      <c r="H976" t="inlineStr">
        <is>
          <t>Y</t>
        </is>
      </c>
      <c r="I976">
        <f>HYPERLINK("https://admin.shopify.com/store/ge-beauty-cosmeticos/customers/9856556990784","abrir")</f>
        <v/>
      </c>
      <c r="J976">
        <f>HYPERLINK("https://www.gebeauty.com.br/products/primer-cachos-definidos?ref=review","review")</f>
        <v/>
      </c>
      <c r="K976" t="inlineStr">
        <is>
          <t>SEND</t>
        </is>
      </c>
    </row>
    <row r="977">
      <c r="A977" t="inlineStr">
        <is>
          <t>Camila</t>
        </is>
      </c>
      <c r="B977" t="inlineStr">
        <is>
          <t>+5561991071521</t>
        </is>
      </c>
      <c r="C977" t="inlineStr">
        <is>
          <t>Refill</t>
        </is>
      </c>
      <c r="D977" t="inlineStr">
        <is>
          <t>Primer Cachos</t>
        </is>
      </c>
      <c r="E977" t="n">
        <v>1</v>
      </c>
      <c r="F977" t="inlineStr">
        <is>
          <t>2025-12-16</t>
        </is>
      </c>
      <c r="G977" t="n">
        <v>200</v>
      </c>
      <c r="H977" t="inlineStr">
        <is>
          <t>Y</t>
        </is>
      </c>
      <c r="I977">
        <f>HYPERLINK("https://admin.shopify.com/store/ge-beauty-cosmeticos/customers/9746327961920","abrir")</f>
        <v/>
      </c>
      <c r="J977">
        <f>HYPERLINK("https://www.gebeauty.com.br/products/primer-cachos-definidos?ref=review","review")</f>
        <v/>
      </c>
      <c r="K977" t="inlineStr">
        <is>
          <t>SEND</t>
        </is>
      </c>
    </row>
    <row r="978">
      <c r="A978" t="inlineStr">
        <is>
          <t>Janaina</t>
        </is>
      </c>
      <c r="B978" t="inlineStr">
        <is>
          <t>+5511970710867</t>
        </is>
      </c>
      <c r="C978" t="inlineStr">
        <is>
          <t>Refill</t>
        </is>
      </c>
      <c r="D978" t="inlineStr">
        <is>
          <t>Primer Cachos</t>
        </is>
      </c>
      <c r="E978" t="n">
        <v>1</v>
      </c>
      <c r="F978" t="inlineStr">
        <is>
          <t>2025-12-16</t>
        </is>
      </c>
      <c r="G978" t="n">
        <v>200</v>
      </c>
      <c r="H978" t="inlineStr">
        <is>
          <t>Y</t>
        </is>
      </c>
      <c r="I978">
        <f>HYPERLINK("https://admin.shopify.com/store/ge-beauty-cosmeticos/customers/9967600304448","abrir")</f>
        <v/>
      </c>
      <c r="J978">
        <f>HYPERLINK("https://www.gebeauty.com.br/products/primer-cachos-definidos?ref=review","review")</f>
        <v/>
      </c>
      <c r="K978" t="inlineStr">
        <is>
          <t>SEND</t>
        </is>
      </c>
    </row>
    <row r="979">
      <c r="A979" t="inlineStr">
        <is>
          <t>Daniela</t>
        </is>
      </c>
      <c r="B979" t="inlineStr">
        <is>
          <t>+5511982551258</t>
        </is>
      </c>
      <c r="C979" t="inlineStr">
        <is>
          <t>Refill</t>
        </is>
      </c>
      <c r="D979" t="inlineStr">
        <is>
          <t>Primer Cachos</t>
        </is>
      </c>
      <c r="E979" t="n">
        <v>1</v>
      </c>
      <c r="F979" t="inlineStr">
        <is>
          <t>2025-12-16</t>
        </is>
      </c>
      <c r="G979" t="n">
        <v>200</v>
      </c>
      <c r="H979" t="inlineStr">
        <is>
          <t>Y</t>
        </is>
      </c>
      <c r="I979">
        <f>HYPERLINK("https://admin.shopify.com/store/ge-beauty-cosmeticos/customers/9952088129856","abrir")</f>
        <v/>
      </c>
      <c r="J979">
        <f>HYPERLINK("https://www.gebeauty.com.br/products/primer-cachos-definidos?ref=review","review")</f>
        <v/>
      </c>
      <c r="K979" t="inlineStr">
        <is>
          <t>SEND</t>
        </is>
      </c>
    </row>
    <row r="980">
      <c r="A980" t="inlineStr">
        <is>
          <t>Taiana</t>
        </is>
      </c>
      <c r="B980" t="inlineStr">
        <is>
          <t>+5511989390267</t>
        </is>
      </c>
      <c r="C980" t="inlineStr">
        <is>
          <t>Refill</t>
        </is>
      </c>
      <c r="D980" t="inlineStr">
        <is>
          <t>Primer Cachos</t>
        </is>
      </c>
      <c r="E980" t="n">
        <v>1</v>
      </c>
      <c r="F980" t="inlineStr">
        <is>
          <t>2025-12-17</t>
        </is>
      </c>
      <c r="G980" t="n">
        <v>199</v>
      </c>
      <c r="H980" t="inlineStr">
        <is>
          <t>Y</t>
        </is>
      </c>
      <c r="I980">
        <f>HYPERLINK("https://admin.shopify.com/store/ge-beauty-cosmeticos/customers/9968546021696","abrir")</f>
        <v/>
      </c>
      <c r="J980">
        <f>HYPERLINK("https://www.gebeauty.com.br/products/primer-cachos-definidos?ref=review","review")</f>
        <v/>
      </c>
      <c r="K980" t="inlineStr">
        <is>
          <t>SEND</t>
        </is>
      </c>
    </row>
    <row r="981">
      <c r="A981" t="inlineStr">
        <is>
          <t>Carolina</t>
        </is>
      </c>
      <c r="B981" t="inlineStr">
        <is>
          <t>+5567999061680</t>
        </is>
      </c>
      <c r="C981" t="inlineStr">
        <is>
          <t>Refill</t>
        </is>
      </c>
      <c r="D981" t="inlineStr">
        <is>
          <t>Primer Cachos</t>
        </is>
      </c>
      <c r="E981" t="n">
        <v>1</v>
      </c>
      <c r="F981" t="inlineStr">
        <is>
          <t>2025-12-17</t>
        </is>
      </c>
      <c r="G981" t="n">
        <v>199</v>
      </c>
      <c r="H981" t="inlineStr">
        <is>
          <t>Y</t>
        </is>
      </c>
      <c r="I981">
        <f>HYPERLINK("https://admin.shopify.com/store/ge-beauty-cosmeticos/customers/9958668763456","abrir")</f>
        <v/>
      </c>
      <c r="J981">
        <f>HYPERLINK("https://www.gebeauty.com.br/products/primer-cachos-definidos?ref=review","review")</f>
        <v/>
      </c>
      <c r="K981" t="inlineStr">
        <is>
          <t>SEND</t>
        </is>
      </c>
    </row>
    <row r="982">
      <c r="A982" t="inlineStr">
        <is>
          <t>Alessandra</t>
        </is>
      </c>
      <c r="B982" t="inlineStr">
        <is>
          <t>+5551996470024</t>
        </is>
      </c>
      <c r="C982" t="inlineStr">
        <is>
          <t>Refill</t>
        </is>
      </c>
      <c r="D982" t="inlineStr">
        <is>
          <t>Primer Cachos</t>
        </is>
      </c>
      <c r="E982" t="n">
        <v>1</v>
      </c>
      <c r="F982" t="inlineStr">
        <is>
          <t>2025-12-17</t>
        </is>
      </c>
      <c r="G982" t="n">
        <v>199</v>
      </c>
      <c r="H982" t="inlineStr">
        <is>
          <t>Y</t>
        </is>
      </c>
      <c r="I982">
        <f>HYPERLINK("https://admin.shopify.com/store/ge-beauty-cosmeticos/customers/9909289484608","abrir")</f>
        <v/>
      </c>
      <c r="J982">
        <f>HYPERLINK("https://www.gebeauty.com.br/products/primer-cachos-definidos?ref=review","review")</f>
        <v/>
      </c>
      <c r="K982" t="inlineStr">
        <is>
          <t>SEND</t>
        </is>
      </c>
    </row>
    <row r="983">
      <c r="A983" t="inlineStr">
        <is>
          <t>Ibtisam</t>
        </is>
      </c>
      <c r="B983" t="inlineStr">
        <is>
          <t>+5511974316477</t>
        </is>
      </c>
      <c r="C983" t="inlineStr">
        <is>
          <t>Refill</t>
        </is>
      </c>
      <c r="D983" t="inlineStr">
        <is>
          <t>Primer Cachos</t>
        </is>
      </c>
      <c r="E983" t="n">
        <v>1</v>
      </c>
      <c r="F983" t="inlineStr">
        <is>
          <t>2025-12-17</t>
        </is>
      </c>
      <c r="G983" t="n">
        <v>199</v>
      </c>
      <c r="H983" t="inlineStr">
        <is>
          <t>Y</t>
        </is>
      </c>
      <c r="I983">
        <f>HYPERLINK("https://admin.shopify.com/store/ge-beauty-cosmeticos/customers/8745317663040","abrir")</f>
        <v/>
      </c>
      <c r="J983">
        <f>HYPERLINK("https://www.gebeauty.com.br/products/primer-cachos-definidos?ref=review","review")</f>
        <v/>
      </c>
      <c r="K983" t="inlineStr">
        <is>
          <t>SEND</t>
        </is>
      </c>
    </row>
    <row r="984">
      <c r="A984" t="inlineStr">
        <is>
          <t>Marciléa</t>
        </is>
      </c>
      <c r="B984" t="inlineStr">
        <is>
          <t>+5521991552946</t>
        </is>
      </c>
      <c r="C984" t="inlineStr">
        <is>
          <t>Refill</t>
        </is>
      </c>
      <c r="D984" t="inlineStr">
        <is>
          <t>Primer Cachos</t>
        </is>
      </c>
      <c r="E984" t="n">
        <v>1</v>
      </c>
      <c r="F984" t="inlineStr">
        <is>
          <t>2025-12-18</t>
        </is>
      </c>
      <c r="G984" t="n">
        <v>198</v>
      </c>
      <c r="H984" t="inlineStr">
        <is>
          <t>Y</t>
        </is>
      </c>
      <c r="I984">
        <f>HYPERLINK("https://admin.shopify.com/store/ge-beauty-cosmeticos/customers/9970690818368","abrir")</f>
        <v/>
      </c>
      <c r="J984">
        <f>HYPERLINK("https://www.gebeauty.com.br/products/primer-cachos-definidos?ref=review","review")</f>
        <v/>
      </c>
      <c r="K984" t="inlineStr">
        <is>
          <t>SEND</t>
        </is>
      </c>
    </row>
    <row r="985">
      <c r="A985" t="inlineStr">
        <is>
          <t>Luiza</t>
        </is>
      </c>
      <c r="B985" t="inlineStr">
        <is>
          <t>+5531980159463</t>
        </is>
      </c>
      <c r="C985" t="inlineStr">
        <is>
          <t>Refill</t>
        </is>
      </c>
      <c r="D985" t="inlineStr">
        <is>
          <t>Primer Cachos</t>
        </is>
      </c>
      <c r="E985" t="n">
        <v>1</v>
      </c>
      <c r="F985" t="inlineStr">
        <is>
          <t>2025-12-18</t>
        </is>
      </c>
      <c r="G985" t="n">
        <v>198</v>
      </c>
      <c r="H985" t="inlineStr">
        <is>
          <t>Y</t>
        </is>
      </c>
      <c r="I985">
        <f>HYPERLINK("https://admin.shopify.com/store/ge-beauty-cosmeticos/customers/9971866501440","abrir")</f>
        <v/>
      </c>
      <c r="J985">
        <f>HYPERLINK("https://www.gebeauty.com.br/products/primer-cachos-definidos?ref=review","review")</f>
        <v/>
      </c>
      <c r="K985" t="inlineStr">
        <is>
          <t>SEND</t>
        </is>
      </c>
    </row>
    <row r="986">
      <c r="A986" t="inlineStr">
        <is>
          <t>Isabela</t>
        </is>
      </c>
      <c r="B986" t="inlineStr">
        <is>
          <t>+5511959078202</t>
        </is>
      </c>
      <c r="C986" t="inlineStr">
        <is>
          <t>Refill</t>
        </is>
      </c>
      <c r="D986" t="inlineStr">
        <is>
          <t>Primer Cachos</t>
        </is>
      </c>
      <c r="E986" t="n">
        <v>1</v>
      </c>
      <c r="F986" t="inlineStr">
        <is>
          <t>2025-12-18</t>
        </is>
      </c>
      <c r="G986" t="n">
        <v>198</v>
      </c>
      <c r="H986" t="inlineStr">
        <is>
          <t>Y</t>
        </is>
      </c>
      <c r="I986">
        <f>HYPERLINK("https://admin.shopify.com/store/ge-beauty-cosmeticos/customers/9484715688256","abrir")</f>
        <v/>
      </c>
      <c r="J986">
        <f>HYPERLINK("https://www.gebeauty.com.br/products/primer-cachos-definidos?ref=review","review")</f>
        <v/>
      </c>
      <c r="K986" t="inlineStr">
        <is>
          <t>SEND</t>
        </is>
      </c>
    </row>
    <row r="987">
      <c r="A987" t="inlineStr">
        <is>
          <t>Gabriela</t>
        </is>
      </c>
      <c r="B987" t="inlineStr">
        <is>
          <t>+5561999632878</t>
        </is>
      </c>
      <c r="C987" t="inlineStr">
        <is>
          <t>Refill</t>
        </is>
      </c>
      <c r="D987" t="inlineStr">
        <is>
          <t>Primer Cachos</t>
        </is>
      </c>
      <c r="E987" t="n">
        <v>1</v>
      </c>
      <c r="F987" t="inlineStr">
        <is>
          <t>2025-12-18</t>
        </is>
      </c>
      <c r="G987" t="n">
        <v>198</v>
      </c>
      <c r="H987" t="inlineStr">
        <is>
          <t>Y</t>
        </is>
      </c>
      <c r="I987">
        <f>HYPERLINK("https://admin.shopify.com/store/ge-beauty-cosmeticos/customers/7761801576768","abrir")</f>
        <v/>
      </c>
      <c r="J987">
        <f>HYPERLINK("https://www.gebeauty.com.br/products/primer-cachos-definidos?ref=review","review")</f>
        <v/>
      </c>
      <c r="K987" t="inlineStr">
        <is>
          <t>SEND</t>
        </is>
      </c>
    </row>
    <row r="988">
      <c r="A988" t="inlineStr">
        <is>
          <t>Maria</t>
        </is>
      </c>
      <c r="B988" t="inlineStr">
        <is>
          <t>+5581997057302</t>
        </is>
      </c>
      <c r="C988" t="inlineStr">
        <is>
          <t>Refill</t>
        </is>
      </c>
      <c r="D988" t="inlineStr">
        <is>
          <t>Primer Cachos</t>
        </is>
      </c>
      <c r="E988" t="n">
        <v>1</v>
      </c>
      <c r="F988" t="inlineStr">
        <is>
          <t>2025-12-19</t>
        </is>
      </c>
      <c r="G988" t="n">
        <v>197</v>
      </c>
      <c r="H988" t="inlineStr">
        <is>
          <t>Y</t>
        </is>
      </c>
      <c r="I988">
        <f>HYPERLINK("https://admin.shopify.com/store/ge-beauty-cosmeticos/customers/8976141713728","abrir")</f>
        <v/>
      </c>
      <c r="J988">
        <f>HYPERLINK("https://www.gebeauty.com.br/products/primer-cachos-definidos?ref=review","review")</f>
        <v/>
      </c>
      <c r="K988" t="inlineStr">
        <is>
          <t>SEND</t>
        </is>
      </c>
    </row>
    <row r="989">
      <c r="A989" t="inlineStr">
        <is>
          <t>Leane</t>
        </is>
      </c>
      <c r="B989" t="inlineStr">
        <is>
          <t>+5511996172059</t>
        </is>
      </c>
      <c r="C989" t="inlineStr">
        <is>
          <t>Refill</t>
        </is>
      </c>
      <c r="D989" t="inlineStr">
        <is>
          <t>Primer Cachos</t>
        </is>
      </c>
      <c r="E989" t="n">
        <v>1</v>
      </c>
      <c r="F989" t="inlineStr">
        <is>
          <t>2025-12-19</t>
        </is>
      </c>
      <c r="G989" t="n">
        <v>197</v>
      </c>
      <c r="H989" t="inlineStr">
        <is>
          <t>Y</t>
        </is>
      </c>
      <c r="I989">
        <f>HYPERLINK("https://admin.shopify.com/store/ge-beauty-cosmeticos/customers/9973967028544","abrir")</f>
        <v/>
      </c>
      <c r="J989">
        <f>HYPERLINK("https://www.gebeauty.com.br/products/primer-cachos-definidos?ref=review","review")</f>
        <v/>
      </c>
      <c r="K989" t="inlineStr">
        <is>
          <t>SEND</t>
        </is>
      </c>
    </row>
    <row r="990">
      <c r="A990" t="inlineStr">
        <is>
          <t>Stefanie</t>
        </is>
      </c>
      <c r="B990" t="inlineStr">
        <is>
          <t>+5521996406434</t>
        </is>
      </c>
      <c r="C990" t="inlineStr">
        <is>
          <t>Refill</t>
        </is>
      </c>
      <c r="D990" t="inlineStr">
        <is>
          <t>Primer Cachos</t>
        </is>
      </c>
      <c r="E990" t="n">
        <v>1</v>
      </c>
      <c r="F990" t="inlineStr">
        <is>
          <t>2025-12-19</t>
        </is>
      </c>
      <c r="G990" t="n">
        <v>197</v>
      </c>
      <c r="H990" t="inlineStr">
        <is>
          <t>Y</t>
        </is>
      </c>
      <c r="I990">
        <f>HYPERLINK("https://admin.shopify.com/store/ge-beauty-cosmeticos/customers/9973987148096","abrir")</f>
        <v/>
      </c>
      <c r="J990">
        <f>HYPERLINK("https://www.gebeauty.com.br/products/primer-cachos-definidos?ref=review","review")</f>
        <v/>
      </c>
      <c r="K990" t="inlineStr">
        <is>
          <t>SEND</t>
        </is>
      </c>
    </row>
    <row r="991">
      <c r="A991" t="inlineStr">
        <is>
          <t>Tatiane</t>
        </is>
      </c>
      <c r="B991" t="inlineStr">
        <is>
          <t>+5531992325457</t>
        </is>
      </c>
      <c r="C991" t="inlineStr">
        <is>
          <t>Refill</t>
        </is>
      </c>
      <c r="D991" t="inlineStr">
        <is>
          <t>Primer Cachos</t>
        </is>
      </c>
      <c r="E991" t="n">
        <v>1</v>
      </c>
      <c r="F991" t="inlineStr">
        <is>
          <t>2025-12-19</t>
        </is>
      </c>
      <c r="G991" t="n">
        <v>197</v>
      </c>
      <c r="H991" t="inlineStr">
        <is>
          <t>Y</t>
        </is>
      </c>
      <c r="I991">
        <f>HYPERLINK("https://admin.shopify.com/store/ge-beauty-cosmeticos/customers/9974000746816","abrir")</f>
        <v/>
      </c>
      <c r="J991">
        <f>HYPERLINK("https://www.gebeauty.com.br/products/primer-cachos-definidos?ref=review","review")</f>
        <v/>
      </c>
      <c r="K991" t="inlineStr">
        <is>
          <t>SEND</t>
        </is>
      </c>
    </row>
    <row r="992">
      <c r="A992" t="inlineStr">
        <is>
          <t>Larissa</t>
        </is>
      </c>
      <c r="B992" t="inlineStr">
        <is>
          <t>+5511932285396</t>
        </is>
      </c>
      <c r="C992" t="inlineStr">
        <is>
          <t>Refill</t>
        </is>
      </c>
      <c r="D992" t="inlineStr">
        <is>
          <t>Primer Cachos</t>
        </is>
      </c>
      <c r="E992" t="n">
        <v>1</v>
      </c>
      <c r="F992" t="inlineStr">
        <is>
          <t>2025-12-19</t>
        </is>
      </c>
      <c r="G992" t="n">
        <v>197</v>
      </c>
      <c r="H992" t="inlineStr">
        <is>
          <t>Y</t>
        </is>
      </c>
      <c r="I992">
        <f>HYPERLINK("https://admin.shopify.com/store/ge-beauty-cosmeticos/customers/9053200810304","abrir")</f>
        <v/>
      </c>
      <c r="J992">
        <f>HYPERLINK("https://www.gebeauty.com.br/products/primer-cachos-definidos?ref=review","review")</f>
        <v/>
      </c>
      <c r="K992" t="inlineStr">
        <is>
          <t>SEND</t>
        </is>
      </c>
    </row>
    <row r="993">
      <c r="A993" t="inlineStr">
        <is>
          <t>Beatriz</t>
        </is>
      </c>
      <c r="B993" t="inlineStr">
        <is>
          <t>+5511986405012</t>
        </is>
      </c>
      <c r="C993" t="inlineStr">
        <is>
          <t>Refill</t>
        </is>
      </c>
      <c r="D993" t="inlineStr">
        <is>
          <t>Primer Cachos</t>
        </is>
      </c>
      <c r="E993" t="n">
        <v>1</v>
      </c>
      <c r="F993" t="inlineStr">
        <is>
          <t>2025-12-19</t>
        </is>
      </c>
      <c r="G993" t="n">
        <v>197</v>
      </c>
      <c r="H993" t="inlineStr">
        <is>
          <t>Y</t>
        </is>
      </c>
      <c r="I993">
        <f>HYPERLINK("https://admin.shopify.com/store/ge-beauty-cosmeticos/customers/9964481118528","abrir")</f>
        <v/>
      </c>
      <c r="J993">
        <f>HYPERLINK("https://www.gebeauty.com.br/products/primer-cachos-definidos?ref=review","review")</f>
        <v/>
      </c>
      <c r="K993" t="inlineStr">
        <is>
          <t>SEND</t>
        </is>
      </c>
    </row>
    <row r="994">
      <c r="A994" t="inlineStr">
        <is>
          <t>Patrícia</t>
        </is>
      </c>
      <c r="B994" t="inlineStr">
        <is>
          <t>+5581992894223</t>
        </is>
      </c>
      <c r="C994" t="inlineStr">
        <is>
          <t>Refill</t>
        </is>
      </c>
      <c r="D994" t="inlineStr">
        <is>
          <t>Primer Cachos</t>
        </is>
      </c>
      <c r="E994" t="n">
        <v>1</v>
      </c>
      <c r="F994" t="inlineStr">
        <is>
          <t>2025-12-19</t>
        </is>
      </c>
      <c r="G994" t="n">
        <v>197</v>
      </c>
      <c r="H994" t="inlineStr">
        <is>
          <t>Y</t>
        </is>
      </c>
      <c r="I994">
        <f>HYPERLINK("https://admin.shopify.com/store/ge-beauty-cosmeticos/customers/9975567122752","abrir")</f>
        <v/>
      </c>
      <c r="J994">
        <f>HYPERLINK("https://www.gebeauty.com.br/products/primer-cachos-definidos?ref=review","review")</f>
        <v/>
      </c>
      <c r="K994" t="inlineStr">
        <is>
          <t>SEND</t>
        </is>
      </c>
    </row>
    <row r="995">
      <c r="A995" t="inlineStr">
        <is>
          <t>Alyne</t>
        </is>
      </c>
      <c r="B995" t="inlineStr">
        <is>
          <t>+5583988232943</t>
        </is>
      </c>
      <c r="C995" t="inlineStr">
        <is>
          <t>Refill</t>
        </is>
      </c>
      <c r="D995" t="inlineStr">
        <is>
          <t>Primer Cachos</t>
        </is>
      </c>
      <c r="E995" t="n">
        <v>1</v>
      </c>
      <c r="F995" t="inlineStr">
        <is>
          <t>2025-12-19</t>
        </is>
      </c>
      <c r="G995" t="n">
        <v>197</v>
      </c>
      <c r="H995" t="inlineStr">
        <is>
          <t>Y</t>
        </is>
      </c>
      <c r="I995">
        <f>HYPERLINK("https://admin.shopify.com/store/ge-beauty-cosmeticos/customers/9975760322880","abrir")</f>
        <v/>
      </c>
      <c r="J995">
        <f>HYPERLINK("https://www.gebeauty.com.br/products/primer-cachos-definidos?ref=review","review")</f>
        <v/>
      </c>
      <c r="K995" t="inlineStr">
        <is>
          <t>SEND</t>
        </is>
      </c>
    </row>
    <row r="996">
      <c r="A996" t="inlineStr">
        <is>
          <t>Sara</t>
        </is>
      </c>
      <c r="B996" t="inlineStr">
        <is>
          <t>+5511976660213</t>
        </is>
      </c>
      <c r="C996" t="inlineStr">
        <is>
          <t>Refill</t>
        </is>
      </c>
      <c r="D996" t="inlineStr">
        <is>
          <t>Primer Cachos</t>
        </is>
      </c>
      <c r="E996" t="n">
        <v>1</v>
      </c>
      <c r="F996" t="inlineStr">
        <is>
          <t>2025-12-19</t>
        </is>
      </c>
      <c r="G996" t="n">
        <v>197</v>
      </c>
      <c r="H996" t="inlineStr">
        <is>
          <t>Y</t>
        </is>
      </c>
      <c r="I996">
        <f>HYPERLINK("https://admin.shopify.com/store/ge-beauty-cosmeticos/customers/9704406876480","abrir")</f>
        <v/>
      </c>
      <c r="J996">
        <f>HYPERLINK("https://www.gebeauty.com.br/products/primer-cachos-definidos?ref=review","review")</f>
        <v/>
      </c>
      <c r="K996" t="inlineStr">
        <is>
          <t>SEND</t>
        </is>
      </c>
    </row>
    <row r="997">
      <c r="A997" t="inlineStr">
        <is>
          <t>Luiza</t>
        </is>
      </c>
      <c r="B997" t="inlineStr">
        <is>
          <t>+5551999601808</t>
        </is>
      </c>
      <c r="C997" t="inlineStr">
        <is>
          <t>Refill</t>
        </is>
      </c>
      <c r="D997" t="inlineStr">
        <is>
          <t>Primer Cachos</t>
        </is>
      </c>
      <c r="E997" t="n">
        <v>1</v>
      </c>
      <c r="F997" t="inlineStr">
        <is>
          <t>2025-12-20</t>
        </is>
      </c>
      <c r="G997" t="n">
        <v>196</v>
      </c>
      <c r="H997" t="inlineStr">
        <is>
          <t>Y</t>
        </is>
      </c>
      <c r="I997">
        <f>HYPERLINK("https://admin.shopify.com/store/ge-beauty-cosmeticos/customers/9631738036544","abrir")</f>
        <v/>
      </c>
      <c r="J997">
        <f>HYPERLINK("https://www.gebeauty.com.br/products/primer-cachos-definidos?ref=review","review")</f>
        <v/>
      </c>
      <c r="K997" t="inlineStr">
        <is>
          <t>SEND</t>
        </is>
      </c>
    </row>
    <row r="998">
      <c r="A998" t="inlineStr">
        <is>
          <t>Isabela</t>
        </is>
      </c>
      <c r="B998" t="inlineStr">
        <is>
          <t>+5515991413828</t>
        </is>
      </c>
      <c r="C998" t="inlineStr">
        <is>
          <t>Refill</t>
        </is>
      </c>
      <c r="D998" t="inlineStr">
        <is>
          <t>Primer Cachos</t>
        </is>
      </c>
      <c r="E998" t="n">
        <v>1</v>
      </c>
      <c r="F998" t="inlineStr">
        <is>
          <t>2025-12-20</t>
        </is>
      </c>
      <c r="G998" t="n">
        <v>196</v>
      </c>
      <c r="H998" t="inlineStr">
        <is>
          <t>Y</t>
        </is>
      </c>
      <c r="I998">
        <f>HYPERLINK("https://admin.shopify.com/store/ge-beauty-cosmeticos/customers/9977559515456","abrir")</f>
        <v/>
      </c>
      <c r="J998">
        <f>HYPERLINK("https://www.gebeauty.com.br/products/primer-cachos-definidos?ref=review","review")</f>
        <v/>
      </c>
      <c r="K998" t="inlineStr">
        <is>
          <t>SEND</t>
        </is>
      </c>
    </row>
    <row r="999">
      <c r="A999" t="inlineStr">
        <is>
          <t>Patricia</t>
        </is>
      </c>
      <c r="B999" t="inlineStr">
        <is>
          <t>+5521994744321</t>
        </is>
      </c>
      <c r="C999" t="inlineStr">
        <is>
          <t>Refill</t>
        </is>
      </c>
      <c r="D999" t="inlineStr">
        <is>
          <t>Primer Cachos</t>
        </is>
      </c>
      <c r="E999" t="n">
        <v>1</v>
      </c>
      <c r="F999" t="inlineStr">
        <is>
          <t>2025-12-20</t>
        </is>
      </c>
      <c r="G999" t="n">
        <v>196</v>
      </c>
      <c r="H999" t="inlineStr">
        <is>
          <t>Y</t>
        </is>
      </c>
      <c r="I999">
        <f>HYPERLINK("https://admin.shopify.com/store/ge-beauty-cosmeticos/customers/9977630720320","abrir")</f>
        <v/>
      </c>
      <c r="J999">
        <f>HYPERLINK("https://www.gebeauty.com.br/products/primer-cachos-definidos?ref=review","review")</f>
        <v/>
      </c>
      <c r="K999" t="inlineStr">
        <is>
          <t>SEND</t>
        </is>
      </c>
    </row>
    <row r="1000">
      <c r="A1000" t="inlineStr">
        <is>
          <t>Rebecca</t>
        </is>
      </c>
      <c r="B1000" t="inlineStr">
        <is>
          <t>+5511964431339</t>
        </is>
      </c>
      <c r="C1000" t="inlineStr">
        <is>
          <t>Refill</t>
        </is>
      </c>
      <c r="D1000" t="inlineStr">
        <is>
          <t>Primer Cachos</t>
        </is>
      </c>
      <c r="E1000" t="n">
        <v>1</v>
      </c>
      <c r="F1000" t="inlineStr">
        <is>
          <t>2025-12-20</t>
        </is>
      </c>
      <c r="G1000" t="n">
        <v>196</v>
      </c>
      <c r="H1000" t="inlineStr">
        <is>
          <t>Y</t>
        </is>
      </c>
      <c r="I1000">
        <f>HYPERLINK("https://admin.shopify.com/store/ge-beauty-cosmeticos/customers/9977712902464","abrir")</f>
        <v/>
      </c>
      <c r="J1000">
        <f>HYPERLINK("https://www.gebeauty.com.br/products/primer-cachos-definidos?ref=review","review")</f>
        <v/>
      </c>
      <c r="K1000" t="inlineStr">
        <is>
          <t>SEND</t>
        </is>
      </c>
    </row>
    <row r="1001">
      <c r="A1001" t="inlineStr">
        <is>
          <t>Gabriela</t>
        </is>
      </c>
      <c r="B1001" t="inlineStr">
        <is>
          <t>+5511980499906</t>
        </is>
      </c>
      <c r="C1001" t="inlineStr">
        <is>
          <t>Refill</t>
        </is>
      </c>
      <c r="D1001" t="inlineStr">
        <is>
          <t>Primer Cachos</t>
        </is>
      </c>
      <c r="E1001" t="n">
        <v>1</v>
      </c>
      <c r="F1001" t="inlineStr">
        <is>
          <t>2025-12-20</t>
        </is>
      </c>
      <c r="G1001" t="n">
        <v>196</v>
      </c>
      <c r="H1001" t="inlineStr">
        <is>
          <t>Y</t>
        </is>
      </c>
      <c r="I1001">
        <f>HYPERLINK("https://admin.shopify.com/store/ge-beauty-cosmeticos/customers/9977725157696","abrir")</f>
        <v/>
      </c>
      <c r="J1001">
        <f>HYPERLINK("https://www.gebeauty.com.br/products/primer-cachos-definidos?ref=review","review")</f>
        <v/>
      </c>
      <c r="K1001" t="inlineStr">
        <is>
          <t>SEND</t>
        </is>
      </c>
    </row>
    <row r="1002">
      <c r="A1002" t="inlineStr">
        <is>
          <t>Viviane</t>
        </is>
      </c>
      <c r="B1002" t="inlineStr">
        <is>
          <t>+5551999581807</t>
        </is>
      </c>
      <c r="C1002" t="inlineStr">
        <is>
          <t>Refill</t>
        </is>
      </c>
      <c r="D1002" t="inlineStr">
        <is>
          <t>Primer Cachos</t>
        </is>
      </c>
      <c r="E1002" t="n">
        <v>1</v>
      </c>
      <c r="F1002" t="inlineStr">
        <is>
          <t>2025-12-20</t>
        </is>
      </c>
      <c r="G1002" t="n">
        <v>196</v>
      </c>
      <c r="H1002" t="inlineStr">
        <is>
          <t>Y</t>
        </is>
      </c>
      <c r="I1002">
        <f>HYPERLINK("https://admin.shopify.com/store/ge-beauty-cosmeticos/customers/9912994169152","abrir")</f>
        <v/>
      </c>
      <c r="J1002">
        <f>HYPERLINK("https://www.gebeauty.com.br/products/primer-cachos-definidos?ref=review","review")</f>
        <v/>
      </c>
      <c r="K1002" t="inlineStr">
        <is>
          <t>SEND</t>
        </is>
      </c>
    </row>
    <row r="1003">
      <c r="A1003" t="inlineStr">
        <is>
          <t>Paula</t>
        </is>
      </c>
      <c r="B1003" t="inlineStr">
        <is>
          <t>+5553999310402</t>
        </is>
      </c>
      <c r="C1003" t="inlineStr">
        <is>
          <t>Refill</t>
        </is>
      </c>
      <c r="D1003" t="inlineStr">
        <is>
          <t>Primer Cachos</t>
        </is>
      </c>
      <c r="E1003" t="n">
        <v>1</v>
      </c>
      <c r="F1003" t="inlineStr">
        <is>
          <t>2025-12-20</t>
        </is>
      </c>
      <c r="G1003" t="n">
        <v>196</v>
      </c>
      <c r="H1003" t="inlineStr">
        <is>
          <t>Y</t>
        </is>
      </c>
      <c r="I1003">
        <f>HYPERLINK("https://admin.shopify.com/store/ge-beauty-cosmeticos/customers/9977800982848","abrir")</f>
        <v/>
      </c>
      <c r="J1003">
        <f>HYPERLINK("https://www.gebeauty.com.br/products/primer-cachos-definidos?ref=review","review")</f>
        <v/>
      </c>
      <c r="K1003" t="inlineStr">
        <is>
          <t>SEND</t>
        </is>
      </c>
    </row>
    <row r="1004">
      <c r="A1004" t="inlineStr">
        <is>
          <t>Paula</t>
        </is>
      </c>
      <c r="B1004" t="inlineStr">
        <is>
          <t>+5551999773872</t>
        </is>
      </c>
      <c r="C1004" t="inlineStr">
        <is>
          <t>Refill</t>
        </is>
      </c>
      <c r="D1004" t="inlineStr">
        <is>
          <t>Primer Cachos</t>
        </is>
      </c>
      <c r="E1004" t="n">
        <v>1</v>
      </c>
      <c r="F1004" t="inlineStr">
        <is>
          <t>2025-12-20</t>
        </is>
      </c>
      <c r="G1004" t="n">
        <v>196</v>
      </c>
      <c r="H1004" t="inlineStr">
        <is>
          <t>Y</t>
        </is>
      </c>
      <c r="I1004">
        <f>HYPERLINK("https://admin.shopify.com/store/ge-beauty-cosmeticos/customers/9977841090880","abrir")</f>
        <v/>
      </c>
      <c r="J1004">
        <f>HYPERLINK("https://www.gebeauty.com.br/products/primer-cachos-definidos?ref=review","review")</f>
        <v/>
      </c>
      <c r="K1004" t="inlineStr">
        <is>
          <t>SEND</t>
        </is>
      </c>
    </row>
    <row r="1005">
      <c r="A1005" t="inlineStr">
        <is>
          <t>Camila</t>
        </is>
      </c>
      <c r="B1005" t="inlineStr">
        <is>
          <t>+5519982791581</t>
        </is>
      </c>
      <c r="C1005" t="inlineStr">
        <is>
          <t>Refill</t>
        </is>
      </c>
      <c r="D1005" t="inlineStr">
        <is>
          <t>Primer Cachos</t>
        </is>
      </c>
      <c r="E1005" t="n">
        <v>1</v>
      </c>
      <c r="F1005" t="inlineStr">
        <is>
          <t>2025-12-20</t>
        </is>
      </c>
      <c r="G1005" t="n">
        <v>196</v>
      </c>
      <c r="H1005" t="inlineStr">
        <is>
          <t>Y</t>
        </is>
      </c>
      <c r="I1005">
        <f>HYPERLINK("https://admin.shopify.com/store/ge-beauty-cosmeticos/customers/9974098985280","abrir")</f>
        <v/>
      </c>
      <c r="J1005">
        <f>HYPERLINK("https://www.gebeauty.com.br/products/primer-cachos-definidos?ref=review","review")</f>
        <v/>
      </c>
      <c r="K1005" t="inlineStr">
        <is>
          <t>SEND</t>
        </is>
      </c>
    </row>
    <row r="1006">
      <c r="A1006" t="inlineStr">
        <is>
          <t>Ariene</t>
        </is>
      </c>
      <c r="B1006" t="inlineStr">
        <is>
          <t>+5511987902510</t>
        </is>
      </c>
      <c r="C1006" t="inlineStr">
        <is>
          <t>Refill</t>
        </is>
      </c>
      <c r="D1006" t="inlineStr">
        <is>
          <t>Primer Cachos</t>
        </is>
      </c>
      <c r="E1006" t="n">
        <v>1</v>
      </c>
      <c r="F1006" t="inlineStr">
        <is>
          <t>2025-12-20</t>
        </is>
      </c>
      <c r="G1006" t="n">
        <v>196</v>
      </c>
      <c r="H1006" t="inlineStr">
        <is>
          <t>Y</t>
        </is>
      </c>
      <c r="I1006">
        <f>HYPERLINK("https://admin.shopify.com/store/ge-beauty-cosmeticos/customers/9486262337856","abrir")</f>
        <v/>
      </c>
      <c r="J1006">
        <f>HYPERLINK("https://www.gebeauty.com.br/products/primer-cachos-definidos?ref=review","review")</f>
        <v/>
      </c>
      <c r="K1006" t="inlineStr">
        <is>
          <t>HOLDOUT</t>
        </is>
      </c>
    </row>
    <row r="1007">
      <c r="A1007" t="inlineStr">
        <is>
          <t>Thaty</t>
        </is>
      </c>
      <c r="B1007" t="inlineStr">
        <is>
          <t>+5511985271186</t>
        </is>
      </c>
      <c r="C1007" t="inlineStr">
        <is>
          <t>Refill</t>
        </is>
      </c>
      <c r="D1007" t="inlineStr">
        <is>
          <t>Primer Cachos</t>
        </is>
      </c>
      <c r="E1007" t="n">
        <v>1</v>
      </c>
      <c r="F1007" t="inlineStr">
        <is>
          <t>2025-12-20</t>
        </is>
      </c>
      <c r="G1007" t="n">
        <v>196</v>
      </c>
      <c r="H1007" t="inlineStr">
        <is>
          <t>Y</t>
        </is>
      </c>
      <c r="I1007">
        <f>HYPERLINK("https://admin.shopify.com/store/ge-beauty-cosmeticos/customers/8902523945280","abrir")</f>
        <v/>
      </c>
      <c r="J1007">
        <f>HYPERLINK("https://www.gebeauty.com.br/products/primer-cachos-definidos?ref=review","review")</f>
        <v/>
      </c>
      <c r="K1007" t="inlineStr">
        <is>
          <t>SEND</t>
        </is>
      </c>
    </row>
    <row r="1008">
      <c r="A1008" t="inlineStr">
        <is>
          <t>Caroline</t>
        </is>
      </c>
      <c r="B1008" t="inlineStr">
        <is>
          <t>+5512983111011</t>
        </is>
      </c>
      <c r="C1008" t="inlineStr">
        <is>
          <t>Refill</t>
        </is>
      </c>
      <c r="D1008" t="inlineStr">
        <is>
          <t>Primer Cachos</t>
        </is>
      </c>
      <c r="E1008" t="n">
        <v>1</v>
      </c>
      <c r="F1008" t="inlineStr">
        <is>
          <t>2025-12-20</t>
        </is>
      </c>
      <c r="G1008" t="n">
        <v>196</v>
      </c>
      <c r="H1008" t="inlineStr">
        <is>
          <t>Y</t>
        </is>
      </c>
      <c r="I1008">
        <f>HYPERLINK("https://admin.shopify.com/store/ge-beauty-cosmeticos/customers/9978417250624","abrir")</f>
        <v/>
      </c>
      <c r="J1008">
        <f>HYPERLINK("https://www.gebeauty.com.br/products/primer-cachos-definidos?ref=review","review")</f>
        <v/>
      </c>
      <c r="K1008" t="inlineStr">
        <is>
          <t>SEND</t>
        </is>
      </c>
    </row>
    <row r="1009">
      <c r="A1009" t="inlineStr">
        <is>
          <t>Carla</t>
        </is>
      </c>
      <c r="B1009" t="inlineStr">
        <is>
          <t>+5511994021403</t>
        </is>
      </c>
      <c r="C1009" t="inlineStr">
        <is>
          <t>Refill</t>
        </is>
      </c>
      <c r="D1009" t="inlineStr">
        <is>
          <t>Primer Cachos</t>
        </is>
      </c>
      <c r="E1009" t="n">
        <v>1</v>
      </c>
      <c r="F1009" t="inlineStr">
        <is>
          <t>2025-12-20</t>
        </is>
      </c>
      <c r="G1009" t="n">
        <v>196</v>
      </c>
      <c r="H1009" t="inlineStr">
        <is>
          <t>Y</t>
        </is>
      </c>
      <c r="I1009">
        <f>HYPERLINK("https://admin.shopify.com/store/ge-beauty-cosmeticos/customers/9485210648896","abrir")</f>
        <v/>
      </c>
      <c r="J1009">
        <f>HYPERLINK("https://www.gebeauty.com.br/products/primer-cachos-definidos?ref=review","review")</f>
        <v/>
      </c>
      <c r="K1009" t="inlineStr">
        <is>
          <t>SEND</t>
        </is>
      </c>
    </row>
    <row r="1010">
      <c r="A1010" t="inlineStr">
        <is>
          <t>Tais</t>
        </is>
      </c>
      <c r="B1010" t="inlineStr">
        <is>
          <t>+5588992973586</t>
        </is>
      </c>
      <c r="C1010" t="inlineStr">
        <is>
          <t>Refill</t>
        </is>
      </c>
      <c r="D1010" t="inlineStr">
        <is>
          <t>Primer Cachos</t>
        </is>
      </c>
      <c r="E1010" t="n">
        <v>1</v>
      </c>
      <c r="F1010" t="inlineStr">
        <is>
          <t>2025-12-21</t>
        </is>
      </c>
      <c r="G1010" t="n">
        <v>195</v>
      </c>
      <c r="H1010" t="inlineStr">
        <is>
          <t>Y</t>
        </is>
      </c>
      <c r="I1010">
        <f>HYPERLINK("https://admin.shopify.com/store/ge-beauty-cosmeticos/customers/9977298878784","abrir")</f>
        <v/>
      </c>
      <c r="J1010">
        <f>HYPERLINK("https://www.gebeauty.com.br/products/primer-cachos-definidos?ref=review","review")</f>
        <v/>
      </c>
      <c r="K1010" t="inlineStr">
        <is>
          <t>SEND</t>
        </is>
      </c>
    </row>
    <row r="1011">
      <c r="A1011" t="inlineStr">
        <is>
          <t>Isabella</t>
        </is>
      </c>
      <c r="B1011" t="inlineStr">
        <is>
          <t>+5562996877298</t>
        </is>
      </c>
      <c r="C1011" t="inlineStr">
        <is>
          <t>Refill</t>
        </is>
      </c>
      <c r="D1011" t="inlineStr">
        <is>
          <t>Primer Cachos</t>
        </is>
      </c>
      <c r="E1011" t="n">
        <v>1</v>
      </c>
      <c r="F1011" t="inlineStr">
        <is>
          <t>2025-12-21</t>
        </is>
      </c>
      <c r="G1011" t="n">
        <v>195</v>
      </c>
      <c r="H1011" t="inlineStr">
        <is>
          <t>Y</t>
        </is>
      </c>
      <c r="I1011">
        <f>HYPERLINK("https://admin.shopify.com/store/ge-beauty-cosmeticos/customers/9977912983872","abrir")</f>
        <v/>
      </c>
      <c r="J1011">
        <f>HYPERLINK("https://www.gebeauty.com.br/products/primer-cachos-definidos?ref=review","review")</f>
        <v/>
      </c>
      <c r="K1011" t="inlineStr">
        <is>
          <t>SEND</t>
        </is>
      </c>
    </row>
    <row r="1012">
      <c r="A1012" t="inlineStr">
        <is>
          <t>Juliana</t>
        </is>
      </c>
      <c r="B1012" t="inlineStr">
        <is>
          <t>+5517981342434</t>
        </is>
      </c>
      <c r="C1012" t="inlineStr">
        <is>
          <t>Refill</t>
        </is>
      </c>
      <c r="D1012" t="inlineStr">
        <is>
          <t>Primer Cachos</t>
        </is>
      </c>
      <c r="E1012" t="n">
        <v>1</v>
      </c>
      <c r="F1012" t="inlineStr">
        <is>
          <t>2025-12-21</t>
        </is>
      </c>
      <c r="G1012" t="n">
        <v>195</v>
      </c>
      <c r="H1012" t="inlineStr">
        <is>
          <t>Y</t>
        </is>
      </c>
      <c r="I1012">
        <f>HYPERLINK("https://admin.shopify.com/store/ge-beauty-cosmeticos/customers/9486673772864","abrir")</f>
        <v/>
      </c>
      <c r="J1012">
        <f>HYPERLINK("https://www.gebeauty.com.br/products/primer-cachos-definidos?ref=review","review")</f>
        <v/>
      </c>
      <c r="K1012" t="inlineStr">
        <is>
          <t>SEND</t>
        </is>
      </c>
    </row>
    <row r="1013">
      <c r="A1013" t="inlineStr">
        <is>
          <t>Luma</t>
        </is>
      </c>
      <c r="B1013" t="inlineStr">
        <is>
          <t>+5511975131999</t>
        </is>
      </c>
      <c r="C1013" t="inlineStr">
        <is>
          <t>Refill</t>
        </is>
      </c>
      <c r="D1013" t="inlineStr">
        <is>
          <t>Primer Cachos</t>
        </is>
      </c>
      <c r="E1013" t="n">
        <v>1</v>
      </c>
      <c r="F1013" t="inlineStr">
        <is>
          <t>2025-12-21</t>
        </is>
      </c>
      <c r="G1013" t="n">
        <v>195</v>
      </c>
      <c r="H1013" t="inlineStr">
        <is>
          <t>Y</t>
        </is>
      </c>
      <c r="I1013">
        <f>HYPERLINK("https://admin.shopify.com/store/ge-beauty-cosmeticos/customers/9980229189952","abrir")</f>
        <v/>
      </c>
      <c r="J1013">
        <f>HYPERLINK("https://www.gebeauty.com.br/products/primer-cachos-definidos?ref=review","review")</f>
        <v/>
      </c>
      <c r="K1013" t="inlineStr">
        <is>
          <t>SEND</t>
        </is>
      </c>
    </row>
    <row r="1014">
      <c r="A1014" t="inlineStr">
        <is>
          <t>Silvia</t>
        </is>
      </c>
      <c r="B1014" t="inlineStr">
        <is>
          <t>+5511960595871</t>
        </is>
      </c>
      <c r="C1014" t="inlineStr">
        <is>
          <t>Refill</t>
        </is>
      </c>
      <c r="D1014" t="inlineStr">
        <is>
          <t>Primer Cachos</t>
        </is>
      </c>
      <c r="E1014" t="n">
        <v>1</v>
      </c>
      <c r="F1014" t="inlineStr">
        <is>
          <t>2025-12-21</t>
        </is>
      </c>
      <c r="G1014" t="n">
        <v>195</v>
      </c>
      <c r="H1014" t="inlineStr">
        <is>
          <t>Y</t>
        </is>
      </c>
      <c r="I1014">
        <f>HYPERLINK("https://admin.shopify.com/store/ge-beauty-cosmeticos/customers/9486542045504","abrir")</f>
        <v/>
      </c>
      <c r="J1014">
        <f>HYPERLINK("https://www.gebeauty.com.br/products/primer-cachos-definidos?ref=review","review")</f>
        <v/>
      </c>
      <c r="K1014" t="inlineStr">
        <is>
          <t>HOLDOUT</t>
        </is>
      </c>
    </row>
    <row r="1015">
      <c r="A1015" t="inlineStr">
        <is>
          <t>Kenia</t>
        </is>
      </c>
      <c r="B1015" t="inlineStr">
        <is>
          <t>+5521980588797</t>
        </is>
      </c>
      <c r="C1015" t="inlineStr">
        <is>
          <t>Refill</t>
        </is>
      </c>
      <c r="D1015" t="inlineStr">
        <is>
          <t>Primer Cachos</t>
        </is>
      </c>
      <c r="E1015" t="n">
        <v>1</v>
      </c>
      <c r="F1015" t="inlineStr">
        <is>
          <t>2025-12-21</t>
        </is>
      </c>
      <c r="G1015" t="n">
        <v>195</v>
      </c>
      <c r="H1015" t="inlineStr">
        <is>
          <t>Y</t>
        </is>
      </c>
      <c r="I1015">
        <f>HYPERLINK("https://admin.shopify.com/store/ge-beauty-cosmeticos/customers/8719347351872","abrir")</f>
        <v/>
      </c>
      <c r="J1015">
        <f>HYPERLINK("https://www.gebeauty.com.br/products/primer-cachos-definidos?ref=review","review")</f>
        <v/>
      </c>
      <c r="K1015" t="inlineStr">
        <is>
          <t>SEND</t>
        </is>
      </c>
    </row>
    <row r="1016">
      <c r="A1016" t="inlineStr">
        <is>
          <t>Ana</t>
        </is>
      </c>
      <c r="B1016" t="inlineStr">
        <is>
          <t>+5541992050487</t>
        </is>
      </c>
      <c r="C1016" t="inlineStr">
        <is>
          <t>Refill</t>
        </is>
      </c>
      <c r="D1016" t="inlineStr">
        <is>
          <t>Primer Cachos</t>
        </is>
      </c>
      <c r="E1016" t="n">
        <v>1</v>
      </c>
      <c r="F1016" t="inlineStr">
        <is>
          <t>2025-12-21</t>
        </is>
      </c>
      <c r="G1016" t="n">
        <v>195</v>
      </c>
      <c r="H1016" t="inlineStr">
        <is>
          <t>Y</t>
        </is>
      </c>
      <c r="I1016">
        <f>HYPERLINK("https://admin.shopify.com/store/ge-beauty-cosmeticos/customers/9486008713536","abrir")</f>
        <v/>
      </c>
      <c r="J1016">
        <f>HYPERLINK("https://www.gebeauty.com.br/products/primer-cachos-definidos?ref=review","review")</f>
        <v/>
      </c>
      <c r="K1016" t="inlineStr">
        <is>
          <t>SEND</t>
        </is>
      </c>
    </row>
    <row r="1017">
      <c r="A1017" t="inlineStr">
        <is>
          <t>Débora</t>
        </is>
      </c>
      <c r="B1017" t="inlineStr">
        <is>
          <t>+5519981131415</t>
        </is>
      </c>
      <c r="C1017" t="inlineStr">
        <is>
          <t>Refill</t>
        </is>
      </c>
      <c r="D1017" t="inlineStr">
        <is>
          <t>Primer Cachos</t>
        </is>
      </c>
      <c r="E1017" t="n">
        <v>1</v>
      </c>
      <c r="F1017" t="inlineStr">
        <is>
          <t>2025-12-21</t>
        </is>
      </c>
      <c r="G1017" t="n">
        <v>195</v>
      </c>
      <c r="H1017" t="inlineStr">
        <is>
          <t>Y</t>
        </is>
      </c>
      <c r="I1017">
        <f>HYPERLINK("https://admin.shopify.com/store/ge-beauty-cosmeticos/customers/9980713992512","abrir")</f>
        <v/>
      </c>
      <c r="J1017">
        <f>HYPERLINK("https://www.gebeauty.com.br/products/primer-cachos-definidos?ref=review","review")</f>
        <v/>
      </c>
      <c r="K1017" t="inlineStr">
        <is>
          <t>SEND</t>
        </is>
      </c>
    </row>
    <row r="1018">
      <c r="A1018" t="inlineStr">
        <is>
          <t>Keyla</t>
        </is>
      </c>
      <c r="B1018" t="inlineStr">
        <is>
          <t>+5511988937467</t>
        </is>
      </c>
      <c r="C1018" t="inlineStr">
        <is>
          <t>Refill</t>
        </is>
      </c>
      <c r="D1018" t="inlineStr">
        <is>
          <t>Primer Cachos</t>
        </is>
      </c>
      <c r="E1018" t="n">
        <v>1</v>
      </c>
      <c r="F1018" t="inlineStr">
        <is>
          <t>2025-12-21</t>
        </is>
      </c>
      <c r="G1018" t="n">
        <v>195</v>
      </c>
      <c r="H1018" t="inlineStr">
        <is>
          <t>Y</t>
        </is>
      </c>
      <c r="I1018">
        <f>HYPERLINK("https://admin.shopify.com/store/ge-beauty-cosmeticos/customers/9980701704512","abrir")</f>
        <v/>
      </c>
      <c r="J1018">
        <f>HYPERLINK("https://www.gebeauty.com.br/products/primer-cachos-definidos?ref=review","review")</f>
        <v/>
      </c>
      <c r="K1018" t="inlineStr">
        <is>
          <t>HOLDOUT</t>
        </is>
      </c>
    </row>
    <row r="1019">
      <c r="A1019" t="inlineStr">
        <is>
          <t>Gabriela</t>
        </is>
      </c>
      <c r="B1019" t="inlineStr">
        <is>
          <t>+5527999570043</t>
        </is>
      </c>
      <c r="C1019" t="inlineStr">
        <is>
          <t>Refill</t>
        </is>
      </c>
      <c r="D1019" t="inlineStr">
        <is>
          <t>Primer Cachos</t>
        </is>
      </c>
      <c r="E1019" t="n">
        <v>1</v>
      </c>
      <c r="F1019" t="inlineStr">
        <is>
          <t>2025-12-22</t>
        </is>
      </c>
      <c r="G1019" t="n">
        <v>194</v>
      </c>
      <c r="H1019" t="inlineStr">
        <is>
          <t>Y</t>
        </is>
      </c>
      <c r="I1019">
        <f>HYPERLINK("https://admin.shopify.com/store/ge-beauty-cosmeticos/customers/8276457750848","abrir")</f>
        <v/>
      </c>
      <c r="J1019">
        <f>HYPERLINK("https://www.gebeauty.com.br/products/primer-cachos-definidos?ref=review","review")</f>
        <v/>
      </c>
      <c r="K1019" t="inlineStr">
        <is>
          <t>SEND</t>
        </is>
      </c>
    </row>
    <row r="1020">
      <c r="A1020" t="inlineStr">
        <is>
          <t>Julia</t>
        </is>
      </c>
      <c r="B1020" t="inlineStr">
        <is>
          <t>+5511997978167</t>
        </is>
      </c>
      <c r="C1020" t="inlineStr">
        <is>
          <t>Refill</t>
        </is>
      </c>
      <c r="D1020" t="inlineStr">
        <is>
          <t>Primer Cachos</t>
        </is>
      </c>
      <c r="E1020" t="n">
        <v>1</v>
      </c>
      <c r="F1020" t="inlineStr">
        <is>
          <t>2025-12-22</t>
        </is>
      </c>
      <c r="G1020" t="n">
        <v>194</v>
      </c>
      <c r="H1020" t="inlineStr">
        <is>
          <t>Y</t>
        </is>
      </c>
      <c r="I1020">
        <f>HYPERLINK("https://admin.shopify.com/store/ge-beauty-cosmeticos/customers/9982362026304","abrir")</f>
        <v/>
      </c>
      <c r="J1020">
        <f>HYPERLINK("https://www.gebeauty.com.br/products/primer-cachos-definidos?ref=review","review")</f>
        <v/>
      </c>
      <c r="K1020" t="inlineStr">
        <is>
          <t>HOLDOUT</t>
        </is>
      </c>
    </row>
    <row r="1021">
      <c r="A1021" t="inlineStr">
        <is>
          <t>Marinara</t>
        </is>
      </c>
      <c r="B1021" t="inlineStr">
        <is>
          <t>+5514996731426</t>
        </is>
      </c>
      <c r="C1021" t="inlineStr">
        <is>
          <t>Refill</t>
        </is>
      </c>
      <c r="D1021" t="inlineStr">
        <is>
          <t>Primer Cachos</t>
        </is>
      </c>
      <c r="E1021" t="n">
        <v>1</v>
      </c>
      <c r="F1021" t="inlineStr">
        <is>
          <t>2025-12-22</t>
        </is>
      </c>
      <c r="G1021" t="n">
        <v>194</v>
      </c>
      <c r="H1021" t="inlineStr">
        <is>
          <t>Y</t>
        </is>
      </c>
      <c r="I1021">
        <f>HYPERLINK("https://admin.shopify.com/store/ge-beauty-cosmeticos/customers/9982355472704","abrir")</f>
        <v/>
      </c>
      <c r="J1021">
        <f>HYPERLINK("https://www.gebeauty.com.br/products/primer-cachos-definidos?ref=review","review")</f>
        <v/>
      </c>
      <c r="K1021" t="inlineStr">
        <is>
          <t>SEND</t>
        </is>
      </c>
    </row>
    <row r="1022">
      <c r="A1022" t="inlineStr">
        <is>
          <t>Lívia</t>
        </is>
      </c>
      <c r="B1022" t="inlineStr">
        <is>
          <t>+5581999886154</t>
        </is>
      </c>
      <c r="C1022" t="inlineStr">
        <is>
          <t>Refill</t>
        </is>
      </c>
      <c r="D1022" t="inlineStr">
        <is>
          <t>Primer Cachos</t>
        </is>
      </c>
      <c r="E1022" t="n">
        <v>1</v>
      </c>
      <c r="F1022" t="inlineStr">
        <is>
          <t>2025-12-22</t>
        </is>
      </c>
      <c r="G1022" t="n">
        <v>194</v>
      </c>
      <c r="H1022" t="inlineStr">
        <is>
          <t>Y</t>
        </is>
      </c>
      <c r="I1022">
        <f>HYPERLINK("https://admin.shopify.com/store/ge-beauty-cosmeticos/customers/9486221836608","abrir")</f>
        <v/>
      </c>
      <c r="J1022">
        <f>HYPERLINK("https://www.gebeauty.com.br/products/primer-cachos-definidos?ref=review","review")</f>
        <v/>
      </c>
      <c r="K1022" t="inlineStr">
        <is>
          <t>HOLDOUT</t>
        </is>
      </c>
    </row>
    <row r="1023">
      <c r="A1023" t="inlineStr">
        <is>
          <t>Bruna</t>
        </is>
      </c>
      <c r="B1023" t="inlineStr">
        <is>
          <t>+5543999886676</t>
        </is>
      </c>
      <c r="C1023" t="inlineStr">
        <is>
          <t>Refill</t>
        </is>
      </c>
      <c r="D1023" t="inlineStr">
        <is>
          <t>Primer Cachos</t>
        </is>
      </c>
      <c r="E1023" t="n">
        <v>1</v>
      </c>
      <c r="F1023" t="inlineStr">
        <is>
          <t>2025-12-22</t>
        </is>
      </c>
      <c r="G1023" t="n">
        <v>194</v>
      </c>
      <c r="H1023" t="inlineStr">
        <is>
          <t>Y</t>
        </is>
      </c>
      <c r="I1023">
        <f>HYPERLINK("https://admin.shopify.com/store/ge-beauty-cosmeticos/customers/7759818195264","abrir")</f>
        <v/>
      </c>
      <c r="J1023">
        <f>HYPERLINK("https://www.gebeauty.com.br/products/primer-cachos-definidos?ref=review","review")</f>
        <v/>
      </c>
      <c r="K1023" t="inlineStr">
        <is>
          <t>SEND</t>
        </is>
      </c>
    </row>
    <row r="1024">
      <c r="A1024" t="inlineStr">
        <is>
          <t>Leontina</t>
        </is>
      </c>
      <c r="B1024" t="inlineStr">
        <is>
          <t>+5581996940447</t>
        </is>
      </c>
      <c r="C1024" t="inlineStr">
        <is>
          <t>Refill</t>
        </is>
      </c>
      <c r="D1024" t="inlineStr">
        <is>
          <t>Primer Cachos</t>
        </is>
      </c>
      <c r="E1024" t="n">
        <v>1</v>
      </c>
      <c r="F1024" t="inlineStr">
        <is>
          <t>2025-12-22</t>
        </is>
      </c>
      <c r="G1024" t="n">
        <v>194</v>
      </c>
      <c r="H1024" t="inlineStr">
        <is>
          <t>Y</t>
        </is>
      </c>
      <c r="I1024">
        <f>HYPERLINK("https://admin.shopify.com/store/ge-beauty-cosmeticos/customers/9665424949568","abrir")</f>
        <v/>
      </c>
      <c r="J1024">
        <f>HYPERLINK("https://www.gebeauty.com.br/products/primer-cachos-definidos?ref=review","review")</f>
        <v/>
      </c>
      <c r="K1024" t="inlineStr">
        <is>
          <t>SEND</t>
        </is>
      </c>
    </row>
    <row r="1025">
      <c r="A1025" t="inlineStr">
        <is>
          <t>Marilia</t>
        </is>
      </c>
      <c r="B1025" t="inlineStr">
        <is>
          <t>+5521992027501</t>
        </is>
      </c>
      <c r="C1025" t="inlineStr">
        <is>
          <t>Refill</t>
        </is>
      </c>
      <c r="D1025" t="inlineStr">
        <is>
          <t>Primer Cachos</t>
        </is>
      </c>
      <c r="E1025" t="n">
        <v>1</v>
      </c>
      <c r="F1025" t="inlineStr">
        <is>
          <t>2025-12-22</t>
        </is>
      </c>
      <c r="G1025" t="n">
        <v>194</v>
      </c>
      <c r="H1025" t="inlineStr">
        <is>
          <t>Y</t>
        </is>
      </c>
      <c r="I1025">
        <f>HYPERLINK("https://admin.shopify.com/store/ge-beauty-cosmeticos/customers/9485464699200","abrir")</f>
        <v/>
      </c>
      <c r="J1025">
        <f>HYPERLINK("https://www.gebeauty.com.br/products/primer-cachos-definidos?ref=review","review")</f>
        <v/>
      </c>
      <c r="K1025" t="inlineStr">
        <is>
          <t>SEND</t>
        </is>
      </c>
    </row>
    <row r="1026">
      <c r="A1026" t="inlineStr">
        <is>
          <t>Francine</t>
        </is>
      </c>
      <c r="B1026" t="inlineStr">
        <is>
          <t>+5511948803217</t>
        </is>
      </c>
      <c r="C1026" t="inlineStr">
        <is>
          <t>Refill</t>
        </is>
      </c>
      <c r="D1026" t="inlineStr">
        <is>
          <t>Primer Cachos</t>
        </is>
      </c>
      <c r="E1026" t="n">
        <v>1</v>
      </c>
      <c r="F1026" t="inlineStr">
        <is>
          <t>2025-12-22</t>
        </is>
      </c>
      <c r="G1026" t="n">
        <v>194</v>
      </c>
      <c r="H1026" t="inlineStr">
        <is>
          <t>Y</t>
        </is>
      </c>
      <c r="I1026">
        <f>HYPERLINK("https://admin.shopify.com/store/ge-beauty-cosmeticos/customers/9983124635968","abrir")</f>
        <v/>
      </c>
      <c r="J1026">
        <f>HYPERLINK("https://www.gebeauty.com.br/products/primer-cachos-definidos?ref=review","review")</f>
        <v/>
      </c>
      <c r="K1026" t="inlineStr">
        <is>
          <t>SEND</t>
        </is>
      </c>
    </row>
    <row r="1027">
      <c r="A1027" t="inlineStr">
        <is>
          <t>Camille</t>
        </is>
      </c>
      <c r="B1027" t="inlineStr">
        <is>
          <t>+5581997923075</t>
        </is>
      </c>
      <c r="C1027" t="inlineStr">
        <is>
          <t>Refill</t>
        </is>
      </c>
      <c r="D1027" t="inlineStr">
        <is>
          <t>Primer Cachos</t>
        </is>
      </c>
      <c r="E1027" t="n">
        <v>1</v>
      </c>
      <c r="F1027" t="inlineStr">
        <is>
          <t>2025-12-22</t>
        </is>
      </c>
      <c r="G1027" t="n">
        <v>194</v>
      </c>
      <c r="H1027" t="inlineStr">
        <is>
          <t>Y</t>
        </is>
      </c>
      <c r="I1027">
        <f>HYPERLINK("https://admin.shopify.com/store/ge-beauty-cosmeticos/customers/7762612617536","abrir")</f>
        <v/>
      </c>
      <c r="J1027">
        <f>HYPERLINK("https://www.gebeauty.com.br/products/primer-cachos-definidos?ref=review","review")</f>
        <v/>
      </c>
      <c r="K1027" t="inlineStr">
        <is>
          <t>SEND</t>
        </is>
      </c>
    </row>
    <row r="1028">
      <c r="A1028" t="inlineStr">
        <is>
          <t>Marcia</t>
        </is>
      </c>
      <c r="B1028" t="inlineStr">
        <is>
          <t>+5585982052065</t>
        </is>
      </c>
      <c r="C1028" t="inlineStr">
        <is>
          <t>Refill</t>
        </is>
      </c>
      <c r="D1028" t="inlineStr">
        <is>
          <t>Primer Cachos</t>
        </is>
      </c>
      <c r="E1028" t="n">
        <v>1</v>
      </c>
      <c r="F1028" t="inlineStr">
        <is>
          <t>2025-12-22</t>
        </is>
      </c>
      <c r="G1028" t="n">
        <v>194</v>
      </c>
      <c r="H1028" t="inlineStr">
        <is>
          <t>Y</t>
        </is>
      </c>
      <c r="I1028">
        <f>HYPERLINK("https://admin.shopify.com/store/ge-beauty-cosmeticos/customers/9983280152896","abrir")</f>
        <v/>
      </c>
      <c r="J1028">
        <f>HYPERLINK("https://www.gebeauty.com.br/products/primer-cachos-definidos?ref=review","review")</f>
        <v/>
      </c>
      <c r="K1028" t="inlineStr">
        <is>
          <t>SEND</t>
        </is>
      </c>
    </row>
    <row r="1029">
      <c r="A1029" t="inlineStr">
        <is>
          <t>Genoveva</t>
        </is>
      </c>
      <c r="B1029" t="inlineStr">
        <is>
          <t>+5511991338000</t>
        </is>
      </c>
      <c r="C1029" t="inlineStr">
        <is>
          <t>Refill</t>
        </is>
      </c>
      <c r="D1029" t="inlineStr">
        <is>
          <t>Primer Cachos</t>
        </is>
      </c>
      <c r="E1029" t="n">
        <v>1</v>
      </c>
      <c r="F1029" t="inlineStr">
        <is>
          <t>2025-12-22</t>
        </is>
      </c>
      <c r="G1029" t="n">
        <v>194</v>
      </c>
      <c r="H1029" t="inlineStr">
        <is>
          <t>Y</t>
        </is>
      </c>
      <c r="I1029">
        <f>HYPERLINK("https://admin.shopify.com/store/ge-beauty-cosmeticos/customers/9486037025088","abrir")</f>
        <v/>
      </c>
      <c r="J1029">
        <f>HYPERLINK("https://www.gebeauty.com.br/products/primer-cachos-definidos?ref=review","review")</f>
        <v/>
      </c>
      <c r="K1029" t="inlineStr">
        <is>
          <t>SEND</t>
        </is>
      </c>
    </row>
    <row r="1030">
      <c r="A1030" t="inlineStr">
        <is>
          <t>Isabelli</t>
        </is>
      </c>
      <c r="B1030" t="inlineStr">
        <is>
          <t>+5585987472597</t>
        </is>
      </c>
      <c r="C1030" t="inlineStr">
        <is>
          <t>Refill</t>
        </is>
      </c>
      <c r="D1030" t="inlineStr">
        <is>
          <t>Primer Cachos</t>
        </is>
      </c>
      <c r="E1030" t="n">
        <v>1</v>
      </c>
      <c r="F1030" t="inlineStr">
        <is>
          <t>2025-12-22</t>
        </is>
      </c>
      <c r="G1030" t="n">
        <v>194</v>
      </c>
      <c r="H1030" t="inlineStr">
        <is>
          <t>Y</t>
        </is>
      </c>
      <c r="I1030">
        <f>HYPERLINK("https://admin.shopify.com/store/ge-beauty-cosmeticos/customers/9983461065024","abrir")</f>
        <v/>
      </c>
      <c r="J1030">
        <f>HYPERLINK("https://www.gebeauty.com.br/products/primer-cachos-definidos?ref=review","review")</f>
        <v/>
      </c>
      <c r="K1030" t="inlineStr">
        <is>
          <t>SEND</t>
        </is>
      </c>
    </row>
    <row r="1031">
      <c r="A1031" t="inlineStr">
        <is>
          <t>Mayara</t>
        </is>
      </c>
      <c r="B1031" t="inlineStr">
        <is>
          <t>+5511952140805</t>
        </is>
      </c>
      <c r="C1031" t="inlineStr">
        <is>
          <t>Refill</t>
        </is>
      </c>
      <c r="D1031" t="inlineStr">
        <is>
          <t>Primer Cachos</t>
        </is>
      </c>
      <c r="E1031" t="n">
        <v>1</v>
      </c>
      <c r="F1031" t="inlineStr">
        <is>
          <t>2025-12-22</t>
        </is>
      </c>
      <c r="G1031" t="n">
        <v>194</v>
      </c>
      <c r="H1031" t="inlineStr">
        <is>
          <t>Y</t>
        </is>
      </c>
      <c r="I1031">
        <f>HYPERLINK("https://admin.shopify.com/store/ge-beauty-cosmeticos/customers/7759252291904","abrir")</f>
        <v/>
      </c>
      <c r="J1031">
        <f>HYPERLINK("https://www.gebeauty.com.br/products/primer-cachos-definidos?ref=review","review")</f>
        <v/>
      </c>
      <c r="K1031" t="inlineStr">
        <is>
          <t>SEND</t>
        </is>
      </c>
    </row>
    <row r="1032">
      <c r="A1032" t="inlineStr">
        <is>
          <t>Paula</t>
        </is>
      </c>
      <c r="B1032" t="inlineStr">
        <is>
          <t>+5521925534609</t>
        </is>
      </c>
      <c r="C1032" t="inlineStr">
        <is>
          <t>Refill</t>
        </is>
      </c>
      <c r="D1032" t="inlineStr">
        <is>
          <t>Primer Cachos</t>
        </is>
      </c>
      <c r="E1032" t="n">
        <v>1</v>
      </c>
      <c r="F1032" t="inlineStr">
        <is>
          <t>2025-12-22</t>
        </is>
      </c>
      <c r="G1032" t="n">
        <v>194</v>
      </c>
      <c r="H1032" t="inlineStr">
        <is>
          <t>Y</t>
        </is>
      </c>
      <c r="I1032">
        <f>HYPERLINK("https://admin.shopify.com/store/ge-beauty-cosmeticos/customers/9422061044032","abrir")</f>
        <v/>
      </c>
      <c r="J1032">
        <f>HYPERLINK("https://www.gebeauty.com.br/products/primer-cachos-definidos?ref=review","review")</f>
        <v/>
      </c>
      <c r="K1032" t="inlineStr">
        <is>
          <t>SEND</t>
        </is>
      </c>
    </row>
    <row r="1033">
      <c r="A1033" t="inlineStr">
        <is>
          <t>Alynne</t>
        </is>
      </c>
      <c r="B1033" t="inlineStr">
        <is>
          <t>+5586988134693</t>
        </is>
      </c>
      <c r="C1033" t="inlineStr">
        <is>
          <t>Refill</t>
        </is>
      </c>
      <c r="D1033" t="inlineStr">
        <is>
          <t>Primer Cachos</t>
        </is>
      </c>
      <c r="E1033" t="n">
        <v>1</v>
      </c>
      <c r="F1033" t="inlineStr">
        <is>
          <t>2025-12-22</t>
        </is>
      </c>
      <c r="G1033" t="n">
        <v>194</v>
      </c>
      <c r="H1033" t="inlineStr">
        <is>
          <t>Y</t>
        </is>
      </c>
      <c r="I1033">
        <f>HYPERLINK("https://admin.shopify.com/store/ge-beauty-cosmeticos/customers/9970616664384","abrir")</f>
        <v/>
      </c>
      <c r="J1033">
        <f>HYPERLINK("https://www.gebeauty.com.br/products/primer-cachos-definidos?ref=review","review")</f>
        <v/>
      </c>
      <c r="K1033" t="inlineStr">
        <is>
          <t>SEND</t>
        </is>
      </c>
    </row>
    <row r="1034">
      <c r="A1034" t="inlineStr">
        <is>
          <t>Beatriz</t>
        </is>
      </c>
      <c r="B1034" t="inlineStr">
        <is>
          <t>+5513996521222</t>
        </is>
      </c>
      <c r="C1034" t="inlineStr">
        <is>
          <t>Refill</t>
        </is>
      </c>
      <c r="D1034" t="inlineStr">
        <is>
          <t>Primer Cachos</t>
        </is>
      </c>
      <c r="E1034" t="n">
        <v>1</v>
      </c>
      <c r="F1034" t="inlineStr">
        <is>
          <t>2025-12-23</t>
        </is>
      </c>
      <c r="G1034" t="n">
        <v>193</v>
      </c>
      <c r="H1034" t="inlineStr">
        <is>
          <t>Y</t>
        </is>
      </c>
      <c r="I1034">
        <f>HYPERLINK("https://admin.shopify.com/store/ge-beauty-cosmeticos/customers/9486228488512","abrir")</f>
        <v/>
      </c>
      <c r="J1034">
        <f>HYPERLINK("https://www.gebeauty.com.br/products/primer-cachos-definidos?ref=review","review")</f>
        <v/>
      </c>
      <c r="K1034" t="inlineStr">
        <is>
          <t>HOLDOUT</t>
        </is>
      </c>
    </row>
    <row r="1035">
      <c r="A1035" t="inlineStr">
        <is>
          <t>Ana</t>
        </is>
      </c>
      <c r="B1035" t="inlineStr">
        <is>
          <t>+5511996613736</t>
        </is>
      </c>
      <c r="C1035" t="inlineStr">
        <is>
          <t>Refill</t>
        </is>
      </c>
      <c r="D1035" t="inlineStr">
        <is>
          <t>Primer Cachos</t>
        </is>
      </c>
      <c r="E1035" t="n">
        <v>1</v>
      </c>
      <c r="F1035" t="inlineStr">
        <is>
          <t>2025-12-23</t>
        </is>
      </c>
      <c r="G1035" t="n">
        <v>193</v>
      </c>
      <c r="H1035" t="inlineStr">
        <is>
          <t>Y</t>
        </is>
      </c>
      <c r="I1035">
        <f>HYPERLINK("https://admin.shopify.com/store/ge-beauty-cosmeticos/customers/9485192429888","abrir")</f>
        <v/>
      </c>
      <c r="J1035">
        <f>HYPERLINK("https://www.gebeauty.com.br/products/primer-cachos-definidos?ref=review","review")</f>
        <v/>
      </c>
      <c r="K1035" t="inlineStr">
        <is>
          <t>SEND</t>
        </is>
      </c>
    </row>
    <row r="1036">
      <c r="A1036" t="inlineStr">
        <is>
          <t>Giovanna</t>
        </is>
      </c>
      <c r="B1036" t="inlineStr">
        <is>
          <t>+5513997607555</t>
        </is>
      </c>
      <c r="C1036" t="inlineStr">
        <is>
          <t>Refill</t>
        </is>
      </c>
      <c r="D1036" t="inlineStr">
        <is>
          <t>Primer Cachos</t>
        </is>
      </c>
      <c r="E1036" t="n">
        <v>1</v>
      </c>
      <c r="F1036" t="inlineStr">
        <is>
          <t>2025-12-23</t>
        </is>
      </c>
      <c r="G1036" t="n">
        <v>193</v>
      </c>
      <c r="H1036" t="inlineStr">
        <is>
          <t>Y</t>
        </is>
      </c>
      <c r="I1036">
        <f>HYPERLINK("https://admin.shopify.com/store/ge-beauty-cosmeticos/customers/9423046672704","abrir")</f>
        <v/>
      </c>
      <c r="J1036">
        <f>HYPERLINK("https://www.gebeauty.com.br/products/primer-cachos-definidos?ref=review","review")</f>
        <v/>
      </c>
      <c r="K1036" t="inlineStr">
        <is>
          <t>SEND</t>
        </is>
      </c>
    </row>
    <row r="1037">
      <c r="A1037" t="inlineStr">
        <is>
          <t>Camila</t>
        </is>
      </c>
      <c r="B1037" t="inlineStr">
        <is>
          <t>+5511983680606</t>
        </is>
      </c>
      <c r="C1037" t="inlineStr">
        <is>
          <t>Refill</t>
        </is>
      </c>
      <c r="D1037" t="inlineStr">
        <is>
          <t>Primer Cachos</t>
        </is>
      </c>
      <c r="E1037" t="n">
        <v>1</v>
      </c>
      <c r="F1037" t="inlineStr">
        <is>
          <t>2025-12-23</t>
        </is>
      </c>
      <c r="G1037" t="n">
        <v>193</v>
      </c>
      <c r="H1037" t="inlineStr">
        <is>
          <t>Y</t>
        </is>
      </c>
      <c r="I1037">
        <f>HYPERLINK("https://admin.shopify.com/store/ge-beauty-cosmeticos/customers/9983827607872","abrir")</f>
        <v/>
      </c>
      <c r="J1037">
        <f>HYPERLINK("https://www.gebeauty.com.br/products/primer-cachos-definidos?ref=review","review")</f>
        <v/>
      </c>
      <c r="K1037" t="inlineStr">
        <is>
          <t>SEND</t>
        </is>
      </c>
    </row>
    <row r="1038">
      <c r="A1038" t="inlineStr">
        <is>
          <t>Gabriela</t>
        </is>
      </c>
      <c r="B1038" t="inlineStr">
        <is>
          <t>+5514998039629</t>
        </is>
      </c>
      <c r="C1038" t="inlineStr">
        <is>
          <t>Refill</t>
        </is>
      </c>
      <c r="D1038" t="inlineStr">
        <is>
          <t>Primer Cachos</t>
        </is>
      </c>
      <c r="E1038" t="n">
        <v>1</v>
      </c>
      <c r="F1038" t="inlineStr">
        <is>
          <t>2025-12-23</t>
        </is>
      </c>
      <c r="G1038" t="n">
        <v>193</v>
      </c>
      <c r="H1038" t="inlineStr">
        <is>
          <t>Y</t>
        </is>
      </c>
      <c r="I1038">
        <f>HYPERLINK("https://admin.shopify.com/store/ge-beauty-cosmeticos/customers/9984744915264","abrir")</f>
        <v/>
      </c>
      <c r="J1038">
        <f>HYPERLINK("https://www.gebeauty.com.br/products/primer-cachos-definidos?ref=review","review")</f>
        <v/>
      </c>
      <c r="K1038" t="inlineStr">
        <is>
          <t>SEND</t>
        </is>
      </c>
    </row>
    <row r="1039">
      <c r="A1039" t="inlineStr">
        <is>
          <t>Stephany</t>
        </is>
      </c>
      <c r="B1039" t="inlineStr">
        <is>
          <t>+5511985110409</t>
        </is>
      </c>
      <c r="C1039" t="inlineStr">
        <is>
          <t>Refill</t>
        </is>
      </c>
      <c r="D1039" t="inlineStr">
        <is>
          <t>Primer Cachos</t>
        </is>
      </c>
      <c r="E1039" t="n">
        <v>1</v>
      </c>
      <c r="F1039" t="inlineStr">
        <is>
          <t>2025-12-23</t>
        </is>
      </c>
      <c r="G1039" t="n">
        <v>193</v>
      </c>
      <c r="H1039" t="inlineStr">
        <is>
          <t>Y</t>
        </is>
      </c>
      <c r="I1039">
        <f>HYPERLINK("https://admin.shopify.com/store/ge-beauty-cosmeticos/customers/9984741310784","abrir")</f>
        <v/>
      </c>
      <c r="J1039">
        <f>HYPERLINK("https://www.gebeauty.com.br/products/primer-cachos-definidos?ref=review","review")</f>
        <v/>
      </c>
      <c r="K1039" t="inlineStr">
        <is>
          <t>SEND</t>
        </is>
      </c>
    </row>
    <row r="1040">
      <c r="A1040" t="inlineStr">
        <is>
          <t>Caroline</t>
        </is>
      </c>
      <c r="B1040" t="inlineStr">
        <is>
          <t>+5521999925570</t>
        </is>
      </c>
      <c r="C1040" t="inlineStr">
        <is>
          <t>Refill</t>
        </is>
      </c>
      <c r="D1040" t="inlineStr">
        <is>
          <t>Primer Cachos</t>
        </is>
      </c>
      <c r="E1040" t="n">
        <v>1</v>
      </c>
      <c r="F1040" t="inlineStr">
        <is>
          <t>2025-12-23</t>
        </is>
      </c>
      <c r="G1040" t="n">
        <v>193</v>
      </c>
      <c r="H1040" t="inlineStr">
        <is>
          <t>Y</t>
        </is>
      </c>
      <c r="I1040">
        <f>HYPERLINK("https://admin.shopify.com/store/ge-beauty-cosmeticos/customers/7760321511744","abrir")</f>
        <v/>
      </c>
      <c r="J1040">
        <f>HYPERLINK("https://www.gebeauty.com.br/products/primer-cachos-definidos?ref=review","review")</f>
        <v/>
      </c>
      <c r="K1040" t="inlineStr">
        <is>
          <t>HOLDOUT</t>
        </is>
      </c>
    </row>
    <row r="1041">
      <c r="A1041" t="inlineStr">
        <is>
          <t>Isabel</t>
        </is>
      </c>
      <c r="B1041" t="inlineStr">
        <is>
          <t>+5511941420120</t>
        </is>
      </c>
      <c r="C1041" t="inlineStr">
        <is>
          <t>Refill</t>
        </is>
      </c>
      <c r="D1041" t="inlineStr">
        <is>
          <t>Primer Cachos</t>
        </is>
      </c>
      <c r="E1041" t="n">
        <v>1</v>
      </c>
      <c r="F1041" t="inlineStr">
        <is>
          <t>2025-12-23</t>
        </is>
      </c>
      <c r="G1041" t="n">
        <v>193</v>
      </c>
      <c r="H1041" t="inlineStr">
        <is>
          <t>Y</t>
        </is>
      </c>
      <c r="I1041">
        <f>HYPERLINK("https://admin.shopify.com/store/ge-beauty-cosmeticos/customers/9984891781440","abrir")</f>
        <v/>
      </c>
      <c r="J1041">
        <f>HYPERLINK("https://www.gebeauty.com.br/products/primer-cachos-definidos?ref=review","review")</f>
        <v/>
      </c>
      <c r="K1041" t="inlineStr">
        <is>
          <t>SEND</t>
        </is>
      </c>
    </row>
    <row r="1042">
      <c r="A1042" t="inlineStr">
        <is>
          <t>Marcela</t>
        </is>
      </c>
      <c r="B1042" t="inlineStr">
        <is>
          <t>+5511971041015</t>
        </is>
      </c>
      <c r="C1042" t="inlineStr">
        <is>
          <t>Refill</t>
        </is>
      </c>
      <c r="D1042" t="inlineStr">
        <is>
          <t>Primer Cachos</t>
        </is>
      </c>
      <c r="E1042" t="n">
        <v>1</v>
      </c>
      <c r="F1042" t="inlineStr">
        <is>
          <t>2025-12-23</t>
        </is>
      </c>
      <c r="G1042" t="n">
        <v>193</v>
      </c>
      <c r="H1042" t="inlineStr">
        <is>
          <t>Y</t>
        </is>
      </c>
      <c r="I1042">
        <f>HYPERLINK("https://admin.shopify.com/store/ge-beauty-cosmeticos/customers/8449378484544","abrir")</f>
        <v/>
      </c>
      <c r="J1042">
        <f>HYPERLINK("https://www.gebeauty.com.br/products/primer-cachos-definidos?ref=review","review")</f>
        <v/>
      </c>
      <c r="K1042" t="inlineStr">
        <is>
          <t>SEND</t>
        </is>
      </c>
    </row>
    <row r="1043">
      <c r="A1043" t="inlineStr">
        <is>
          <t>Mariane</t>
        </is>
      </c>
      <c r="B1043" t="inlineStr">
        <is>
          <t>+5554999762522</t>
        </is>
      </c>
      <c r="C1043" t="inlineStr">
        <is>
          <t>Refill</t>
        </is>
      </c>
      <c r="D1043" t="inlineStr">
        <is>
          <t>Primer Cachos</t>
        </is>
      </c>
      <c r="E1043" t="n">
        <v>1</v>
      </c>
      <c r="F1043" t="inlineStr">
        <is>
          <t>2025-12-23</t>
        </is>
      </c>
      <c r="G1043" t="n">
        <v>193</v>
      </c>
      <c r="H1043" t="inlineStr">
        <is>
          <t>Y</t>
        </is>
      </c>
      <c r="I1043">
        <f>HYPERLINK("https://admin.shopify.com/store/ge-beauty-cosmeticos/customers/9985119846720","abrir")</f>
        <v/>
      </c>
      <c r="J1043">
        <f>HYPERLINK("https://www.gebeauty.com.br/products/primer-cachos-definidos?ref=review","review")</f>
        <v/>
      </c>
      <c r="K1043" t="inlineStr">
        <is>
          <t>SEND</t>
        </is>
      </c>
    </row>
    <row r="1044">
      <c r="A1044" t="inlineStr">
        <is>
          <t>Raissa</t>
        </is>
      </c>
      <c r="B1044" t="inlineStr">
        <is>
          <t>+5584999151428</t>
        </is>
      </c>
      <c r="C1044" t="inlineStr">
        <is>
          <t>Refill</t>
        </is>
      </c>
      <c r="D1044" t="inlineStr">
        <is>
          <t>Primer Cachos</t>
        </is>
      </c>
      <c r="E1044" t="n">
        <v>1</v>
      </c>
      <c r="F1044" t="inlineStr">
        <is>
          <t>2025-12-23</t>
        </is>
      </c>
      <c r="G1044" t="n">
        <v>193</v>
      </c>
      <c r="H1044" t="inlineStr">
        <is>
          <t>Y</t>
        </is>
      </c>
      <c r="I1044">
        <f>HYPERLINK("https://admin.shopify.com/store/ge-beauty-cosmeticos/customers/8725618688320","abrir")</f>
        <v/>
      </c>
      <c r="J1044">
        <f>HYPERLINK("https://www.gebeauty.com.br/products/primer-cachos-definidos?ref=review","review")</f>
        <v/>
      </c>
      <c r="K1044" t="inlineStr">
        <is>
          <t>SEND</t>
        </is>
      </c>
    </row>
    <row r="1045">
      <c r="A1045" t="inlineStr">
        <is>
          <t>Barbara</t>
        </is>
      </c>
      <c r="B1045" t="inlineStr">
        <is>
          <t>+5531996356068</t>
        </is>
      </c>
      <c r="C1045" t="inlineStr">
        <is>
          <t>Refill</t>
        </is>
      </c>
      <c r="D1045" t="inlineStr">
        <is>
          <t>Primer Cachos</t>
        </is>
      </c>
      <c r="E1045" t="n">
        <v>1</v>
      </c>
      <c r="F1045" t="inlineStr">
        <is>
          <t>2025-12-23</t>
        </is>
      </c>
      <c r="G1045" t="n">
        <v>193</v>
      </c>
      <c r="H1045" t="inlineStr">
        <is>
          <t>Y</t>
        </is>
      </c>
      <c r="I1045">
        <f>HYPERLINK("https://admin.shopify.com/store/ge-beauty-cosmeticos/customers/9985303740736","abrir")</f>
        <v/>
      </c>
      <c r="J1045">
        <f>HYPERLINK("https://www.gebeauty.com.br/products/primer-cachos-definidos?ref=review","review")</f>
        <v/>
      </c>
      <c r="K1045" t="inlineStr">
        <is>
          <t>SEND</t>
        </is>
      </c>
    </row>
    <row r="1046">
      <c r="A1046" t="inlineStr">
        <is>
          <t>Amanda</t>
        </is>
      </c>
      <c r="B1046" t="inlineStr">
        <is>
          <t>+5511983560014</t>
        </is>
      </c>
      <c r="C1046" t="inlineStr">
        <is>
          <t>Refill</t>
        </is>
      </c>
      <c r="D1046" t="inlineStr">
        <is>
          <t>Primer Cachos</t>
        </is>
      </c>
      <c r="E1046" t="n">
        <v>1</v>
      </c>
      <c r="F1046" t="inlineStr">
        <is>
          <t>2025-12-23</t>
        </is>
      </c>
      <c r="G1046" t="n">
        <v>193</v>
      </c>
      <c r="H1046" t="inlineStr">
        <is>
          <t>Y</t>
        </is>
      </c>
      <c r="I1046">
        <f>HYPERLINK("https://admin.shopify.com/store/ge-beauty-cosmeticos/customers/9985404961088","abrir")</f>
        <v/>
      </c>
      <c r="J1046">
        <f>HYPERLINK("https://www.gebeauty.com.br/products/primer-cachos-definidos?ref=review","review")</f>
        <v/>
      </c>
      <c r="K1046" t="inlineStr">
        <is>
          <t>SEND</t>
        </is>
      </c>
    </row>
    <row r="1047">
      <c r="A1047" t="inlineStr">
        <is>
          <t>Nathaly</t>
        </is>
      </c>
      <c r="B1047" t="inlineStr">
        <is>
          <t>+5527997043592</t>
        </is>
      </c>
      <c r="C1047" t="inlineStr">
        <is>
          <t>Refill</t>
        </is>
      </c>
      <c r="D1047" t="inlineStr">
        <is>
          <t>Primer Cachos</t>
        </is>
      </c>
      <c r="E1047" t="n">
        <v>1</v>
      </c>
      <c r="F1047" t="inlineStr">
        <is>
          <t>2025-12-23</t>
        </is>
      </c>
      <c r="G1047" t="n">
        <v>193</v>
      </c>
      <c r="H1047" t="inlineStr">
        <is>
          <t>Y</t>
        </is>
      </c>
      <c r="I1047">
        <f>HYPERLINK("https://admin.shopify.com/store/ge-beauty-cosmeticos/customers/9985426719040","abrir")</f>
        <v/>
      </c>
      <c r="J1047">
        <f>HYPERLINK("https://www.gebeauty.com.br/products/primer-cachos-definidos?ref=review","review")</f>
        <v/>
      </c>
      <c r="K1047" t="inlineStr">
        <is>
          <t>SEND</t>
        </is>
      </c>
    </row>
    <row r="1048">
      <c r="A1048" t="inlineStr">
        <is>
          <t>Luisa</t>
        </is>
      </c>
      <c r="B1048" t="inlineStr">
        <is>
          <t>+5511992207760</t>
        </is>
      </c>
      <c r="C1048" t="inlineStr">
        <is>
          <t>Refill</t>
        </is>
      </c>
      <c r="D1048" t="inlineStr">
        <is>
          <t>Primer Cachos</t>
        </is>
      </c>
      <c r="E1048" t="n">
        <v>1</v>
      </c>
      <c r="F1048" t="inlineStr">
        <is>
          <t>2025-12-23</t>
        </is>
      </c>
      <c r="G1048" t="n">
        <v>193</v>
      </c>
      <c r="H1048" t="inlineStr">
        <is>
          <t>Y</t>
        </is>
      </c>
      <c r="I1048">
        <f>HYPERLINK("https://admin.shopify.com/store/ge-beauty-cosmeticos/customers/9486526480704","abrir")</f>
        <v/>
      </c>
      <c r="J1048">
        <f>HYPERLINK("https://www.gebeauty.com.br/products/primer-cachos-definidos?ref=review","review")</f>
        <v/>
      </c>
      <c r="K1048" t="inlineStr">
        <is>
          <t>SEND</t>
        </is>
      </c>
    </row>
    <row r="1049">
      <c r="A1049" t="inlineStr">
        <is>
          <t>Priscila</t>
        </is>
      </c>
      <c r="B1049" t="inlineStr">
        <is>
          <t>+5581998467769</t>
        </is>
      </c>
      <c r="C1049" t="inlineStr">
        <is>
          <t>Refill</t>
        </is>
      </c>
      <c r="D1049" t="inlineStr">
        <is>
          <t>Primer Cachos</t>
        </is>
      </c>
      <c r="E1049" t="n">
        <v>1</v>
      </c>
      <c r="F1049" t="inlineStr">
        <is>
          <t>2025-12-23</t>
        </is>
      </c>
      <c r="G1049" t="n">
        <v>193</v>
      </c>
      <c r="H1049" t="inlineStr">
        <is>
          <t>Y</t>
        </is>
      </c>
      <c r="I1049">
        <f>HYPERLINK("https://admin.shopify.com/store/ge-beauty-cosmeticos/customers/9985626276160","abrir")</f>
        <v/>
      </c>
      <c r="J1049">
        <f>HYPERLINK("https://www.gebeauty.com.br/products/primer-cachos-definidos?ref=review","review")</f>
        <v/>
      </c>
      <c r="K1049" t="inlineStr">
        <is>
          <t>SEND</t>
        </is>
      </c>
    </row>
    <row r="1050">
      <c r="A1050" t="inlineStr">
        <is>
          <t>Luana</t>
        </is>
      </c>
      <c r="B1050" t="inlineStr">
        <is>
          <t>+5511954130624</t>
        </is>
      </c>
      <c r="C1050" t="inlineStr">
        <is>
          <t>Refill</t>
        </is>
      </c>
      <c r="D1050" t="inlineStr">
        <is>
          <t>Primer Cachos</t>
        </is>
      </c>
      <c r="E1050" t="n">
        <v>1</v>
      </c>
      <c r="F1050" t="inlineStr">
        <is>
          <t>2025-12-24</t>
        </is>
      </c>
      <c r="G1050" t="n">
        <v>192</v>
      </c>
      <c r="H1050" t="inlineStr">
        <is>
          <t>Y</t>
        </is>
      </c>
      <c r="I1050">
        <f>HYPERLINK("https://admin.shopify.com/store/ge-beauty-cosmeticos/customers/9986711978304","abrir")</f>
        <v/>
      </c>
      <c r="J1050">
        <f>HYPERLINK("https://www.gebeauty.com.br/products/primer-cachos-definidos?ref=review","review")</f>
        <v/>
      </c>
      <c r="K1050" t="inlineStr">
        <is>
          <t>SEND</t>
        </is>
      </c>
    </row>
    <row r="1051">
      <c r="A1051" t="inlineStr">
        <is>
          <t>Manuela</t>
        </is>
      </c>
      <c r="B1051" t="inlineStr">
        <is>
          <t>+5581981097724</t>
        </is>
      </c>
      <c r="C1051" t="inlineStr">
        <is>
          <t>Refill</t>
        </is>
      </c>
      <c r="D1051" t="inlineStr">
        <is>
          <t>Primer Cachos</t>
        </is>
      </c>
      <c r="E1051" t="n">
        <v>1</v>
      </c>
      <c r="F1051" t="inlineStr">
        <is>
          <t>2025-12-24</t>
        </is>
      </c>
      <c r="G1051" t="n">
        <v>192</v>
      </c>
      <c r="H1051" t="inlineStr">
        <is>
          <t>Y</t>
        </is>
      </c>
      <c r="I1051">
        <f>HYPERLINK("https://admin.shopify.com/store/ge-beauty-cosmeticos/customers/9987298558272","abrir")</f>
        <v/>
      </c>
      <c r="J1051">
        <f>HYPERLINK("https://www.gebeauty.com.br/products/primer-cachos-definidos?ref=review","review")</f>
        <v/>
      </c>
      <c r="K1051" t="inlineStr">
        <is>
          <t>SEND</t>
        </is>
      </c>
    </row>
    <row r="1052">
      <c r="A1052" t="inlineStr">
        <is>
          <t>Priscila</t>
        </is>
      </c>
      <c r="B1052" t="inlineStr">
        <is>
          <t>+5551992407714</t>
        </is>
      </c>
      <c r="C1052" t="inlineStr">
        <is>
          <t>Refill</t>
        </is>
      </c>
      <c r="D1052" t="inlineStr">
        <is>
          <t>Primer Cachos</t>
        </is>
      </c>
      <c r="E1052" t="n">
        <v>1</v>
      </c>
      <c r="F1052" t="inlineStr">
        <is>
          <t>2025-12-24</t>
        </is>
      </c>
      <c r="G1052" t="n">
        <v>192</v>
      </c>
      <c r="H1052" t="inlineStr">
        <is>
          <t>Y</t>
        </is>
      </c>
      <c r="I1052">
        <f>HYPERLINK("https://admin.shopify.com/store/ge-beauty-cosmeticos/customers/9485748863296","abrir")</f>
        <v/>
      </c>
      <c r="J1052">
        <f>HYPERLINK("https://www.gebeauty.com.br/products/primer-cachos-definidos?ref=review","review")</f>
        <v/>
      </c>
      <c r="K1052" t="inlineStr">
        <is>
          <t>SEND</t>
        </is>
      </c>
    </row>
    <row r="1053">
      <c r="A1053" t="inlineStr">
        <is>
          <t>Helena</t>
        </is>
      </c>
      <c r="B1053" t="inlineStr">
        <is>
          <t>+5581999713787</t>
        </is>
      </c>
      <c r="C1053" t="inlineStr">
        <is>
          <t>Refill</t>
        </is>
      </c>
      <c r="D1053" t="inlineStr">
        <is>
          <t>Primer Cachos</t>
        </is>
      </c>
      <c r="E1053" t="n">
        <v>1</v>
      </c>
      <c r="F1053" t="inlineStr">
        <is>
          <t>2025-12-24</t>
        </is>
      </c>
      <c r="G1053" t="n">
        <v>192</v>
      </c>
      <c r="H1053" t="inlineStr">
        <is>
          <t>Y</t>
        </is>
      </c>
      <c r="I1053">
        <f>HYPERLINK("https://admin.shopify.com/store/ge-beauty-cosmeticos/customers/9987688563008","abrir")</f>
        <v/>
      </c>
      <c r="J1053">
        <f>HYPERLINK("https://www.gebeauty.com.br/products/primer-cachos-definidos?ref=review","review")</f>
        <v/>
      </c>
      <c r="K1053" t="inlineStr">
        <is>
          <t>SEND</t>
        </is>
      </c>
    </row>
    <row r="1054">
      <c r="A1054" t="inlineStr">
        <is>
          <t>Alessandra</t>
        </is>
      </c>
      <c r="B1054" t="inlineStr">
        <is>
          <t>+5531984091667</t>
        </is>
      </c>
      <c r="C1054" t="inlineStr">
        <is>
          <t>Refill</t>
        </is>
      </c>
      <c r="D1054" t="inlineStr">
        <is>
          <t>Primer Cachos</t>
        </is>
      </c>
      <c r="E1054" t="n">
        <v>1</v>
      </c>
      <c r="F1054" t="inlineStr">
        <is>
          <t>2025-12-25</t>
        </is>
      </c>
      <c r="G1054" t="n">
        <v>191</v>
      </c>
      <c r="H1054" t="inlineStr">
        <is>
          <t>Y</t>
        </is>
      </c>
      <c r="I1054">
        <f>HYPERLINK("https://admin.shopify.com/store/ge-beauty-cosmeticos/customers/9484633932096","abrir")</f>
        <v/>
      </c>
      <c r="J1054">
        <f>HYPERLINK("https://www.gebeauty.com.br/products/primer-cachos-definidos?ref=review","review")</f>
        <v/>
      </c>
      <c r="K1054" t="inlineStr">
        <is>
          <t>SEND</t>
        </is>
      </c>
    </row>
    <row r="1055">
      <c r="A1055" t="inlineStr">
        <is>
          <t>Luciana</t>
        </is>
      </c>
      <c r="B1055" t="inlineStr">
        <is>
          <t>+5519991970070</t>
        </is>
      </c>
      <c r="C1055" t="inlineStr">
        <is>
          <t>Refill</t>
        </is>
      </c>
      <c r="D1055" t="inlineStr">
        <is>
          <t>Primer Cachos</t>
        </is>
      </c>
      <c r="E1055" t="n">
        <v>1</v>
      </c>
      <c r="F1055" t="inlineStr">
        <is>
          <t>2026-01-25</t>
        </is>
      </c>
      <c r="G1055" t="n">
        <v>160</v>
      </c>
      <c r="H1055" t="inlineStr">
        <is>
          <t>Y</t>
        </is>
      </c>
      <c r="I1055">
        <f>HYPERLINK("https://admin.shopify.com/store/ge-beauty-cosmeticos/customers/9305852576064","abrir")</f>
        <v/>
      </c>
      <c r="J1055">
        <f>HYPERLINK("https://www.gebeauty.com.br/products/primer-cachos-definidos?ref=review","review")</f>
        <v/>
      </c>
      <c r="K1055" t="inlineStr">
        <is>
          <t>SEND</t>
        </is>
      </c>
    </row>
    <row r="1056">
      <c r="A1056" t="inlineStr">
        <is>
          <t>Andreza</t>
        </is>
      </c>
      <c r="B1056" t="inlineStr">
        <is>
          <t>+5581995996971</t>
        </is>
      </c>
      <c r="C1056" t="inlineStr">
        <is>
          <t>Refill</t>
        </is>
      </c>
      <c r="D1056" t="inlineStr">
        <is>
          <t>Primer Cachos</t>
        </is>
      </c>
      <c r="E1056" t="n">
        <v>1</v>
      </c>
      <c r="F1056" t="inlineStr">
        <is>
          <t>2025-12-25</t>
        </is>
      </c>
      <c r="G1056" t="n">
        <v>191</v>
      </c>
      <c r="H1056" t="inlineStr">
        <is>
          <t>Y</t>
        </is>
      </c>
      <c r="I1056">
        <f>HYPERLINK("https://admin.shopify.com/store/ge-beauty-cosmeticos/customers/8748944195904","abrir")</f>
        <v/>
      </c>
      <c r="J1056">
        <f>HYPERLINK("https://www.gebeauty.com.br/products/primer-cachos-definidos?ref=review","review")</f>
        <v/>
      </c>
      <c r="K1056" t="inlineStr">
        <is>
          <t>SEND</t>
        </is>
      </c>
    </row>
    <row r="1057">
      <c r="A1057" t="inlineStr">
        <is>
          <t>Bibiana</t>
        </is>
      </c>
      <c r="B1057" t="inlineStr">
        <is>
          <t>+5511933449393</t>
        </is>
      </c>
      <c r="C1057" t="inlineStr">
        <is>
          <t>Refill</t>
        </is>
      </c>
      <c r="D1057" t="inlineStr">
        <is>
          <t>Primer Cachos</t>
        </is>
      </c>
      <c r="E1057" t="n">
        <v>1</v>
      </c>
      <c r="F1057" t="inlineStr">
        <is>
          <t>2025-12-25</t>
        </is>
      </c>
      <c r="G1057" t="n">
        <v>191</v>
      </c>
      <c r="H1057" t="inlineStr">
        <is>
          <t>Y</t>
        </is>
      </c>
      <c r="I1057">
        <f>HYPERLINK("https://admin.shopify.com/store/ge-beauty-cosmeticos/customers/9485653836096","abrir")</f>
        <v/>
      </c>
      <c r="J1057">
        <f>HYPERLINK("https://www.gebeauty.com.br/products/primer-cachos-definidos?ref=review","review")</f>
        <v/>
      </c>
      <c r="K1057" t="inlineStr">
        <is>
          <t>SEND</t>
        </is>
      </c>
    </row>
    <row r="1058">
      <c r="A1058" t="inlineStr">
        <is>
          <t>Áurea</t>
        </is>
      </c>
      <c r="B1058" t="inlineStr">
        <is>
          <t>+5531999027025</t>
        </is>
      </c>
      <c r="C1058" t="inlineStr">
        <is>
          <t>Refill</t>
        </is>
      </c>
      <c r="D1058" t="inlineStr">
        <is>
          <t>Primer Cachos</t>
        </is>
      </c>
      <c r="E1058" t="n">
        <v>1</v>
      </c>
      <c r="F1058" t="inlineStr">
        <is>
          <t>2025-12-25</t>
        </is>
      </c>
      <c r="G1058" t="n">
        <v>191</v>
      </c>
      <c r="H1058" t="inlineStr">
        <is>
          <t>Y</t>
        </is>
      </c>
      <c r="I1058">
        <f>HYPERLINK("https://admin.shopify.com/store/ge-beauty-cosmeticos/customers/9612388565312","abrir")</f>
        <v/>
      </c>
      <c r="J1058">
        <f>HYPERLINK("https://www.gebeauty.com.br/products/primer-cachos-definidos?ref=review","review")</f>
        <v/>
      </c>
      <c r="K1058" t="inlineStr">
        <is>
          <t>SEND</t>
        </is>
      </c>
    </row>
    <row r="1059">
      <c r="A1059" t="inlineStr">
        <is>
          <t>Jacqueline</t>
        </is>
      </c>
      <c r="B1059" t="inlineStr">
        <is>
          <t>+5511989771441</t>
        </is>
      </c>
      <c r="C1059" t="inlineStr">
        <is>
          <t>Refill</t>
        </is>
      </c>
      <c r="D1059" t="inlineStr">
        <is>
          <t>Primer Cachos</t>
        </is>
      </c>
      <c r="E1059" t="n">
        <v>1</v>
      </c>
      <c r="F1059" t="inlineStr">
        <is>
          <t>2025-12-25</t>
        </is>
      </c>
      <c r="G1059" t="n">
        <v>191</v>
      </c>
      <c r="H1059" t="inlineStr">
        <is>
          <t>Y</t>
        </is>
      </c>
      <c r="I1059">
        <f>HYPERLINK("https://admin.shopify.com/store/ge-beauty-cosmeticos/customers/8404388774208","abrir")</f>
        <v/>
      </c>
      <c r="J1059">
        <f>HYPERLINK("https://www.gebeauty.com.br/products/primer-cachos-definidos?ref=review","review")</f>
        <v/>
      </c>
      <c r="K1059" t="inlineStr">
        <is>
          <t>SEND</t>
        </is>
      </c>
    </row>
    <row r="1060">
      <c r="A1060" t="inlineStr">
        <is>
          <t>Elisa</t>
        </is>
      </c>
      <c r="B1060" t="inlineStr">
        <is>
          <t>+5511999921979</t>
        </is>
      </c>
      <c r="C1060" t="inlineStr">
        <is>
          <t>Refill</t>
        </is>
      </c>
      <c r="D1060" t="inlineStr">
        <is>
          <t>Primer Cachos</t>
        </is>
      </c>
      <c r="E1060" t="n">
        <v>1</v>
      </c>
      <c r="F1060" t="inlineStr">
        <is>
          <t>2025-12-25</t>
        </is>
      </c>
      <c r="G1060" t="n">
        <v>191</v>
      </c>
      <c r="H1060" t="inlineStr">
        <is>
          <t>Y</t>
        </is>
      </c>
      <c r="I1060">
        <f>HYPERLINK("https://admin.shopify.com/store/ge-beauty-cosmeticos/customers/9989967053120","abrir")</f>
        <v/>
      </c>
      <c r="J1060">
        <f>HYPERLINK("https://www.gebeauty.com.br/products/primer-cachos-definidos?ref=review","review")</f>
        <v/>
      </c>
      <c r="K1060" t="inlineStr">
        <is>
          <t>SEND</t>
        </is>
      </c>
    </row>
    <row r="1061">
      <c r="A1061" t="inlineStr">
        <is>
          <t>Leticia</t>
        </is>
      </c>
      <c r="B1061" t="inlineStr">
        <is>
          <t>+5511994300940</t>
        </is>
      </c>
      <c r="C1061" t="inlineStr">
        <is>
          <t>Refill</t>
        </is>
      </c>
      <c r="D1061" t="inlineStr">
        <is>
          <t>Primer Cachos</t>
        </is>
      </c>
      <c r="E1061" t="n">
        <v>1</v>
      </c>
      <c r="F1061" t="inlineStr">
        <is>
          <t>2025-12-26</t>
        </is>
      </c>
      <c r="G1061" t="n">
        <v>190</v>
      </c>
      <c r="H1061" t="inlineStr">
        <is>
          <t>Y</t>
        </is>
      </c>
      <c r="I1061">
        <f>HYPERLINK("https://admin.shopify.com/store/ge-beauty-cosmeticos/customers/9990373441856","abrir")</f>
        <v/>
      </c>
      <c r="J1061">
        <f>HYPERLINK("https://www.gebeauty.com.br/products/primer-cachos-definidos?ref=review","review")</f>
        <v/>
      </c>
      <c r="K1061" t="inlineStr">
        <is>
          <t>SEND</t>
        </is>
      </c>
    </row>
    <row r="1062">
      <c r="A1062" t="inlineStr">
        <is>
          <t>Natalia</t>
        </is>
      </c>
      <c r="B1062" t="inlineStr">
        <is>
          <t>+5511997856342</t>
        </is>
      </c>
      <c r="C1062" t="inlineStr">
        <is>
          <t>Refill</t>
        </is>
      </c>
      <c r="D1062" t="inlineStr">
        <is>
          <t>Primer Cachos</t>
        </is>
      </c>
      <c r="E1062" t="n">
        <v>1</v>
      </c>
      <c r="F1062" t="inlineStr">
        <is>
          <t>2025-12-26</t>
        </is>
      </c>
      <c r="G1062" t="n">
        <v>190</v>
      </c>
      <c r="H1062" t="inlineStr">
        <is>
          <t>Y</t>
        </is>
      </c>
      <c r="I1062">
        <f>HYPERLINK("https://admin.shopify.com/store/ge-beauty-cosmeticos/customers/9485150847296","abrir")</f>
        <v/>
      </c>
      <c r="J1062">
        <f>HYPERLINK("https://www.gebeauty.com.br/products/primer-cachos-definidos?ref=review","review")</f>
        <v/>
      </c>
      <c r="K1062" t="inlineStr">
        <is>
          <t>SEND</t>
        </is>
      </c>
    </row>
    <row r="1063">
      <c r="A1063" t="inlineStr">
        <is>
          <t>Carolina</t>
        </is>
      </c>
      <c r="B1063" t="inlineStr">
        <is>
          <t>+5511996553639</t>
        </is>
      </c>
      <c r="C1063" t="inlineStr">
        <is>
          <t>Refill</t>
        </is>
      </c>
      <c r="D1063" t="inlineStr">
        <is>
          <t>Primer Cachos</t>
        </is>
      </c>
      <c r="E1063" t="n">
        <v>1</v>
      </c>
      <c r="F1063" t="inlineStr">
        <is>
          <t>2025-12-26</t>
        </is>
      </c>
      <c r="G1063" t="n">
        <v>190</v>
      </c>
      <c r="H1063" t="inlineStr">
        <is>
          <t>Y</t>
        </is>
      </c>
      <c r="I1063">
        <f>HYPERLINK("https://admin.shopify.com/store/ge-beauty-cosmeticos/customers/9991267713344","abrir")</f>
        <v/>
      </c>
      <c r="J1063">
        <f>HYPERLINK("https://www.gebeauty.com.br/products/primer-cachos-definidos?ref=review","review")</f>
        <v/>
      </c>
      <c r="K1063" t="inlineStr">
        <is>
          <t>SEND</t>
        </is>
      </c>
    </row>
    <row r="1064">
      <c r="A1064" t="inlineStr">
        <is>
          <t>Lua</t>
        </is>
      </c>
      <c r="B1064" t="inlineStr">
        <is>
          <t>+5521974010519</t>
        </is>
      </c>
      <c r="C1064" t="inlineStr">
        <is>
          <t>Refill</t>
        </is>
      </c>
      <c r="D1064" t="inlineStr">
        <is>
          <t>Primer Cachos</t>
        </is>
      </c>
      <c r="E1064" t="n">
        <v>1</v>
      </c>
      <c r="F1064" t="inlineStr">
        <is>
          <t>2025-12-26</t>
        </is>
      </c>
      <c r="G1064" t="n">
        <v>190</v>
      </c>
      <c r="H1064" t="inlineStr">
        <is>
          <t>Y</t>
        </is>
      </c>
      <c r="I1064">
        <f>HYPERLINK("https://admin.shopify.com/store/ge-beauty-cosmeticos/customers/9486338752832","abrir")</f>
        <v/>
      </c>
      <c r="J1064">
        <f>HYPERLINK("https://www.gebeauty.com.br/products/primer-cachos-definidos?ref=review","review")</f>
        <v/>
      </c>
      <c r="K1064" t="inlineStr">
        <is>
          <t>SEND</t>
        </is>
      </c>
    </row>
    <row r="1065">
      <c r="A1065" t="inlineStr">
        <is>
          <t>Monica</t>
        </is>
      </c>
      <c r="B1065" t="inlineStr">
        <is>
          <t>+5511983464569</t>
        </is>
      </c>
      <c r="C1065" t="inlineStr">
        <is>
          <t>Refill</t>
        </is>
      </c>
      <c r="D1065" t="inlineStr">
        <is>
          <t>Primer Cachos</t>
        </is>
      </c>
      <c r="E1065" t="n">
        <v>1</v>
      </c>
      <c r="F1065" t="inlineStr">
        <is>
          <t>2025-12-26</t>
        </is>
      </c>
      <c r="G1065" t="n">
        <v>190</v>
      </c>
      <c r="H1065" t="inlineStr">
        <is>
          <t>Y</t>
        </is>
      </c>
      <c r="I1065">
        <f>HYPERLINK("https://admin.shopify.com/store/ge-beauty-cosmeticos/customers/9992220508480","abrir")</f>
        <v/>
      </c>
      <c r="J1065">
        <f>HYPERLINK("https://www.gebeauty.com.br/products/primer-cachos-definidos?ref=review","review")</f>
        <v/>
      </c>
      <c r="K1065" t="inlineStr">
        <is>
          <t>HOLDOUT</t>
        </is>
      </c>
    </row>
    <row r="1066">
      <c r="A1066" t="inlineStr">
        <is>
          <t>Cintia</t>
        </is>
      </c>
      <c r="B1066" t="inlineStr">
        <is>
          <t>+5554997084500</t>
        </is>
      </c>
      <c r="C1066" t="inlineStr">
        <is>
          <t>Refill</t>
        </is>
      </c>
      <c r="D1066" t="inlineStr">
        <is>
          <t>Primer Cachos</t>
        </is>
      </c>
      <c r="E1066" t="n">
        <v>1</v>
      </c>
      <c r="F1066" t="inlineStr">
        <is>
          <t>2025-12-27</t>
        </is>
      </c>
      <c r="G1066" t="n">
        <v>189</v>
      </c>
      <c r="H1066" t="inlineStr">
        <is>
          <t>Y</t>
        </is>
      </c>
      <c r="I1066">
        <f>HYPERLINK("https://admin.shopify.com/store/ge-beauty-cosmeticos/customers/9918803509568","abrir")</f>
        <v/>
      </c>
      <c r="J1066">
        <f>HYPERLINK("https://www.gebeauty.com.br/products/primer-cachos-definidos?ref=review","review")</f>
        <v/>
      </c>
      <c r="K1066" t="inlineStr">
        <is>
          <t>SEND</t>
        </is>
      </c>
    </row>
    <row r="1067">
      <c r="A1067" t="inlineStr">
        <is>
          <t>Amanda</t>
        </is>
      </c>
      <c r="B1067" t="inlineStr">
        <is>
          <t>+5531994306729</t>
        </is>
      </c>
      <c r="C1067" t="inlineStr">
        <is>
          <t>Refill</t>
        </is>
      </c>
      <c r="D1067" t="inlineStr">
        <is>
          <t>Primer Cachos</t>
        </is>
      </c>
      <c r="E1067" t="n">
        <v>1</v>
      </c>
      <c r="F1067" t="inlineStr">
        <is>
          <t>2025-12-27</t>
        </is>
      </c>
      <c r="G1067" t="n">
        <v>189</v>
      </c>
      <c r="H1067" t="inlineStr">
        <is>
          <t>Y</t>
        </is>
      </c>
      <c r="I1067">
        <f>HYPERLINK("https://admin.shopify.com/store/ge-beauty-cosmeticos/customers/8331604230464","abrir")</f>
        <v/>
      </c>
      <c r="J1067">
        <f>HYPERLINK("https://www.gebeauty.com.br/products/primer-cachos-definidos?ref=review","review")</f>
        <v/>
      </c>
      <c r="K1067" t="inlineStr">
        <is>
          <t>SEND</t>
        </is>
      </c>
    </row>
    <row r="1068">
      <c r="A1068" t="inlineStr">
        <is>
          <t>Karina</t>
        </is>
      </c>
      <c r="B1068" t="inlineStr">
        <is>
          <t>+5522981453596</t>
        </is>
      </c>
      <c r="C1068" t="inlineStr">
        <is>
          <t>Refill</t>
        </is>
      </c>
      <c r="D1068" t="inlineStr">
        <is>
          <t>Primer Cachos</t>
        </is>
      </c>
      <c r="E1068" t="n">
        <v>1</v>
      </c>
      <c r="F1068" t="inlineStr">
        <is>
          <t>2025-12-27</t>
        </is>
      </c>
      <c r="G1068" t="n">
        <v>189</v>
      </c>
      <c r="H1068" t="inlineStr">
        <is>
          <t>Y</t>
        </is>
      </c>
      <c r="I1068">
        <f>HYPERLINK("https://admin.shopify.com/store/ge-beauty-cosmeticos/customers/9993060417856","abrir")</f>
        <v/>
      </c>
      <c r="J1068">
        <f>HYPERLINK("https://www.gebeauty.com.br/products/primer-cachos-definidos?ref=review","review")</f>
        <v/>
      </c>
      <c r="K1068" t="inlineStr">
        <is>
          <t>SEND</t>
        </is>
      </c>
    </row>
    <row r="1069">
      <c r="A1069" t="inlineStr">
        <is>
          <t>Fernanda</t>
        </is>
      </c>
      <c r="B1069" t="inlineStr">
        <is>
          <t>+5534991211818</t>
        </is>
      </c>
      <c r="C1069" t="inlineStr">
        <is>
          <t>Refill</t>
        </is>
      </c>
      <c r="D1069" t="inlineStr">
        <is>
          <t>Primer Cachos</t>
        </is>
      </c>
      <c r="E1069" t="n">
        <v>1</v>
      </c>
      <c r="F1069" t="inlineStr">
        <is>
          <t>2025-12-27</t>
        </is>
      </c>
      <c r="G1069" t="n">
        <v>189</v>
      </c>
      <c r="H1069" t="inlineStr">
        <is>
          <t>Y</t>
        </is>
      </c>
      <c r="I1069">
        <f>HYPERLINK("https://admin.shopify.com/store/ge-beauty-cosmeticos/customers/9993507307840","abrir")</f>
        <v/>
      </c>
      <c r="J1069">
        <f>HYPERLINK("https://www.gebeauty.com.br/products/primer-cachos-definidos?ref=review","review")</f>
        <v/>
      </c>
      <c r="K1069" t="inlineStr">
        <is>
          <t>SEND</t>
        </is>
      </c>
    </row>
    <row r="1070">
      <c r="A1070" t="inlineStr">
        <is>
          <t>Maria</t>
        </is>
      </c>
      <c r="B1070" t="inlineStr">
        <is>
          <t>+5561998009444</t>
        </is>
      </c>
      <c r="C1070" t="inlineStr">
        <is>
          <t>Refill</t>
        </is>
      </c>
      <c r="D1070" t="inlineStr">
        <is>
          <t>Primer Cachos</t>
        </is>
      </c>
      <c r="E1070" t="n">
        <v>1</v>
      </c>
      <c r="F1070" t="inlineStr">
        <is>
          <t>2025-12-27</t>
        </is>
      </c>
      <c r="G1070" t="n">
        <v>189</v>
      </c>
      <c r="H1070" t="inlineStr">
        <is>
          <t>Y</t>
        </is>
      </c>
      <c r="I1070">
        <f>HYPERLINK("https://admin.shopify.com/store/ge-beauty-cosmeticos/customers/9486099579200","abrir")</f>
        <v/>
      </c>
      <c r="J1070">
        <f>HYPERLINK("https://www.gebeauty.com.br/products/primer-cachos-definidos?ref=review","review")</f>
        <v/>
      </c>
      <c r="K1070" t="inlineStr">
        <is>
          <t>SEND</t>
        </is>
      </c>
    </row>
    <row r="1071">
      <c r="A1071" t="inlineStr">
        <is>
          <t>Renata</t>
        </is>
      </c>
      <c r="B1071" t="inlineStr">
        <is>
          <t>+5511976721212</t>
        </is>
      </c>
      <c r="C1071" t="inlineStr">
        <is>
          <t>Refill</t>
        </is>
      </c>
      <c r="D1071" t="inlineStr">
        <is>
          <t>Primer Cachos</t>
        </is>
      </c>
      <c r="E1071" t="n">
        <v>1</v>
      </c>
      <c r="F1071" t="inlineStr">
        <is>
          <t>2025-12-27</t>
        </is>
      </c>
      <c r="G1071" t="n">
        <v>189</v>
      </c>
      <c r="H1071" t="inlineStr">
        <is>
          <t>Y</t>
        </is>
      </c>
      <c r="I1071">
        <f>HYPERLINK("https://admin.shopify.com/store/ge-beauty-cosmeticos/customers/9994089595200","abrir")</f>
        <v/>
      </c>
      <c r="J1071">
        <f>HYPERLINK("https://www.gebeauty.com.br/products/primer-cachos-definidos?ref=review","review")</f>
        <v/>
      </c>
      <c r="K1071" t="inlineStr">
        <is>
          <t>SEND</t>
        </is>
      </c>
    </row>
    <row r="1072">
      <c r="A1072" t="inlineStr">
        <is>
          <t>Maria</t>
        </is>
      </c>
      <c r="B1072" t="inlineStr">
        <is>
          <t>+5511987258596</t>
        </is>
      </c>
      <c r="C1072" t="inlineStr">
        <is>
          <t>Refill</t>
        </is>
      </c>
      <c r="D1072" t="inlineStr">
        <is>
          <t>Primer Cachos</t>
        </is>
      </c>
      <c r="E1072" t="n">
        <v>1</v>
      </c>
      <c r="F1072" t="inlineStr">
        <is>
          <t>2025-12-27</t>
        </is>
      </c>
      <c r="G1072" t="n">
        <v>189</v>
      </c>
      <c r="H1072" t="inlineStr">
        <is>
          <t>Y</t>
        </is>
      </c>
      <c r="I1072">
        <f>HYPERLINK("https://admin.shopify.com/store/ge-beauty-cosmeticos/customers/9994237772096","abrir")</f>
        <v/>
      </c>
      <c r="J1072">
        <f>HYPERLINK("https://www.gebeauty.com.br/products/primer-cachos-definidos?ref=review","review")</f>
        <v/>
      </c>
      <c r="K1072" t="inlineStr">
        <is>
          <t>SEND</t>
        </is>
      </c>
    </row>
    <row r="1073">
      <c r="A1073" t="inlineStr">
        <is>
          <t>Daniela</t>
        </is>
      </c>
      <c r="B1073" t="inlineStr">
        <is>
          <t>+5511989033911</t>
        </is>
      </c>
      <c r="C1073" t="inlineStr">
        <is>
          <t>Refill</t>
        </is>
      </c>
      <c r="D1073" t="inlineStr">
        <is>
          <t>Primer Cachos</t>
        </is>
      </c>
      <c r="E1073" t="n">
        <v>1</v>
      </c>
      <c r="F1073" t="inlineStr">
        <is>
          <t>2025-12-28</t>
        </is>
      </c>
      <c r="G1073" t="n">
        <v>188</v>
      </c>
      <c r="H1073" t="inlineStr">
        <is>
          <t>Y</t>
        </is>
      </c>
      <c r="I1073">
        <f>HYPERLINK("https://admin.shopify.com/store/ge-beauty-cosmeticos/customers/9896492859712","abrir")</f>
        <v/>
      </c>
      <c r="J1073">
        <f>HYPERLINK("https://www.gebeauty.com.br/products/primer-cachos-definidos?ref=review","review")</f>
        <v/>
      </c>
      <c r="K1073" t="inlineStr">
        <is>
          <t>SEND</t>
        </is>
      </c>
    </row>
    <row r="1074">
      <c r="A1074" t="inlineStr">
        <is>
          <t>Carolina</t>
        </is>
      </c>
      <c r="B1074" t="inlineStr">
        <is>
          <t>+5521967706979</t>
        </is>
      </c>
      <c r="C1074" t="inlineStr">
        <is>
          <t>Refill</t>
        </is>
      </c>
      <c r="D1074" t="inlineStr">
        <is>
          <t>Primer Cachos</t>
        </is>
      </c>
      <c r="E1074" t="n">
        <v>1</v>
      </c>
      <c r="F1074" t="inlineStr">
        <is>
          <t>2025-12-28</t>
        </is>
      </c>
      <c r="G1074" t="n">
        <v>188</v>
      </c>
      <c r="H1074" t="inlineStr">
        <is>
          <t>Y</t>
        </is>
      </c>
      <c r="I1074">
        <f>HYPERLINK("https://admin.shopify.com/store/ge-beauty-cosmeticos/customers/9164677185856","abrir")</f>
        <v/>
      </c>
      <c r="J1074">
        <f>HYPERLINK("https://www.gebeauty.com.br/products/primer-cachos-definidos?ref=review","review")</f>
        <v/>
      </c>
      <c r="K1074" t="inlineStr">
        <is>
          <t>SEND</t>
        </is>
      </c>
    </row>
    <row r="1075">
      <c r="A1075" t="inlineStr">
        <is>
          <t>Fernanda</t>
        </is>
      </c>
      <c r="B1075" t="inlineStr">
        <is>
          <t>+5521996026445</t>
        </is>
      </c>
      <c r="C1075" t="inlineStr">
        <is>
          <t>Refill</t>
        </is>
      </c>
      <c r="D1075" t="inlineStr">
        <is>
          <t>Primer Cachos</t>
        </is>
      </c>
      <c r="E1075" t="n">
        <v>1</v>
      </c>
      <c r="F1075" t="inlineStr">
        <is>
          <t>2025-12-28</t>
        </is>
      </c>
      <c r="G1075" t="n">
        <v>188</v>
      </c>
      <c r="H1075" t="inlineStr">
        <is>
          <t>Y</t>
        </is>
      </c>
      <c r="I1075">
        <f>HYPERLINK("https://admin.shopify.com/store/ge-beauty-cosmeticos/customers/9485119652160","abrir")</f>
        <v/>
      </c>
      <c r="J1075">
        <f>HYPERLINK("https://www.gebeauty.com.br/products/primer-cachos-definidos?ref=review","review")</f>
        <v/>
      </c>
      <c r="K1075" t="inlineStr">
        <is>
          <t>SEND</t>
        </is>
      </c>
    </row>
    <row r="1076">
      <c r="A1076" t="inlineStr">
        <is>
          <t>Getúlio</t>
        </is>
      </c>
      <c r="B1076" t="inlineStr">
        <is>
          <t>+5561981855948</t>
        </is>
      </c>
      <c r="C1076" t="inlineStr">
        <is>
          <t>Refill</t>
        </is>
      </c>
      <c r="D1076" t="inlineStr">
        <is>
          <t>Primer Cachos</t>
        </is>
      </c>
      <c r="E1076" t="n">
        <v>1</v>
      </c>
      <c r="F1076" t="inlineStr">
        <is>
          <t>2025-12-28</t>
        </is>
      </c>
      <c r="G1076" t="n">
        <v>188</v>
      </c>
      <c r="H1076" t="inlineStr">
        <is>
          <t>Y</t>
        </is>
      </c>
      <c r="I1076">
        <f>HYPERLINK("https://admin.shopify.com/store/ge-beauty-cosmeticos/customers/9826379465024","abrir")</f>
        <v/>
      </c>
      <c r="J1076">
        <f>HYPERLINK("https://www.gebeauty.com.br/products/primer-cachos-definidos?ref=review","review")</f>
        <v/>
      </c>
      <c r="K1076" t="inlineStr">
        <is>
          <t>HOLDOUT</t>
        </is>
      </c>
    </row>
    <row r="1077">
      <c r="A1077" t="inlineStr">
        <is>
          <t>Ana Paula</t>
        </is>
      </c>
      <c r="B1077" t="inlineStr">
        <is>
          <t>+5543999312324</t>
        </is>
      </c>
      <c r="C1077" t="inlineStr">
        <is>
          <t>Refill</t>
        </is>
      </c>
      <c r="D1077" t="inlineStr">
        <is>
          <t>Primer Cachos</t>
        </is>
      </c>
      <c r="E1077" t="n">
        <v>1</v>
      </c>
      <c r="F1077" t="inlineStr">
        <is>
          <t>2025-12-28</t>
        </is>
      </c>
      <c r="G1077" t="n">
        <v>188</v>
      </c>
      <c r="H1077" t="inlineStr">
        <is>
          <t>Y</t>
        </is>
      </c>
      <c r="I1077">
        <f>HYPERLINK("https://admin.shopify.com/store/ge-beauty-cosmeticos/customers/9996479103296","abrir")</f>
        <v/>
      </c>
      <c r="J1077">
        <f>HYPERLINK("https://www.gebeauty.com.br/products/primer-cachos-definidos?ref=review","review")</f>
        <v/>
      </c>
      <c r="K1077" t="inlineStr">
        <is>
          <t>SEND</t>
        </is>
      </c>
    </row>
    <row r="1078">
      <c r="A1078" t="inlineStr">
        <is>
          <t>Natalia</t>
        </is>
      </c>
      <c r="B1078" t="inlineStr">
        <is>
          <t>+5511962318040</t>
        </is>
      </c>
      <c r="C1078" t="inlineStr">
        <is>
          <t>Refill</t>
        </is>
      </c>
      <c r="D1078" t="inlineStr">
        <is>
          <t>Primer Cachos</t>
        </is>
      </c>
      <c r="E1078" t="n">
        <v>1</v>
      </c>
      <c r="F1078" t="inlineStr">
        <is>
          <t>2025-12-28</t>
        </is>
      </c>
      <c r="G1078" t="n">
        <v>188</v>
      </c>
      <c r="H1078" t="inlineStr">
        <is>
          <t>Y</t>
        </is>
      </c>
      <c r="I1078">
        <f>HYPERLINK("https://admin.shopify.com/store/ge-beauty-cosmeticos/customers/9994498277696","abrir")</f>
        <v/>
      </c>
      <c r="J1078">
        <f>HYPERLINK("https://www.gebeauty.com.br/products/primer-cachos-definidos?ref=review","review")</f>
        <v/>
      </c>
      <c r="K1078" t="inlineStr">
        <is>
          <t>SEND</t>
        </is>
      </c>
    </row>
    <row r="1079">
      <c r="A1079" t="inlineStr">
        <is>
          <t>Soraya</t>
        </is>
      </c>
      <c r="B1079" t="inlineStr">
        <is>
          <t>+5581992524362</t>
        </is>
      </c>
      <c r="C1079" t="inlineStr">
        <is>
          <t>Refill</t>
        </is>
      </c>
      <c r="D1079" t="inlineStr">
        <is>
          <t>Primer Cachos</t>
        </is>
      </c>
      <c r="E1079" t="n">
        <v>1</v>
      </c>
      <c r="F1079" t="inlineStr">
        <is>
          <t>2025-12-28</t>
        </is>
      </c>
      <c r="G1079" t="n">
        <v>188</v>
      </c>
      <c r="H1079" t="inlineStr">
        <is>
          <t>Y</t>
        </is>
      </c>
      <c r="I1079">
        <f>HYPERLINK("https://admin.shopify.com/store/ge-beauty-cosmeticos/customers/9486002913600","abrir")</f>
        <v/>
      </c>
      <c r="J1079">
        <f>HYPERLINK("https://www.gebeauty.com.br/products/primer-cachos-definidos?ref=review","review")</f>
        <v/>
      </c>
      <c r="K1079" t="inlineStr">
        <is>
          <t>SEND</t>
        </is>
      </c>
    </row>
    <row r="1080">
      <c r="A1080" t="inlineStr">
        <is>
          <t>Daniele</t>
        </is>
      </c>
      <c r="B1080" t="inlineStr">
        <is>
          <t>+5511988716488</t>
        </is>
      </c>
      <c r="C1080" t="inlineStr">
        <is>
          <t>Refill</t>
        </is>
      </c>
      <c r="D1080" t="inlineStr">
        <is>
          <t>Primer Cachos</t>
        </is>
      </c>
      <c r="E1080" t="n">
        <v>1</v>
      </c>
      <c r="F1080" t="inlineStr">
        <is>
          <t>2025-12-28</t>
        </is>
      </c>
      <c r="G1080" t="n">
        <v>188</v>
      </c>
      <c r="H1080" t="inlineStr">
        <is>
          <t>Y</t>
        </is>
      </c>
      <c r="I1080">
        <f>HYPERLINK("https://admin.shopify.com/store/ge-beauty-cosmeticos/customers/9826127741248","abrir")</f>
        <v/>
      </c>
      <c r="J1080">
        <f>HYPERLINK("https://www.gebeauty.com.br/products/primer-cachos-definidos?ref=review","review")</f>
        <v/>
      </c>
      <c r="K1080" t="inlineStr">
        <is>
          <t>SEND</t>
        </is>
      </c>
    </row>
    <row r="1081">
      <c r="A1081" t="inlineStr">
        <is>
          <t>Ana Beatriz</t>
        </is>
      </c>
      <c r="B1081" t="inlineStr">
        <is>
          <t>+5527992586818</t>
        </is>
      </c>
      <c r="C1081" t="inlineStr">
        <is>
          <t>Refill</t>
        </is>
      </c>
      <c r="D1081" t="inlineStr">
        <is>
          <t>Primer Cachos</t>
        </is>
      </c>
      <c r="E1081" t="n">
        <v>1</v>
      </c>
      <c r="F1081" t="inlineStr">
        <is>
          <t>2025-12-29</t>
        </is>
      </c>
      <c r="G1081" t="n">
        <v>187</v>
      </c>
      <c r="H1081" t="inlineStr">
        <is>
          <t>Y</t>
        </is>
      </c>
      <c r="I1081">
        <f>HYPERLINK("https://admin.shopify.com/store/ge-beauty-cosmeticos/customers/9961929736512","abrir")</f>
        <v/>
      </c>
      <c r="J1081">
        <f>HYPERLINK("https://www.gebeauty.com.br/products/primer-cachos-definidos?ref=review","review")</f>
        <v/>
      </c>
      <c r="K1081" t="inlineStr">
        <is>
          <t>SEND</t>
        </is>
      </c>
    </row>
    <row r="1082">
      <c r="A1082" t="inlineStr">
        <is>
          <t>Gabriela</t>
        </is>
      </c>
      <c r="B1082" t="inlineStr">
        <is>
          <t>+5521975928291</t>
        </is>
      </c>
      <c r="C1082" t="inlineStr">
        <is>
          <t>Refill</t>
        </is>
      </c>
      <c r="D1082" t="inlineStr">
        <is>
          <t>Primer Cachos</t>
        </is>
      </c>
      <c r="E1082" t="n">
        <v>1</v>
      </c>
      <c r="F1082" t="inlineStr">
        <is>
          <t>2025-12-29</t>
        </is>
      </c>
      <c r="G1082" t="n">
        <v>187</v>
      </c>
      <c r="H1082" t="inlineStr">
        <is>
          <t>Y</t>
        </is>
      </c>
      <c r="I1082">
        <f>HYPERLINK("https://admin.shopify.com/store/ge-beauty-cosmeticos/customers/9994495230272","abrir")</f>
        <v/>
      </c>
      <c r="J1082">
        <f>HYPERLINK("https://www.gebeauty.com.br/products/primer-cachos-definidos?ref=review","review")</f>
        <v/>
      </c>
      <c r="K1082" t="inlineStr">
        <is>
          <t>HOLDOUT</t>
        </is>
      </c>
    </row>
    <row r="1083">
      <c r="A1083" t="inlineStr">
        <is>
          <t>Sabrina</t>
        </is>
      </c>
      <c r="B1083" t="inlineStr">
        <is>
          <t>+5581999265700</t>
        </is>
      </c>
      <c r="C1083" t="inlineStr">
        <is>
          <t>Refill</t>
        </is>
      </c>
      <c r="D1083" t="inlineStr">
        <is>
          <t>Primer Cachos</t>
        </is>
      </c>
      <c r="E1083" t="n">
        <v>1</v>
      </c>
      <c r="F1083" t="inlineStr">
        <is>
          <t>2025-12-29</t>
        </is>
      </c>
      <c r="G1083" t="n">
        <v>187</v>
      </c>
      <c r="H1083" t="inlineStr">
        <is>
          <t>Y</t>
        </is>
      </c>
      <c r="I1083">
        <f>HYPERLINK("https://admin.shopify.com/store/ge-beauty-cosmeticos/customers/10000389013824","abrir")</f>
        <v/>
      </c>
      <c r="J1083">
        <f>HYPERLINK("https://www.gebeauty.com.br/products/primer-cachos-definidos?ref=review","review")</f>
        <v/>
      </c>
      <c r="K1083" t="inlineStr">
        <is>
          <t>SEND</t>
        </is>
      </c>
    </row>
    <row r="1084">
      <c r="A1084" t="inlineStr">
        <is>
          <t>Isabela</t>
        </is>
      </c>
      <c r="B1084" t="inlineStr">
        <is>
          <t>+5528999754381</t>
        </is>
      </c>
      <c r="C1084" t="inlineStr">
        <is>
          <t>Refill</t>
        </is>
      </c>
      <c r="D1084" t="inlineStr">
        <is>
          <t>Primer Cachos</t>
        </is>
      </c>
      <c r="E1084" t="n">
        <v>1</v>
      </c>
      <c r="F1084" t="inlineStr">
        <is>
          <t>2025-12-29</t>
        </is>
      </c>
      <c r="G1084" t="n">
        <v>187</v>
      </c>
      <c r="H1084" t="inlineStr">
        <is>
          <t>Y</t>
        </is>
      </c>
      <c r="I1084">
        <f>HYPERLINK("https://admin.shopify.com/store/ge-beauty-cosmeticos/customers/10000341795136","abrir")</f>
        <v/>
      </c>
      <c r="J1084">
        <f>HYPERLINK("https://www.gebeauty.com.br/products/primer-cachos-definidos?ref=review","review")</f>
        <v/>
      </c>
      <c r="K1084" t="inlineStr">
        <is>
          <t>SEND</t>
        </is>
      </c>
    </row>
    <row r="1085">
      <c r="A1085" t="inlineStr">
        <is>
          <t>Fernanda</t>
        </is>
      </c>
      <c r="B1085" t="inlineStr">
        <is>
          <t>+5571991436672</t>
        </is>
      </c>
      <c r="C1085" t="inlineStr">
        <is>
          <t>Refill</t>
        </is>
      </c>
      <c r="D1085" t="inlineStr">
        <is>
          <t>Primer Cachos</t>
        </is>
      </c>
      <c r="E1085" t="n">
        <v>1</v>
      </c>
      <c r="F1085" t="inlineStr">
        <is>
          <t>2025-12-29</t>
        </is>
      </c>
      <c r="G1085" t="n">
        <v>187</v>
      </c>
      <c r="H1085" t="inlineStr">
        <is>
          <t>Y</t>
        </is>
      </c>
      <c r="I1085">
        <f>HYPERLINK("https://admin.shopify.com/store/ge-beauty-cosmeticos/customers/9995881087296","abrir")</f>
        <v/>
      </c>
      <c r="J1085">
        <f>HYPERLINK("https://www.gebeauty.com.br/products/primer-cachos-definidos?ref=review","review")</f>
        <v/>
      </c>
      <c r="K1085" t="inlineStr">
        <is>
          <t>SEND</t>
        </is>
      </c>
    </row>
    <row r="1086">
      <c r="A1086" t="inlineStr">
        <is>
          <t>Tamires</t>
        </is>
      </c>
      <c r="B1086" t="inlineStr">
        <is>
          <t>+5511942002286</t>
        </is>
      </c>
      <c r="C1086" t="inlineStr">
        <is>
          <t>Refill</t>
        </is>
      </c>
      <c r="D1086" t="inlineStr">
        <is>
          <t>Primer Cachos</t>
        </is>
      </c>
      <c r="E1086" t="n">
        <v>1</v>
      </c>
      <c r="F1086" t="inlineStr">
        <is>
          <t>2025-12-29</t>
        </is>
      </c>
      <c r="G1086" t="n">
        <v>187</v>
      </c>
      <c r="H1086" t="inlineStr">
        <is>
          <t>Y</t>
        </is>
      </c>
      <c r="I1086">
        <f>HYPERLINK("https://admin.shopify.com/store/ge-beauty-cosmeticos/customers/8967072186688","abrir")</f>
        <v/>
      </c>
      <c r="J1086">
        <f>HYPERLINK("https://www.gebeauty.com.br/products/primer-cachos-definidos?ref=review","review")</f>
        <v/>
      </c>
      <c r="K1086" t="inlineStr">
        <is>
          <t>SEND</t>
        </is>
      </c>
    </row>
    <row r="1087">
      <c r="A1087" t="inlineStr">
        <is>
          <t>Ana Luísa</t>
        </is>
      </c>
      <c r="B1087" t="inlineStr">
        <is>
          <t>+5561983008942</t>
        </is>
      </c>
      <c r="C1087" t="inlineStr">
        <is>
          <t>Refill</t>
        </is>
      </c>
      <c r="D1087" t="inlineStr">
        <is>
          <t>Primer Cachos</t>
        </is>
      </c>
      <c r="E1087" t="n">
        <v>1</v>
      </c>
      <c r="F1087" t="inlineStr">
        <is>
          <t>2025-12-30</t>
        </is>
      </c>
      <c r="G1087" t="n">
        <v>186</v>
      </c>
      <c r="H1087" t="inlineStr">
        <is>
          <t>Y</t>
        </is>
      </c>
      <c r="I1087">
        <f>HYPERLINK("https://admin.shopify.com/store/ge-beauty-cosmeticos/customers/9589753348416","abrir")</f>
        <v/>
      </c>
      <c r="J1087">
        <f>HYPERLINK("https://www.gebeauty.com.br/products/primer-cachos-definidos?ref=review","review")</f>
        <v/>
      </c>
      <c r="K1087" t="inlineStr">
        <is>
          <t>SEND</t>
        </is>
      </c>
    </row>
    <row r="1088">
      <c r="A1088" t="inlineStr">
        <is>
          <t>Juliana</t>
        </is>
      </c>
      <c r="B1088" t="inlineStr">
        <is>
          <t>+5547999169221</t>
        </is>
      </c>
      <c r="C1088" t="inlineStr">
        <is>
          <t>Refill</t>
        </is>
      </c>
      <c r="D1088" t="inlineStr">
        <is>
          <t>Primer Cachos</t>
        </is>
      </c>
      <c r="E1088" t="n">
        <v>1</v>
      </c>
      <c r="F1088" t="inlineStr">
        <is>
          <t>2025-12-30</t>
        </is>
      </c>
      <c r="G1088" t="n">
        <v>186</v>
      </c>
      <c r="H1088" t="inlineStr">
        <is>
          <t>Y</t>
        </is>
      </c>
      <c r="I1088">
        <f>HYPERLINK("https://admin.shopify.com/store/ge-beauty-cosmeticos/customers/9484782207296","abrir")</f>
        <v/>
      </c>
      <c r="J1088">
        <f>HYPERLINK("https://www.gebeauty.com.br/products/primer-cachos-definidos?ref=review","review")</f>
        <v/>
      </c>
      <c r="K1088" t="inlineStr">
        <is>
          <t>SEND</t>
        </is>
      </c>
    </row>
    <row r="1089">
      <c r="A1089" t="inlineStr">
        <is>
          <t>Camila</t>
        </is>
      </c>
      <c r="B1089" t="inlineStr">
        <is>
          <t>+5586981840996</t>
        </is>
      </c>
      <c r="C1089" t="inlineStr">
        <is>
          <t>Refill</t>
        </is>
      </c>
      <c r="D1089" t="inlineStr">
        <is>
          <t>Primer Cachos</t>
        </is>
      </c>
      <c r="E1089" t="n">
        <v>1</v>
      </c>
      <c r="F1089" t="inlineStr">
        <is>
          <t>2025-12-30</t>
        </is>
      </c>
      <c r="G1089" t="n">
        <v>186</v>
      </c>
      <c r="H1089" t="inlineStr">
        <is>
          <t>Y</t>
        </is>
      </c>
      <c r="I1089">
        <f>HYPERLINK("https://admin.shopify.com/store/ge-beauty-cosmeticos/customers/10004978499904","abrir")</f>
        <v/>
      </c>
      <c r="J1089">
        <f>HYPERLINK("https://www.gebeauty.com.br/products/primer-cachos-definidos?ref=review","review")</f>
        <v/>
      </c>
      <c r="K1089" t="inlineStr">
        <is>
          <t>SEND</t>
        </is>
      </c>
    </row>
    <row r="1090">
      <c r="A1090" t="inlineStr">
        <is>
          <t>Marcella</t>
        </is>
      </c>
      <c r="B1090" t="inlineStr">
        <is>
          <t>+5513996181983</t>
        </is>
      </c>
      <c r="C1090" t="inlineStr">
        <is>
          <t>Refill</t>
        </is>
      </c>
      <c r="D1090" t="inlineStr">
        <is>
          <t>Primer Cachos</t>
        </is>
      </c>
      <c r="E1090" t="n">
        <v>1</v>
      </c>
      <c r="F1090" t="inlineStr">
        <is>
          <t>2025-12-30</t>
        </is>
      </c>
      <c r="G1090" t="n">
        <v>186</v>
      </c>
      <c r="H1090" t="inlineStr">
        <is>
          <t>Y</t>
        </is>
      </c>
      <c r="I1090">
        <f>HYPERLINK("https://admin.shopify.com/store/ge-beauty-cosmeticos/customers/9484823986496","abrir")</f>
        <v/>
      </c>
      <c r="J1090">
        <f>HYPERLINK("https://www.gebeauty.com.br/products/primer-cachos-definidos?ref=review","review")</f>
        <v/>
      </c>
      <c r="K1090" t="inlineStr">
        <is>
          <t>SEND</t>
        </is>
      </c>
    </row>
    <row r="1091">
      <c r="A1091" t="inlineStr">
        <is>
          <t>Marianne</t>
        </is>
      </c>
      <c r="B1091" t="inlineStr">
        <is>
          <t>+5511987643348</t>
        </is>
      </c>
      <c r="C1091" t="inlineStr">
        <is>
          <t>Refill</t>
        </is>
      </c>
      <c r="D1091" t="inlineStr">
        <is>
          <t>Primer Cachos</t>
        </is>
      </c>
      <c r="E1091" t="n">
        <v>1</v>
      </c>
      <c r="F1091" t="inlineStr">
        <is>
          <t>2025-12-30</t>
        </is>
      </c>
      <c r="G1091" t="n">
        <v>186</v>
      </c>
      <c r="H1091" t="inlineStr">
        <is>
          <t>Y</t>
        </is>
      </c>
      <c r="I1091">
        <f>HYPERLINK("https://admin.shopify.com/store/ge-beauty-cosmeticos/customers/10005269119296","abrir")</f>
        <v/>
      </c>
      <c r="J1091">
        <f>HYPERLINK("https://www.gebeauty.com.br/products/primer-cachos-definidos?ref=review","review")</f>
        <v/>
      </c>
      <c r="K1091" t="inlineStr">
        <is>
          <t>SEND</t>
        </is>
      </c>
    </row>
    <row r="1092">
      <c r="A1092" t="inlineStr">
        <is>
          <t>Karina</t>
        </is>
      </c>
      <c r="B1092" t="inlineStr">
        <is>
          <t>+5521991317313</t>
        </is>
      </c>
      <c r="C1092" t="inlineStr">
        <is>
          <t>Refill</t>
        </is>
      </c>
      <c r="D1092" t="inlineStr">
        <is>
          <t>Primer Cachos</t>
        </is>
      </c>
      <c r="E1092" t="n">
        <v>1</v>
      </c>
      <c r="F1092" t="inlineStr">
        <is>
          <t>2025-12-30</t>
        </is>
      </c>
      <c r="G1092" t="n">
        <v>186</v>
      </c>
      <c r="H1092" t="inlineStr">
        <is>
          <t>Y</t>
        </is>
      </c>
      <c r="I1092">
        <f>HYPERLINK("https://admin.shopify.com/store/ge-beauty-cosmeticos/customers/7761935171904","abrir")</f>
        <v/>
      </c>
      <c r="J1092">
        <f>HYPERLINK("https://www.gebeauty.com.br/products/primer-cachos-definidos?ref=review","review")</f>
        <v/>
      </c>
      <c r="K1092" t="inlineStr">
        <is>
          <t>SEND</t>
        </is>
      </c>
    </row>
    <row r="1093">
      <c r="A1093" t="inlineStr">
        <is>
          <t>Renata</t>
        </is>
      </c>
      <c r="B1093" t="inlineStr">
        <is>
          <t>+5538999648161</t>
        </is>
      </c>
      <c r="C1093" t="inlineStr">
        <is>
          <t>Refill</t>
        </is>
      </c>
      <c r="D1093" t="inlineStr">
        <is>
          <t>Primer Cachos</t>
        </is>
      </c>
      <c r="E1093" t="n">
        <v>1</v>
      </c>
      <c r="F1093" t="inlineStr">
        <is>
          <t>2025-12-30</t>
        </is>
      </c>
      <c r="G1093" t="n">
        <v>186</v>
      </c>
      <c r="H1093" t="inlineStr">
        <is>
          <t>Y</t>
        </is>
      </c>
      <c r="I1093">
        <f>HYPERLINK("https://admin.shopify.com/store/ge-beauty-cosmeticos/customers/9913315524928","abrir")</f>
        <v/>
      </c>
      <c r="J1093">
        <f>HYPERLINK("https://www.gebeauty.com.br/products/primer-cachos-definidos?ref=review","review")</f>
        <v/>
      </c>
      <c r="K1093" t="inlineStr">
        <is>
          <t>SEND</t>
        </is>
      </c>
    </row>
    <row r="1094">
      <c r="A1094" t="inlineStr">
        <is>
          <t>Annanery</t>
        </is>
      </c>
      <c r="B1094" t="inlineStr">
        <is>
          <t>+5581986492526</t>
        </is>
      </c>
      <c r="C1094" t="inlineStr">
        <is>
          <t>Refill</t>
        </is>
      </c>
      <c r="D1094" t="inlineStr">
        <is>
          <t>Primer Cachos</t>
        </is>
      </c>
      <c r="E1094" t="n">
        <v>1</v>
      </c>
      <c r="F1094" t="inlineStr">
        <is>
          <t>2025-12-30</t>
        </is>
      </c>
      <c r="G1094" t="n">
        <v>186</v>
      </c>
      <c r="H1094" t="inlineStr">
        <is>
          <t>Y</t>
        </is>
      </c>
      <c r="I1094">
        <f>HYPERLINK("https://admin.shopify.com/store/ge-beauty-cosmeticos/customers/10007930143040","abrir")</f>
        <v/>
      </c>
      <c r="J1094">
        <f>HYPERLINK("https://www.gebeauty.com.br/products/primer-cachos-definidos?ref=review","review")</f>
        <v/>
      </c>
      <c r="K1094" t="inlineStr">
        <is>
          <t>HOLDOUT</t>
        </is>
      </c>
    </row>
    <row r="1095">
      <c r="A1095" t="inlineStr">
        <is>
          <t>Paola</t>
        </is>
      </c>
      <c r="B1095" t="inlineStr">
        <is>
          <t>+5534991783064</t>
        </is>
      </c>
      <c r="C1095" t="inlineStr">
        <is>
          <t>Refill</t>
        </is>
      </c>
      <c r="D1095" t="inlineStr">
        <is>
          <t>Primer Cachos</t>
        </is>
      </c>
      <c r="E1095" t="n">
        <v>1</v>
      </c>
      <c r="F1095" t="inlineStr">
        <is>
          <t>2025-12-30</t>
        </is>
      </c>
      <c r="G1095" t="n">
        <v>186</v>
      </c>
      <c r="H1095" t="inlineStr">
        <is>
          <t>Y</t>
        </is>
      </c>
      <c r="I1095">
        <f>HYPERLINK("https://admin.shopify.com/store/ge-beauty-cosmeticos/customers/9657161941312","abrir")</f>
        <v/>
      </c>
      <c r="J1095">
        <f>HYPERLINK("https://www.gebeauty.com.br/products/primer-cachos-definidos?ref=review","review")</f>
        <v/>
      </c>
      <c r="K1095" t="inlineStr">
        <is>
          <t>SEND</t>
        </is>
      </c>
    </row>
    <row r="1096">
      <c r="A1096" t="inlineStr">
        <is>
          <t>Bianca</t>
        </is>
      </c>
      <c r="B1096" t="inlineStr">
        <is>
          <t>+5581999317770</t>
        </is>
      </c>
      <c r="C1096" t="inlineStr">
        <is>
          <t>Refill</t>
        </is>
      </c>
      <c r="D1096" t="inlineStr">
        <is>
          <t>Primer Cachos</t>
        </is>
      </c>
      <c r="E1096" t="n">
        <v>1</v>
      </c>
      <c r="F1096" t="inlineStr">
        <is>
          <t>2025-12-30</t>
        </is>
      </c>
      <c r="G1096" t="n">
        <v>186</v>
      </c>
      <c r="H1096" t="inlineStr">
        <is>
          <t>Y</t>
        </is>
      </c>
      <c r="I1096">
        <f>HYPERLINK("https://admin.shopify.com/store/ge-beauty-cosmeticos/customers/10008080875840","abrir")</f>
        <v/>
      </c>
      <c r="J1096">
        <f>HYPERLINK("https://www.gebeauty.com.br/products/primer-cachos-definidos?ref=review","review")</f>
        <v/>
      </c>
      <c r="K1096" t="inlineStr">
        <is>
          <t>SEND</t>
        </is>
      </c>
    </row>
    <row r="1097">
      <c r="A1097" t="inlineStr">
        <is>
          <t>Marilia</t>
        </is>
      </c>
      <c r="B1097" t="inlineStr">
        <is>
          <t>+5581991465059</t>
        </is>
      </c>
      <c r="C1097" t="inlineStr">
        <is>
          <t>Refill</t>
        </is>
      </c>
      <c r="D1097" t="inlineStr">
        <is>
          <t>Primer Cachos</t>
        </is>
      </c>
      <c r="E1097" t="n">
        <v>1</v>
      </c>
      <c r="F1097" t="inlineStr">
        <is>
          <t>2025-12-31</t>
        </is>
      </c>
      <c r="G1097" t="n">
        <v>185</v>
      </c>
      <c r="H1097" t="inlineStr">
        <is>
          <t>Y</t>
        </is>
      </c>
      <c r="I1097">
        <f>HYPERLINK("https://admin.shopify.com/store/ge-beauty-cosmeticos/customers/10011074429248","abrir")</f>
        <v/>
      </c>
      <c r="J1097">
        <f>HYPERLINK("https://www.gebeauty.com.br/products/primer-cachos-definidos?ref=review","review")</f>
        <v/>
      </c>
      <c r="K1097" t="inlineStr">
        <is>
          <t>SEND</t>
        </is>
      </c>
    </row>
    <row r="1098">
      <c r="A1098" t="inlineStr">
        <is>
          <t>Ana Carolina</t>
        </is>
      </c>
      <c r="B1098" t="inlineStr">
        <is>
          <t>+5519992017499</t>
        </is>
      </c>
      <c r="C1098" t="inlineStr">
        <is>
          <t>Refill</t>
        </is>
      </c>
      <c r="D1098" t="inlineStr">
        <is>
          <t>Primer Cachos</t>
        </is>
      </c>
      <c r="E1098" t="n">
        <v>1</v>
      </c>
      <c r="F1098" t="inlineStr">
        <is>
          <t>2025-12-31</t>
        </is>
      </c>
      <c r="G1098" t="n">
        <v>185</v>
      </c>
      <c r="H1098" t="inlineStr">
        <is>
          <t>Y</t>
        </is>
      </c>
      <c r="I1098">
        <f>HYPERLINK("https://admin.shopify.com/store/ge-beauty-cosmeticos/customers/10011578138944","abrir")</f>
        <v/>
      </c>
      <c r="J1098">
        <f>HYPERLINK("https://www.gebeauty.com.br/products/primer-cachos-definidos?ref=review","review")</f>
        <v/>
      </c>
      <c r="K1098" t="inlineStr">
        <is>
          <t>SEND</t>
        </is>
      </c>
    </row>
    <row r="1099">
      <c r="A1099" t="inlineStr">
        <is>
          <t>Mariana</t>
        </is>
      </c>
      <c r="B1099" t="inlineStr">
        <is>
          <t>+5511985938604</t>
        </is>
      </c>
      <c r="C1099" t="inlineStr">
        <is>
          <t>Refill</t>
        </is>
      </c>
      <c r="D1099" t="inlineStr">
        <is>
          <t>Primer Cachos</t>
        </is>
      </c>
      <c r="E1099" t="n">
        <v>1</v>
      </c>
      <c r="F1099" t="inlineStr">
        <is>
          <t>2025-12-31</t>
        </is>
      </c>
      <c r="G1099" t="n">
        <v>185</v>
      </c>
      <c r="H1099" t="inlineStr">
        <is>
          <t>Y</t>
        </is>
      </c>
      <c r="I1099">
        <f>HYPERLINK("https://admin.shopify.com/store/ge-beauty-cosmeticos/customers/10011899625792","abrir")</f>
        <v/>
      </c>
      <c r="J1099">
        <f>HYPERLINK("https://www.gebeauty.com.br/products/primer-cachos-definidos?ref=review","review")</f>
        <v/>
      </c>
      <c r="K1099" t="inlineStr">
        <is>
          <t>SEND</t>
        </is>
      </c>
    </row>
    <row r="1100">
      <c r="A1100" t="inlineStr">
        <is>
          <t>Carla</t>
        </is>
      </c>
      <c r="B1100" t="inlineStr">
        <is>
          <t>+5521995698103</t>
        </is>
      </c>
      <c r="C1100" t="inlineStr">
        <is>
          <t>Refill</t>
        </is>
      </c>
      <c r="D1100" t="inlineStr">
        <is>
          <t>Primer Cachos</t>
        </is>
      </c>
      <c r="E1100" t="n">
        <v>1</v>
      </c>
      <c r="F1100" t="inlineStr">
        <is>
          <t>2025-12-31</t>
        </is>
      </c>
      <c r="G1100" t="n">
        <v>185</v>
      </c>
      <c r="H1100" t="inlineStr">
        <is>
          <t>Y</t>
        </is>
      </c>
      <c r="I1100">
        <f>HYPERLINK("https://admin.shopify.com/store/ge-beauty-cosmeticos/customers/8908224758080","abrir")</f>
        <v/>
      </c>
      <c r="J1100">
        <f>HYPERLINK("https://www.gebeauty.com.br/products/primer-cachos-definidos?ref=review","review")</f>
        <v/>
      </c>
      <c r="K1100" t="inlineStr">
        <is>
          <t>SEND</t>
        </is>
      </c>
    </row>
    <row r="1101">
      <c r="A1101" t="inlineStr">
        <is>
          <t>Dalva</t>
        </is>
      </c>
      <c r="B1101" t="inlineStr">
        <is>
          <t>+5528999519216</t>
        </is>
      </c>
      <c r="C1101" t="inlineStr">
        <is>
          <t>Refill</t>
        </is>
      </c>
      <c r="D1101" t="inlineStr">
        <is>
          <t>Primer Cachos</t>
        </is>
      </c>
      <c r="E1101" t="n">
        <v>1</v>
      </c>
      <c r="F1101" t="inlineStr">
        <is>
          <t>2025-12-31</t>
        </is>
      </c>
      <c r="G1101" t="n">
        <v>185</v>
      </c>
      <c r="H1101" t="inlineStr">
        <is>
          <t>Y</t>
        </is>
      </c>
      <c r="I1101">
        <f>HYPERLINK("https://admin.shopify.com/store/ge-beauty-cosmeticos/customers/10013122494784","abrir")</f>
        <v/>
      </c>
      <c r="J1101">
        <f>HYPERLINK("https://www.gebeauty.com.br/products/primer-cachos-definidos?ref=review","review")</f>
        <v/>
      </c>
      <c r="K1101" t="inlineStr">
        <is>
          <t>HOLDOUT</t>
        </is>
      </c>
    </row>
    <row r="1102">
      <c r="A1102" t="inlineStr">
        <is>
          <t>Daniela</t>
        </is>
      </c>
      <c r="B1102" t="inlineStr">
        <is>
          <t>+5535999100107</t>
        </is>
      </c>
      <c r="C1102" t="inlineStr">
        <is>
          <t>Refill</t>
        </is>
      </c>
      <c r="D1102" t="inlineStr">
        <is>
          <t>Primer Cachos</t>
        </is>
      </c>
      <c r="E1102" t="n">
        <v>1</v>
      </c>
      <c r="F1102" t="inlineStr">
        <is>
          <t>2025-12-31</t>
        </is>
      </c>
      <c r="G1102" t="n">
        <v>185</v>
      </c>
      <c r="H1102" t="inlineStr">
        <is>
          <t>Y</t>
        </is>
      </c>
      <c r="I1102">
        <f>HYPERLINK("https://admin.shopify.com/store/ge-beauty-cosmeticos/customers/9989872681280","abrir")</f>
        <v/>
      </c>
      <c r="J1102">
        <f>HYPERLINK("https://www.gebeauty.com.br/products/primer-cachos-definidos?ref=review","review")</f>
        <v/>
      </c>
      <c r="K1102" t="inlineStr">
        <is>
          <t>SEND</t>
        </is>
      </c>
    </row>
    <row r="1103">
      <c r="A1103" t="inlineStr">
        <is>
          <t>Vane</t>
        </is>
      </c>
      <c r="B1103" t="inlineStr">
        <is>
          <t>+5534996845074</t>
        </is>
      </c>
      <c r="C1103" t="inlineStr">
        <is>
          <t>Refill</t>
        </is>
      </c>
      <c r="D1103" t="inlineStr">
        <is>
          <t>Primer Cachos</t>
        </is>
      </c>
      <c r="E1103" t="n">
        <v>1</v>
      </c>
      <c r="F1103" t="inlineStr">
        <is>
          <t>2025-12-31</t>
        </is>
      </c>
      <c r="G1103" t="n">
        <v>185</v>
      </c>
      <c r="H1103" t="inlineStr">
        <is>
          <t>Y</t>
        </is>
      </c>
      <c r="I1103">
        <f>HYPERLINK("https://admin.shopify.com/store/ge-beauty-cosmeticos/customers/10012752937280","abrir")</f>
        <v/>
      </c>
      <c r="J1103">
        <f>HYPERLINK("https://www.gebeauty.com.br/products/primer-cachos-definidos?ref=review","review")</f>
        <v/>
      </c>
      <c r="K1103" t="inlineStr">
        <is>
          <t>SEND</t>
        </is>
      </c>
    </row>
    <row r="1104">
      <c r="A1104" t="inlineStr">
        <is>
          <t>Fabiane</t>
        </is>
      </c>
      <c r="B1104" t="inlineStr">
        <is>
          <t>+5511984983838</t>
        </is>
      </c>
      <c r="C1104" t="inlineStr">
        <is>
          <t>Refill</t>
        </is>
      </c>
      <c r="D1104" t="inlineStr">
        <is>
          <t>Primer Cachos</t>
        </is>
      </c>
      <c r="E1104" t="n">
        <v>1</v>
      </c>
      <c r="F1104" t="inlineStr">
        <is>
          <t>2026-01-01</t>
        </is>
      </c>
      <c r="G1104" t="n">
        <v>184</v>
      </c>
      <c r="H1104" t="inlineStr">
        <is>
          <t>Y</t>
        </is>
      </c>
      <c r="I1104">
        <f>HYPERLINK("https://admin.shopify.com/store/ge-beauty-cosmeticos/customers/10016207110464","abrir")</f>
        <v/>
      </c>
      <c r="J1104">
        <f>HYPERLINK("https://www.gebeauty.com.br/products/primer-cachos-definidos?ref=review","review")</f>
        <v/>
      </c>
      <c r="K1104" t="inlineStr">
        <is>
          <t>SEND</t>
        </is>
      </c>
    </row>
    <row r="1105">
      <c r="A1105" t="inlineStr">
        <is>
          <t>Michelle</t>
        </is>
      </c>
      <c r="B1105" t="inlineStr">
        <is>
          <t>+5511984247490</t>
        </is>
      </c>
      <c r="C1105" t="inlineStr">
        <is>
          <t>Refill</t>
        </is>
      </c>
      <c r="D1105" t="inlineStr">
        <is>
          <t>Primer Cachos</t>
        </is>
      </c>
      <c r="E1105" t="n">
        <v>1</v>
      </c>
      <c r="F1105" t="inlineStr">
        <is>
          <t>2026-01-01</t>
        </is>
      </c>
      <c r="G1105" t="n">
        <v>184</v>
      </c>
      <c r="H1105" t="inlineStr">
        <is>
          <t>Y</t>
        </is>
      </c>
      <c r="I1105">
        <f>HYPERLINK("https://admin.shopify.com/store/ge-beauty-cosmeticos/customers/10017128350016","abrir")</f>
        <v/>
      </c>
      <c r="J1105">
        <f>HYPERLINK("https://www.gebeauty.com.br/products/primer-cachos-definidos?ref=review","review")</f>
        <v/>
      </c>
      <c r="K1105" t="inlineStr">
        <is>
          <t>SEND</t>
        </is>
      </c>
    </row>
    <row r="1106">
      <c r="A1106" t="inlineStr">
        <is>
          <t>Jussara</t>
        </is>
      </c>
      <c r="B1106" t="inlineStr">
        <is>
          <t>+5531988793509</t>
        </is>
      </c>
      <c r="C1106" t="inlineStr">
        <is>
          <t>Refill</t>
        </is>
      </c>
      <c r="D1106" t="inlineStr">
        <is>
          <t>Primer Cachos</t>
        </is>
      </c>
      <c r="E1106" t="n">
        <v>1</v>
      </c>
      <c r="F1106" t="inlineStr">
        <is>
          <t>2026-01-02</t>
        </is>
      </c>
      <c r="G1106" t="n">
        <v>183</v>
      </c>
      <c r="H1106" t="inlineStr">
        <is>
          <t>Y</t>
        </is>
      </c>
      <c r="I1106">
        <f>HYPERLINK("https://admin.shopify.com/store/ge-beauty-cosmeticos/customers/9066865262912","abrir")</f>
        <v/>
      </c>
      <c r="J1106">
        <f>HYPERLINK("https://www.gebeauty.com.br/products/primer-cachos-definidos?ref=review","review")</f>
        <v/>
      </c>
      <c r="K1106" t="inlineStr">
        <is>
          <t>SEND</t>
        </is>
      </c>
    </row>
    <row r="1107">
      <c r="A1107" t="inlineStr">
        <is>
          <t>Helena</t>
        </is>
      </c>
      <c r="B1107" t="inlineStr">
        <is>
          <t>+5511975878372</t>
        </is>
      </c>
      <c r="C1107" t="inlineStr">
        <is>
          <t>Refill</t>
        </is>
      </c>
      <c r="D1107" t="inlineStr">
        <is>
          <t>Primer Cachos</t>
        </is>
      </c>
      <c r="E1107" t="n">
        <v>1</v>
      </c>
      <c r="F1107" t="inlineStr">
        <is>
          <t>2026-01-02</t>
        </is>
      </c>
      <c r="G1107" t="n">
        <v>183</v>
      </c>
      <c r="H1107" t="inlineStr">
        <is>
          <t>Y</t>
        </is>
      </c>
      <c r="I1107">
        <f>HYPERLINK("https://admin.shopify.com/store/ge-beauty-cosmeticos/customers/10021924372800","abrir")</f>
        <v/>
      </c>
      <c r="J1107">
        <f>HYPERLINK("https://www.gebeauty.com.br/products/primer-cachos-definidos?ref=review","review")</f>
        <v/>
      </c>
      <c r="K1107" t="inlineStr">
        <is>
          <t>HOLDOUT</t>
        </is>
      </c>
    </row>
    <row r="1108">
      <c r="A1108" t="inlineStr">
        <is>
          <t>Caroline</t>
        </is>
      </c>
      <c r="B1108" t="inlineStr">
        <is>
          <t>+5516617770283</t>
        </is>
      </c>
      <c r="C1108" t="inlineStr">
        <is>
          <t>Refill</t>
        </is>
      </c>
      <c r="D1108" t="inlineStr">
        <is>
          <t>Primer Cachos</t>
        </is>
      </c>
      <c r="E1108" t="n">
        <v>1</v>
      </c>
      <c r="F1108" t="inlineStr">
        <is>
          <t>2026-01-02</t>
        </is>
      </c>
      <c r="G1108" t="n">
        <v>183</v>
      </c>
      <c r="H1108" t="inlineStr">
        <is>
          <t>Y</t>
        </is>
      </c>
      <c r="I1108">
        <f>HYPERLINK("https://admin.shopify.com/store/ge-beauty-cosmeticos/customers/10022903447872","abrir")</f>
        <v/>
      </c>
      <c r="J1108">
        <f>HYPERLINK("https://www.gebeauty.com.br/products/primer-cachos-definidos?ref=review","review")</f>
        <v/>
      </c>
      <c r="K1108" t="inlineStr">
        <is>
          <t>SEND</t>
        </is>
      </c>
    </row>
    <row r="1109">
      <c r="A1109" t="inlineStr">
        <is>
          <t>Tharsila</t>
        </is>
      </c>
      <c r="B1109" t="inlineStr">
        <is>
          <t>+5561991045012</t>
        </is>
      </c>
      <c r="C1109" t="inlineStr">
        <is>
          <t>Refill</t>
        </is>
      </c>
      <c r="D1109" t="inlineStr">
        <is>
          <t>Primer Cachos</t>
        </is>
      </c>
      <c r="E1109" t="n">
        <v>1</v>
      </c>
      <c r="F1109" t="inlineStr">
        <is>
          <t>2026-01-02</t>
        </is>
      </c>
      <c r="G1109" t="n">
        <v>183</v>
      </c>
      <c r="H1109" t="inlineStr">
        <is>
          <t>Y</t>
        </is>
      </c>
      <c r="I1109">
        <f>HYPERLINK("https://admin.shopify.com/store/ge-beauty-cosmeticos/customers/9485898219840","abrir")</f>
        <v/>
      </c>
      <c r="J1109">
        <f>HYPERLINK("https://www.gebeauty.com.br/products/primer-cachos-definidos?ref=review","review")</f>
        <v/>
      </c>
      <c r="K1109" t="inlineStr">
        <is>
          <t>HOLDOUT</t>
        </is>
      </c>
    </row>
    <row r="1110">
      <c r="A1110" t="inlineStr">
        <is>
          <t>Cladiane</t>
        </is>
      </c>
      <c r="B1110" t="inlineStr">
        <is>
          <t>+5599988475480</t>
        </is>
      </c>
      <c r="C1110" t="inlineStr">
        <is>
          <t>Refill</t>
        </is>
      </c>
      <c r="D1110" t="inlineStr">
        <is>
          <t>Primer Cachos</t>
        </is>
      </c>
      <c r="E1110" t="n">
        <v>1</v>
      </c>
      <c r="F1110" t="inlineStr">
        <is>
          <t>2026-01-02</t>
        </is>
      </c>
      <c r="G1110" t="n">
        <v>183</v>
      </c>
      <c r="H1110" t="inlineStr">
        <is>
          <t>Y</t>
        </is>
      </c>
      <c r="I1110">
        <f>HYPERLINK("https://admin.shopify.com/store/ge-beauty-cosmeticos/customers/10023578894656","abrir")</f>
        <v/>
      </c>
      <c r="J1110">
        <f>HYPERLINK("https://www.gebeauty.com.br/products/primer-cachos-definidos?ref=review","review")</f>
        <v/>
      </c>
      <c r="K1110" t="inlineStr">
        <is>
          <t>HOLDOUT</t>
        </is>
      </c>
    </row>
    <row r="1111">
      <c r="A1111" t="inlineStr">
        <is>
          <t>Maria</t>
        </is>
      </c>
      <c r="B1111" t="inlineStr">
        <is>
          <t>+5583991885093</t>
        </is>
      </c>
      <c r="C1111" t="inlineStr">
        <is>
          <t>Refill</t>
        </is>
      </c>
      <c r="D1111" t="inlineStr">
        <is>
          <t>Primer Cachos</t>
        </is>
      </c>
      <c r="E1111" t="n">
        <v>1</v>
      </c>
      <c r="F1111" t="inlineStr">
        <is>
          <t>2026-01-02</t>
        </is>
      </c>
      <c r="G1111" t="n">
        <v>183</v>
      </c>
      <c r="H1111" t="inlineStr">
        <is>
          <t>Y</t>
        </is>
      </c>
      <c r="I1111">
        <f>HYPERLINK("https://admin.shopify.com/store/ge-beauty-cosmeticos/customers/10023973454144","abrir")</f>
        <v/>
      </c>
      <c r="J1111">
        <f>HYPERLINK("https://www.gebeauty.com.br/products/primer-cachos-definidos?ref=review","review")</f>
        <v/>
      </c>
      <c r="K1111" t="inlineStr">
        <is>
          <t>SEND</t>
        </is>
      </c>
    </row>
    <row r="1112">
      <c r="A1112" t="inlineStr">
        <is>
          <t>Isabele</t>
        </is>
      </c>
      <c r="B1112" t="inlineStr">
        <is>
          <t>+5541991411001</t>
        </is>
      </c>
      <c r="C1112" t="inlineStr">
        <is>
          <t>Refill</t>
        </is>
      </c>
      <c r="D1112" t="inlineStr">
        <is>
          <t>Primer Cachos</t>
        </is>
      </c>
      <c r="E1112" t="n">
        <v>1</v>
      </c>
      <c r="F1112" t="inlineStr">
        <is>
          <t>2026-01-02</t>
        </is>
      </c>
      <c r="G1112" t="n">
        <v>183</v>
      </c>
      <c r="H1112" t="inlineStr">
        <is>
          <t>Y</t>
        </is>
      </c>
      <c r="I1112">
        <f>HYPERLINK("https://admin.shopify.com/store/ge-beauty-cosmeticos/customers/10024092827968","abrir")</f>
        <v/>
      </c>
      <c r="J1112">
        <f>HYPERLINK("https://www.gebeauty.com.br/products/primer-cachos-definidos?ref=review","review")</f>
        <v/>
      </c>
      <c r="K1112" t="inlineStr">
        <is>
          <t>HOLDOUT</t>
        </is>
      </c>
    </row>
    <row r="1113">
      <c r="A1113" t="inlineStr">
        <is>
          <t>Laisa</t>
        </is>
      </c>
      <c r="B1113" t="inlineStr">
        <is>
          <t>+5511981982211</t>
        </is>
      </c>
      <c r="C1113" t="inlineStr">
        <is>
          <t>Refill</t>
        </is>
      </c>
      <c r="D1113" t="inlineStr">
        <is>
          <t>Primer Cachos</t>
        </is>
      </c>
      <c r="E1113" t="n">
        <v>1</v>
      </c>
      <c r="F1113" t="inlineStr">
        <is>
          <t>2026-01-02</t>
        </is>
      </c>
      <c r="G1113" t="n">
        <v>183</v>
      </c>
      <c r="H1113" t="inlineStr">
        <is>
          <t>Y</t>
        </is>
      </c>
      <c r="I1113">
        <f>HYPERLINK("https://admin.shopify.com/store/ge-beauty-cosmeticos/customers/8977303306560","abrir")</f>
        <v/>
      </c>
      <c r="J1113">
        <f>HYPERLINK("https://www.gebeauty.com.br/products/primer-cachos-definidos?ref=review","review")</f>
        <v/>
      </c>
      <c r="K1113" t="inlineStr">
        <is>
          <t>SEND</t>
        </is>
      </c>
    </row>
    <row r="1114">
      <c r="A1114" t="inlineStr">
        <is>
          <t>Leticia</t>
        </is>
      </c>
      <c r="B1114" t="inlineStr">
        <is>
          <t>+5511984617515</t>
        </is>
      </c>
      <c r="C1114" t="inlineStr">
        <is>
          <t>Refill</t>
        </is>
      </c>
      <c r="D1114" t="inlineStr">
        <is>
          <t>Primer Cachos</t>
        </is>
      </c>
      <c r="E1114" t="n">
        <v>1</v>
      </c>
      <c r="F1114" t="inlineStr">
        <is>
          <t>2026-01-02</t>
        </is>
      </c>
      <c r="G1114" t="n">
        <v>183</v>
      </c>
      <c r="H1114" t="inlineStr">
        <is>
          <t>Y</t>
        </is>
      </c>
      <c r="I1114">
        <f>HYPERLINK("https://admin.shopify.com/store/ge-beauty-cosmeticos/customers/8328467743040","abrir")</f>
        <v/>
      </c>
      <c r="J1114">
        <f>HYPERLINK("https://www.gebeauty.com.br/products/primer-cachos-definidos?ref=review","review")</f>
        <v/>
      </c>
      <c r="K1114" t="inlineStr">
        <is>
          <t>SEND</t>
        </is>
      </c>
    </row>
    <row r="1115">
      <c r="A1115" t="inlineStr">
        <is>
          <t>Tallyta</t>
        </is>
      </c>
      <c r="B1115" t="inlineStr">
        <is>
          <t>+5511910106622</t>
        </is>
      </c>
      <c r="C1115" t="inlineStr">
        <is>
          <t>Refill</t>
        </is>
      </c>
      <c r="D1115" t="inlineStr">
        <is>
          <t>Primer Cachos</t>
        </is>
      </c>
      <c r="E1115" t="n">
        <v>1</v>
      </c>
      <c r="F1115" t="inlineStr">
        <is>
          <t>2026-01-03</t>
        </is>
      </c>
      <c r="G1115" t="n">
        <v>182</v>
      </c>
      <c r="H1115" t="inlineStr">
        <is>
          <t>Y</t>
        </is>
      </c>
      <c r="I1115">
        <f>HYPERLINK("https://admin.shopify.com/store/ge-beauty-cosmeticos/customers/9996727157056","abrir")</f>
        <v/>
      </c>
      <c r="J1115">
        <f>HYPERLINK("https://www.gebeauty.com.br/products/primer-cachos-definidos?ref=review","review")</f>
        <v/>
      </c>
      <c r="K1115" t="inlineStr">
        <is>
          <t>SEND</t>
        </is>
      </c>
    </row>
    <row r="1116">
      <c r="A1116" t="inlineStr">
        <is>
          <t>Juliana</t>
        </is>
      </c>
      <c r="B1116" t="inlineStr">
        <is>
          <t>+5511996044876</t>
        </is>
      </c>
      <c r="C1116" t="inlineStr">
        <is>
          <t>Refill</t>
        </is>
      </c>
      <c r="D1116" t="inlineStr">
        <is>
          <t>Primer Cachos</t>
        </is>
      </c>
      <c r="E1116" t="n">
        <v>1</v>
      </c>
      <c r="F1116" t="inlineStr">
        <is>
          <t>2026-01-03</t>
        </is>
      </c>
      <c r="G1116" t="n">
        <v>182</v>
      </c>
      <c r="H1116" t="inlineStr">
        <is>
          <t>Y</t>
        </is>
      </c>
      <c r="I1116">
        <f>HYPERLINK("https://admin.shopify.com/store/ge-beauty-cosmeticos/customers/10027150868800","abrir")</f>
        <v/>
      </c>
      <c r="J1116">
        <f>HYPERLINK("https://www.gebeauty.com.br/products/primer-cachos-definidos?ref=review","review")</f>
        <v/>
      </c>
      <c r="K1116" t="inlineStr">
        <is>
          <t>HOLDOUT</t>
        </is>
      </c>
    </row>
    <row r="1117">
      <c r="A1117" t="inlineStr">
        <is>
          <t>Isabella</t>
        </is>
      </c>
      <c r="B1117" t="inlineStr">
        <is>
          <t>+5581999787336</t>
        </is>
      </c>
      <c r="C1117" t="inlineStr">
        <is>
          <t>Refill</t>
        </is>
      </c>
      <c r="D1117" t="inlineStr">
        <is>
          <t>Primer Cachos</t>
        </is>
      </c>
      <c r="E1117" t="n">
        <v>1</v>
      </c>
      <c r="F1117" t="inlineStr">
        <is>
          <t>2026-01-03</t>
        </is>
      </c>
      <c r="G1117" t="n">
        <v>182</v>
      </c>
      <c r="H1117" t="inlineStr">
        <is>
          <t>Y</t>
        </is>
      </c>
      <c r="I1117">
        <f>HYPERLINK("https://admin.shopify.com/store/ge-beauty-cosmeticos/customers/9485014630720","abrir")</f>
        <v/>
      </c>
      <c r="J1117">
        <f>HYPERLINK("https://www.gebeauty.com.br/products/primer-cachos-definidos?ref=review","review")</f>
        <v/>
      </c>
      <c r="K1117" t="inlineStr">
        <is>
          <t>SEND</t>
        </is>
      </c>
    </row>
    <row r="1118">
      <c r="A1118" t="inlineStr">
        <is>
          <t>Gabriela</t>
        </is>
      </c>
      <c r="B1118" t="inlineStr">
        <is>
          <t>+5511991946767</t>
        </is>
      </c>
      <c r="C1118" t="inlineStr">
        <is>
          <t>Refill</t>
        </is>
      </c>
      <c r="D1118" t="inlineStr">
        <is>
          <t>Primer Cachos</t>
        </is>
      </c>
      <c r="E1118" t="n">
        <v>1</v>
      </c>
      <c r="F1118" t="inlineStr">
        <is>
          <t>2026-01-03</t>
        </is>
      </c>
      <c r="G1118" t="n">
        <v>182</v>
      </c>
      <c r="H1118" t="inlineStr">
        <is>
          <t>Y</t>
        </is>
      </c>
      <c r="I1118">
        <f>HYPERLINK("https://admin.shopify.com/store/ge-beauty-cosmeticos/customers/8909666222400","abrir")</f>
        <v/>
      </c>
      <c r="J1118">
        <f>HYPERLINK("https://www.gebeauty.com.br/products/primer-cachos-definidos?ref=review","review")</f>
        <v/>
      </c>
      <c r="K1118" t="inlineStr">
        <is>
          <t>SEND</t>
        </is>
      </c>
    </row>
    <row r="1119">
      <c r="A1119" t="inlineStr">
        <is>
          <t>Michelle</t>
        </is>
      </c>
      <c r="B1119" t="inlineStr">
        <is>
          <t>+5511989399119</t>
        </is>
      </c>
      <c r="C1119" t="inlineStr">
        <is>
          <t>Refill</t>
        </is>
      </c>
      <c r="D1119" t="inlineStr">
        <is>
          <t>Primer Cachos</t>
        </is>
      </c>
      <c r="E1119" t="n">
        <v>1</v>
      </c>
      <c r="F1119" t="inlineStr">
        <is>
          <t>2026-01-03</t>
        </is>
      </c>
      <c r="G1119" t="n">
        <v>182</v>
      </c>
      <c r="H1119" t="inlineStr">
        <is>
          <t>Y</t>
        </is>
      </c>
      <c r="I1119">
        <f>HYPERLINK("https://admin.shopify.com/store/ge-beauty-cosmeticos/customers/10027736891712","abrir")</f>
        <v/>
      </c>
      <c r="J1119">
        <f>HYPERLINK("https://www.gebeauty.com.br/products/primer-cachos-definidos?ref=review","review")</f>
        <v/>
      </c>
      <c r="K1119" t="inlineStr">
        <is>
          <t>SEND</t>
        </is>
      </c>
    </row>
    <row r="1120">
      <c r="A1120" t="inlineStr">
        <is>
          <t>Cristina</t>
        </is>
      </c>
      <c r="B1120" t="inlineStr">
        <is>
          <t>+5511989035028</t>
        </is>
      </c>
      <c r="C1120" t="inlineStr">
        <is>
          <t>Refill</t>
        </is>
      </c>
      <c r="D1120" t="inlineStr">
        <is>
          <t>Primer Cachos</t>
        </is>
      </c>
      <c r="E1120" t="n">
        <v>1</v>
      </c>
      <c r="F1120" t="inlineStr">
        <is>
          <t>2026-01-03</t>
        </is>
      </c>
      <c r="G1120" t="n">
        <v>182</v>
      </c>
      <c r="H1120" t="inlineStr">
        <is>
          <t>Y</t>
        </is>
      </c>
      <c r="I1120">
        <f>HYPERLINK("https://admin.shopify.com/store/ge-beauty-cosmeticos/customers/8909377339712","abrir")</f>
        <v/>
      </c>
      <c r="J1120">
        <f>HYPERLINK("https://www.gebeauty.com.br/products/primer-cachos-definidos?ref=review","review")</f>
        <v/>
      </c>
      <c r="K1120" t="inlineStr">
        <is>
          <t>SEND</t>
        </is>
      </c>
    </row>
    <row r="1121">
      <c r="A1121" t="inlineStr">
        <is>
          <t>Ana</t>
        </is>
      </c>
      <c r="B1121" t="inlineStr">
        <is>
          <t>+5579991004072</t>
        </is>
      </c>
      <c r="C1121" t="inlineStr">
        <is>
          <t>Refill</t>
        </is>
      </c>
      <c r="D1121" t="inlineStr">
        <is>
          <t>Primer Cachos</t>
        </is>
      </c>
      <c r="E1121" t="n">
        <v>1</v>
      </c>
      <c r="F1121" t="inlineStr">
        <is>
          <t>2026-01-03</t>
        </is>
      </c>
      <c r="G1121" t="n">
        <v>182</v>
      </c>
      <c r="H1121" t="inlineStr">
        <is>
          <t>Y</t>
        </is>
      </c>
      <c r="I1121">
        <f>HYPERLINK("https://admin.shopify.com/store/ge-beauty-cosmeticos/customers/9484438307136","abrir")</f>
        <v/>
      </c>
      <c r="J1121">
        <f>HYPERLINK("https://www.gebeauty.com.br/products/primer-cachos-definidos?ref=review","review")</f>
        <v/>
      </c>
      <c r="K1121" t="inlineStr">
        <is>
          <t>HOLDOUT</t>
        </is>
      </c>
    </row>
    <row r="1122">
      <c r="A1122" t="inlineStr">
        <is>
          <t>Thais</t>
        </is>
      </c>
      <c r="B1122" t="inlineStr">
        <is>
          <t>+5511997473618</t>
        </is>
      </c>
      <c r="C1122" t="inlineStr">
        <is>
          <t>Refill</t>
        </is>
      </c>
      <c r="D1122" t="inlineStr">
        <is>
          <t>Primer Cachos</t>
        </is>
      </c>
      <c r="E1122" t="n">
        <v>1</v>
      </c>
      <c r="F1122" t="inlineStr">
        <is>
          <t>2026-01-04</t>
        </is>
      </c>
      <c r="G1122" t="n">
        <v>181</v>
      </c>
      <c r="H1122" t="inlineStr">
        <is>
          <t>Y</t>
        </is>
      </c>
      <c r="I1122">
        <f>HYPERLINK("https://admin.shopify.com/store/ge-beauty-cosmeticos/customers/10028322062656","abrir")</f>
        <v/>
      </c>
      <c r="J1122">
        <f>HYPERLINK("https://www.gebeauty.com.br/products/primer-cachos-definidos?ref=review","review")</f>
        <v/>
      </c>
      <c r="K1122" t="inlineStr">
        <is>
          <t>SEND</t>
        </is>
      </c>
    </row>
    <row r="1123">
      <c r="A1123" t="inlineStr">
        <is>
          <t>Vivian Bianca</t>
        </is>
      </c>
      <c r="B1123" t="inlineStr">
        <is>
          <t>+5511980145468</t>
        </is>
      </c>
      <c r="C1123" t="inlineStr">
        <is>
          <t>Refill</t>
        </is>
      </c>
      <c r="D1123" t="inlineStr">
        <is>
          <t>Primer Cachos</t>
        </is>
      </c>
      <c r="E1123" t="n">
        <v>1</v>
      </c>
      <c r="F1123" t="inlineStr">
        <is>
          <t>2026-01-04</t>
        </is>
      </c>
      <c r="G1123" t="n">
        <v>181</v>
      </c>
      <c r="H1123" t="inlineStr">
        <is>
          <t>Y</t>
        </is>
      </c>
      <c r="I1123">
        <f>HYPERLINK("https://admin.shopify.com/store/ge-beauty-cosmeticos/customers/10028332187968","abrir")</f>
        <v/>
      </c>
      <c r="J1123">
        <f>HYPERLINK("https://www.gebeauty.com.br/products/primer-cachos-definidos?ref=review","review")</f>
        <v/>
      </c>
      <c r="K1123" t="inlineStr">
        <is>
          <t>SEND</t>
        </is>
      </c>
    </row>
    <row r="1124">
      <c r="A1124" t="inlineStr">
        <is>
          <t>Laila Maria</t>
        </is>
      </c>
      <c r="B1124" t="inlineStr">
        <is>
          <t>+5598984369000</t>
        </is>
      </c>
      <c r="C1124" t="inlineStr">
        <is>
          <t>Refill</t>
        </is>
      </c>
      <c r="D1124" t="inlineStr">
        <is>
          <t>Primer Cachos</t>
        </is>
      </c>
      <c r="E1124" t="n">
        <v>1</v>
      </c>
      <c r="F1124" t="inlineStr">
        <is>
          <t>2026-01-04</t>
        </is>
      </c>
      <c r="G1124" t="n">
        <v>181</v>
      </c>
      <c r="H1124" t="inlineStr">
        <is>
          <t>Y</t>
        </is>
      </c>
      <c r="I1124">
        <f>HYPERLINK("https://admin.shopify.com/store/ge-beauty-cosmeticos/customers/10029893124416","abrir")</f>
        <v/>
      </c>
      <c r="J1124">
        <f>HYPERLINK("https://www.gebeauty.com.br/products/primer-cachos-definidos?ref=review","review")</f>
        <v/>
      </c>
      <c r="K1124" t="inlineStr">
        <is>
          <t>SEND</t>
        </is>
      </c>
    </row>
    <row r="1125">
      <c r="A1125" t="inlineStr">
        <is>
          <t>Luiza</t>
        </is>
      </c>
      <c r="B1125" t="inlineStr">
        <is>
          <t>+5511999216668</t>
        </is>
      </c>
      <c r="C1125" t="inlineStr">
        <is>
          <t>Refill</t>
        </is>
      </c>
      <c r="D1125" t="inlineStr">
        <is>
          <t>Primer Cachos</t>
        </is>
      </c>
      <c r="E1125" t="n">
        <v>1</v>
      </c>
      <c r="F1125" t="inlineStr">
        <is>
          <t>2026-01-04</t>
        </is>
      </c>
      <c r="G1125" t="n">
        <v>181</v>
      </c>
      <c r="H1125" t="inlineStr">
        <is>
          <t>Y</t>
        </is>
      </c>
      <c r="I1125">
        <f>HYPERLINK("https://admin.shopify.com/store/ge-beauty-cosmeticos/customers/10030252458304","abrir")</f>
        <v/>
      </c>
      <c r="J1125">
        <f>HYPERLINK("https://www.gebeauty.com.br/products/primer-cachos-definidos?ref=review","review")</f>
        <v/>
      </c>
      <c r="K1125" t="inlineStr">
        <is>
          <t>SEND</t>
        </is>
      </c>
    </row>
    <row r="1126">
      <c r="A1126" t="inlineStr">
        <is>
          <t>Fabrizia</t>
        </is>
      </c>
      <c r="B1126" t="inlineStr">
        <is>
          <t>+5569999187613</t>
        </is>
      </c>
      <c r="C1126" t="inlineStr">
        <is>
          <t>Refill</t>
        </is>
      </c>
      <c r="D1126" t="inlineStr">
        <is>
          <t>Primer Cachos</t>
        </is>
      </c>
      <c r="E1126" t="n">
        <v>1</v>
      </c>
      <c r="F1126" t="inlineStr">
        <is>
          <t>2026-01-21</t>
        </is>
      </c>
      <c r="G1126" t="n">
        <v>164</v>
      </c>
      <c r="H1126" t="inlineStr">
        <is>
          <t>N</t>
        </is>
      </c>
      <c r="I1126">
        <f>HYPERLINK("https://admin.shopify.com/store/ge-beauty-cosmeticos/customers/7762432655680","abrir")</f>
        <v/>
      </c>
      <c r="J1126">
        <f>HYPERLINK("https://www.gebeauty.com.br/products/primer-cachos-definidos?ref=review","review")</f>
        <v/>
      </c>
      <c r="K1126" t="inlineStr">
        <is>
          <t>SEND</t>
        </is>
      </c>
    </row>
    <row r="1127">
      <c r="A1127" t="inlineStr">
        <is>
          <t>Julia</t>
        </is>
      </c>
      <c r="B1127" t="inlineStr">
        <is>
          <t>+5551996261067</t>
        </is>
      </c>
      <c r="C1127" t="inlineStr">
        <is>
          <t>Refill</t>
        </is>
      </c>
      <c r="D1127" t="inlineStr">
        <is>
          <t>Primer Cachos</t>
        </is>
      </c>
      <c r="E1127" t="n">
        <v>1</v>
      </c>
      <c r="F1127" t="inlineStr">
        <is>
          <t>2026-01-04</t>
        </is>
      </c>
      <c r="G1127" t="n">
        <v>181</v>
      </c>
      <c r="H1127" t="inlineStr">
        <is>
          <t>Y</t>
        </is>
      </c>
      <c r="I1127">
        <f>HYPERLINK("https://admin.shopify.com/store/ge-beauty-cosmeticos/customers/8351351701824","abrir")</f>
        <v/>
      </c>
      <c r="J1127">
        <f>HYPERLINK("https://www.gebeauty.com.br/products/primer-cachos-definidos?ref=review","review")</f>
        <v/>
      </c>
      <c r="K1127" t="inlineStr">
        <is>
          <t>SEND</t>
        </is>
      </c>
    </row>
    <row r="1128">
      <c r="A1128" t="inlineStr">
        <is>
          <t>Viviane</t>
        </is>
      </c>
      <c r="B1128" t="inlineStr">
        <is>
          <t>+5511985788251</t>
        </is>
      </c>
      <c r="C1128" t="inlineStr">
        <is>
          <t>Refill</t>
        </is>
      </c>
      <c r="D1128" t="inlineStr">
        <is>
          <t>Primer Cachos</t>
        </is>
      </c>
      <c r="E1128" t="n">
        <v>1</v>
      </c>
      <c r="F1128" t="inlineStr">
        <is>
          <t>2026-01-04</t>
        </is>
      </c>
      <c r="G1128" t="n">
        <v>181</v>
      </c>
      <c r="H1128" t="inlineStr">
        <is>
          <t>Y</t>
        </is>
      </c>
      <c r="I1128">
        <f>HYPERLINK("https://admin.shopify.com/store/ge-beauty-cosmeticos/customers/9485380190528","abrir")</f>
        <v/>
      </c>
      <c r="J1128">
        <f>HYPERLINK("https://www.gebeauty.com.br/products/primer-cachos-definidos?ref=review","review")</f>
        <v/>
      </c>
      <c r="K1128" t="inlineStr">
        <is>
          <t>SEND</t>
        </is>
      </c>
    </row>
    <row r="1129">
      <c r="A1129" t="inlineStr">
        <is>
          <t>Aline</t>
        </is>
      </c>
      <c r="B1129" t="inlineStr">
        <is>
          <t>+5511967943055</t>
        </is>
      </c>
      <c r="C1129" t="inlineStr">
        <is>
          <t>Refill</t>
        </is>
      </c>
      <c r="D1129" t="inlineStr">
        <is>
          <t>Primer Cachos</t>
        </is>
      </c>
      <c r="E1129" t="n">
        <v>1</v>
      </c>
      <c r="F1129" t="inlineStr">
        <is>
          <t>2026-01-04</t>
        </is>
      </c>
      <c r="G1129" t="n">
        <v>181</v>
      </c>
      <c r="H1129" t="inlineStr">
        <is>
          <t>Y</t>
        </is>
      </c>
      <c r="I1129">
        <f>HYPERLINK("https://admin.shopify.com/store/ge-beauty-cosmeticos/customers/10031005040960","abrir")</f>
        <v/>
      </c>
      <c r="J1129">
        <f>HYPERLINK("https://www.gebeauty.com.br/products/primer-cachos-definidos?ref=review","review")</f>
        <v/>
      </c>
      <c r="K1129" t="inlineStr">
        <is>
          <t>HOLDOUT</t>
        </is>
      </c>
    </row>
    <row r="1130">
      <c r="A1130" t="inlineStr">
        <is>
          <t>Paula</t>
        </is>
      </c>
      <c r="B1130" t="inlineStr">
        <is>
          <t>+5511986010004</t>
        </is>
      </c>
      <c r="C1130" t="inlineStr">
        <is>
          <t>Refill</t>
        </is>
      </c>
      <c r="D1130" t="inlineStr">
        <is>
          <t>Primer Cachos</t>
        </is>
      </c>
      <c r="E1130" t="n">
        <v>1</v>
      </c>
      <c r="F1130" t="inlineStr">
        <is>
          <t>2026-01-04</t>
        </is>
      </c>
      <c r="G1130" t="n">
        <v>181</v>
      </c>
      <c r="H1130" t="inlineStr">
        <is>
          <t>Y</t>
        </is>
      </c>
      <c r="I1130">
        <f>HYPERLINK("https://admin.shopify.com/store/ge-beauty-cosmeticos/customers/10031023358272","abrir")</f>
        <v/>
      </c>
      <c r="J1130">
        <f>HYPERLINK("https://www.gebeauty.com.br/products/primer-cachos-definidos?ref=review","review")</f>
        <v/>
      </c>
      <c r="K1130" t="inlineStr">
        <is>
          <t>SEND</t>
        </is>
      </c>
    </row>
    <row r="1131">
      <c r="A1131" t="inlineStr">
        <is>
          <t>Rafaela</t>
        </is>
      </c>
      <c r="B1131" t="inlineStr">
        <is>
          <t>+5511989616868</t>
        </is>
      </c>
      <c r="C1131" t="inlineStr">
        <is>
          <t>Refill</t>
        </is>
      </c>
      <c r="D1131" t="inlineStr">
        <is>
          <t>Primer Cachos</t>
        </is>
      </c>
      <c r="E1131" t="n">
        <v>1</v>
      </c>
      <c r="F1131" t="inlineStr">
        <is>
          <t>2026-01-05</t>
        </is>
      </c>
      <c r="G1131" t="n">
        <v>180</v>
      </c>
      <c r="H1131" t="inlineStr">
        <is>
          <t>Y</t>
        </is>
      </c>
      <c r="I1131">
        <f>HYPERLINK("https://admin.shopify.com/store/ge-beauty-cosmeticos/customers/10031372173632","abrir")</f>
        <v/>
      </c>
      <c r="J1131">
        <f>HYPERLINK("https://www.gebeauty.com.br/products/primer-cachos-definidos?ref=review","review")</f>
        <v/>
      </c>
      <c r="K1131" t="inlineStr">
        <is>
          <t>HOLDOUT</t>
        </is>
      </c>
    </row>
    <row r="1132">
      <c r="A1132" t="inlineStr">
        <is>
          <t>Patricia</t>
        </is>
      </c>
      <c r="B1132" t="inlineStr">
        <is>
          <t>+5541999247871</t>
        </is>
      </c>
      <c r="C1132" t="inlineStr">
        <is>
          <t>Refill</t>
        </is>
      </c>
      <c r="D1132" t="inlineStr">
        <is>
          <t>Primer Cachos</t>
        </is>
      </c>
      <c r="E1132" t="n">
        <v>1</v>
      </c>
      <c r="F1132" t="inlineStr">
        <is>
          <t>2026-01-05</t>
        </is>
      </c>
      <c r="G1132" t="n">
        <v>180</v>
      </c>
      <c r="H1132" t="inlineStr">
        <is>
          <t>Y</t>
        </is>
      </c>
      <c r="I1132">
        <f>HYPERLINK("https://admin.shopify.com/store/ge-beauty-cosmeticos/customers/10031466709312","abrir")</f>
        <v/>
      </c>
      <c r="J1132">
        <f>HYPERLINK("https://www.gebeauty.com.br/products/primer-cachos-definidos?ref=review","review")</f>
        <v/>
      </c>
      <c r="K1132" t="inlineStr">
        <is>
          <t>SEND</t>
        </is>
      </c>
    </row>
    <row r="1133">
      <c r="A1133" t="inlineStr">
        <is>
          <t>Daniela</t>
        </is>
      </c>
      <c r="B1133" t="inlineStr">
        <is>
          <t>+5581998537766</t>
        </is>
      </c>
      <c r="C1133" t="inlineStr">
        <is>
          <t>Refill</t>
        </is>
      </c>
      <c r="D1133" t="inlineStr">
        <is>
          <t>Primer Cachos</t>
        </is>
      </c>
      <c r="E1133" t="n">
        <v>1</v>
      </c>
      <c r="F1133" t="inlineStr">
        <is>
          <t>2026-01-05</t>
        </is>
      </c>
      <c r="G1133" t="n">
        <v>180</v>
      </c>
      <c r="H1133" t="inlineStr">
        <is>
          <t>Y</t>
        </is>
      </c>
      <c r="I1133">
        <f>HYPERLINK("https://admin.shopify.com/store/ge-beauty-cosmeticos/customers/9844387807552","abrir")</f>
        <v/>
      </c>
      <c r="J1133">
        <f>HYPERLINK("https://www.gebeauty.com.br/products/primer-cachos-definidos?ref=review","review")</f>
        <v/>
      </c>
      <c r="K1133" t="inlineStr">
        <is>
          <t>HOLDOUT</t>
        </is>
      </c>
    </row>
    <row r="1134">
      <c r="A1134" t="inlineStr">
        <is>
          <t>Ludmila</t>
        </is>
      </c>
      <c r="B1134" t="inlineStr">
        <is>
          <t>+5541992582737</t>
        </is>
      </c>
      <c r="C1134" t="inlineStr">
        <is>
          <t>Refill</t>
        </is>
      </c>
      <c r="D1134" t="inlineStr">
        <is>
          <t>Primer Cachos</t>
        </is>
      </c>
      <c r="E1134" t="n">
        <v>1</v>
      </c>
      <c r="F1134" t="inlineStr">
        <is>
          <t>2026-01-05</t>
        </is>
      </c>
      <c r="G1134" t="n">
        <v>180</v>
      </c>
      <c r="H1134" t="inlineStr">
        <is>
          <t>Y</t>
        </is>
      </c>
      <c r="I1134">
        <f>HYPERLINK("https://admin.shopify.com/store/ge-beauty-cosmeticos/customers/7761431363904","abrir")</f>
        <v/>
      </c>
      <c r="J1134">
        <f>HYPERLINK("https://www.gebeauty.com.br/products/primer-cachos-definidos?ref=review","review")</f>
        <v/>
      </c>
      <c r="K1134" t="inlineStr">
        <is>
          <t>SEND</t>
        </is>
      </c>
    </row>
    <row r="1135">
      <c r="A1135" t="inlineStr">
        <is>
          <t>Luiza</t>
        </is>
      </c>
      <c r="B1135" t="inlineStr">
        <is>
          <t>+5511989468267</t>
        </is>
      </c>
      <c r="C1135" t="inlineStr">
        <is>
          <t>Refill</t>
        </is>
      </c>
      <c r="D1135" t="inlineStr">
        <is>
          <t>Primer Cachos</t>
        </is>
      </c>
      <c r="E1135" t="n">
        <v>1</v>
      </c>
      <c r="F1135" t="inlineStr">
        <is>
          <t>2026-01-05</t>
        </is>
      </c>
      <c r="G1135" t="n">
        <v>180</v>
      </c>
      <c r="H1135" t="inlineStr">
        <is>
          <t>Y</t>
        </is>
      </c>
      <c r="I1135">
        <f>HYPERLINK("https://admin.shopify.com/store/ge-beauty-cosmeticos/customers/10033016537408","abrir")</f>
        <v/>
      </c>
      <c r="J1135">
        <f>HYPERLINK("https://www.gebeauty.com.br/products/primer-cachos-definidos?ref=review","review")</f>
        <v/>
      </c>
      <c r="K1135" t="inlineStr">
        <is>
          <t>HOLDOUT</t>
        </is>
      </c>
    </row>
    <row r="1136">
      <c r="A1136" t="inlineStr">
        <is>
          <t>Thais</t>
        </is>
      </c>
      <c r="B1136" t="inlineStr">
        <is>
          <t>+5511992227018</t>
        </is>
      </c>
      <c r="C1136" t="inlineStr">
        <is>
          <t>Refill</t>
        </is>
      </c>
      <c r="D1136" t="inlineStr">
        <is>
          <t>Primer Cachos</t>
        </is>
      </c>
      <c r="E1136" t="n">
        <v>1</v>
      </c>
      <c r="F1136" t="inlineStr">
        <is>
          <t>2026-01-05</t>
        </is>
      </c>
      <c r="G1136" t="n">
        <v>180</v>
      </c>
      <c r="H1136" t="inlineStr">
        <is>
          <t>Y</t>
        </is>
      </c>
      <c r="I1136">
        <f>HYPERLINK("https://admin.shopify.com/store/ge-beauty-cosmeticos/customers/10033340875072","abrir")</f>
        <v/>
      </c>
      <c r="J1136">
        <f>HYPERLINK("https://www.gebeauty.com.br/products/primer-cachos-definidos?ref=review","review")</f>
        <v/>
      </c>
      <c r="K1136" t="inlineStr">
        <is>
          <t>SEND</t>
        </is>
      </c>
    </row>
    <row r="1137">
      <c r="A1137" t="inlineStr">
        <is>
          <t>Lena</t>
        </is>
      </c>
      <c r="B1137" t="inlineStr">
        <is>
          <t>+5585994442944</t>
        </is>
      </c>
      <c r="C1137" t="inlineStr">
        <is>
          <t>Refill</t>
        </is>
      </c>
      <c r="D1137" t="inlineStr">
        <is>
          <t>Primer Cachos</t>
        </is>
      </c>
      <c r="E1137" t="n">
        <v>1</v>
      </c>
      <c r="F1137" t="inlineStr">
        <is>
          <t>2026-01-05</t>
        </is>
      </c>
      <c r="G1137" t="n">
        <v>180</v>
      </c>
      <c r="H1137" t="inlineStr">
        <is>
          <t>Y</t>
        </is>
      </c>
      <c r="I1137">
        <f>HYPERLINK("https://admin.shopify.com/store/ge-beauty-cosmeticos/customers/10033501503808","abrir")</f>
        <v/>
      </c>
      <c r="J1137">
        <f>HYPERLINK("https://www.gebeauty.com.br/products/primer-cachos-definidos?ref=review","review")</f>
        <v/>
      </c>
      <c r="K1137" t="inlineStr">
        <is>
          <t>SEND</t>
        </is>
      </c>
    </row>
    <row r="1138">
      <c r="A1138" t="inlineStr">
        <is>
          <t>Izabelle</t>
        </is>
      </c>
      <c r="B1138" t="inlineStr">
        <is>
          <t>+5581997051408</t>
        </is>
      </c>
      <c r="C1138" t="inlineStr">
        <is>
          <t>Refill</t>
        </is>
      </c>
      <c r="D1138" t="inlineStr">
        <is>
          <t>Primer Cachos</t>
        </is>
      </c>
      <c r="E1138" t="n">
        <v>1</v>
      </c>
      <c r="F1138" t="inlineStr">
        <is>
          <t>2026-01-05</t>
        </is>
      </c>
      <c r="G1138" t="n">
        <v>180</v>
      </c>
      <c r="H1138" t="inlineStr">
        <is>
          <t>Y</t>
        </is>
      </c>
      <c r="I1138">
        <f>HYPERLINK("https://admin.shopify.com/store/ge-beauty-cosmeticos/customers/10033505009984","abrir")</f>
        <v/>
      </c>
      <c r="J1138">
        <f>HYPERLINK("https://www.gebeauty.com.br/products/primer-cachos-definidos?ref=review","review")</f>
        <v/>
      </c>
      <c r="K1138" t="inlineStr">
        <is>
          <t>SEND</t>
        </is>
      </c>
    </row>
    <row r="1139">
      <c r="A1139" t="inlineStr">
        <is>
          <t>Lucia</t>
        </is>
      </c>
      <c r="B1139" t="inlineStr">
        <is>
          <t>+5521959067379</t>
        </is>
      </c>
      <c r="C1139" t="inlineStr">
        <is>
          <t>Refill</t>
        </is>
      </c>
      <c r="D1139" t="inlineStr">
        <is>
          <t>Primer Cachos</t>
        </is>
      </c>
      <c r="E1139" t="n">
        <v>1</v>
      </c>
      <c r="F1139" t="inlineStr">
        <is>
          <t>2026-01-05</t>
        </is>
      </c>
      <c r="G1139" t="n">
        <v>180</v>
      </c>
      <c r="H1139" t="inlineStr">
        <is>
          <t>Y</t>
        </is>
      </c>
      <c r="I1139">
        <f>HYPERLINK("https://admin.shopify.com/store/ge-beauty-cosmeticos/customers/10033574510912","abrir")</f>
        <v/>
      </c>
      <c r="J1139">
        <f>HYPERLINK("https://www.gebeauty.com.br/products/primer-cachos-definidos?ref=review","review")</f>
        <v/>
      </c>
      <c r="K1139" t="inlineStr">
        <is>
          <t>HOLDOUT</t>
        </is>
      </c>
    </row>
    <row r="1140">
      <c r="A1140" t="inlineStr">
        <is>
          <t>Bruna</t>
        </is>
      </c>
      <c r="B1140" t="inlineStr">
        <is>
          <t>+5511998046554</t>
        </is>
      </c>
      <c r="C1140" t="inlineStr">
        <is>
          <t>Refill</t>
        </is>
      </c>
      <c r="D1140" t="inlineStr">
        <is>
          <t>Primer Cachos</t>
        </is>
      </c>
      <c r="E1140" t="n">
        <v>1</v>
      </c>
      <c r="F1140" t="inlineStr">
        <is>
          <t>2026-01-05</t>
        </is>
      </c>
      <c r="G1140" t="n">
        <v>180</v>
      </c>
      <c r="H1140" t="inlineStr">
        <is>
          <t>Y</t>
        </is>
      </c>
      <c r="I1140">
        <f>HYPERLINK("https://admin.shopify.com/store/ge-beauty-cosmeticos/customers/10033696178496","abrir")</f>
        <v/>
      </c>
      <c r="J1140">
        <f>HYPERLINK("https://www.gebeauty.com.br/products/primer-cachos-definidos?ref=review","review")</f>
        <v/>
      </c>
      <c r="K1140" t="inlineStr">
        <is>
          <t>SEND</t>
        </is>
      </c>
    </row>
    <row r="1141">
      <c r="A1141" t="inlineStr">
        <is>
          <t>Sara</t>
        </is>
      </c>
      <c r="B1141" t="inlineStr">
        <is>
          <t>+5511965416439</t>
        </is>
      </c>
      <c r="C1141" t="inlineStr">
        <is>
          <t>Refill</t>
        </is>
      </c>
      <c r="D1141" t="inlineStr">
        <is>
          <t>Primer Cachos</t>
        </is>
      </c>
      <c r="E1141" t="n">
        <v>1</v>
      </c>
      <c r="F1141" t="inlineStr">
        <is>
          <t>2026-01-06</t>
        </is>
      </c>
      <c r="G1141" t="n">
        <v>179</v>
      </c>
      <c r="H1141" t="inlineStr">
        <is>
          <t>Y</t>
        </is>
      </c>
      <c r="I1141">
        <f>HYPERLINK("https://admin.shopify.com/store/ge-beauty-cosmeticos/customers/9752734433600","abrir")</f>
        <v/>
      </c>
      <c r="J1141">
        <f>HYPERLINK("https://www.gebeauty.com.br/products/primer-cachos-definidos?ref=review","review")</f>
        <v/>
      </c>
      <c r="K1141" t="inlineStr">
        <is>
          <t>SEND</t>
        </is>
      </c>
    </row>
    <row r="1142">
      <c r="A1142" t="inlineStr">
        <is>
          <t>Bruna</t>
        </is>
      </c>
      <c r="B1142" t="inlineStr">
        <is>
          <t>+5562991429523</t>
        </is>
      </c>
      <c r="C1142" t="inlineStr">
        <is>
          <t>Refill</t>
        </is>
      </c>
      <c r="D1142" t="inlineStr">
        <is>
          <t>Primer Cachos</t>
        </is>
      </c>
      <c r="E1142" t="n">
        <v>1</v>
      </c>
      <c r="F1142" t="inlineStr">
        <is>
          <t>2026-01-06</t>
        </is>
      </c>
      <c r="G1142" t="n">
        <v>179</v>
      </c>
      <c r="H1142" t="inlineStr">
        <is>
          <t>Y</t>
        </is>
      </c>
      <c r="I1142">
        <f>HYPERLINK("https://admin.shopify.com/store/ge-beauty-cosmeticos/customers/10034769133888","abrir")</f>
        <v/>
      </c>
      <c r="J1142">
        <f>HYPERLINK("https://www.gebeauty.com.br/products/primer-cachos-definidos?ref=review","review")</f>
        <v/>
      </c>
      <c r="K1142" t="inlineStr">
        <is>
          <t>SEND</t>
        </is>
      </c>
    </row>
    <row r="1143">
      <c r="A1143" t="inlineStr">
        <is>
          <t>Flavia</t>
        </is>
      </c>
      <c r="B1143" t="inlineStr">
        <is>
          <t>+5521980130445</t>
        </is>
      </c>
      <c r="C1143" t="inlineStr">
        <is>
          <t>Refill</t>
        </is>
      </c>
      <c r="D1143" t="inlineStr">
        <is>
          <t>Primer Cachos</t>
        </is>
      </c>
      <c r="E1143" t="n">
        <v>1</v>
      </c>
      <c r="F1143" t="inlineStr">
        <is>
          <t>2026-01-06</t>
        </is>
      </c>
      <c r="G1143" t="n">
        <v>179</v>
      </c>
      <c r="H1143" t="inlineStr">
        <is>
          <t>Y</t>
        </is>
      </c>
      <c r="I1143">
        <f>HYPERLINK("https://admin.shopify.com/store/ge-beauty-cosmeticos/customers/9942245212480","abrir")</f>
        <v/>
      </c>
      <c r="J1143">
        <f>HYPERLINK("https://www.gebeauty.com.br/products/primer-cachos-definidos?ref=review","review")</f>
        <v/>
      </c>
      <c r="K1143" t="inlineStr">
        <is>
          <t>SEND</t>
        </is>
      </c>
    </row>
    <row r="1144">
      <c r="A1144" t="inlineStr">
        <is>
          <t>Patricia</t>
        </is>
      </c>
      <c r="B1144" t="inlineStr">
        <is>
          <t>+5511941991222</t>
        </is>
      </c>
      <c r="C1144" t="inlineStr">
        <is>
          <t>Refill</t>
        </is>
      </c>
      <c r="D1144" t="inlineStr">
        <is>
          <t>Primer Cachos</t>
        </is>
      </c>
      <c r="E1144" t="n">
        <v>1</v>
      </c>
      <c r="F1144" t="inlineStr">
        <is>
          <t>2026-01-06</t>
        </is>
      </c>
      <c r="G1144" t="n">
        <v>179</v>
      </c>
      <c r="H1144" t="inlineStr">
        <is>
          <t>Y</t>
        </is>
      </c>
      <c r="I1144">
        <f>HYPERLINK("https://admin.shopify.com/store/ge-beauty-cosmeticos/customers/9485523648832","abrir")</f>
        <v/>
      </c>
      <c r="J1144">
        <f>HYPERLINK("https://www.gebeauty.com.br/products/primer-cachos-definidos?ref=review","review")</f>
        <v/>
      </c>
      <c r="K1144" t="inlineStr">
        <is>
          <t>SEND</t>
        </is>
      </c>
    </row>
    <row r="1145">
      <c r="A1145" t="inlineStr">
        <is>
          <t>Carla</t>
        </is>
      </c>
      <c r="B1145" t="inlineStr">
        <is>
          <t>+5521999478507</t>
        </is>
      </c>
      <c r="C1145" t="inlineStr">
        <is>
          <t>Refill</t>
        </is>
      </c>
      <c r="D1145" t="inlineStr">
        <is>
          <t>Primer Cachos</t>
        </is>
      </c>
      <c r="E1145" t="n">
        <v>1</v>
      </c>
      <c r="F1145" t="inlineStr">
        <is>
          <t>2026-01-06</t>
        </is>
      </c>
      <c r="G1145" t="n">
        <v>179</v>
      </c>
      <c r="H1145" t="inlineStr">
        <is>
          <t>Y</t>
        </is>
      </c>
      <c r="I1145">
        <f>HYPERLINK("https://admin.shopify.com/store/ge-beauty-cosmeticos/customers/9923609231680","abrir")</f>
        <v/>
      </c>
      <c r="J1145">
        <f>HYPERLINK("https://www.gebeauty.com.br/products/primer-cachos-definidos?ref=review","review")</f>
        <v/>
      </c>
      <c r="K1145" t="inlineStr">
        <is>
          <t>SEND</t>
        </is>
      </c>
    </row>
    <row r="1146">
      <c r="A1146" t="inlineStr">
        <is>
          <t>Daniela</t>
        </is>
      </c>
      <c r="B1146" t="inlineStr">
        <is>
          <t>+5561982218152</t>
        </is>
      </c>
      <c r="C1146" t="inlineStr">
        <is>
          <t>Refill</t>
        </is>
      </c>
      <c r="D1146" t="inlineStr">
        <is>
          <t>Primer Cachos</t>
        </is>
      </c>
      <c r="E1146" t="n">
        <v>1</v>
      </c>
      <c r="F1146" t="inlineStr">
        <is>
          <t>2026-01-06</t>
        </is>
      </c>
      <c r="G1146" t="n">
        <v>179</v>
      </c>
      <c r="H1146" t="inlineStr">
        <is>
          <t>Y</t>
        </is>
      </c>
      <c r="I1146">
        <f>HYPERLINK("https://admin.shopify.com/store/ge-beauty-cosmeticos/customers/10035503300928","abrir")</f>
        <v/>
      </c>
      <c r="J1146">
        <f>HYPERLINK("https://www.gebeauty.com.br/products/primer-cachos-definidos?ref=review","review")</f>
        <v/>
      </c>
      <c r="K1146" t="inlineStr">
        <is>
          <t>SEND</t>
        </is>
      </c>
    </row>
    <row r="1147">
      <c r="A1147" t="inlineStr">
        <is>
          <t>Viviane</t>
        </is>
      </c>
      <c r="B1147" t="inlineStr">
        <is>
          <t>+5511985554222</t>
        </is>
      </c>
      <c r="C1147" t="inlineStr">
        <is>
          <t>Refill</t>
        </is>
      </c>
      <c r="D1147" t="inlineStr">
        <is>
          <t>Primer Cachos</t>
        </is>
      </c>
      <c r="E1147" t="n">
        <v>1</v>
      </c>
      <c r="F1147" t="inlineStr">
        <is>
          <t>2026-01-06</t>
        </is>
      </c>
      <c r="G1147" t="n">
        <v>179</v>
      </c>
      <c r="H1147" t="inlineStr">
        <is>
          <t>Y</t>
        </is>
      </c>
      <c r="I1147">
        <f>HYPERLINK("https://admin.shopify.com/store/ge-beauty-cosmeticos/customers/9638168101184","abrir")</f>
        <v/>
      </c>
      <c r="J1147">
        <f>HYPERLINK("https://www.gebeauty.com.br/products/primer-cachos-definidos?ref=review","review")</f>
        <v/>
      </c>
      <c r="K1147" t="inlineStr">
        <is>
          <t>SEND</t>
        </is>
      </c>
    </row>
    <row r="1148">
      <c r="A1148" t="inlineStr">
        <is>
          <t>Milena</t>
        </is>
      </c>
      <c r="B1148" t="inlineStr">
        <is>
          <t>+5516981587433</t>
        </is>
      </c>
      <c r="C1148" t="inlineStr">
        <is>
          <t>Refill</t>
        </is>
      </c>
      <c r="D1148" t="inlineStr">
        <is>
          <t>Primer Cachos</t>
        </is>
      </c>
      <c r="E1148" t="n">
        <v>1</v>
      </c>
      <c r="F1148" t="inlineStr">
        <is>
          <t>2026-01-07</t>
        </is>
      </c>
      <c r="G1148" t="n">
        <v>178</v>
      </c>
      <c r="H1148" t="inlineStr">
        <is>
          <t>N</t>
        </is>
      </c>
      <c r="I1148">
        <f>HYPERLINK("https://admin.shopify.com/store/ge-beauty-cosmeticos/customers/9486132248896","abrir")</f>
        <v/>
      </c>
      <c r="J1148">
        <f>HYPERLINK("https://www.gebeauty.com.br/products/primer-cachos-definidos?ref=review","review")</f>
        <v/>
      </c>
      <c r="K1148" t="inlineStr">
        <is>
          <t>SEND</t>
        </is>
      </c>
    </row>
    <row r="1149">
      <c r="A1149" t="inlineStr">
        <is>
          <t>Ana Carolina</t>
        </is>
      </c>
      <c r="B1149" t="inlineStr">
        <is>
          <t>+5534997941811</t>
        </is>
      </c>
      <c r="C1149" t="inlineStr">
        <is>
          <t>Refill</t>
        </is>
      </c>
      <c r="D1149" t="inlineStr">
        <is>
          <t>Primer Cachos</t>
        </is>
      </c>
      <c r="E1149" t="n">
        <v>1</v>
      </c>
      <c r="F1149" t="inlineStr">
        <is>
          <t>2026-01-07</t>
        </is>
      </c>
      <c r="G1149" t="n">
        <v>178</v>
      </c>
      <c r="H1149" t="inlineStr">
        <is>
          <t>Y</t>
        </is>
      </c>
      <c r="I1149">
        <f>HYPERLINK("https://admin.shopify.com/store/ge-beauty-cosmeticos/customers/10028451758400","abrir")</f>
        <v/>
      </c>
      <c r="J1149">
        <f>HYPERLINK("https://www.gebeauty.com.br/products/primer-cachos-definidos?ref=review","review")</f>
        <v/>
      </c>
      <c r="K1149" t="inlineStr">
        <is>
          <t>SEND</t>
        </is>
      </c>
    </row>
    <row r="1150">
      <c r="A1150" t="inlineStr">
        <is>
          <t>Dalila</t>
        </is>
      </c>
      <c r="B1150" t="inlineStr">
        <is>
          <t>+5515997793396</t>
        </is>
      </c>
      <c r="C1150" t="inlineStr">
        <is>
          <t>Refill</t>
        </is>
      </c>
      <c r="D1150" t="inlineStr">
        <is>
          <t>Primer Cachos</t>
        </is>
      </c>
      <c r="E1150" t="n">
        <v>1</v>
      </c>
      <c r="F1150" t="inlineStr">
        <is>
          <t>2026-01-07</t>
        </is>
      </c>
      <c r="G1150" t="n">
        <v>178</v>
      </c>
      <c r="H1150" t="inlineStr">
        <is>
          <t>Y</t>
        </is>
      </c>
      <c r="I1150">
        <f>HYPERLINK("https://admin.shopify.com/store/ge-beauty-cosmeticos/customers/9486438400320","abrir")</f>
        <v/>
      </c>
      <c r="J1150">
        <f>HYPERLINK("https://www.gebeauty.com.br/products/primer-cachos-definidos?ref=review","review")</f>
        <v/>
      </c>
      <c r="K1150" t="inlineStr">
        <is>
          <t>HOLDOUT</t>
        </is>
      </c>
    </row>
    <row r="1151">
      <c r="A1151" t="inlineStr">
        <is>
          <t>Nathália</t>
        </is>
      </c>
      <c r="B1151" t="inlineStr">
        <is>
          <t>+5511982818289</t>
        </is>
      </c>
      <c r="C1151" t="inlineStr">
        <is>
          <t>Refill</t>
        </is>
      </c>
      <c r="D1151" t="inlineStr">
        <is>
          <t>Primer Cachos</t>
        </is>
      </c>
      <c r="E1151" t="n">
        <v>1</v>
      </c>
      <c r="F1151" t="inlineStr">
        <is>
          <t>2026-01-07</t>
        </is>
      </c>
      <c r="G1151" t="n">
        <v>178</v>
      </c>
      <c r="H1151" t="inlineStr">
        <is>
          <t>Y</t>
        </is>
      </c>
      <c r="I1151">
        <f>HYPERLINK("https://admin.shopify.com/store/ge-beauty-cosmeticos/customers/9485087375680","abrir")</f>
        <v/>
      </c>
      <c r="J1151">
        <f>HYPERLINK("https://www.gebeauty.com.br/products/primer-cachos-definidos?ref=review","review")</f>
        <v/>
      </c>
      <c r="K1151" t="inlineStr">
        <is>
          <t>SEND</t>
        </is>
      </c>
    </row>
    <row r="1152">
      <c r="A1152" t="inlineStr">
        <is>
          <t>Cristiane</t>
        </is>
      </c>
      <c r="B1152" t="inlineStr">
        <is>
          <t>+5585986867986</t>
        </is>
      </c>
      <c r="C1152" t="inlineStr">
        <is>
          <t>Refill</t>
        </is>
      </c>
      <c r="D1152" t="inlineStr">
        <is>
          <t>Primer Cachos</t>
        </is>
      </c>
      <c r="E1152" t="n">
        <v>1</v>
      </c>
      <c r="F1152" t="inlineStr">
        <is>
          <t>2026-01-07</t>
        </is>
      </c>
      <c r="G1152" t="n">
        <v>178</v>
      </c>
      <c r="H1152" t="inlineStr">
        <is>
          <t>Y</t>
        </is>
      </c>
      <c r="I1152">
        <f>HYPERLINK("https://admin.shopify.com/store/ge-beauty-cosmeticos/customers/10037625487680","abrir")</f>
        <v/>
      </c>
      <c r="J1152">
        <f>HYPERLINK("https://www.gebeauty.com.br/products/primer-cachos-definidos?ref=review","review")</f>
        <v/>
      </c>
      <c r="K1152" t="inlineStr">
        <is>
          <t>SEND</t>
        </is>
      </c>
    </row>
    <row r="1153">
      <c r="A1153" t="inlineStr">
        <is>
          <t>Mariane</t>
        </is>
      </c>
      <c r="B1153" t="inlineStr">
        <is>
          <t>+5512981596290</t>
        </is>
      </c>
      <c r="C1153" t="inlineStr">
        <is>
          <t>Refill</t>
        </is>
      </c>
      <c r="D1153" t="inlineStr">
        <is>
          <t>Primer Cachos</t>
        </is>
      </c>
      <c r="E1153" t="n">
        <v>1</v>
      </c>
      <c r="F1153" t="inlineStr">
        <is>
          <t>2026-01-07</t>
        </is>
      </c>
      <c r="G1153" t="n">
        <v>178</v>
      </c>
      <c r="H1153" t="inlineStr">
        <is>
          <t>Y</t>
        </is>
      </c>
      <c r="I1153">
        <f>HYPERLINK("https://admin.shopify.com/store/ge-beauty-cosmeticos/customers/7759871410496","abrir")</f>
        <v/>
      </c>
      <c r="J1153">
        <f>HYPERLINK("https://www.gebeauty.com.br/products/primer-cachos-definidos?ref=review","review")</f>
        <v/>
      </c>
      <c r="K1153" t="inlineStr">
        <is>
          <t>SEND</t>
        </is>
      </c>
    </row>
    <row r="1154">
      <c r="A1154" t="inlineStr">
        <is>
          <t>Mariana</t>
        </is>
      </c>
      <c r="B1154" t="inlineStr">
        <is>
          <t>+5511984479454</t>
        </is>
      </c>
      <c r="C1154" t="inlineStr">
        <is>
          <t>Refill</t>
        </is>
      </c>
      <c r="D1154" t="inlineStr">
        <is>
          <t>Primer Cachos</t>
        </is>
      </c>
      <c r="E1154" t="n">
        <v>1</v>
      </c>
      <c r="F1154" t="inlineStr">
        <is>
          <t>2026-01-07</t>
        </is>
      </c>
      <c r="G1154" t="n">
        <v>178</v>
      </c>
      <c r="H1154" t="inlineStr">
        <is>
          <t>Y</t>
        </is>
      </c>
      <c r="I1154">
        <f>HYPERLINK("https://admin.shopify.com/store/ge-beauty-cosmeticos/customers/10038421979456","abrir")</f>
        <v/>
      </c>
      <c r="J1154">
        <f>HYPERLINK("https://www.gebeauty.com.br/products/primer-cachos-definidos?ref=review","review")</f>
        <v/>
      </c>
      <c r="K1154" t="inlineStr">
        <is>
          <t>SEND</t>
        </is>
      </c>
    </row>
    <row r="1155">
      <c r="A1155" t="inlineStr">
        <is>
          <t>Alessandra</t>
        </is>
      </c>
      <c r="B1155" t="inlineStr">
        <is>
          <t>+5541996506632</t>
        </is>
      </c>
      <c r="C1155" t="inlineStr">
        <is>
          <t>Refill</t>
        </is>
      </c>
      <c r="D1155" t="inlineStr">
        <is>
          <t>Primer Cachos</t>
        </is>
      </c>
      <c r="E1155" t="n">
        <v>1</v>
      </c>
      <c r="F1155" t="inlineStr">
        <is>
          <t>2026-01-08</t>
        </is>
      </c>
      <c r="G1155" t="n">
        <v>177</v>
      </c>
      <c r="H1155" t="inlineStr">
        <is>
          <t>Y</t>
        </is>
      </c>
      <c r="I1155">
        <f>HYPERLINK("https://admin.shopify.com/store/ge-beauty-cosmeticos/customers/8264645378368","abrir")</f>
        <v/>
      </c>
      <c r="J1155">
        <f>HYPERLINK("https://www.gebeauty.com.br/products/primer-cachos-definidos?ref=review","review")</f>
        <v/>
      </c>
      <c r="K1155" t="inlineStr">
        <is>
          <t>SEND</t>
        </is>
      </c>
    </row>
    <row r="1156">
      <c r="A1156" t="inlineStr">
        <is>
          <t>Cristina</t>
        </is>
      </c>
      <c r="B1156" t="inlineStr">
        <is>
          <t>+5527998626748</t>
        </is>
      </c>
      <c r="C1156" t="inlineStr">
        <is>
          <t>Refill</t>
        </is>
      </c>
      <c r="D1156" t="inlineStr">
        <is>
          <t>Primer Cachos</t>
        </is>
      </c>
      <c r="E1156" t="n">
        <v>1</v>
      </c>
      <c r="F1156" t="inlineStr">
        <is>
          <t>2026-01-08</t>
        </is>
      </c>
      <c r="G1156" t="n">
        <v>177</v>
      </c>
      <c r="H1156" t="inlineStr">
        <is>
          <t>Y</t>
        </is>
      </c>
      <c r="I1156">
        <f>HYPERLINK("https://admin.shopify.com/store/ge-beauty-cosmeticos/customers/10039972659520","abrir")</f>
        <v/>
      </c>
      <c r="J1156">
        <f>HYPERLINK("https://www.gebeauty.com.br/products/primer-cachos-definidos?ref=review","review")</f>
        <v/>
      </c>
      <c r="K1156" t="inlineStr">
        <is>
          <t>SEND</t>
        </is>
      </c>
    </row>
    <row r="1157">
      <c r="A1157" t="inlineStr">
        <is>
          <t>Luiza</t>
        </is>
      </c>
      <c r="B1157" t="inlineStr">
        <is>
          <t>+5551992277174</t>
        </is>
      </c>
      <c r="C1157" t="inlineStr">
        <is>
          <t>Refill</t>
        </is>
      </c>
      <c r="D1157" t="inlineStr">
        <is>
          <t>Primer Cachos</t>
        </is>
      </c>
      <c r="E1157" t="n">
        <v>1</v>
      </c>
      <c r="F1157" t="inlineStr">
        <is>
          <t>2026-01-08</t>
        </is>
      </c>
      <c r="G1157" t="n">
        <v>177</v>
      </c>
      <c r="H1157" t="inlineStr">
        <is>
          <t>Y</t>
        </is>
      </c>
      <c r="I1157">
        <f>HYPERLINK("https://admin.shopify.com/store/ge-beauty-cosmeticos/customers/9486271217984","abrir")</f>
        <v/>
      </c>
      <c r="J1157">
        <f>HYPERLINK("https://www.gebeauty.com.br/products/primer-cachos-definidos?ref=review","review")</f>
        <v/>
      </c>
      <c r="K1157" t="inlineStr">
        <is>
          <t>SEND</t>
        </is>
      </c>
    </row>
    <row r="1158">
      <c r="A1158" t="inlineStr">
        <is>
          <t>Maria</t>
        </is>
      </c>
      <c r="B1158" t="inlineStr">
        <is>
          <t>+5561982224941</t>
        </is>
      </c>
      <c r="C1158" t="inlineStr">
        <is>
          <t>Refill</t>
        </is>
      </c>
      <c r="D1158" t="inlineStr">
        <is>
          <t>Primer Cachos</t>
        </is>
      </c>
      <c r="E1158" t="n">
        <v>1</v>
      </c>
      <c r="F1158" t="inlineStr">
        <is>
          <t>2026-01-08</t>
        </is>
      </c>
      <c r="G1158" t="n">
        <v>177</v>
      </c>
      <c r="H1158" t="inlineStr">
        <is>
          <t>Y</t>
        </is>
      </c>
      <c r="I1158">
        <f>HYPERLINK("https://admin.shopify.com/store/ge-beauty-cosmeticos/customers/10040222908736","abrir")</f>
        <v/>
      </c>
      <c r="J1158">
        <f>HYPERLINK("https://www.gebeauty.com.br/products/primer-cachos-definidos?ref=review","review")</f>
        <v/>
      </c>
      <c r="K1158" t="inlineStr">
        <is>
          <t>SEND</t>
        </is>
      </c>
    </row>
    <row r="1159">
      <c r="A1159" t="inlineStr">
        <is>
          <t>Erica</t>
        </is>
      </c>
      <c r="B1159" t="inlineStr">
        <is>
          <t>+5571999836030</t>
        </is>
      </c>
      <c r="C1159" t="inlineStr">
        <is>
          <t>Refill</t>
        </is>
      </c>
      <c r="D1159" t="inlineStr">
        <is>
          <t>Primer Cachos</t>
        </is>
      </c>
      <c r="E1159" t="n">
        <v>1</v>
      </c>
      <c r="F1159" t="inlineStr">
        <is>
          <t>2026-01-08</t>
        </is>
      </c>
      <c r="G1159" t="n">
        <v>177</v>
      </c>
      <c r="H1159" t="inlineStr">
        <is>
          <t>Y</t>
        </is>
      </c>
      <c r="I1159">
        <f>HYPERLINK("https://admin.shopify.com/store/ge-beauty-cosmeticos/customers/10040611701056","abrir")</f>
        <v/>
      </c>
      <c r="J1159">
        <f>HYPERLINK("https://www.gebeauty.com.br/products/primer-cachos-definidos?ref=review","review")</f>
        <v/>
      </c>
      <c r="K1159" t="inlineStr">
        <is>
          <t>SEND</t>
        </is>
      </c>
    </row>
    <row r="1160">
      <c r="A1160" t="inlineStr">
        <is>
          <t>Marcela</t>
        </is>
      </c>
      <c r="B1160" t="inlineStr">
        <is>
          <t>+5511957061984</t>
        </is>
      </c>
      <c r="C1160" t="inlineStr">
        <is>
          <t>Refill</t>
        </is>
      </c>
      <c r="D1160" t="inlineStr">
        <is>
          <t>Primer Cachos</t>
        </is>
      </c>
      <c r="E1160" t="n">
        <v>1</v>
      </c>
      <c r="F1160" t="inlineStr">
        <is>
          <t>2026-01-08</t>
        </is>
      </c>
      <c r="G1160" t="n">
        <v>177</v>
      </c>
      <c r="H1160" t="inlineStr">
        <is>
          <t>Y</t>
        </is>
      </c>
      <c r="I1160">
        <f>HYPERLINK("https://admin.shopify.com/store/ge-beauty-cosmeticos/customers/10035807453504","abrir")</f>
        <v/>
      </c>
      <c r="J1160">
        <f>HYPERLINK("https://www.gebeauty.com.br/products/primer-cachos-definidos?ref=review","review")</f>
        <v/>
      </c>
      <c r="K1160" t="inlineStr">
        <is>
          <t>SEND</t>
        </is>
      </c>
    </row>
    <row r="1161">
      <c r="A1161" t="inlineStr">
        <is>
          <t>Marcela</t>
        </is>
      </c>
      <c r="B1161" t="inlineStr">
        <is>
          <t>+5511983369901</t>
        </is>
      </c>
      <c r="C1161" t="inlineStr">
        <is>
          <t>Refill</t>
        </is>
      </c>
      <c r="D1161" t="inlineStr">
        <is>
          <t>Primer Cachos</t>
        </is>
      </c>
      <c r="E1161" t="n">
        <v>1</v>
      </c>
      <c r="F1161" t="inlineStr">
        <is>
          <t>2026-01-08</t>
        </is>
      </c>
      <c r="G1161" t="n">
        <v>177</v>
      </c>
      <c r="H1161" t="inlineStr">
        <is>
          <t>Y</t>
        </is>
      </c>
      <c r="I1161">
        <f>HYPERLINK("https://admin.shopify.com/store/ge-beauty-cosmeticos/customers/10035505004864","abrir")</f>
        <v/>
      </c>
      <c r="J1161">
        <f>HYPERLINK("https://www.gebeauty.com.br/products/primer-cachos-definidos?ref=review","review")</f>
        <v/>
      </c>
      <c r="K1161" t="inlineStr">
        <is>
          <t>SEND</t>
        </is>
      </c>
    </row>
    <row r="1162">
      <c r="A1162" t="inlineStr">
        <is>
          <t>Anna</t>
        </is>
      </c>
      <c r="B1162" t="inlineStr">
        <is>
          <t>+5537991117737</t>
        </is>
      </c>
      <c r="C1162" t="inlineStr">
        <is>
          <t>Refill</t>
        </is>
      </c>
      <c r="D1162" t="inlineStr">
        <is>
          <t>Primer Cachos</t>
        </is>
      </c>
      <c r="E1162" t="n">
        <v>1</v>
      </c>
      <c r="F1162" t="inlineStr">
        <is>
          <t>2026-01-09</t>
        </is>
      </c>
      <c r="G1162" t="n">
        <v>176</v>
      </c>
      <c r="H1162" t="inlineStr">
        <is>
          <t>Y</t>
        </is>
      </c>
      <c r="I1162">
        <f>HYPERLINK("https://admin.shopify.com/store/ge-beauty-cosmeticos/customers/10041522061632","abrir")</f>
        <v/>
      </c>
      <c r="J1162">
        <f>HYPERLINK("https://www.gebeauty.com.br/products/primer-cachos-definidos?ref=review","review")</f>
        <v/>
      </c>
      <c r="K1162" t="inlineStr">
        <is>
          <t>SEND</t>
        </is>
      </c>
    </row>
    <row r="1163">
      <c r="A1163" t="inlineStr">
        <is>
          <t>Luiza</t>
        </is>
      </c>
      <c r="B1163" t="inlineStr">
        <is>
          <t>+556184053020</t>
        </is>
      </c>
      <c r="C1163" t="inlineStr">
        <is>
          <t>Refill</t>
        </is>
      </c>
      <c r="D1163" t="inlineStr">
        <is>
          <t>Primer Cachos</t>
        </is>
      </c>
      <c r="E1163" t="n">
        <v>1</v>
      </c>
      <c r="F1163" t="inlineStr">
        <is>
          <t>2026-01-09</t>
        </is>
      </c>
      <c r="G1163" t="n">
        <v>176</v>
      </c>
      <c r="H1163" t="inlineStr">
        <is>
          <t>Y</t>
        </is>
      </c>
      <c r="I1163">
        <f>HYPERLINK("https://admin.shopify.com/store/ge-beauty-cosmeticos/customers/10041799180608","abrir")</f>
        <v/>
      </c>
      <c r="J1163">
        <f>HYPERLINK("https://www.gebeauty.com.br/products/primer-cachos-definidos?ref=review","review")</f>
        <v/>
      </c>
      <c r="K1163" t="inlineStr">
        <is>
          <t>SEND</t>
        </is>
      </c>
    </row>
    <row r="1164">
      <c r="A1164" t="inlineStr">
        <is>
          <t>Thais</t>
        </is>
      </c>
      <c r="B1164" t="inlineStr">
        <is>
          <t>+5511999999999</t>
        </is>
      </c>
      <c r="C1164" t="inlineStr">
        <is>
          <t>Refill</t>
        </is>
      </c>
      <c r="D1164" t="inlineStr">
        <is>
          <t>Primer Cachos</t>
        </is>
      </c>
      <c r="E1164" t="n">
        <v>1</v>
      </c>
      <c r="F1164" t="inlineStr">
        <is>
          <t>2026-01-09</t>
        </is>
      </c>
      <c r="G1164" t="n">
        <v>176</v>
      </c>
      <c r="H1164" t="inlineStr">
        <is>
          <t>Y</t>
        </is>
      </c>
      <c r="I1164">
        <f>HYPERLINK("https://admin.shopify.com/store/ge-beauty-cosmeticos/customers/10041815564608","abrir")</f>
        <v/>
      </c>
      <c r="J1164">
        <f>HYPERLINK("https://www.gebeauty.com.br/products/primer-cachos-definidos?ref=review","review")</f>
        <v/>
      </c>
      <c r="K1164" t="inlineStr">
        <is>
          <t>SEND</t>
        </is>
      </c>
    </row>
    <row r="1165">
      <c r="A1165" t="inlineStr">
        <is>
          <t>Luiza</t>
        </is>
      </c>
      <c r="B1165" t="inlineStr">
        <is>
          <t>+5571993463333</t>
        </is>
      </c>
      <c r="C1165" t="inlineStr">
        <is>
          <t>Refill</t>
        </is>
      </c>
      <c r="D1165" t="inlineStr">
        <is>
          <t>Primer Cachos</t>
        </is>
      </c>
      <c r="E1165" t="n">
        <v>1</v>
      </c>
      <c r="F1165" t="inlineStr">
        <is>
          <t>2026-01-09</t>
        </is>
      </c>
      <c r="G1165" t="n">
        <v>176</v>
      </c>
      <c r="H1165" t="inlineStr">
        <is>
          <t>Y</t>
        </is>
      </c>
      <c r="I1165">
        <f>HYPERLINK("https://admin.shopify.com/store/ge-beauty-cosmeticos/customers/9485906280768","abrir")</f>
        <v/>
      </c>
      <c r="J1165">
        <f>HYPERLINK("https://www.gebeauty.com.br/products/primer-cachos-definidos?ref=review","review")</f>
        <v/>
      </c>
      <c r="K1165" t="inlineStr">
        <is>
          <t>SEND</t>
        </is>
      </c>
    </row>
    <row r="1166">
      <c r="A1166" t="inlineStr">
        <is>
          <t>Larissa</t>
        </is>
      </c>
      <c r="B1166" t="inlineStr">
        <is>
          <t>+5581994770052</t>
        </is>
      </c>
      <c r="C1166" t="inlineStr">
        <is>
          <t>Refill</t>
        </is>
      </c>
      <c r="D1166" t="inlineStr">
        <is>
          <t>Primer Cachos</t>
        </is>
      </c>
      <c r="E1166" t="n">
        <v>1</v>
      </c>
      <c r="F1166" t="inlineStr">
        <is>
          <t>2026-01-09</t>
        </is>
      </c>
      <c r="G1166" t="n">
        <v>176</v>
      </c>
      <c r="H1166" t="inlineStr">
        <is>
          <t>Y</t>
        </is>
      </c>
      <c r="I1166">
        <f>HYPERLINK("https://admin.shopify.com/store/ge-beauty-cosmeticos/customers/10044241936704","abrir")</f>
        <v/>
      </c>
      <c r="J1166">
        <f>HYPERLINK("https://www.gebeauty.com.br/products/primer-cachos-definidos?ref=review","review")</f>
        <v/>
      </c>
      <c r="K1166" t="inlineStr">
        <is>
          <t>SEND</t>
        </is>
      </c>
    </row>
    <row r="1167">
      <c r="A1167" t="inlineStr">
        <is>
          <t>Laura</t>
        </is>
      </c>
      <c r="B1167" t="inlineStr">
        <is>
          <t>+5517996449979</t>
        </is>
      </c>
      <c r="C1167" t="inlineStr">
        <is>
          <t>Refill</t>
        </is>
      </c>
      <c r="D1167" t="inlineStr">
        <is>
          <t>Primer Cachos</t>
        </is>
      </c>
      <c r="E1167" t="n">
        <v>1</v>
      </c>
      <c r="F1167" t="inlineStr">
        <is>
          <t>2026-01-09</t>
        </is>
      </c>
      <c r="G1167" t="n">
        <v>176</v>
      </c>
      <c r="H1167" t="inlineStr">
        <is>
          <t>Y</t>
        </is>
      </c>
      <c r="I1167">
        <f>HYPERLINK("https://admin.shopify.com/store/ge-beauty-cosmeticos/customers/10044251439424","abrir")</f>
        <v/>
      </c>
      <c r="J1167">
        <f>HYPERLINK("https://www.gebeauty.com.br/products/primer-cachos-definidos?ref=review","review")</f>
        <v/>
      </c>
      <c r="K1167" t="inlineStr">
        <is>
          <t>SEND</t>
        </is>
      </c>
    </row>
    <row r="1168">
      <c r="A1168" t="inlineStr">
        <is>
          <t>Marina</t>
        </is>
      </c>
      <c r="B1168" t="inlineStr">
        <is>
          <t>+5511952955541</t>
        </is>
      </c>
      <c r="C1168" t="inlineStr">
        <is>
          <t>Refill</t>
        </is>
      </c>
      <c r="D1168" t="inlineStr">
        <is>
          <t>Primer Cachos</t>
        </is>
      </c>
      <c r="E1168" t="n">
        <v>1</v>
      </c>
      <c r="F1168" t="inlineStr">
        <is>
          <t>2026-01-09</t>
        </is>
      </c>
      <c r="G1168" t="n">
        <v>176</v>
      </c>
      <c r="H1168" t="inlineStr">
        <is>
          <t>Y</t>
        </is>
      </c>
      <c r="I1168">
        <f>HYPERLINK("https://admin.shopify.com/store/ge-beauty-cosmeticos/customers/10044238233920","abrir")</f>
        <v/>
      </c>
      <c r="J1168">
        <f>HYPERLINK("https://www.gebeauty.com.br/products/primer-cachos-definidos?ref=review","review")</f>
        <v/>
      </c>
      <c r="K1168" t="inlineStr">
        <is>
          <t>SEND</t>
        </is>
      </c>
    </row>
    <row r="1169">
      <c r="A1169" t="inlineStr">
        <is>
          <t>Laura</t>
        </is>
      </c>
      <c r="B1169" t="inlineStr">
        <is>
          <t>+5561981030708</t>
        </is>
      </c>
      <c r="C1169" t="inlineStr">
        <is>
          <t>Refill</t>
        </is>
      </c>
      <c r="D1169" t="inlineStr">
        <is>
          <t>Primer Cachos</t>
        </is>
      </c>
      <c r="E1169" t="n">
        <v>1</v>
      </c>
      <c r="F1169" t="inlineStr">
        <is>
          <t>2026-01-10</t>
        </is>
      </c>
      <c r="G1169" t="n">
        <v>175</v>
      </c>
      <c r="H1169" t="inlineStr">
        <is>
          <t>Y</t>
        </is>
      </c>
      <c r="I1169">
        <f>HYPERLINK("https://admin.shopify.com/store/ge-beauty-cosmeticos/customers/7759543632192","abrir")</f>
        <v/>
      </c>
      <c r="J1169">
        <f>HYPERLINK("https://www.gebeauty.com.br/products/primer-cachos-definidos?ref=review","review")</f>
        <v/>
      </c>
      <c r="K1169" t="inlineStr">
        <is>
          <t>SEND</t>
        </is>
      </c>
    </row>
    <row r="1170">
      <c r="A1170" t="inlineStr">
        <is>
          <t>Verônica</t>
        </is>
      </c>
      <c r="B1170" t="inlineStr">
        <is>
          <t>+5511953032024</t>
        </is>
      </c>
      <c r="C1170" t="inlineStr">
        <is>
          <t>Refill</t>
        </is>
      </c>
      <c r="D1170" t="inlineStr">
        <is>
          <t>Primer Cachos</t>
        </is>
      </c>
      <c r="E1170" t="n">
        <v>1</v>
      </c>
      <c r="F1170" t="inlineStr">
        <is>
          <t>2026-01-10</t>
        </is>
      </c>
      <c r="G1170" t="n">
        <v>175</v>
      </c>
      <c r="H1170" t="inlineStr">
        <is>
          <t>Y</t>
        </is>
      </c>
      <c r="I1170">
        <f>HYPERLINK("https://admin.shopify.com/store/ge-beauty-cosmeticos/customers/9990114214208","abrir")</f>
        <v/>
      </c>
      <c r="J1170">
        <f>HYPERLINK("https://www.gebeauty.com.br/products/primer-cachos-definidos?ref=review","review")</f>
        <v/>
      </c>
      <c r="K1170" t="inlineStr">
        <is>
          <t>SEND</t>
        </is>
      </c>
    </row>
    <row r="1171">
      <c r="A1171" t="inlineStr">
        <is>
          <t>Patricia</t>
        </is>
      </c>
      <c r="B1171" t="inlineStr">
        <is>
          <t>+5511976868047</t>
        </is>
      </c>
      <c r="C1171" t="inlineStr">
        <is>
          <t>Refill</t>
        </is>
      </c>
      <c r="D1171" t="inlineStr">
        <is>
          <t>Primer Cachos</t>
        </is>
      </c>
      <c r="E1171" t="n">
        <v>1</v>
      </c>
      <c r="F1171" t="inlineStr">
        <is>
          <t>2026-01-10</t>
        </is>
      </c>
      <c r="G1171" t="n">
        <v>175</v>
      </c>
      <c r="H1171" t="inlineStr">
        <is>
          <t>Y</t>
        </is>
      </c>
      <c r="I1171">
        <f>HYPERLINK("https://admin.shopify.com/store/ge-beauty-cosmeticos/customers/10046821564736","abrir")</f>
        <v/>
      </c>
      <c r="J1171">
        <f>HYPERLINK("https://www.gebeauty.com.br/products/primer-cachos-definidos?ref=review","review")</f>
        <v/>
      </c>
      <c r="K1171" t="inlineStr">
        <is>
          <t>HOLDOUT</t>
        </is>
      </c>
    </row>
    <row r="1172">
      <c r="A1172" t="inlineStr">
        <is>
          <t>Fernanda</t>
        </is>
      </c>
      <c r="B1172" t="inlineStr">
        <is>
          <t>+5513996750510</t>
        </is>
      </c>
      <c r="C1172" t="inlineStr">
        <is>
          <t>Refill</t>
        </is>
      </c>
      <c r="D1172" t="inlineStr">
        <is>
          <t>Primer Cachos</t>
        </is>
      </c>
      <c r="E1172" t="n">
        <v>1</v>
      </c>
      <c r="F1172" t="inlineStr">
        <is>
          <t>2026-01-10</t>
        </is>
      </c>
      <c r="G1172" t="n">
        <v>175</v>
      </c>
      <c r="H1172" t="inlineStr">
        <is>
          <t>Y</t>
        </is>
      </c>
      <c r="I1172">
        <f>HYPERLINK("https://admin.shopify.com/store/ge-beauty-cosmeticos/customers/10048140476736","abrir")</f>
        <v/>
      </c>
      <c r="J1172">
        <f>HYPERLINK("https://www.gebeauty.com.br/products/primer-cachos-definidos?ref=review","review")</f>
        <v/>
      </c>
      <c r="K1172" t="inlineStr">
        <is>
          <t>SEND</t>
        </is>
      </c>
    </row>
    <row r="1173">
      <c r="A1173" t="inlineStr">
        <is>
          <t>Sophia</t>
        </is>
      </c>
      <c r="B1173" t="inlineStr">
        <is>
          <t>+5585996076197</t>
        </is>
      </c>
      <c r="C1173" t="inlineStr">
        <is>
          <t>Refill</t>
        </is>
      </c>
      <c r="D1173" t="inlineStr">
        <is>
          <t>Primer Cachos</t>
        </is>
      </c>
      <c r="E1173" t="n">
        <v>1</v>
      </c>
      <c r="F1173" t="inlineStr">
        <is>
          <t>2026-01-11</t>
        </is>
      </c>
      <c r="G1173" t="n">
        <v>174</v>
      </c>
      <c r="H1173" t="inlineStr">
        <is>
          <t>Y</t>
        </is>
      </c>
      <c r="I1173">
        <f>HYPERLINK("https://admin.shopify.com/store/ge-beauty-cosmeticos/customers/10048499024192","abrir")</f>
        <v/>
      </c>
      <c r="J1173">
        <f>HYPERLINK("https://www.gebeauty.com.br/products/primer-cachos-definidos?ref=review","review")</f>
        <v/>
      </c>
      <c r="K1173" t="inlineStr">
        <is>
          <t>SEND</t>
        </is>
      </c>
    </row>
    <row r="1174">
      <c r="A1174" t="inlineStr">
        <is>
          <t>Marianna</t>
        </is>
      </c>
      <c r="B1174" t="inlineStr">
        <is>
          <t>+5521964771824</t>
        </is>
      </c>
      <c r="C1174" t="inlineStr">
        <is>
          <t>Refill</t>
        </is>
      </c>
      <c r="D1174" t="inlineStr">
        <is>
          <t>Primer Cachos</t>
        </is>
      </c>
      <c r="E1174" t="n">
        <v>1</v>
      </c>
      <c r="F1174" t="inlineStr">
        <is>
          <t>2026-01-11</t>
        </is>
      </c>
      <c r="G1174" t="n">
        <v>174</v>
      </c>
      <c r="H1174" t="inlineStr">
        <is>
          <t>Y</t>
        </is>
      </c>
      <c r="I1174">
        <f>HYPERLINK("https://admin.shopify.com/store/ge-beauty-cosmeticos/customers/10049437991232","abrir")</f>
        <v/>
      </c>
      <c r="J1174">
        <f>HYPERLINK("https://www.gebeauty.com.br/products/primer-cachos-definidos?ref=review","review")</f>
        <v/>
      </c>
      <c r="K1174" t="inlineStr">
        <is>
          <t>HOLDOUT</t>
        </is>
      </c>
    </row>
    <row r="1175">
      <c r="A1175" t="inlineStr">
        <is>
          <t>Veronica</t>
        </is>
      </c>
      <c r="B1175" t="inlineStr">
        <is>
          <t>+5554999461129</t>
        </is>
      </c>
      <c r="C1175" t="inlineStr">
        <is>
          <t>Refill</t>
        </is>
      </c>
      <c r="D1175" t="inlineStr">
        <is>
          <t>Primer Cachos</t>
        </is>
      </c>
      <c r="E1175" t="n">
        <v>1</v>
      </c>
      <c r="F1175" t="inlineStr">
        <is>
          <t>2026-01-11</t>
        </is>
      </c>
      <c r="G1175" t="n">
        <v>174</v>
      </c>
      <c r="H1175" t="inlineStr">
        <is>
          <t>Y</t>
        </is>
      </c>
      <c r="I1175">
        <f>HYPERLINK("https://admin.shopify.com/store/ge-beauty-cosmeticos/customers/10049721827648","abrir")</f>
        <v/>
      </c>
      <c r="J1175">
        <f>HYPERLINK("https://www.gebeauty.com.br/products/primer-cachos-definidos?ref=review","review")</f>
        <v/>
      </c>
      <c r="K1175" t="inlineStr">
        <is>
          <t>SEND</t>
        </is>
      </c>
    </row>
    <row r="1176">
      <c r="A1176" t="inlineStr">
        <is>
          <t>Mayra</t>
        </is>
      </c>
      <c r="B1176" t="inlineStr">
        <is>
          <t>+5541991493121</t>
        </is>
      </c>
      <c r="C1176" t="inlineStr">
        <is>
          <t>Refill</t>
        </is>
      </c>
      <c r="D1176" t="inlineStr">
        <is>
          <t>Primer Cachos</t>
        </is>
      </c>
      <c r="E1176" t="n">
        <v>1</v>
      </c>
      <c r="F1176" t="inlineStr">
        <is>
          <t>2026-01-11</t>
        </is>
      </c>
      <c r="G1176" t="n">
        <v>174</v>
      </c>
      <c r="H1176" t="inlineStr">
        <is>
          <t>Y</t>
        </is>
      </c>
      <c r="I1176">
        <f>HYPERLINK("https://admin.shopify.com/store/ge-beauty-cosmeticos/customers/10049772093760","abrir")</f>
        <v/>
      </c>
      <c r="J1176">
        <f>HYPERLINK("https://www.gebeauty.com.br/products/primer-cachos-definidos?ref=review","review")</f>
        <v/>
      </c>
      <c r="K1176" t="inlineStr">
        <is>
          <t>SEND</t>
        </is>
      </c>
    </row>
    <row r="1177">
      <c r="A1177" t="inlineStr">
        <is>
          <t>Elaine</t>
        </is>
      </c>
      <c r="B1177" t="inlineStr">
        <is>
          <t>+5517999791753</t>
        </is>
      </c>
      <c r="C1177" t="inlineStr">
        <is>
          <t>Refill</t>
        </is>
      </c>
      <c r="D1177" t="inlineStr">
        <is>
          <t>Primer Cachos</t>
        </is>
      </c>
      <c r="E1177" t="n">
        <v>1</v>
      </c>
      <c r="F1177" t="inlineStr">
        <is>
          <t>2026-01-11</t>
        </is>
      </c>
      <c r="G1177" t="n">
        <v>174</v>
      </c>
      <c r="H1177" t="inlineStr">
        <is>
          <t>Y</t>
        </is>
      </c>
      <c r="I1177">
        <f>HYPERLINK("https://admin.shopify.com/store/ge-beauty-cosmeticos/customers/9542195740992","abrir")</f>
        <v/>
      </c>
      <c r="J1177">
        <f>HYPERLINK("https://www.gebeauty.com.br/products/primer-cachos-definidos?ref=review","review")</f>
        <v/>
      </c>
      <c r="K1177" t="inlineStr">
        <is>
          <t>SEND</t>
        </is>
      </c>
    </row>
    <row r="1178">
      <c r="A1178" t="inlineStr">
        <is>
          <t>Talita</t>
        </is>
      </c>
      <c r="B1178" t="inlineStr">
        <is>
          <t>+5511947138348</t>
        </is>
      </c>
      <c r="C1178" t="inlineStr">
        <is>
          <t>Refill</t>
        </is>
      </c>
      <c r="D1178" t="inlineStr">
        <is>
          <t>Primer Cachos</t>
        </is>
      </c>
      <c r="E1178" t="n">
        <v>1</v>
      </c>
      <c r="F1178" t="inlineStr">
        <is>
          <t>2026-01-11</t>
        </is>
      </c>
      <c r="G1178" t="n">
        <v>174</v>
      </c>
      <c r="H1178" t="inlineStr">
        <is>
          <t>Y</t>
        </is>
      </c>
      <c r="I1178">
        <f>HYPERLINK("https://admin.shopify.com/store/ge-beauty-cosmeticos/customers/9484766118208","abrir")</f>
        <v/>
      </c>
      <c r="J1178">
        <f>HYPERLINK("https://www.gebeauty.com.br/products/primer-cachos-definidos?ref=review","review")</f>
        <v/>
      </c>
      <c r="K1178" t="inlineStr">
        <is>
          <t>SEND</t>
        </is>
      </c>
    </row>
    <row r="1179">
      <c r="A1179" t="inlineStr">
        <is>
          <t>Mariana</t>
        </is>
      </c>
      <c r="B1179" t="inlineStr">
        <is>
          <t>+5585999871903</t>
        </is>
      </c>
      <c r="C1179" t="inlineStr">
        <is>
          <t>Refill</t>
        </is>
      </c>
      <c r="D1179" t="inlineStr">
        <is>
          <t>Primer Cachos</t>
        </is>
      </c>
      <c r="E1179" t="n">
        <v>1</v>
      </c>
      <c r="F1179" t="inlineStr">
        <is>
          <t>2026-01-11</t>
        </is>
      </c>
      <c r="G1179" t="n">
        <v>174</v>
      </c>
      <c r="H1179" t="inlineStr">
        <is>
          <t>Y</t>
        </is>
      </c>
      <c r="I1179">
        <f>HYPERLINK("https://admin.shopify.com/store/ge-beauty-cosmeticos/customers/7759334801728","abrir")</f>
        <v/>
      </c>
      <c r="J1179">
        <f>HYPERLINK("https://www.gebeauty.com.br/products/primer-cachos-definidos?ref=review","review")</f>
        <v/>
      </c>
      <c r="K1179" t="inlineStr">
        <is>
          <t>SEND</t>
        </is>
      </c>
    </row>
    <row r="1180">
      <c r="A1180" t="inlineStr">
        <is>
          <t>Glaucia</t>
        </is>
      </c>
      <c r="B1180" t="inlineStr">
        <is>
          <t>+5511989717698</t>
        </is>
      </c>
      <c r="C1180" t="inlineStr">
        <is>
          <t>Refill</t>
        </is>
      </c>
      <c r="D1180" t="inlineStr">
        <is>
          <t>Primer Cachos</t>
        </is>
      </c>
      <c r="E1180" t="n">
        <v>1</v>
      </c>
      <c r="F1180" t="inlineStr">
        <is>
          <t>2026-01-11</t>
        </is>
      </c>
      <c r="G1180" t="n">
        <v>174</v>
      </c>
      <c r="H1180" t="inlineStr">
        <is>
          <t>Y</t>
        </is>
      </c>
      <c r="I1180">
        <f>HYPERLINK("https://admin.shopify.com/store/ge-beauty-cosmeticos/customers/10050720399680","abrir")</f>
        <v/>
      </c>
      <c r="J1180">
        <f>HYPERLINK("https://www.gebeauty.com.br/products/primer-cachos-definidos?ref=review","review")</f>
        <v/>
      </c>
      <c r="K1180" t="inlineStr">
        <is>
          <t>SEND</t>
        </is>
      </c>
    </row>
    <row r="1181">
      <c r="A1181" t="inlineStr">
        <is>
          <t>Amanda</t>
        </is>
      </c>
      <c r="B1181" t="inlineStr">
        <is>
          <t>+5521996339047</t>
        </is>
      </c>
      <c r="C1181" t="inlineStr">
        <is>
          <t>Refill</t>
        </is>
      </c>
      <c r="D1181" t="inlineStr">
        <is>
          <t>Primer Cachos</t>
        </is>
      </c>
      <c r="E1181" t="n">
        <v>1</v>
      </c>
      <c r="F1181" t="inlineStr">
        <is>
          <t>2026-01-11</t>
        </is>
      </c>
      <c r="G1181" t="n">
        <v>174</v>
      </c>
      <c r="H1181" t="inlineStr">
        <is>
          <t>Y</t>
        </is>
      </c>
      <c r="I1181">
        <f>HYPERLINK("https://admin.shopify.com/store/ge-beauty-cosmeticos/customers/10050748186944","abrir")</f>
        <v/>
      </c>
      <c r="J1181">
        <f>HYPERLINK("https://www.gebeauty.com.br/products/primer-cachos-definidos?ref=review","review")</f>
        <v/>
      </c>
      <c r="K1181" t="inlineStr">
        <is>
          <t>SEND</t>
        </is>
      </c>
    </row>
    <row r="1182">
      <c r="A1182" t="inlineStr">
        <is>
          <t>Barbara</t>
        </is>
      </c>
      <c r="B1182" t="inlineStr">
        <is>
          <t>+5541995750777</t>
        </is>
      </c>
      <c r="C1182" t="inlineStr">
        <is>
          <t>Refill</t>
        </is>
      </c>
      <c r="D1182" t="inlineStr">
        <is>
          <t>Primer Cachos</t>
        </is>
      </c>
      <c r="E1182" t="n">
        <v>1</v>
      </c>
      <c r="F1182" t="inlineStr">
        <is>
          <t>2026-01-11</t>
        </is>
      </c>
      <c r="G1182" t="n">
        <v>174</v>
      </c>
      <c r="H1182" t="inlineStr">
        <is>
          <t>Y</t>
        </is>
      </c>
      <c r="I1182">
        <f>HYPERLINK("https://admin.shopify.com/store/ge-beauty-cosmeticos/customers/10004885504320","abrir")</f>
        <v/>
      </c>
      <c r="J1182">
        <f>HYPERLINK("https://www.gebeauty.com.br/products/primer-cachos-definidos?ref=review","review")</f>
        <v/>
      </c>
      <c r="K1182" t="inlineStr">
        <is>
          <t>SEND</t>
        </is>
      </c>
    </row>
    <row r="1183">
      <c r="A1183" t="inlineStr">
        <is>
          <t>Claudia</t>
        </is>
      </c>
      <c r="B1183" t="inlineStr">
        <is>
          <t>+5519981772310</t>
        </is>
      </c>
      <c r="C1183" t="inlineStr">
        <is>
          <t>Refill</t>
        </is>
      </c>
      <c r="D1183" t="inlineStr">
        <is>
          <t>Primer Cachos</t>
        </is>
      </c>
      <c r="E1183" t="n">
        <v>1</v>
      </c>
      <c r="F1183" t="inlineStr">
        <is>
          <t>2026-01-12</t>
        </is>
      </c>
      <c r="G1183" t="n">
        <v>173</v>
      </c>
      <c r="H1183" t="inlineStr">
        <is>
          <t>Y</t>
        </is>
      </c>
      <c r="I1183">
        <f>HYPERLINK("https://admin.shopify.com/store/ge-beauty-cosmeticos/customers/10051018228032","abrir")</f>
        <v/>
      </c>
      <c r="J1183">
        <f>HYPERLINK("https://www.gebeauty.com.br/products/primer-cachos-definidos?ref=review","review")</f>
        <v/>
      </c>
      <c r="K1183" t="inlineStr">
        <is>
          <t>SEND</t>
        </is>
      </c>
    </row>
    <row r="1184">
      <c r="A1184" t="inlineStr">
        <is>
          <t>Alice</t>
        </is>
      </c>
      <c r="B1184" t="inlineStr">
        <is>
          <t>+5511985407771</t>
        </is>
      </c>
      <c r="C1184" t="inlineStr">
        <is>
          <t>Refill</t>
        </is>
      </c>
      <c r="D1184" t="inlineStr">
        <is>
          <t>Primer Cachos</t>
        </is>
      </c>
      <c r="E1184" t="n">
        <v>1</v>
      </c>
      <c r="F1184" t="inlineStr">
        <is>
          <t>2026-01-12</t>
        </is>
      </c>
      <c r="G1184" t="n">
        <v>173</v>
      </c>
      <c r="H1184" t="inlineStr">
        <is>
          <t>Y</t>
        </is>
      </c>
      <c r="I1184">
        <f>HYPERLINK("https://admin.shopify.com/store/ge-beauty-cosmeticos/customers/9486466646336","abrir")</f>
        <v/>
      </c>
      <c r="J1184">
        <f>HYPERLINK("https://www.gebeauty.com.br/products/primer-cachos-definidos?ref=review","review")</f>
        <v/>
      </c>
      <c r="K1184" t="inlineStr">
        <is>
          <t>SEND</t>
        </is>
      </c>
    </row>
    <row r="1185">
      <c r="A1185" t="inlineStr">
        <is>
          <t>Kalipso</t>
        </is>
      </c>
      <c r="B1185" t="inlineStr">
        <is>
          <t>+5511995184693</t>
        </is>
      </c>
      <c r="C1185" t="inlineStr">
        <is>
          <t>Refill</t>
        </is>
      </c>
      <c r="D1185" t="inlineStr">
        <is>
          <t>Primer Cachos</t>
        </is>
      </c>
      <c r="E1185" t="n">
        <v>1</v>
      </c>
      <c r="F1185" t="inlineStr">
        <is>
          <t>2026-01-12</t>
        </is>
      </c>
      <c r="G1185" t="n">
        <v>173</v>
      </c>
      <c r="H1185" t="inlineStr">
        <is>
          <t>Y</t>
        </is>
      </c>
      <c r="I1185">
        <f>HYPERLINK("https://admin.shopify.com/store/ge-beauty-cosmeticos/customers/10052259545408","abrir")</f>
        <v/>
      </c>
      <c r="J1185">
        <f>HYPERLINK("https://www.gebeauty.com.br/products/primer-cachos-definidos?ref=review","review")</f>
        <v/>
      </c>
      <c r="K1185" t="inlineStr">
        <is>
          <t>SEND</t>
        </is>
      </c>
    </row>
    <row r="1186">
      <c r="A1186" t="inlineStr">
        <is>
          <t>Maria Eduarda</t>
        </is>
      </c>
      <c r="B1186" t="inlineStr">
        <is>
          <t>+5581997293091</t>
        </is>
      </c>
      <c r="C1186" t="inlineStr">
        <is>
          <t>Refill</t>
        </is>
      </c>
      <c r="D1186" t="inlineStr">
        <is>
          <t>Primer Cachos</t>
        </is>
      </c>
      <c r="E1186" t="n">
        <v>1</v>
      </c>
      <c r="F1186" t="inlineStr">
        <is>
          <t>2026-01-12</t>
        </is>
      </c>
      <c r="G1186" t="n">
        <v>173</v>
      </c>
      <c r="H1186" t="inlineStr">
        <is>
          <t>Y</t>
        </is>
      </c>
      <c r="I1186">
        <f>HYPERLINK("https://admin.shopify.com/store/ge-beauty-cosmeticos/customers/9991467532608","abrir")</f>
        <v/>
      </c>
      <c r="J1186">
        <f>HYPERLINK("https://www.gebeauty.com.br/products/primer-cachos-definidos?ref=review","review")</f>
        <v/>
      </c>
      <c r="K1186" t="inlineStr">
        <is>
          <t>SEND</t>
        </is>
      </c>
    </row>
    <row r="1187">
      <c r="A1187" t="inlineStr">
        <is>
          <t>Talita</t>
        </is>
      </c>
      <c r="B1187" t="inlineStr">
        <is>
          <t>+5592981379913</t>
        </is>
      </c>
      <c r="C1187" t="inlineStr">
        <is>
          <t>Refill</t>
        </is>
      </c>
      <c r="D1187" t="inlineStr">
        <is>
          <t>Primer Cachos</t>
        </is>
      </c>
      <c r="E1187" t="n">
        <v>1</v>
      </c>
      <c r="F1187" t="inlineStr">
        <is>
          <t>2026-01-12</t>
        </is>
      </c>
      <c r="G1187" t="n">
        <v>173</v>
      </c>
      <c r="H1187" t="inlineStr">
        <is>
          <t>Y</t>
        </is>
      </c>
      <c r="I1187">
        <f>HYPERLINK("https://admin.shopify.com/store/ge-beauty-cosmeticos/customers/10053040210240","abrir")</f>
        <v/>
      </c>
      <c r="J1187">
        <f>HYPERLINK("https://www.gebeauty.com.br/products/primer-cachos-definidos?ref=review","review")</f>
        <v/>
      </c>
      <c r="K1187" t="inlineStr">
        <is>
          <t>SEND</t>
        </is>
      </c>
    </row>
    <row r="1188">
      <c r="A1188" t="inlineStr">
        <is>
          <t>Paula</t>
        </is>
      </c>
      <c r="B1188" t="inlineStr">
        <is>
          <t>+5581996093151</t>
        </is>
      </c>
      <c r="C1188" t="inlineStr">
        <is>
          <t>Refill</t>
        </is>
      </c>
      <c r="D1188" t="inlineStr">
        <is>
          <t>Primer Cachos</t>
        </is>
      </c>
      <c r="E1188" t="n">
        <v>1</v>
      </c>
      <c r="F1188" t="inlineStr">
        <is>
          <t>2026-01-12</t>
        </is>
      </c>
      <c r="G1188" t="n">
        <v>173</v>
      </c>
      <c r="H1188" t="inlineStr">
        <is>
          <t>Y</t>
        </is>
      </c>
      <c r="I1188">
        <f>HYPERLINK("https://admin.shopify.com/store/ge-beauty-cosmeticos/customers/10053195235648","abrir")</f>
        <v/>
      </c>
      <c r="J1188">
        <f>HYPERLINK("https://www.gebeauty.com.br/products/primer-cachos-definidos?ref=review","review")</f>
        <v/>
      </c>
      <c r="K1188" t="inlineStr">
        <is>
          <t>SEND</t>
        </is>
      </c>
    </row>
    <row r="1189">
      <c r="A1189" t="inlineStr">
        <is>
          <t>Laura</t>
        </is>
      </c>
      <c r="B1189" t="inlineStr">
        <is>
          <t>+5531988230144</t>
        </is>
      </c>
      <c r="C1189" t="inlineStr">
        <is>
          <t>Refill</t>
        </is>
      </c>
      <c r="D1189" t="inlineStr">
        <is>
          <t>Primer Cachos</t>
        </is>
      </c>
      <c r="E1189" t="n">
        <v>1</v>
      </c>
      <c r="F1189" t="inlineStr">
        <is>
          <t>2026-01-13</t>
        </is>
      </c>
      <c r="G1189" t="n">
        <v>172</v>
      </c>
      <c r="H1189" t="inlineStr">
        <is>
          <t>Y</t>
        </is>
      </c>
      <c r="I1189">
        <f>HYPERLINK("https://admin.shopify.com/store/ge-beauty-cosmeticos/customers/9907845366080","abrir")</f>
        <v/>
      </c>
      <c r="J1189">
        <f>HYPERLINK("https://www.gebeauty.com.br/products/primer-cachos-definidos?ref=review","review")</f>
        <v/>
      </c>
      <c r="K1189" t="inlineStr">
        <is>
          <t>SEND</t>
        </is>
      </c>
    </row>
    <row r="1190">
      <c r="A1190" t="inlineStr">
        <is>
          <t>Flavia</t>
        </is>
      </c>
      <c r="B1190" t="inlineStr">
        <is>
          <t>+5521995357093</t>
        </is>
      </c>
      <c r="C1190" t="inlineStr">
        <is>
          <t>Refill</t>
        </is>
      </c>
      <c r="D1190" t="inlineStr">
        <is>
          <t>Primer Cachos</t>
        </is>
      </c>
      <c r="E1190" t="n">
        <v>1</v>
      </c>
      <c r="F1190" t="inlineStr">
        <is>
          <t>2026-01-13</t>
        </is>
      </c>
      <c r="G1190" t="n">
        <v>172</v>
      </c>
      <c r="H1190" t="inlineStr">
        <is>
          <t>Y</t>
        </is>
      </c>
      <c r="I1190">
        <f>HYPERLINK("https://admin.shopify.com/store/ge-beauty-cosmeticos/customers/9881174540608","abrir")</f>
        <v/>
      </c>
      <c r="J1190">
        <f>HYPERLINK("https://www.gebeauty.com.br/products/primer-cachos-definidos?ref=review","review")</f>
        <v/>
      </c>
      <c r="K1190" t="inlineStr">
        <is>
          <t>SEND</t>
        </is>
      </c>
    </row>
    <row r="1191">
      <c r="A1191" t="inlineStr">
        <is>
          <t>Thainá</t>
        </is>
      </c>
      <c r="B1191" t="inlineStr">
        <is>
          <t>+5545999203315</t>
        </is>
      </c>
      <c r="C1191" t="inlineStr">
        <is>
          <t>Refill</t>
        </is>
      </c>
      <c r="D1191" t="inlineStr">
        <is>
          <t>Primer Cachos</t>
        </is>
      </c>
      <c r="E1191" t="n">
        <v>1</v>
      </c>
      <c r="F1191" t="inlineStr">
        <is>
          <t>2026-01-13</t>
        </is>
      </c>
      <c r="G1191" t="n">
        <v>172</v>
      </c>
      <c r="H1191" t="inlineStr">
        <is>
          <t>Y</t>
        </is>
      </c>
      <c r="I1191">
        <f>HYPERLINK("https://admin.shopify.com/store/ge-beauty-cosmeticos/customers/8324565598528","abrir")</f>
        <v/>
      </c>
      <c r="J1191">
        <f>HYPERLINK("https://www.gebeauty.com.br/products/primer-cachos-definidos?ref=review","review")</f>
        <v/>
      </c>
      <c r="K1191" t="inlineStr">
        <is>
          <t>SEND</t>
        </is>
      </c>
    </row>
    <row r="1192">
      <c r="A1192" t="inlineStr">
        <is>
          <t>Jessica</t>
        </is>
      </c>
      <c r="B1192" t="inlineStr">
        <is>
          <t>+5511987611949</t>
        </is>
      </c>
      <c r="C1192" t="inlineStr">
        <is>
          <t>Refill</t>
        </is>
      </c>
      <c r="D1192" t="inlineStr">
        <is>
          <t>Primer Cachos</t>
        </is>
      </c>
      <c r="E1192" t="n">
        <v>1</v>
      </c>
      <c r="F1192" t="inlineStr">
        <is>
          <t>2026-01-13</t>
        </is>
      </c>
      <c r="G1192" t="n">
        <v>172</v>
      </c>
      <c r="H1192" t="inlineStr">
        <is>
          <t>Y</t>
        </is>
      </c>
      <c r="I1192">
        <f>HYPERLINK("https://admin.shopify.com/store/ge-beauty-cosmeticos/customers/10054998229312","abrir")</f>
        <v/>
      </c>
      <c r="J1192">
        <f>HYPERLINK("https://www.gebeauty.com.br/products/primer-cachos-definidos?ref=review","review")</f>
        <v/>
      </c>
      <c r="K1192" t="inlineStr">
        <is>
          <t>SEND</t>
        </is>
      </c>
    </row>
    <row r="1193">
      <c r="A1193" t="inlineStr">
        <is>
          <t>Daniela</t>
        </is>
      </c>
      <c r="B1193" t="inlineStr">
        <is>
          <t>+5511996561887</t>
        </is>
      </c>
      <c r="C1193" t="inlineStr">
        <is>
          <t>Refill</t>
        </is>
      </c>
      <c r="D1193" t="inlineStr">
        <is>
          <t>Primer Cachos</t>
        </is>
      </c>
      <c r="E1193" t="n">
        <v>1</v>
      </c>
      <c r="F1193" t="inlineStr">
        <is>
          <t>2026-01-13</t>
        </is>
      </c>
      <c r="G1193" t="n">
        <v>172</v>
      </c>
      <c r="H1193" t="inlineStr">
        <is>
          <t>Y</t>
        </is>
      </c>
      <c r="I1193">
        <f>HYPERLINK("https://admin.shopify.com/store/ge-beauty-cosmeticos/customers/10050102133056","abrir")</f>
        <v/>
      </c>
      <c r="J1193">
        <f>HYPERLINK("https://www.gebeauty.com.br/products/primer-cachos-definidos?ref=review","review")</f>
        <v/>
      </c>
      <c r="K1193" t="inlineStr">
        <is>
          <t>HOLDOUT</t>
        </is>
      </c>
    </row>
    <row r="1194">
      <c r="A1194" t="inlineStr">
        <is>
          <t>Camila</t>
        </is>
      </c>
      <c r="B1194" t="inlineStr">
        <is>
          <t>+5531994424815</t>
        </is>
      </c>
      <c r="C1194" t="inlineStr">
        <is>
          <t>Refill</t>
        </is>
      </c>
      <c r="D1194" t="inlineStr">
        <is>
          <t>Primer Cachos</t>
        </is>
      </c>
      <c r="E1194" t="n">
        <v>1</v>
      </c>
      <c r="F1194" t="inlineStr">
        <is>
          <t>2026-01-13</t>
        </is>
      </c>
      <c r="G1194" t="n">
        <v>172</v>
      </c>
      <c r="H1194" t="inlineStr">
        <is>
          <t>Y</t>
        </is>
      </c>
      <c r="I1194">
        <f>HYPERLINK("https://admin.shopify.com/store/ge-beauty-cosmeticos/customers/9607842300224","abrir")</f>
        <v/>
      </c>
      <c r="J1194">
        <f>HYPERLINK("https://www.gebeauty.com.br/products/primer-cachos-definidos?ref=review","review")</f>
        <v/>
      </c>
      <c r="K1194" t="inlineStr">
        <is>
          <t>SEND</t>
        </is>
      </c>
    </row>
    <row r="1195">
      <c r="A1195" t="inlineStr">
        <is>
          <t>Isabel</t>
        </is>
      </c>
      <c r="B1195" t="inlineStr">
        <is>
          <t>+5585997278467</t>
        </is>
      </c>
      <c r="C1195" t="inlineStr">
        <is>
          <t>Refill</t>
        </is>
      </c>
      <c r="D1195" t="inlineStr">
        <is>
          <t>Primer Cachos</t>
        </is>
      </c>
      <c r="E1195" t="n">
        <v>1</v>
      </c>
      <c r="F1195" t="inlineStr">
        <is>
          <t>2026-01-13</t>
        </is>
      </c>
      <c r="G1195" t="n">
        <v>172</v>
      </c>
      <c r="H1195" t="inlineStr">
        <is>
          <t>Y</t>
        </is>
      </c>
      <c r="I1195">
        <f>HYPERLINK("https://admin.shopify.com/store/ge-beauty-cosmeticos/customers/10056426455360","abrir")</f>
        <v/>
      </c>
      <c r="J1195">
        <f>HYPERLINK("https://www.gebeauty.com.br/products/primer-cachos-definidos?ref=review","review")</f>
        <v/>
      </c>
      <c r="K1195" t="inlineStr">
        <is>
          <t>SEND</t>
        </is>
      </c>
    </row>
    <row r="1196">
      <c r="A1196" t="inlineStr">
        <is>
          <t>Janaina</t>
        </is>
      </c>
      <c r="B1196" t="inlineStr">
        <is>
          <t>+5511946035204</t>
        </is>
      </c>
      <c r="C1196" t="inlineStr">
        <is>
          <t>Refill</t>
        </is>
      </c>
      <c r="D1196" t="inlineStr">
        <is>
          <t>Primer Cachos</t>
        </is>
      </c>
      <c r="E1196" t="n">
        <v>1</v>
      </c>
      <c r="F1196" t="inlineStr">
        <is>
          <t>2026-01-13</t>
        </is>
      </c>
      <c r="G1196" t="n">
        <v>172</v>
      </c>
      <c r="H1196" t="inlineStr">
        <is>
          <t>Y</t>
        </is>
      </c>
      <c r="I1196">
        <f>HYPERLINK("https://admin.shopify.com/store/ge-beauty-cosmeticos/customers/10011765670208","abrir")</f>
        <v/>
      </c>
      <c r="J1196">
        <f>HYPERLINK("https://www.gebeauty.com.br/products/primer-cachos-definidos?ref=review","review")</f>
        <v/>
      </c>
      <c r="K1196" t="inlineStr">
        <is>
          <t>SEND</t>
        </is>
      </c>
    </row>
    <row r="1197">
      <c r="A1197" t="inlineStr">
        <is>
          <t>Glézia</t>
        </is>
      </c>
      <c r="B1197" t="inlineStr">
        <is>
          <t>+5527998254575</t>
        </is>
      </c>
      <c r="C1197" t="inlineStr">
        <is>
          <t>Refill</t>
        </is>
      </c>
      <c r="D1197" t="inlineStr">
        <is>
          <t>Primer Cachos</t>
        </is>
      </c>
      <c r="E1197" t="n">
        <v>1</v>
      </c>
      <c r="F1197" t="inlineStr">
        <is>
          <t>2026-01-13</t>
        </is>
      </c>
      <c r="G1197" t="n">
        <v>172</v>
      </c>
      <c r="H1197" t="inlineStr">
        <is>
          <t>Y</t>
        </is>
      </c>
      <c r="I1197">
        <f>HYPERLINK("https://admin.shopify.com/store/ge-beauty-cosmeticos/customers/10056479834432","abrir")</f>
        <v/>
      </c>
      <c r="J1197">
        <f>HYPERLINK("https://www.gebeauty.com.br/products/primer-cachos-definidos?ref=review","review")</f>
        <v/>
      </c>
      <c r="K1197" t="inlineStr">
        <is>
          <t>SEND</t>
        </is>
      </c>
    </row>
    <row r="1198">
      <c r="A1198" t="inlineStr">
        <is>
          <t>Dielly</t>
        </is>
      </c>
      <c r="B1198" t="inlineStr">
        <is>
          <t>+5581992717146</t>
        </is>
      </c>
      <c r="C1198" t="inlineStr">
        <is>
          <t>Refill</t>
        </is>
      </c>
      <c r="D1198" t="inlineStr">
        <is>
          <t>Primer Cachos</t>
        </is>
      </c>
      <c r="E1198" t="n">
        <v>1</v>
      </c>
      <c r="F1198" t="inlineStr">
        <is>
          <t>2026-01-14</t>
        </is>
      </c>
      <c r="G1198" t="n">
        <v>171</v>
      </c>
      <c r="H1198" t="inlineStr">
        <is>
          <t>Y</t>
        </is>
      </c>
      <c r="I1198">
        <f>HYPERLINK("https://admin.shopify.com/store/ge-beauty-cosmeticos/customers/9993968156992","abrir")</f>
        <v/>
      </c>
      <c r="J1198">
        <f>HYPERLINK("https://www.gebeauty.com.br/products/primer-cachos-definidos?ref=review","review")</f>
        <v/>
      </c>
      <c r="K1198" t="inlineStr">
        <is>
          <t>SEND</t>
        </is>
      </c>
    </row>
    <row r="1199">
      <c r="A1199" t="inlineStr">
        <is>
          <t>Luzia</t>
        </is>
      </c>
      <c r="B1199" t="inlineStr">
        <is>
          <t>+5571996100293</t>
        </is>
      </c>
      <c r="C1199" t="inlineStr">
        <is>
          <t>Refill</t>
        </is>
      </c>
      <c r="D1199" t="inlineStr">
        <is>
          <t>Primer Cachos</t>
        </is>
      </c>
      <c r="E1199" t="n">
        <v>1</v>
      </c>
      <c r="F1199" t="inlineStr">
        <is>
          <t>2026-01-14</t>
        </is>
      </c>
      <c r="G1199" t="n">
        <v>171</v>
      </c>
      <c r="H1199" t="inlineStr">
        <is>
          <t>Y</t>
        </is>
      </c>
      <c r="I1199">
        <f>HYPERLINK("https://admin.shopify.com/store/ge-beauty-cosmeticos/customers/10057724494144","abrir")</f>
        <v/>
      </c>
      <c r="J1199">
        <f>HYPERLINK("https://www.gebeauty.com.br/products/primer-cachos-definidos?ref=review","review")</f>
        <v/>
      </c>
      <c r="K1199" t="inlineStr">
        <is>
          <t>SEND</t>
        </is>
      </c>
    </row>
    <row r="1200">
      <c r="A1200" t="inlineStr">
        <is>
          <t>Juliana</t>
        </is>
      </c>
      <c r="B1200" t="inlineStr">
        <is>
          <t>+5519996278204</t>
        </is>
      </c>
      <c r="C1200" t="inlineStr">
        <is>
          <t>Refill</t>
        </is>
      </c>
      <c r="D1200" t="inlineStr">
        <is>
          <t>Primer Cachos</t>
        </is>
      </c>
      <c r="E1200" t="n">
        <v>1</v>
      </c>
      <c r="F1200" t="inlineStr">
        <is>
          <t>2026-01-14</t>
        </is>
      </c>
      <c r="G1200" t="n">
        <v>171</v>
      </c>
      <c r="H1200" t="inlineStr">
        <is>
          <t>Y</t>
        </is>
      </c>
      <c r="I1200">
        <f>HYPERLINK("https://admin.shopify.com/store/ge-beauty-cosmeticos/customers/10057835217216","abrir")</f>
        <v/>
      </c>
      <c r="J1200">
        <f>HYPERLINK("https://www.gebeauty.com.br/products/primer-cachos-definidos?ref=review","review")</f>
        <v/>
      </c>
      <c r="K1200" t="inlineStr">
        <is>
          <t>SEND</t>
        </is>
      </c>
    </row>
    <row r="1201">
      <c r="A1201" t="inlineStr">
        <is>
          <t>Tacilla</t>
        </is>
      </c>
      <c r="B1201" t="inlineStr">
        <is>
          <t>+5599988571953</t>
        </is>
      </c>
      <c r="C1201" t="inlineStr">
        <is>
          <t>Refill</t>
        </is>
      </c>
      <c r="D1201" t="inlineStr">
        <is>
          <t>Primer Cachos</t>
        </is>
      </c>
      <c r="E1201" t="n">
        <v>1</v>
      </c>
      <c r="F1201" t="inlineStr">
        <is>
          <t>2026-01-14</t>
        </is>
      </c>
      <c r="G1201" t="n">
        <v>171</v>
      </c>
      <c r="H1201" t="inlineStr">
        <is>
          <t>Y</t>
        </is>
      </c>
      <c r="I1201">
        <f>HYPERLINK("https://admin.shopify.com/store/ge-beauty-cosmeticos/customers/10058292560192","abrir")</f>
        <v/>
      </c>
      <c r="J1201">
        <f>HYPERLINK("https://www.gebeauty.com.br/products/primer-cachos-definidos?ref=review","review")</f>
        <v/>
      </c>
      <c r="K1201" t="inlineStr">
        <is>
          <t>SEND</t>
        </is>
      </c>
    </row>
    <row r="1202">
      <c r="A1202" t="inlineStr">
        <is>
          <t>Gabriele</t>
        </is>
      </c>
      <c r="B1202" t="inlineStr">
        <is>
          <t>+5512992120880</t>
        </is>
      </c>
      <c r="C1202" t="inlineStr">
        <is>
          <t>Refill</t>
        </is>
      </c>
      <c r="D1202" t="inlineStr">
        <is>
          <t>Primer Cachos</t>
        </is>
      </c>
      <c r="E1202" t="n">
        <v>1</v>
      </c>
      <c r="F1202" t="inlineStr">
        <is>
          <t>2026-01-14</t>
        </is>
      </c>
      <c r="G1202" t="n">
        <v>171</v>
      </c>
      <c r="H1202" t="inlineStr">
        <is>
          <t>Y</t>
        </is>
      </c>
      <c r="I1202">
        <f>HYPERLINK("https://admin.shopify.com/store/ge-beauty-cosmeticos/customers/10058863870272","abrir")</f>
        <v/>
      </c>
      <c r="J1202">
        <f>HYPERLINK("https://www.gebeauty.com.br/products/primer-cachos-definidos?ref=review","review")</f>
        <v/>
      </c>
      <c r="K1202" t="inlineStr">
        <is>
          <t>SEND</t>
        </is>
      </c>
    </row>
    <row r="1203">
      <c r="A1203" t="inlineStr">
        <is>
          <t>Camila</t>
        </is>
      </c>
      <c r="B1203" t="inlineStr">
        <is>
          <t>+5511991764445</t>
        </is>
      </c>
      <c r="C1203" t="inlineStr">
        <is>
          <t>Refill</t>
        </is>
      </c>
      <c r="D1203" t="inlineStr">
        <is>
          <t>Primer Cachos</t>
        </is>
      </c>
      <c r="E1203" t="n">
        <v>1</v>
      </c>
      <c r="F1203" t="inlineStr">
        <is>
          <t>2026-01-15</t>
        </is>
      </c>
      <c r="G1203" t="n">
        <v>170</v>
      </c>
      <c r="H1203" t="inlineStr">
        <is>
          <t>Y</t>
        </is>
      </c>
      <c r="I1203">
        <f>HYPERLINK("https://admin.shopify.com/store/ge-beauty-cosmeticos/customers/10058940186944","abrir")</f>
        <v/>
      </c>
      <c r="J1203">
        <f>HYPERLINK("https://www.gebeauty.com.br/products/primer-cachos-definidos?ref=review","review")</f>
        <v/>
      </c>
      <c r="K1203" t="inlineStr">
        <is>
          <t>SEND</t>
        </is>
      </c>
    </row>
    <row r="1204">
      <c r="A1204" t="inlineStr">
        <is>
          <t>Gisele</t>
        </is>
      </c>
      <c r="B1204" t="inlineStr">
        <is>
          <t>+5581981929703</t>
        </is>
      </c>
      <c r="C1204" t="inlineStr">
        <is>
          <t>Refill</t>
        </is>
      </c>
      <c r="D1204" t="inlineStr">
        <is>
          <t>Primer Cachos</t>
        </is>
      </c>
      <c r="E1204" t="n">
        <v>1</v>
      </c>
      <c r="F1204" t="inlineStr">
        <is>
          <t>2026-01-15</t>
        </is>
      </c>
      <c r="G1204" t="n">
        <v>170</v>
      </c>
      <c r="H1204" t="inlineStr">
        <is>
          <t>Y</t>
        </is>
      </c>
      <c r="I1204">
        <f>HYPERLINK("https://admin.shopify.com/store/ge-beauty-cosmeticos/customers/10050185789760","abrir")</f>
        <v/>
      </c>
      <c r="J1204">
        <f>HYPERLINK("https://www.gebeauty.com.br/products/primer-cachos-definidos?ref=review","review")</f>
        <v/>
      </c>
      <c r="K1204" t="inlineStr">
        <is>
          <t>SEND</t>
        </is>
      </c>
    </row>
    <row r="1205">
      <c r="A1205" t="inlineStr">
        <is>
          <t>Janaina</t>
        </is>
      </c>
      <c r="B1205" t="inlineStr">
        <is>
          <t>+5561998038870</t>
        </is>
      </c>
      <c r="C1205" t="inlineStr">
        <is>
          <t>Refill</t>
        </is>
      </c>
      <c r="D1205" t="inlineStr">
        <is>
          <t>Primer Cachos</t>
        </is>
      </c>
      <c r="E1205" t="n">
        <v>1</v>
      </c>
      <c r="F1205" t="inlineStr">
        <is>
          <t>2026-01-15</t>
        </is>
      </c>
      <c r="G1205" t="n">
        <v>170</v>
      </c>
      <c r="H1205" t="inlineStr">
        <is>
          <t>Y</t>
        </is>
      </c>
      <c r="I1205">
        <f>HYPERLINK("https://admin.shopify.com/store/ge-beauty-cosmeticos/customers/10059878039872","abrir")</f>
        <v/>
      </c>
      <c r="J1205">
        <f>HYPERLINK("https://www.gebeauty.com.br/products/primer-cachos-definidos?ref=review","review")</f>
        <v/>
      </c>
      <c r="K1205" t="inlineStr">
        <is>
          <t>SEND</t>
        </is>
      </c>
    </row>
    <row r="1206">
      <c r="A1206" t="inlineStr">
        <is>
          <t>Marina</t>
        </is>
      </c>
      <c r="B1206" t="inlineStr">
        <is>
          <t>+5511958073592</t>
        </is>
      </c>
      <c r="C1206" t="inlineStr">
        <is>
          <t>Refill</t>
        </is>
      </c>
      <c r="D1206" t="inlineStr">
        <is>
          <t>Primer Cachos</t>
        </is>
      </c>
      <c r="E1206" t="n">
        <v>1</v>
      </c>
      <c r="F1206" t="inlineStr">
        <is>
          <t>2026-01-15</t>
        </is>
      </c>
      <c r="G1206" t="n">
        <v>170</v>
      </c>
      <c r="H1206" t="inlineStr">
        <is>
          <t>Y</t>
        </is>
      </c>
      <c r="I1206">
        <f>HYPERLINK("https://admin.shopify.com/store/ge-beauty-cosmeticos/customers/7761423565120","abrir")</f>
        <v/>
      </c>
      <c r="J1206">
        <f>HYPERLINK("https://www.gebeauty.com.br/products/primer-cachos-definidos?ref=review","review")</f>
        <v/>
      </c>
      <c r="K1206" t="inlineStr">
        <is>
          <t>SEND</t>
        </is>
      </c>
    </row>
    <row r="1207">
      <c r="A1207" t="inlineStr">
        <is>
          <t>Carol</t>
        </is>
      </c>
      <c r="B1207" t="inlineStr">
        <is>
          <t>+5521999286998</t>
        </is>
      </c>
      <c r="C1207" t="inlineStr">
        <is>
          <t>Refill</t>
        </is>
      </c>
      <c r="D1207" t="inlineStr">
        <is>
          <t>Primer Cachos</t>
        </is>
      </c>
      <c r="E1207" t="n">
        <v>1</v>
      </c>
      <c r="F1207" t="inlineStr">
        <is>
          <t>2026-01-15</t>
        </is>
      </c>
      <c r="G1207" t="n">
        <v>170</v>
      </c>
      <c r="H1207" t="inlineStr">
        <is>
          <t>Y</t>
        </is>
      </c>
      <c r="I1207">
        <f>HYPERLINK("https://admin.shopify.com/store/ge-beauty-cosmeticos/customers/9199425061184","abrir")</f>
        <v/>
      </c>
      <c r="J1207">
        <f>HYPERLINK("https://www.gebeauty.com.br/products/primer-cachos-definidos?ref=review","review")</f>
        <v/>
      </c>
      <c r="K1207" t="inlineStr">
        <is>
          <t>SEND</t>
        </is>
      </c>
    </row>
    <row r="1208">
      <c r="A1208" t="inlineStr">
        <is>
          <t>Isabelle</t>
        </is>
      </c>
      <c r="B1208" t="inlineStr">
        <is>
          <t>+5511942126152</t>
        </is>
      </c>
      <c r="C1208" t="inlineStr">
        <is>
          <t>Refill</t>
        </is>
      </c>
      <c r="D1208" t="inlineStr">
        <is>
          <t>Primer Cachos</t>
        </is>
      </c>
      <c r="E1208" t="n">
        <v>1</v>
      </c>
      <c r="F1208" t="inlineStr">
        <is>
          <t>2026-01-15</t>
        </is>
      </c>
      <c r="G1208" t="n">
        <v>170</v>
      </c>
      <c r="H1208" t="inlineStr">
        <is>
          <t>Y</t>
        </is>
      </c>
      <c r="I1208">
        <f>HYPERLINK("https://admin.shopify.com/store/ge-beauty-cosmeticos/customers/10051027927360","abrir")</f>
        <v/>
      </c>
      <c r="J1208">
        <f>HYPERLINK("https://www.gebeauty.com.br/products/primer-cachos-definidos?ref=review","review")</f>
        <v/>
      </c>
      <c r="K1208" t="inlineStr">
        <is>
          <t>SEND</t>
        </is>
      </c>
    </row>
    <row r="1209">
      <c r="A1209" t="inlineStr">
        <is>
          <t>Ana</t>
        </is>
      </c>
      <c r="B1209" t="inlineStr">
        <is>
          <t>+5581997971817</t>
        </is>
      </c>
      <c r="C1209" t="inlineStr">
        <is>
          <t>Refill</t>
        </is>
      </c>
      <c r="D1209" t="inlineStr">
        <is>
          <t>Primer Cachos</t>
        </is>
      </c>
      <c r="E1209" t="n">
        <v>1</v>
      </c>
      <c r="F1209" t="inlineStr">
        <is>
          <t>2026-01-15</t>
        </is>
      </c>
      <c r="G1209" t="n">
        <v>170</v>
      </c>
      <c r="H1209" t="inlineStr">
        <is>
          <t>Y</t>
        </is>
      </c>
      <c r="I1209">
        <f>HYPERLINK("https://admin.shopify.com/store/ge-beauty-cosmeticos/customers/10061047726400","abrir")</f>
        <v/>
      </c>
      <c r="J1209">
        <f>HYPERLINK("https://www.gebeauty.com.br/products/primer-cachos-definidos?ref=review","review")</f>
        <v/>
      </c>
      <c r="K1209" t="inlineStr">
        <is>
          <t>SEND</t>
        </is>
      </c>
    </row>
    <row r="1210">
      <c r="A1210" t="inlineStr">
        <is>
          <t>Myllena</t>
        </is>
      </c>
      <c r="B1210" t="inlineStr">
        <is>
          <t>+5581994212196</t>
        </is>
      </c>
      <c r="C1210" t="inlineStr">
        <is>
          <t>Refill</t>
        </is>
      </c>
      <c r="D1210" t="inlineStr">
        <is>
          <t>Primer Cachos</t>
        </is>
      </c>
      <c r="E1210" t="n">
        <v>1</v>
      </c>
      <c r="F1210" t="inlineStr">
        <is>
          <t>2026-01-16</t>
        </is>
      </c>
      <c r="G1210" t="n">
        <v>169</v>
      </c>
      <c r="H1210" t="inlineStr">
        <is>
          <t>Y</t>
        </is>
      </c>
      <c r="I1210">
        <f>HYPERLINK("https://admin.shopify.com/store/ge-beauty-cosmeticos/customers/9646034223424","abrir")</f>
        <v/>
      </c>
      <c r="J1210">
        <f>HYPERLINK("https://www.gebeauty.com.br/products/primer-cachos-definidos?ref=review","review")</f>
        <v/>
      </c>
      <c r="K1210" t="inlineStr">
        <is>
          <t>SEND</t>
        </is>
      </c>
    </row>
    <row r="1211">
      <c r="A1211" t="inlineStr">
        <is>
          <t>Pâmila</t>
        </is>
      </c>
      <c r="B1211" t="inlineStr">
        <is>
          <t>+5581988653044</t>
        </is>
      </c>
      <c r="C1211" t="inlineStr">
        <is>
          <t>Refill</t>
        </is>
      </c>
      <c r="D1211" t="inlineStr">
        <is>
          <t>Primer Cachos</t>
        </is>
      </c>
      <c r="E1211" t="n">
        <v>1</v>
      </c>
      <c r="F1211" t="inlineStr">
        <is>
          <t>2026-01-16</t>
        </is>
      </c>
      <c r="G1211" t="n">
        <v>169</v>
      </c>
      <c r="H1211" t="inlineStr">
        <is>
          <t>Y</t>
        </is>
      </c>
      <c r="I1211">
        <f>HYPERLINK("https://admin.shopify.com/store/ge-beauty-cosmeticos/customers/10062841217344","abrir")</f>
        <v/>
      </c>
      <c r="J1211">
        <f>HYPERLINK("https://www.gebeauty.com.br/products/primer-cachos-definidos?ref=review","review")</f>
        <v/>
      </c>
      <c r="K1211" t="inlineStr">
        <is>
          <t>SEND</t>
        </is>
      </c>
    </row>
    <row r="1212">
      <c r="A1212" t="inlineStr">
        <is>
          <t>Pâmela</t>
        </is>
      </c>
      <c r="B1212" t="inlineStr">
        <is>
          <t>+5511988340884</t>
        </is>
      </c>
      <c r="C1212" t="inlineStr">
        <is>
          <t>Refill</t>
        </is>
      </c>
      <c r="D1212" t="inlineStr">
        <is>
          <t>Primer Cachos</t>
        </is>
      </c>
      <c r="E1212" t="n">
        <v>1</v>
      </c>
      <c r="F1212" t="inlineStr">
        <is>
          <t>2026-01-16</t>
        </is>
      </c>
      <c r="G1212" t="n">
        <v>169</v>
      </c>
      <c r="H1212" t="inlineStr">
        <is>
          <t>Y</t>
        </is>
      </c>
      <c r="I1212">
        <f>HYPERLINK("https://admin.shopify.com/store/ge-beauty-cosmeticos/customers/10063168209216","abrir")</f>
        <v/>
      </c>
      <c r="J1212">
        <f>HYPERLINK("https://www.gebeauty.com.br/products/primer-cachos-definidos?ref=review","review")</f>
        <v/>
      </c>
      <c r="K1212" t="inlineStr">
        <is>
          <t>SEND</t>
        </is>
      </c>
    </row>
    <row r="1213">
      <c r="A1213" t="inlineStr">
        <is>
          <t>Laura</t>
        </is>
      </c>
      <c r="B1213" t="inlineStr">
        <is>
          <t>+5548999237180</t>
        </is>
      </c>
      <c r="C1213" t="inlineStr">
        <is>
          <t>Refill</t>
        </is>
      </c>
      <c r="D1213" t="inlineStr">
        <is>
          <t>Primer Cachos</t>
        </is>
      </c>
      <c r="E1213" t="n">
        <v>1</v>
      </c>
      <c r="F1213" t="inlineStr">
        <is>
          <t>2026-01-16</t>
        </is>
      </c>
      <c r="G1213" t="n">
        <v>169</v>
      </c>
      <c r="H1213" t="inlineStr">
        <is>
          <t>Y</t>
        </is>
      </c>
      <c r="I1213">
        <f>HYPERLINK("https://admin.shopify.com/store/ge-beauty-cosmeticos/customers/10063553528128","abrir")</f>
        <v/>
      </c>
      <c r="J1213">
        <f>HYPERLINK("https://www.gebeauty.com.br/products/primer-cachos-definidos?ref=review","review")</f>
        <v/>
      </c>
      <c r="K1213" t="inlineStr">
        <is>
          <t>HOLDOUT</t>
        </is>
      </c>
    </row>
    <row r="1214">
      <c r="A1214" t="inlineStr">
        <is>
          <t>Amanda</t>
        </is>
      </c>
      <c r="B1214" t="inlineStr">
        <is>
          <t>+5521995605477</t>
        </is>
      </c>
      <c r="C1214" t="inlineStr">
        <is>
          <t>Refill</t>
        </is>
      </c>
      <c r="D1214" t="inlineStr">
        <is>
          <t>Primer Cachos</t>
        </is>
      </c>
      <c r="E1214" t="n">
        <v>1</v>
      </c>
      <c r="F1214" t="inlineStr">
        <is>
          <t>2026-01-17</t>
        </is>
      </c>
      <c r="G1214" t="n">
        <v>168</v>
      </c>
      <c r="H1214" t="inlineStr">
        <is>
          <t>Y</t>
        </is>
      </c>
      <c r="I1214">
        <f>HYPERLINK("https://admin.shopify.com/store/ge-beauty-cosmeticos/customers/9959804961088","abrir")</f>
        <v/>
      </c>
      <c r="J1214">
        <f>HYPERLINK("https://www.gebeauty.com.br/products/primer-cachos-definidos?ref=review","review")</f>
        <v/>
      </c>
      <c r="K1214" t="inlineStr">
        <is>
          <t>SEND</t>
        </is>
      </c>
    </row>
    <row r="1215">
      <c r="A1215" t="inlineStr">
        <is>
          <t>Lorena</t>
        </is>
      </c>
      <c r="B1215" t="inlineStr">
        <is>
          <t>+5585988272707</t>
        </is>
      </c>
      <c r="C1215" t="inlineStr">
        <is>
          <t>Refill</t>
        </is>
      </c>
      <c r="D1215" t="inlineStr">
        <is>
          <t>Primer Cachos</t>
        </is>
      </c>
      <c r="E1215" t="n">
        <v>1</v>
      </c>
      <c r="F1215" t="inlineStr">
        <is>
          <t>2026-01-17</t>
        </is>
      </c>
      <c r="G1215" t="n">
        <v>168</v>
      </c>
      <c r="H1215" t="inlineStr">
        <is>
          <t>Y</t>
        </is>
      </c>
      <c r="I1215">
        <f>HYPERLINK("https://admin.shopify.com/store/ge-beauty-cosmeticos/customers/10064957538624","abrir")</f>
        <v/>
      </c>
      <c r="J1215">
        <f>HYPERLINK("https://www.gebeauty.com.br/products/primer-cachos-definidos?ref=review","review")</f>
        <v/>
      </c>
      <c r="K1215" t="inlineStr">
        <is>
          <t>SEND</t>
        </is>
      </c>
    </row>
    <row r="1216">
      <c r="A1216" t="inlineStr">
        <is>
          <t>Patricia</t>
        </is>
      </c>
      <c r="B1216" t="inlineStr">
        <is>
          <t>+5521984694000</t>
        </is>
      </c>
      <c r="C1216" t="inlineStr">
        <is>
          <t>Refill</t>
        </is>
      </c>
      <c r="D1216" t="inlineStr">
        <is>
          <t>Primer Cachos</t>
        </is>
      </c>
      <c r="E1216" t="n">
        <v>1</v>
      </c>
      <c r="F1216" t="inlineStr">
        <is>
          <t>2026-01-17</t>
        </is>
      </c>
      <c r="G1216" t="n">
        <v>168</v>
      </c>
      <c r="H1216" t="inlineStr">
        <is>
          <t>Y</t>
        </is>
      </c>
      <c r="I1216">
        <f>HYPERLINK("https://admin.shopify.com/store/ge-beauty-cosmeticos/customers/10065331323200","abrir")</f>
        <v/>
      </c>
      <c r="J1216">
        <f>HYPERLINK("https://www.gebeauty.com.br/products/primer-cachos-definidos?ref=review","review")</f>
        <v/>
      </c>
      <c r="K1216" t="inlineStr">
        <is>
          <t>SEND</t>
        </is>
      </c>
    </row>
    <row r="1217">
      <c r="A1217" t="inlineStr">
        <is>
          <t>Thamires</t>
        </is>
      </c>
      <c r="B1217" t="inlineStr">
        <is>
          <t>+5511974139358</t>
        </is>
      </c>
      <c r="C1217" t="inlineStr">
        <is>
          <t>Refill</t>
        </is>
      </c>
      <c r="D1217" t="inlineStr">
        <is>
          <t>Primer Cachos</t>
        </is>
      </c>
      <c r="E1217" t="n">
        <v>1</v>
      </c>
      <c r="F1217" t="inlineStr">
        <is>
          <t>2026-01-17</t>
        </is>
      </c>
      <c r="G1217" t="n">
        <v>168</v>
      </c>
      <c r="H1217" t="inlineStr">
        <is>
          <t>Y</t>
        </is>
      </c>
      <c r="I1217">
        <f>HYPERLINK("https://admin.shopify.com/store/ge-beauty-cosmeticos/customers/9947529609536","abrir")</f>
        <v/>
      </c>
      <c r="J1217">
        <f>HYPERLINK("https://www.gebeauty.com.br/products/primer-cachos-definidos?ref=review","review")</f>
        <v/>
      </c>
      <c r="K1217" t="inlineStr">
        <is>
          <t>HOLDOUT</t>
        </is>
      </c>
    </row>
    <row r="1218">
      <c r="A1218" t="inlineStr">
        <is>
          <t>Monica</t>
        </is>
      </c>
      <c r="B1218" t="inlineStr">
        <is>
          <t>+5511998855785</t>
        </is>
      </c>
      <c r="C1218" t="inlineStr">
        <is>
          <t>Refill</t>
        </is>
      </c>
      <c r="D1218" t="inlineStr">
        <is>
          <t>Primer Cachos</t>
        </is>
      </c>
      <c r="E1218" t="n">
        <v>1</v>
      </c>
      <c r="F1218" t="inlineStr">
        <is>
          <t>2026-01-17</t>
        </is>
      </c>
      <c r="G1218" t="n">
        <v>168</v>
      </c>
      <c r="H1218" t="inlineStr">
        <is>
          <t>Y</t>
        </is>
      </c>
      <c r="I1218">
        <f>HYPERLINK("https://admin.shopify.com/store/ge-beauty-cosmeticos/customers/10065610342720","abrir")</f>
        <v/>
      </c>
      <c r="J1218">
        <f>HYPERLINK("https://www.gebeauty.com.br/products/primer-cachos-definidos?ref=review","review")</f>
        <v/>
      </c>
      <c r="K1218" t="inlineStr">
        <is>
          <t>SEND</t>
        </is>
      </c>
    </row>
    <row r="1219">
      <c r="A1219" t="inlineStr">
        <is>
          <t>Sarah</t>
        </is>
      </c>
      <c r="B1219" t="inlineStr">
        <is>
          <t>+5521998963225</t>
        </is>
      </c>
      <c r="C1219" t="inlineStr">
        <is>
          <t>Refill</t>
        </is>
      </c>
      <c r="D1219" t="inlineStr">
        <is>
          <t>Primer Cachos</t>
        </is>
      </c>
      <c r="E1219" t="n">
        <v>1</v>
      </c>
      <c r="F1219" t="inlineStr">
        <is>
          <t>2026-01-17</t>
        </is>
      </c>
      <c r="G1219" t="n">
        <v>168</v>
      </c>
      <c r="H1219" t="inlineStr">
        <is>
          <t>Y</t>
        </is>
      </c>
      <c r="I1219">
        <f>HYPERLINK("https://admin.shopify.com/store/ge-beauty-cosmeticos/customers/10065396564288","abrir")</f>
        <v/>
      </c>
      <c r="J1219">
        <f>HYPERLINK("https://www.gebeauty.com.br/products/primer-cachos-definidos?ref=review","review")</f>
        <v/>
      </c>
      <c r="K1219" t="inlineStr">
        <is>
          <t>SEND</t>
        </is>
      </c>
    </row>
    <row r="1220">
      <c r="A1220" t="inlineStr">
        <is>
          <t>Jennice</t>
        </is>
      </c>
      <c r="B1220" t="inlineStr">
        <is>
          <t>+5585999220351</t>
        </is>
      </c>
      <c r="C1220" t="inlineStr">
        <is>
          <t>Refill</t>
        </is>
      </c>
      <c r="D1220" t="inlineStr">
        <is>
          <t>Primer Cachos</t>
        </is>
      </c>
      <c r="E1220" t="n">
        <v>1</v>
      </c>
      <c r="F1220" t="inlineStr">
        <is>
          <t>2026-01-18</t>
        </is>
      </c>
      <c r="G1220" t="n">
        <v>167</v>
      </c>
      <c r="H1220" t="inlineStr">
        <is>
          <t>Y</t>
        </is>
      </c>
      <c r="I1220">
        <f>HYPERLINK("https://admin.shopify.com/store/ge-beauty-cosmeticos/customers/10065949917504","abrir")</f>
        <v/>
      </c>
      <c r="J1220">
        <f>HYPERLINK("https://www.gebeauty.com.br/products/primer-cachos-definidos?ref=review","review")</f>
        <v/>
      </c>
      <c r="K1220" t="inlineStr">
        <is>
          <t>SEND</t>
        </is>
      </c>
    </row>
    <row r="1221">
      <c r="A1221" t="inlineStr">
        <is>
          <t>Talyta</t>
        </is>
      </c>
      <c r="B1221" t="inlineStr">
        <is>
          <t>+5511992843933</t>
        </is>
      </c>
      <c r="C1221" t="inlineStr">
        <is>
          <t>Refill</t>
        </is>
      </c>
      <c r="D1221" t="inlineStr">
        <is>
          <t>Primer Cachos</t>
        </is>
      </c>
      <c r="E1221" t="n">
        <v>1</v>
      </c>
      <c r="F1221" t="inlineStr">
        <is>
          <t>2026-01-18</t>
        </is>
      </c>
      <c r="G1221" t="n">
        <v>167</v>
      </c>
      <c r="H1221" t="inlineStr">
        <is>
          <t>Y</t>
        </is>
      </c>
      <c r="I1221">
        <f>HYPERLINK("https://admin.shopify.com/store/ge-beauty-cosmeticos/customers/10029977895232","abrir")</f>
        <v/>
      </c>
      <c r="J1221">
        <f>HYPERLINK("https://www.gebeauty.com.br/products/primer-cachos-definidos?ref=review","review")</f>
        <v/>
      </c>
      <c r="K1221" t="inlineStr">
        <is>
          <t>SEND</t>
        </is>
      </c>
    </row>
    <row r="1222">
      <c r="A1222" t="inlineStr">
        <is>
          <t>Lea</t>
        </is>
      </c>
      <c r="B1222" t="inlineStr">
        <is>
          <t>+5511976120098</t>
        </is>
      </c>
      <c r="C1222" t="inlineStr">
        <is>
          <t>Refill</t>
        </is>
      </c>
      <c r="D1222" t="inlineStr">
        <is>
          <t>Primer Cachos</t>
        </is>
      </c>
      <c r="E1222" t="n">
        <v>1</v>
      </c>
      <c r="F1222" t="inlineStr">
        <is>
          <t>2026-01-18</t>
        </is>
      </c>
      <c r="G1222" t="n">
        <v>167</v>
      </c>
      <c r="H1222" t="inlineStr">
        <is>
          <t>Y</t>
        </is>
      </c>
      <c r="I1222">
        <f>HYPERLINK("https://admin.shopify.com/store/ge-beauty-cosmeticos/customers/9876966605120","abrir")</f>
        <v/>
      </c>
      <c r="J1222">
        <f>HYPERLINK("https://www.gebeauty.com.br/products/primer-cachos-definidos?ref=review","review")</f>
        <v/>
      </c>
      <c r="K1222" t="inlineStr">
        <is>
          <t>SEND</t>
        </is>
      </c>
    </row>
    <row r="1223">
      <c r="A1223" t="inlineStr">
        <is>
          <t>Louise</t>
        </is>
      </c>
      <c r="B1223" t="inlineStr">
        <is>
          <t>+5541996779050</t>
        </is>
      </c>
      <c r="C1223" t="inlineStr">
        <is>
          <t>Refill</t>
        </is>
      </c>
      <c r="D1223" t="inlineStr">
        <is>
          <t>Primer Cachos</t>
        </is>
      </c>
      <c r="E1223" t="n">
        <v>1</v>
      </c>
      <c r="F1223" t="inlineStr">
        <is>
          <t>2026-01-18</t>
        </is>
      </c>
      <c r="G1223" t="n">
        <v>167</v>
      </c>
      <c r="H1223" t="inlineStr">
        <is>
          <t>Y</t>
        </is>
      </c>
      <c r="I1223">
        <f>HYPERLINK("https://admin.shopify.com/store/ge-beauty-cosmeticos/customers/9484428247360","abrir")</f>
        <v/>
      </c>
      <c r="J1223">
        <f>HYPERLINK("https://www.gebeauty.com.br/products/primer-cachos-definidos?ref=review","review")</f>
        <v/>
      </c>
      <c r="K1223" t="inlineStr">
        <is>
          <t>SEND</t>
        </is>
      </c>
    </row>
    <row r="1224">
      <c r="A1224" t="inlineStr">
        <is>
          <t>Michele</t>
        </is>
      </c>
      <c r="B1224" t="inlineStr">
        <is>
          <t>+5585987696990</t>
        </is>
      </c>
      <c r="C1224" t="inlineStr">
        <is>
          <t>Refill</t>
        </is>
      </c>
      <c r="D1224" t="inlineStr">
        <is>
          <t>Primer Cachos</t>
        </is>
      </c>
      <c r="E1224" t="n">
        <v>1</v>
      </c>
      <c r="F1224" t="inlineStr">
        <is>
          <t>2026-01-19</t>
        </is>
      </c>
      <c r="G1224" t="n">
        <v>166</v>
      </c>
      <c r="H1224" t="inlineStr">
        <is>
          <t>Y</t>
        </is>
      </c>
      <c r="I1224">
        <f>HYPERLINK("https://admin.shopify.com/store/ge-beauty-cosmeticos/customers/10068418986304","abrir")</f>
        <v/>
      </c>
      <c r="J1224">
        <f>HYPERLINK("https://www.gebeauty.com.br/products/primer-cachos-definidos?ref=review","review")</f>
        <v/>
      </c>
      <c r="K1224" t="inlineStr">
        <is>
          <t>SEND</t>
        </is>
      </c>
    </row>
    <row r="1225">
      <c r="A1225" t="inlineStr">
        <is>
          <t>Marcela</t>
        </is>
      </c>
      <c r="B1225" t="inlineStr">
        <is>
          <t>+5585997859758</t>
        </is>
      </c>
      <c r="C1225" t="inlineStr">
        <is>
          <t>Refill</t>
        </is>
      </c>
      <c r="D1225" t="inlineStr">
        <is>
          <t>Primer Cachos</t>
        </is>
      </c>
      <c r="E1225" t="n">
        <v>1</v>
      </c>
      <c r="F1225" t="inlineStr">
        <is>
          <t>2026-01-19</t>
        </is>
      </c>
      <c r="G1225" t="n">
        <v>166</v>
      </c>
      <c r="H1225" t="inlineStr">
        <is>
          <t>Y</t>
        </is>
      </c>
      <c r="I1225">
        <f>HYPERLINK("https://admin.shopify.com/store/ge-beauty-cosmeticos/customers/7760994763072","abrir")</f>
        <v/>
      </c>
      <c r="J1225">
        <f>HYPERLINK("https://www.gebeauty.com.br/products/primer-cachos-definidos?ref=review","review")</f>
        <v/>
      </c>
      <c r="K1225" t="inlineStr">
        <is>
          <t>SEND</t>
        </is>
      </c>
    </row>
    <row r="1226">
      <c r="A1226" t="inlineStr">
        <is>
          <t>Ivanilda</t>
        </is>
      </c>
      <c r="B1226" t="inlineStr">
        <is>
          <t>+5531998982601</t>
        </is>
      </c>
      <c r="C1226" t="inlineStr">
        <is>
          <t>Refill</t>
        </is>
      </c>
      <c r="D1226" t="inlineStr">
        <is>
          <t>Primer Cachos</t>
        </is>
      </c>
      <c r="E1226" t="n">
        <v>1</v>
      </c>
      <c r="F1226" t="inlineStr">
        <is>
          <t>2026-01-19</t>
        </is>
      </c>
      <c r="G1226" t="n">
        <v>166</v>
      </c>
      <c r="H1226" t="inlineStr">
        <is>
          <t>Y</t>
        </is>
      </c>
      <c r="I1226">
        <f>HYPERLINK("https://admin.shopify.com/store/ge-beauty-cosmeticos/customers/10069645525312","abrir")</f>
        <v/>
      </c>
      <c r="J1226">
        <f>HYPERLINK("https://www.gebeauty.com.br/products/primer-cachos-definidos?ref=review","review")</f>
        <v/>
      </c>
      <c r="K1226" t="inlineStr">
        <is>
          <t>SEND</t>
        </is>
      </c>
    </row>
    <row r="1227">
      <c r="A1227" t="inlineStr">
        <is>
          <t>Talita</t>
        </is>
      </c>
      <c r="B1227" t="inlineStr">
        <is>
          <t>+5511987112122</t>
        </is>
      </c>
      <c r="C1227" t="inlineStr">
        <is>
          <t>Refill</t>
        </is>
      </c>
      <c r="D1227" t="inlineStr">
        <is>
          <t>Primer Cachos</t>
        </is>
      </c>
      <c r="E1227" t="n">
        <v>1</v>
      </c>
      <c r="F1227" t="inlineStr">
        <is>
          <t>2026-01-19</t>
        </is>
      </c>
      <c r="G1227" t="n">
        <v>166</v>
      </c>
      <c r="H1227" t="inlineStr">
        <is>
          <t>Y</t>
        </is>
      </c>
      <c r="I1227">
        <f>HYPERLINK("https://admin.shopify.com/store/ge-beauty-cosmeticos/customers/9896787837248","abrir")</f>
        <v/>
      </c>
      <c r="J1227">
        <f>HYPERLINK("https://www.gebeauty.com.br/products/primer-cachos-definidos?ref=review","review")</f>
        <v/>
      </c>
      <c r="K1227" t="inlineStr">
        <is>
          <t>HOLDOUT</t>
        </is>
      </c>
    </row>
    <row r="1228">
      <c r="A1228" t="inlineStr">
        <is>
          <t>Fernanda</t>
        </is>
      </c>
      <c r="B1228" t="inlineStr">
        <is>
          <t>+5561981767338</t>
        </is>
      </c>
      <c r="C1228" t="inlineStr">
        <is>
          <t>Refill</t>
        </is>
      </c>
      <c r="D1228" t="inlineStr">
        <is>
          <t>Primer Cachos</t>
        </is>
      </c>
      <c r="E1228" t="n">
        <v>1</v>
      </c>
      <c r="F1228" t="inlineStr">
        <is>
          <t>2026-01-20</t>
        </is>
      </c>
      <c r="G1228" t="n">
        <v>165</v>
      </c>
      <c r="H1228" t="inlineStr">
        <is>
          <t>Y</t>
        </is>
      </c>
      <c r="I1228">
        <f>HYPERLINK("https://admin.shopify.com/store/ge-beauty-cosmeticos/customers/10070712910144","abrir")</f>
        <v/>
      </c>
      <c r="J1228">
        <f>HYPERLINK("https://www.gebeauty.com.br/products/primer-cachos-definidos?ref=review","review")</f>
        <v/>
      </c>
      <c r="K1228" t="inlineStr">
        <is>
          <t>SEND</t>
        </is>
      </c>
    </row>
    <row r="1229">
      <c r="A1229" t="inlineStr">
        <is>
          <t>Giulia</t>
        </is>
      </c>
      <c r="B1229" t="inlineStr">
        <is>
          <t>+5511982255260</t>
        </is>
      </c>
      <c r="C1229" t="inlineStr">
        <is>
          <t>Refill</t>
        </is>
      </c>
      <c r="D1229" t="inlineStr">
        <is>
          <t>Primer Cachos</t>
        </is>
      </c>
      <c r="E1229" t="n">
        <v>1</v>
      </c>
      <c r="F1229" t="inlineStr">
        <is>
          <t>2026-01-20</t>
        </is>
      </c>
      <c r="G1229" t="n">
        <v>165</v>
      </c>
      <c r="H1229" t="inlineStr">
        <is>
          <t>Y</t>
        </is>
      </c>
      <c r="I1229">
        <f>HYPERLINK("https://admin.shopify.com/store/ge-beauty-cosmeticos/customers/10070822256960","abrir")</f>
        <v/>
      </c>
      <c r="J1229">
        <f>HYPERLINK("https://www.gebeauty.com.br/products/primer-cachos-definidos?ref=review","review")</f>
        <v/>
      </c>
      <c r="K1229" t="inlineStr">
        <is>
          <t>SEND</t>
        </is>
      </c>
    </row>
    <row r="1230">
      <c r="A1230" t="inlineStr">
        <is>
          <t>Iara</t>
        </is>
      </c>
      <c r="B1230" t="inlineStr">
        <is>
          <t>+5515997796316</t>
        </is>
      </c>
      <c r="C1230" t="inlineStr">
        <is>
          <t>Refill</t>
        </is>
      </c>
      <c r="D1230" t="inlineStr">
        <is>
          <t>Primer Cachos</t>
        </is>
      </c>
      <c r="E1230" t="n">
        <v>1</v>
      </c>
      <c r="F1230" t="inlineStr">
        <is>
          <t>2026-01-20</t>
        </is>
      </c>
      <c r="G1230" t="n">
        <v>165</v>
      </c>
      <c r="H1230" t="inlineStr">
        <is>
          <t>Y</t>
        </is>
      </c>
      <c r="I1230">
        <f>HYPERLINK("https://admin.shopify.com/store/ge-beauty-cosmeticos/customers/10071130898752","abrir")</f>
        <v/>
      </c>
      <c r="J1230">
        <f>HYPERLINK("https://www.gebeauty.com.br/products/primer-cachos-definidos?ref=review","review")</f>
        <v/>
      </c>
      <c r="K1230" t="inlineStr">
        <is>
          <t>SEND</t>
        </is>
      </c>
    </row>
    <row r="1231">
      <c r="A1231" t="inlineStr">
        <is>
          <t>Sandra</t>
        </is>
      </c>
      <c r="B1231" t="inlineStr">
        <is>
          <t>+5561984024822</t>
        </is>
      </c>
      <c r="C1231" t="inlineStr">
        <is>
          <t>Refill</t>
        </is>
      </c>
      <c r="D1231" t="inlineStr">
        <is>
          <t>Primer Cachos</t>
        </is>
      </c>
      <c r="E1231" t="n">
        <v>1</v>
      </c>
      <c r="F1231" t="inlineStr">
        <is>
          <t>2026-01-20</t>
        </is>
      </c>
      <c r="G1231" t="n">
        <v>165</v>
      </c>
      <c r="H1231" t="inlineStr">
        <is>
          <t>Y</t>
        </is>
      </c>
      <c r="I1231">
        <f>HYPERLINK("https://admin.shopify.com/store/ge-beauty-cosmeticos/customers/9827641000256","abrir")</f>
        <v/>
      </c>
      <c r="J1231">
        <f>HYPERLINK("https://www.gebeauty.com.br/products/primer-cachos-definidos?ref=review","review")</f>
        <v/>
      </c>
      <c r="K1231" t="inlineStr">
        <is>
          <t>SEND</t>
        </is>
      </c>
    </row>
    <row r="1232">
      <c r="A1232" t="inlineStr">
        <is>
          <t>Jussiane</t>
        </is>
      </c>
      <c r="B1232" t="inlineStr">
        <is>
          <t>+5565981271008</t>
        </is>
      </c>
      <c r="C1232" t="inlineStr">
        <is>
          <t>Refill</t>
        </is>
      </c>
      <c r="D1232" t="inlineStr">
        <is>
          <t>Primer Cachos</t>
        </is>
      </c>
      <c r="E1232" t="n">
        <v>1</v>
      </c>
      <c r="F1232" t="inlineStr">
        <is>
          <t>2026-01-20</t>
        </is>
      </c>
      <c r="G1232" t="n">
        <v>165</v>
      </c>
      <c r="H1232" t="inlineStr">
        <is>
          <t>Y</t>
        </is>
      </c>
      <c r="I1232">
        <f>HYPERLINK("https://admin.shopify.com/store/ge-beauty-cosmeticos/customers/10071588503872","abrir")</f>
        <v/>
      </c>
      <c r="J1232">
        <f>HYPERLINK("https://www.gebeauty.com.br/products/primer-cachos-definidos?ref=review","review")</f>
        <v/>
      </c>
      <c r="K1232" t="inlineStr">
        <is>
          <t>HOLDOUT</t>
        </is>
      </c>
    </row>
    <row r="1233">
      <c r="A1233" t="inlineStr">
        <is>
          <t>Nadir</t>
        </is>
      </c>
      <c r="B1233" t="inlineStr">
        <is>
          <t>+5511983398000</t>
        </is>
      </c>
      <c r="C1233" t="inlineStr">
        <is>
          <t>Refill</t>
        </is>
      </c>
      <c r="D1233" t="inlineStr">
        <is>
          <t>Primer Cachos</t>
        </is>
      </c>
      <c r="E1233" t="n">
        <v>1</v>
      </c>
      <c r="F1233" t="inlineStr">
        <is>
          <t>2026-01-20</t>
        </is>
      </c>
      <c r="G1233" t="n">
        <v>165</v>
      </c>
      <c r="H1233" t="inlineStr">
        <is>
          <t>Y</t>
        </is>
      </c>
      <c r="I1233">
        <f>HYPERLINK("https://admin.shopify.com/store/ge-beauty-cosmeticos/customers/10071603216704","abrir")</f>
        <v/>
      </c>
      <c r="J1233">
        <f>HYPERLINK("https://www.gebeauty.com.br/products/primer-cachos-definidos?ref=review","review")</f>
        <v/>
      </c>
      <c r="K1233" t="inlineStr">
        <is>
          <t>SEND</t>
        </is>
      </c>
    </row>
    <row r="1234">
      <c r="A1234" t="inlineStr">
        <is>
          <t>Mariana</t>
        </is>
      </c>
      <c r="B1234" t="inlineStr">
        <is>
          <t>+5598991460230</t>
        </is>
      </c>
      <c r="C1234" t="inlineStr">
        <is>
          <t>Refill</t>
        </is>
      </c>
      <c r="D1234" t="inlineStr">
        <is>
          <t>Primer Cachos</t>
        </is>
      </c>
      <c r="E1234" t="n">
        <v>1</v>
      </c>
      <c r="F1234" t="inlineStr">
        <is>
          <t>2026-01-20</t>
        </is>
      </c>
      <c r="G1234" t="n">
        <v>165</v>
      </c>
      <c r="H1234" t="inlineStr">
        <is>
          <t>Y</t>
        </is>
      </c>
      <c r="I1234">
        <f>HYPERLINK("https://admin.shopify.com/store/ge-beauty-cosmeticos/customers/10071610655040","abrir")</f>
        <v/>
      </c>
      <c r="J1234">
        <f>HYPERLINK("https://www.gebeauty.com.br/products/primer-cachos-definidos?ref=review","review")</f>
        <v/>
      </c>
      <c r="K1234" t="inlineStr">
        <is>
          <t>HOLDOUT</t>
        </is>
      </c>
    </row>
    <row r="1235">
      <c r="A1235" t="inlineStr">
        <is>
          <t>Maria</t>
        </is>
      </c>
      <c r="B1235" t="inlineStr">
        <is>
          <t>+5512991351751</t>
        </is>
      </c>
      <c r="C1235" t="inlineStr">
        <is>
          <t>Refill</t>
        </is>
      </c>
      <c r="D1235" t="inlineStr">
        <is>
          <t>Primer Cachos</t>
        </is>
      </c>
      <c r="E1235" t="n">
        <v>1</v>
      </c>
      <c r="F1235" t="inlineStr">
        <is>
          <t>2026-01-20</t>
        </is>
      </c>
      <c r="G1235" t="n">
        <v>165</v>
      </c>
      <c r="H1235" t="inlineStr">
        <is>
          <t>Y</t>
        </is>
      </c>
      <c r="I1235">
        <f>HYPERLINK("https://admin.shopify.com/store/ge-beauty-cosmeticos/customers/10071597809984","abrir")</f>
        <v/>
      </c>
      <c r="J1235">
        <f>HYPERLINK("https://www.gebeauty.com.br/products/primer-cachos-definidos?ref=review","review")</f>
        <v/>
      </c>
      <c r="K1235" t="inlineStr">
        <is>
          <t>SEND</t>
        </is>
      </c>
    </row>
    <row r="1236">
      <c r="A1236" t="inlineStr">
        <is>
          <t>Roberta</t>
        </is>
      </c>
      <c r="B1236" t="inlineStr">
        <is>
          <t>+5511941632124</t>
        </is>
      </c>
      <c r="C1236" t="inlineStr">
        <is>
          <t>Refill</t>
        </is>
      </c>
      <c r="D1236" t="inlineStr">
        <is>
          <t>Primer Cachos</t>
        </is>
      </c>
      <c r="E1236" t="n">
        <v>1</v>
      </c>
      <c r="F1236" t="inlineStr">
        <is>
          <t>2026-01-20</t>
        </is>
      </c>
      <c r="G1236" t="n">
        <v>165</v>
      </c>
      <c r="H1236" t="inlineStr">
        <is>
          <t>Y</t>
        </is>
      </c>
      <c r="I1236">
        <f>HYPERLINK("https://admin.shopify.com/store/ge-beauty-cosmeticos/customers/10071612784960","abrir")</f>
        <v/>
      </c>
      <c r="J1236">
        <f>HYPERLINK("https://www.gebeauty.com.br/products/primer-cachos-definidos?ref=review","review")</f>
        <v/>
      </c>
      <c r="K1236" t="inlineStr">
        <is>
          <t>SEND</t>
        </is>
      </c>
    </row>
    <row r="1237">
      <c r="A1237" t="inlineStr">
        <is>
          <t>Sonia</t>
        </is>
      </c>
      <c r="B1237" t="inlineStr">
        <is>
          <t>+5524981620222</t>
        </is>
      </c>
      <c r="C1237" t="inlineStr">
        <is>
          <t>Refill</t>
        </is>
      </c>
      <c r="D1237" t="inlineStr">
        <is>
          <t>Primer Cachos</t>
        </is>
      </c>
      <c r="E1237" t="n">
        <v>1</v>
      </c>
      <c r="F1237" t="inlineStr">
        <is>
          <t>2026-01-20</t>
        </is>
      </c>
      <c r="G1237" t="n">
        <v>165</v>
      </c>
      <c r="H1237" t="inlineStr">
        <is>
          <t>Y</t>
        </is>
      </c>
      <c r="I1237">
        <f>HYPERLINK("https://admin.shopify.com/store/ge-beauty-cosmeticos/customers/10071622189376","abrir")</f>
        <v/>
      </c>
      <c r="J1237">
        <f>HYPERLINK("https://www.gebeauty.com.br/products/primer-cachos-definidos?ref=review","review")</f>
        <v/>
      </c>
      <c r="K1237" t="inlineStr">
        <is>
          <t>HOLDOUT</t>
        </is>
      </c>
    </row>
    <row r="1238">
      <c r="A1238" t="inlineStr">
        <is>
          <t>Simone</t>
        </is>
      </c>
      <c r="B1238" t="inlineStr">
        <is>
          <t>+5521981293030</t>
        </is>
      </c>
      <c r="C1238" t="inlineStr">
        <is>
          <t>Refill</t>
        </is>
      </c>
      <c r="D1238" t="inlineStr">
        <is>
          <t>Primer Cachos</t>
        </is>
      </c>
      <c r="E1238" t="n">
        <v>1</v>
      </c>
      <c r="F1238" t="inlineStr">
        <is>
          <t>2026-01-20</t>
        </is>
      </c>
      <c r="G1238" t="n">
        <v>165</v>
      </c>
      <c r="H1238" t="inlineStr">
        <is>
          <t>Y</t>
        </is>
      </c>
      <c r="I1238">
        <f>HYPERLINK("https://admin.shopify.com/store/ge-beauty-cosmeticos/customers/10071699161408","abrir")</f>
        <v/>
      </c>
      <c r="J1238">
        <f>HYPERLINK("https://www.gebeauty.com.br/products/primer-cachos-definidos?ref=review","review")</f>
        <v/>
      </c>
      <c r="K1238" t="inlineStr">
        <is>
          <t>SEND</t>
        </is>
      </c>
    </row>
    <row r="1239">
      <c r="A1239" t="inlineStr">
        <is>
          <t>Luciane</t>
        </is>
      </c>
      <c r="B1239" t="inlineStr">
        <is>
          <t>+5551996898478</t>
        </is>
      </c>
      <c r="C1239" t="inlineStr">
        <is>
          <t>Refill</t>
        </is>
      </c>
      <c r="D1239" t="inlineStr">
        <is>
          <t>Primer Cachos</t>
        </is>
      </c>
      <c r="E1239" t="n">
        <v>1</v>
      </c>
      <c r="F1239" t="inlineStr">
        <is>
          <t>2026-01-20</t>
        </is>
      </c>
      <c r="G1239" t="n">
        <v>165</v>
      </c>
      <c r="H1239" t="inlineStr">
        <is>
          <t>Y</t>
        </is>
      </c>
      <c r="I1239">
        <f>HYPERLINK("https://admin.shopify.com/store/ge-beauty-cosmeticos/customers/10071764336960","abrir")</f>
        <v/>
      </c>
      <c r="J1239">
        <f>HYPERLINK("https://www.gebeauty.com.br/products/primer-cachos-definidos?ref=review","review")</f>
        <v/>
      </c>
      <c r="K1239" t="inlineStr">
        <is>
          <t>SEND</t>
        </is>
      </c>
    </row>
    <row r="1240">
      <c r="A1240" t="inlineStr">
        <is>
          <t>Letícia</t>
        </is>
      </c>
      <c r="B1240" t="inlineStr">
        <is>
          <t>+5521981952222</t>
        </is>
      </c>
      <c r="C1240" t="inlineStr">
        <is>
          <t>Refill</t>
        </is>
      </c>
      <c r="D1240" t="inlineStr">
        <is>
          <t>Primer Cachos</t>
        </is>
      </c>
      <c r="E1240" t="n">
        <v>1</v>
      </c>
      <c r="F1240" t="inlineStr">
        <is>
          <t>2026-01-20</t>
        </is>
      </c>
      <c r="G1240" t="n">
        <v>165</v>
      </c>
      <c r="H1240" t="inlineStr">
        <is>
          <t>Y</t>
        </is>
      </c>
      <c r="I1240">
        <f>HYPERLINK("https://admin.shopify.com/store/ge-beauty-cosmeticos/customers/9849635864896","abrir")</f>
        <v/>
      </c>
      <c r="J1240">
        <f>HYPERLINK("https://www.gebeauty.com.br/products/primer-cachos-definidos?ref=review","review")</f>
        <v/>
      </c>
      <c r="K1240" t="inlineStr">
        <is>
          <t>SEND</t>
        </is>
      </c>
    </row>
    <row r="1241">
      <c r="A1241" t="inlineStr">
        <is>
          <t>Mariane</t>
        </is>
      </c>
      <c r="B1241" t="inlineStr">
        <is>
          <t>+5511981059870</t>
        </is>
      </c>
      <c r="C1241" t="inlineStr">
        <is>
          <t>Refill</t>
        </is>
      </c>
      <c r="D1241" t="inlineStr">
        <is>
          <t>Primer Cachos</t>
        </is>
      </c>
      <c r="E1241" t="n">
        <v>1</v>
      </c>
      <c r="F1241" t="inlineStr">
        <is>
          <t>2026-01-20</t>
        </is>
      </c>
      <c r="G1241" t="n">
        <v>165</v>
      </c>
      <c r="H1241" t="inlineStr">
        <is>
          <t>Y</t>
        </is>
      </c>
      <c r="I1241">
        <f>HYPERLINK("https://admin.shopify.com/store/ge-beauty-cosmeticos/customers/10071874502976","abrir")</f>
        <v/>
      </c>
      <c r="J1241">
        <f>HYPERLINK("https://www.gebeauty.com.br/products/primer-cachos-definidos?ref=review","review")</f>
        <v/>
      </c>
      <c r="K1241" t="inlineStr">
        <is>
          <t>SEND</t>
        </is>
      </c>
    </row>
    <row r="1242">
      <c r="A1242" t="inlineStr">
        <is>
          <t>Jane</t>
        </is>
      </c>
      <c r="B1242" t="inlineStr">
        <is>
          <t>+5531975954614</t>
        </is>
      </c>
      <c r="C1242" t="inlineStr">
        <is>
          <t>Refill</t>
        </is>
      </c>
      <c r="D1242" t="inlineStr">
        <is>
          <t>Primer Cachos</t>
        </is>
      </c>
      <c r="E1242" t="n">
        <v>1</v>
      </c>
      <c r="F1242" t="inlineStr">
        <is>
          <t>2026-01-20</t>
        </is>
      </c>
      <c r="G1242" t="n">
        <v>165</v>
      </c>
      <c r="H1242" t="inlineStr">
        <is>
          <t>Y</t>
        </is>
      </c>
      <c r="I1242">
        <f>HYPERLINK("https://admin.shopify.com/store/ge-beauty-cosmeticos/customers/10072341086528","abrir")</f>
        <v/>
      </c>
      <c r="J1242">
        <f>HYPERLINK("https://www.gebeauty.com.br/products/primer-cachos-definidos?ref=review","review")</f>
        <v/>
      </c>
      <c r="K1242" t="inlineStr">
        <is>
          <t>SEND</t>
        </is>
      </c>
    </row>
    <row r="1243">
      <c r="A1243" t="inlineStr">
        <is>
          <t>Carmem Silvia</t>
        </is>
      </c>
      <c r="B1243" t="inlineStr">
        <is>
          <t>+5519992670714</t>
        </is>
      </c>
      <c r="C1243" t="inlineStr">
        <is>
          <t>Refill</t>
        </is>
      </c>
      <c r="D1243" t="inlineStr">
        <is>
          <t>Primer Cachos</t>
        </is>
      </c>
      <c r="E1243" t="n">
        <v>1</v>
      </c>
      <c r="F1243" t="inlineStr">
        <is>
          <t>2026-01-20</t>
        </is>
      </c>
      <c r="G1243" t="n">
        <v>165</v>
      </c>
      <c r="H1243" t="inlineStr">
        <is>
          <t>Y</t>
        </is>
      </c>
      <c r="I1243">
        <f>HYPERLINK("https://admin.shopify.com/store/ge-beauty-cosmeticos/customers/10072340660544","abrir")</f>
        <v/>
      </c>
      <c r="J1243">
        <f>HYPERLINK("https://www.gebeauty.com.br/products/primer-cachos-definidos?ref=review","review")</f>
        <v/>
      </c>
      <c r="K1243" t="inlineStr">
        <is>
          <t>SEND</t>
        </is>
      </c>
    </row>
    <row r="1244">
      <c r="A1244" t="inlineStr">
        <is>
          <t>Renata</t>
        </is>
      </c>
      <c r="B1244" t="inlineStr">
        <is>
          <t>+5511996118133</t>
        </is>
      </c>
      <c r="C1244" t="inlineStr">
        <is>
          <t>Refill</t>
        </is>
      </c>
      <c r="D1244" t="inlineStr">
        <is>
          <t>Primer Cachos</t>
        </is>
      </c>
      <c r="E1244" t="n">
        <v>1</v>
      </c>
      <c r="F1244" t="inlineStr">
        <is>
          <t>2026-01-20</t>
        </is>
      </c>
      <c r="G1244" t="n">
        <v>165</v>
      </c>
      <c r="H1244" t="inlineStr">
        <is>
          <t>Y</t>
        </is>
      </c>
      <c r="I1244">
        <f>HYPERLINK("https://admin.shopify.com/store/ge-beauty-cosmeticos/customers/10072638816576","abrir")</f>
        <v/>
      </c>
      <c r="J1244">
        <f>HYPERLINK("https://www.gebeauty.com.br/products/primer-cachos-definidos?ref=review","review")</f>
        <v/>
      </c>
      <c r="K1244" t="inlineStr">
        <is>
          <t>SEND</t>
        </is>
      </c>
    </row>
    <row r="1245">
      <c r="A1245" t="inlineStr">
        <is>
          <t>Karoline</t>
        </is>
      </c>
      <c r="B1245" t="inlineStr">
        <is>
          <t>+5511963425051</t>
        </is>
      </c>
      <c r="C1245" t="inlineStr">
        <is>
          <t>Refill</t>
        </is>
      </c>
      <c r="D1245" t="inlineStr">
        <is>
          <t>Primer Cachos</t>
        </is>
      </c>
      <c r="E1245" t="n">
        <v>1</v>
      </c>
      <c r="F1245" t="inlineStr">
        <is>
          <t>2026-01-20</t>
        </is>
      </c>
      <c r="G1245" t="n">
        <v>165</v>
      </c>
      <c r="H1245" t="inlineStr">
        <is>
          <t>Y</t>
        </is>
      </c>
      <c r="I1245">
        <f>HYPERLINK("https://admin.shopify.com/store/ge-beauty-cosmeticos/customers/10072649597248","abrir")</f>
        <v/>
      </c>
      <c r="J1245">
        <f>HYPERLINK("https://www.gebeauty.com.br/products/primer-cachos-definidos?ref=review","review")</f>
        <v/>
      </c>
      <c r="K1245" t="inlineStr">
        <is>
          <t>SEND</t>
        </is>
      </c>
    </row>
    <row r="1246">
      <c r="A1246" t="inlineStr">
        <is>
          <t>Raiza</t>
        </is>
      </c>
      <c r="B1246" t="inlineStr">
        <is>
          <t>+5561992975308</t>
        </is>
      </c>
      <c r="C1246" t="inlineStr">
        <is>
          <t>Refill</t>
        </is>
      </c>
      <c r="D1246" t="inlineStr">
        <is>
          <t>Primer Cachos</t>
        </is>
      </c>
      <c r="E1246" t="n">
        <v>1</v>
      </c>
      <c r="F1246" t="inlineStr">
        <is>
          <t>2026-01-20</t>
        </is>
      </c>
      <c r="G1246" t="n">
        <v>165</v>
      </c>
      <c r="H1246" t="inlineStr">
        <is>
          <t>Y</t>
        </is>
      </c>
      <c r="I1246">
        <f>HYPERLINK("https://admin.shopify.com/store/ge-beauty-cosmeticos/customers/10072655397184","abrir")</f>
        <v/>
      </c>
      <c r="J1246">
        <f>HYPERLINK("https://www.gebeauty.com.br/products/primer-cachos-definidos?ref=review","review")</f>
        <v/>
      </c>
      <c r="K1246" t="inlineStr">
        <is>
          <t>SEND</t>
        </is>
      </c>
    </row>
    <row r="1247">
      <c r="A1247" t="inlineStr">
        <is>
          <t>Rafaella</t>
        </is>
      </c>
      <c r="B1247" t="inlineStr">
        <is>
          <t>+5511992656409</t>
        </is>
      </c>
      <c r="C1247" t="inlineStr">
        <is>
          <t>Refill</t>
        </is>
      </c>
      <c r="D1247" t="inlineStr">
        <is>
          <t>Primer Cachos</t>
        </is>
      </c>
      <c r="E1247" t="n">
        <v>1</v>
      </c>
      <c r="F1247" t="inlineStr">
        <is>
          <t>2026-01-20</t>
        </is>
      </c>
      <c r="G1247" t="n">
        <v>165</v>
      </c>
      <c r="H1247" t="inlineStr">
        <is>
          <t>Y</t>
        </is>
      </c>
      <c r="I1247">
        <f>HYPERLINK("https://admin.shopify.com/store/ge-beauty-cosmeticos/customers/10072668864832","abrir")</f>
        <v/>
      </c>
      <c r="J1247">
        <f>HYPERLINK("https://www.gebeauty.com.br/products/primer-cachos-definidos?ref=review","review")</f>
        <v/>
      </c>
      <c r="K1247" t="inlineStr">
        <is>
          <t>SEND</t>
        </is>
      </c>
    </row>
    <row r="1248">
      <c r="A1248" t="inlineStr">
        <is>
          <t>Rosicler</t>
        </is>
      </c>
      <c r="B1248" t="inlineStr">
        <is>
          <t>+5517997727927</t>
        </is>
      </c>
      <c r="C1248" t="inlineStr">
        <is>
          <t>Refill</t>
        </is>
      </c>
      <c r="D1248" t="inlineStr">
        <is>
          <t>Primer Cachos</t>
        </is>
      </c>
      <c r="E1248" t="n">
        <v>1</v>
      </c>
      <c r="F1248" t="inlineStr">
        <is>
          <t>2026-01-20</t>
        </is>
      </c>
      <c r="G1248" t="n">
        <v>165</v>
      </c>
      <c r="H1248" t="inlineStr">
        <is>
          <t>Y</t>
        </is>
      </c>
      <c r="I1248">
        <f>HYPERLINK("https://admin.shopify.com/store/ge-beauty-cosmeticos/customers/10072669421888","abrir")</f>
        <v/>
      </c>
      <c r="J1248">
        <f>HYPERLINK("https://www.gebeauty.com.br/products/primer-cachos-definidos?ref=review","review")</f>
        <v/>
      </c>
      <c r="K1248" t="inlineStr">
        <is>
          <t>SEND</t>
        </is>
      </c>
    </row>
    <row r="1249">
      <c r="A1249" t="inlineStr">
        <is>
          <t>Daniela</t>
        </is>
      </c>
      <c r="B1249" t="inlineStr">
        <is>
          <t>+5511951752443</t>
        </is>
      </c>
      <c r="C1249" t="inlineStr">
        <is>
          <t>Refill</t>
        </is>
      </c>
      <c r="D1249" t="inlineStr">
        <is>
          <t>Primer Cachos</t>
        </is>
      </c>
      <c r="E1249" t="n">
        <v>1</v>
      </c>
      <c r="F1249" t="inlineStr">
        <is>
          <t>2026-01-20</t>
        </is>
      </c>
      <c r="G1249" t="n">
        <v>165</v>
      </c>
      <c r="H1249" t="inlineStr">
        <is>
          <t>Y</t>
        </is>
      </c>
      <c r="I1249">
        <f>HYPERLINK("https://admin.shopify.com/store/ge-beauty-cosmeticos/customers/10072689803584","abrir")</f>
        <v/>
      </c>
      <c r="J1249">
        <f>HYPERLINK("https://www.gebeauty.com.br/products/primer-cachos-definidos?ref=review","review")</f>
        <v/>
      </c>
      <c r="K1249" t="inlineStr">
        <is>
          <t>SEND</t>
        </is>
      </c>
    </row>
    <row r="1250">
      <c r="A1250" t="inlineStr">
        <is>
          <t>Helena</t>
        </is>
      </c>
      <c r="B1250" t="inlineStr">
        <is>
          <t>+5537999264011</t>
        </is>
      </c>
      <c r="C1250" t="inlineStr">
        <is>
          <t>Refill</t>
        </is>
      </c>
      <c r="D1250" t="inlineStr">
        <is>
          <t>Primer Cachos</t>
        </is>
      </c>
      <c r="E1250" t="n">
        <v>1</v>
      </c>
      <c r="F1250" t="inlineStr">
        <is>
          <t>2026-01-20</t>
        </is>
      </c>
      <c r="G1250" t="n">
        <v>165</v>
      </c>
      <c r="H1250" t="inlineStr">
        <is>
          <t>Y</t>
        </is>
      </c>
      <c r="I1250">
        <f>HYPERLINK("https://admin.shopify.com/store/ge-beauty-cosmeticos/customers/10072710545728","abrir")</f>
        <v/>
      </c>
      <c r="J1250">
        <f>HYPERLINK("https://www.gebeauty.com.br/products/primer-cachos-definidos?ref=review","review")</f>
        <v/>
      </c>
      <c r="K1250" t="inlineStr">
        <is>
          <t>SEND</t>
        </is>
      </c>
    </row>
    <row r="1251">
      <c r="A1251" t="inlineStr">
        <is>
          <t>Deise</t>
        </is>
      </c>
      <c r="B1251" t="inlineStr">
        <is>
          <t>+5511989433016</t>
        </is>
      </c>
      <c r="C1251" t="inlineStr">
        <is>
          <t>Refill</t>
        </is>
      </c>
      <c r="D1251" t="inlineStr">
        <is>
          <t>Primer Cachos</t>
        </is>
      </c>
      <c r="E1251" t="n">
        <v>1</v>
      </c>
      <c r="F1251" t="inlineStr">
        <is>
          <t>2026-01-20</t>
        </is>
      </c>
      <c r="G1251" t="n">
        <v>165</v>
      </c>
      <c r="H1251" t="inlineStr">
        <is>
          <t>Y</t>
        </is>
      </c>
      <c r="I1251">
        <f>HYPERLINK("https://admin.shopify.com/store/ge-beauty-cosmeticos/customers/10072711790912","abrir")</f>
        <v/>
      </c>
      <c r="J1251">
        <f>HYPERLINK("https://www.gebeauty.com.br/products/primer-cachos-definidos?ref=review","review")</f>
        <v/>
      </c>
      <c r="K1251" t="inlineStr">
        <is>
          <t>SEND</t>
        </is>
      </c>
    </row>
    <row r="1252">
      <c r="A1252" t="inlineStr">
        <is>
          <t>Sueli</t>
        </is>
      </c>
      <c r="B1252" t="inlineStr">
        <is>
          <t>+5511992530343</t>
        </is>
      </c>
      <c r="C1252" t="inlineStr">
        <is>
          <t>Refill</t>
        </is>
      </c>
      <c r="D1252" t="inlineStr">
        <is>
          <t>Primer Cachos</t>
        </is>
      </c>
      <c r="E1252" t="n">
        <v>1</v>
      </c>
      <c r="F1252" t="inlineStr">
        <is>
          <t>2026-01-20</t>
        </is>
      </c>
      <c r="G1252" t="n">
        <v>165</v>
      </c>
      <c r="H1252" t="inlineStr">
        <is>
          <t>Y</t>
        </is>
      </c>
      <c r="I1252">
        <f>HYPERLINK("https://admin.shopify.com/store/ge-beauty-cosmeticos/customers/10072664408384","abrir")</f>
        <v/>
      </c>
      <c r="J1252">
        <f>HYPERLINK("https://www.gebeauty.com.br/products/primer-cachos-definidos?ref=review","review")</f>
        <v/>
      </c>
      <c r="K1252" t="inlineStr">
        <is>
          <t>SEND</t>
        </is>
      </c>
    </row>
    <row r="1253">
      <c r="A1253" t="inlineStr">
        <is>
          <t>Maria</t>
        </is>
      </c>
      <c r="B1253" t="inlineStr">
        <is>
          <t>+5514997728417</t>
        </is>
      </c>
      <c r="C1253" t="inlineStr">
        <is>
          <t>Refill</t>
        </is>
      </c>
      <c r="D1253" t="inlineStr">
        <is>
          <t>Primer Cachos</t>
        </is>
      </c>
      <c r="E1253" t="n">
        <v>1</v>
      </c>
      <c r="F1253" t="inlineStr">
        <is>
          <t>2026-01-20</t>
        </is>
      </c>
      <c r="G1253" t="n">
        <v>165</v>
      </c>
      <c r="H1253" t="inlineStr">
        <is>
          <t>Y</t>
        </is>
      </c>
      <c r="I1253">
        <f>HYPERLINK("https://admin.shopify.com/store/ge-beauty-cosmeticos/customers/10072746000704","abrir")</f>
        <v/>
      </c>
      <c r="J1253">
        <f>HYPERLINK("https://www.gebeauty.com.br/products/primer-cachos-definidos?ref=review","review")</f>
        <v/>
      </c>
      <c r="K1253" t="inlineStr">
        <is>
          <t>SEND</t>
        </is>
      </c>
    </row>
    <row r="1254">
      <c r="A1254" t="inlineStr">
        <is>
          <t>Nathália</t>
        </is>
      </c>
      <c r="B1254" t="inlineStr">
        <is>
          <t>+5564999632001</t>
        </is>
      </c>
      <c r="C1254" t="inlineStr">
        <is>
          <t>Refill</t>
        </is>
      </c>
      <c r="D1254" t="inlineStr">
        <is>
          <t>Primer Cachos</t>
        </is>
      </c>
      <c r="E1254" t="n">
        <v>1</v>
      </c>
      <c r="F1254" t="inlineStr">
        <is>
          <t>2026-01-20</t>
        </is>
      </c>
      <c r="G1254" t="n">
        <v>165</v>
      </c>
      <c r="H1254" t="inlineStr">
        <is>
          <t>Y</t>
        </is>
      </c>
      <c r="I1254">
        <f>HYPERLINK("https://admin.shopify.com/store/ge-beauty-cosmeticos/customers/10072720343360","abrir")</f>
        <v/>
      </c>
      <c r="J1254">
        <f>HYPERLINK("https://www.gebeauty.com.br/products/primer-cachos-definidos?ref=review","review")</f>
        <v/>
      </c>
      <c r="K1254" t="inlineStr">
        <is>
          <t>SEND</t>
        </is>
      </c>
    </row>
    <row r="1255">
      <c r="A1255" t="inlineStr">
        <is>
          <t>Amanda</t>
        </is>
      </c>
      <c r="B1255" t="inlineStr">
        <is>
          <t>+5581997041630</t>
        </is>
      </c>
      <c r="C1255" t="inlineStr">
        <is>
          <t>Refill</t>
        </is>
      </c>
      <c r="D1255" t="inlineStr">
        <is>
          <t>Primer Cachos</t>
        </is>
      </c>
      <c r="E1255" t="n">
        <v>1</v>
      </c>
      <c r="F1255" t="inlineStr">
        <is>
          <t>2026-01-20</t>
        </is>
      </c>
      <c r="G1255" t="n">
        <v>165</v>
      </c>
      <c r="H1255" t="inlineStr">
        <is>
          <t>Y</t>
        </is>
      </c>
      <c r="I1255">
        <f>HYPERLINK("https://admin.shopify.com/store/ge-beauty-cosmeticos/customers/7761175413056","abrir")</f>
        <v/>
      </c>
      <c r="J1255">
        <f>HYPERLINK("https://www.gebeauty.com.br/products/primer-cachos-definidos?ref=review","review")</f>
        <v/>
      </c>
      <c r="K1255" t="inlineStr">
        <is>
          <t>SEND</t>
        </is>
      </c>
    </row>
    <row r="1256">
      <c r="A1256" t="inlineStr">
        <is>
          <t>Cláudia</t>
        </is>
      </c>
      <c r="B1256" t="inlineStr">
        <is>
          <t>+5561999764424</t>
        </is>
      </c>
      <c r="C1256" t="inlineStr">
        <is>
          <t>Refill</t>
        </is>
      </c>
      <c r="D1256" t="inlineStr">
        <is>
          <t>Primer Cachos</t>
        </is>
      </c>
      <c r="E1256" t="n">
        <v>1</v>
      </c>
      <c r="F1256" t="inlineStr">
        <is>
          <t>2026-01-20</t>
        </is>
      </c>
      <c r="G1256" t="n">
        <v>165</v>
      </c>
      <c r="H1256" t="inlineStr">
        <is>
          <t>Y</t>
        </is>
      </c>
      <c r="I1256">
        <f>HYPERLINK("https://admin.shopify.com/store/ge-beauty-cosmeticos/customers/10072784666944","abrir")</f>
        <v/>
      </c>
      <c r="J1256">
        <f>HYPERLINK("https://www.gebeauty.com.br/products/primer-cachos-definidos?ref=review","review")</f>
        <v/>
      </c>
      <c r="K1256" t="inlineStr">
        <is>
          <t>SEND</t>
        </is>
      </c>
    </row>
    <row r="1257">
      <c r="A1257" t="inlineStr">
        <is>
          <t>Angela</t>
        </is>
      </c>
      <c r="B1257" t="inlineStr">
        <is>
          <t>+5511994238840</t>
        </is>
      </c>
      <c r="C1257" t="inlineStr">
        <is>
          <t>Refill</t>
        </is>
      </c>
      <c r="D1257" t="inlineStr">
        <is>
          <t>Primer Cachos</t>
        </is>
      </c>
      <c r="E1257" t="n">
        <v>1</v>
      </c>
      <c r="F1257" t="inlineStr">
        <is>
          <t>2026-01-20</t>
        </is>
      </c>
      <c r="G1257" t="n">
        <v>165</v>
      </c>
      <c r="H1257" t="inlineStr">
        <is>
          <t>Y</t>
        </is>
      </c>
      <c r="I1257">
        <f>HYPERLINK("https://admin.shopify.com/store/ge-beauty-cosmeticos/customers/10072795578688","abrir")</f>
        <v/>
      </c>
      <c r="J1257">
        <f>HYPERLINK("https://www.gebeauty.com.br/products/primer-cachos-definidos?ref=review","review")</f>
        <v/>
      </c>
      <c r="K1257" t="inlineStr">
        <is>
          <t>SEND</t>
        </is>
      </c>
    </row>
    <row r="1258">
      <c r="A1258" t="inlineStr">
        <is>
          <t>Francisca</t>
        </is>
      </c>
      <c r="B1258" t="inlineStr">
        <is>
          <t>+5588998064881</t>
        </is>
      </c>
      <c r="C1258" t="inlineStr">
        <is>
          <t>Refill</t>
        </is>
      </c>
      <c r="D1258" t="inlineStr">
        <is>
          <t>Primer Cachos</t>
        </is>
      </c>
      <c r="E1258" t="n">
        <v>1</v>
      </c>
      <c r="F1258" t="inlineStr">
        <is>
          <t>2026-01-20</t>
        </is>
      </c>
      <c r="G1258" t="n">
        <v>165</v>
      </c>
      <c r="H1258" t="inlineStr">
        <is>
          <t>Y</t>
        </is>
      </c>
      <c r="I1258">
        <f>HYPERLINK("https://admin.shopify.com/store/ge-beauty-cosmeticos/customers/10072808096064","abrir")</f>
        <v/>
      </c>
      <c r="J1258">
        <f>HYPERLINK("https://www.gebeauty.com.br/products/primer-cachos-definidos?ref=review","review")</f>
        <v/>
      </c>
      <c r="K1258" t="inlineStr">
        <is>
          <t>SEND</t>
        </is>
      </c>
    </row>
    <row r="1259">
      <c r="A1259" t="inlineStr">
        <is>
          <t>Sandra</t>
        </is>
      </c>
      <c r="B1259" t="inlineStr">
        <is>
          <t>+5561999811300</t>
        </is>
      </c>
      <c r="C1259" t="inlineStr">
        <is>
          <t>Refill</t>
        </is>
      </c>
      <c r="D1259" t="inlineStr">
        <is>
          <t>Primer Cachos</t>
        </is>
      </c>
      <c r="E1259" t="n">
        <v>1</v>
      </c>
      <c r="F1259" t="inlineStr">
        <is>
          <t>2026-01-20</t>
        </is>
      </c>
      <c r="G1259" t="n">
        <v>165</v>
      </c>
      <c r="H1259" t="inlineStr">
        <is>
          <t>Y</t>
        </is>
      </c>
      <c r="I1259">
        <f>HYPERLINK("https://admin.shopify.com/store/ge-beauty-cosmeticos/customers/10072818778432","abrir")</f>
        <v/>
      </c>
      <c r="J1259">
        <f>HYPERLINK("https://www.gebeauty.com.br/products/primer-cachos-definidos?ref=review","review")</f>
        <v/>
      </c>
      <c r="K1259" t="inlineStr">
        <is>
          <t>SEND</t>
        </is>
      </c>
    </row>
    <row r="1260">
      <c r="A1260" t="inlineStr">
        <is>
          <t>Solange</t>
        </is>
      </c>
      <c r="B1260" t="inlineStr">
        <is>
          <t>+5518996612100</t>
        </is>
      </c>
      <c r="C1260" t="inlineStr">
        <is>
          <t>Refill</t>
        </is>
      </c>
      <c r="D1260" t="inlineStr">
        <is>
          <t>Primer Cachos</t>
        </is>
      </c>
      <c r="E1260" t="n">
        <v>1</v>
      </c>
      <c r="F1260" t="inlineStr">
        <is>
          <t>2026-01-20</t>
        </is>
      </c>
      <c r="G1260" t="n">
        <v>165</v>
      </c>
      <c r="H1260" t="inlineStr">
        <is>
          <t>Y</t>
        </is>
      </c>
      <c r="I1260">
        <f>HYPERLINK("https://admin.shopify.com/store/ge-beauty-cosmeticos/customers/10072797610304","abrir")</f>
        <v/>
      </c>
      <c r="J1260">
        <f>HYPERLINK("https://www.gebeauty.com.br/products/primer-cachos-definidos?ref=review","review")</f>
        <v/>
      </c>
      <c r="K1260" t="inlineStr">
        <is>
          <t>HOLDOUT</t>
        </is>
      </c>
    </row>
    <row r="1261">
      <c r="A1261" t="inlineStr">
        <is>
          <t>Sandra</t>
        </is>
      </c>
      <c r="B1261" t="inlineStr">
        <is>
          <t>+5511944405845</t>
        </is>
      </c>
      <c r="C1261" t="inlineStr">
        <is>
          <t>Refill</t>
        </is>
      </c>
      <c r="D1261" t="inlineStr">
        <is>
          <t>Primer Cachos</t>
        </is>
      </c>
      <c r="E1261" t="n">
        <v>1</v>
      </c>
      <c r="F1261" t="inlineStr">
        <is>
          <t>2026-01-20</t>
        </is>
      </c>
      <c r="G1261" t="n">
        <v>165</v>
      </c>
      <c r="H1261" t="inlineStr">
        <is>
          <t>Y</t>
        </is>
      </c>
      <c r="I1261">
        <f>HYPERLINK("https://admin.shopify.com/store/ge-beauty-cosmeticos/customers/10072839127360","abrir")</f>
        <v/>
      </c>
      <c r="J1261">
        <f>HYPERLINK("https://www.gebeauty.com.br/products/primer-cachos-definidos?ref=review","review")</f>
        <v/>
      </c>
      <c r="K1261" t="inlineStr">
        <is>
          <t>HOLDOUT</t>
        </is>
      </c>
    </row>
    <row r="1262">
      <c r="A1262" t="inlineStr">
        <is>
          <t>Fabiana</t>
        </is>
      </c>
      <c r="B1262" t="inlineStr">
        <is>
          <t>+5511982130388</t>
        </is>
      </c>
      <c r="C1262" t="inlineStr">
        <is>
          <t>Refill</t>
        </is>
      </c>
      <c r="D1262" t="inlineStr">
        <is>
          <t>Primer Cachos</t>
        </is>
      </c>
      <c r="E1262" t="n">
        <v>1</v>
      </c>
      <c r="F1262" t="inlineStr">
        <is>
          <t>2026-01-20</t>
        </is>
      </c>
      <c r="G1262" t="n">
        <v>165</v>
      </c>
      <c r="H1262" t="inlineStr">
        <is>
          <t>Y</t>
        </is>
      </c>
      <c r="I1262">
        <f>HYPERLINK("https://admin.shopify.com/store/ge-beauty-cosmeticos/customers/10072846074176","abrir")</f>
        <v/>
      </c>
      <c r="J1262">
        <f>HYPERLINK("https://www.gebeauty.com.br/products/primer-cachos-definidos?ref=review","review")</f>
        <v/>
      </c>
      <c r="K1262" t="inlineStr">
        <is>
          <t>SEND</t>
        </is>
      </c>
    </row>
    <row r="1263">
      <c r="A1263" t="inlineStr">
        <is>
          <t>Gizela</t>
        </is>
      </c>
      <c r="B1263" t="inlineStr">
        <is>
          <t>+5511991820535</t>
        </is>
      </c>
      <c r="C1263" t="inlineStr">
        <is>
          <t>Refill</t>
        </is>
      </c>
      <c r="D1263" t="inlineStr">
        <is>
          <t>Primer Cachos</t>
        </is>
      </c>
      <c r="E1263" t="n">
        <v>1</v>
      </c>
      <c r="F1263" t="inlineStr">
        <is>
          <t>2026-01-20</t>
        </is>
      </c>
      <c r="G1263" t="n">
        <v>165</v>
      </c>
      <c r="H1263" t="inlineStr">
        <is>
          <t>Y</t>
        </is>
      </c>
      <c r="I1263">
        <f>HYPERLINK("https://admin.shopify.com/store/ge-beauty-cosmeticos/customers/10072846041408","abrir")</f>
        <v/>
      </c>
      <c r="J1263">
        <f>HYPERLINK("https://www.gebeauty.com.br/products/primer-cachos-definidos?ref=review","review")</f>
        <v/>
      </c>
      <c r="K1263" t="inlineStr">
        <is>
          <t>HOLDOUT</t>
        </is>
      </c>
    </row>
    <row r="1264">
      <c r="A1264" t="inlineStr">
        <is>
          <t>Luciana</t>
        </is>
      </c>
      <c r="B1264" t="inlineStr">
        <is>
          <t>+5521976768778</t>
        </is>
      </c>
      <c r="C1264" t="inlineStr">
        <is>
          <t>Refill</t>
        </is>
      </c>
      <c r="D1264" t="inlineStr">
        <is>
          <t>Primer Cachos</t>
        </is>
      </c>
      <c r="E1264" t="n">
        <v>1</v>
      </c>
      <c r="F1264" t="inlineStr">
        <is>
          <t>2026-01-20</t>
        </is>
      </c>
      <c r="G1264" t="n">
        <v>165</v>
      </c>
      <c r="H1264" t="inlineStr">
        <is>
          <t>Y</t>
        </is>
      </c>
      <c r="I1264">
        <f>HYPERLINK("https://admin.shopify.com/store/ge-beauty-cosmeticos/customers/10072861671744","abrir")</f>
        <v/>
      </c>
      <c r="J1264">
        <f>HYPERLINK("https://www.gebeauty.com.br/products/primer-cachos-definidos?ref=review","review")</f>
        <v/>
      </c>
      <c r="K1264" t="inlineStr">
        <is>
          <t>SEND</t>
        </is>
      </c>
    </row>
    <row r="1265">
      <c r="A1265" t="inlineStr">
        <is>
          <t>Daniela</t>
        </is>
      </c>
      <c r="B1265" t="inlineStr">
        <is>
          <t>+5531999045752</t>
        </is>
      </c>
      <c r="C1265" t="inlineStr">
        <is>
          <t>Refill</t>
        </is>
      </c>
      <c r="D1265" t="inlineStr">
        <is>
          <t>Primer Cachos</t>
        </is>
      </c>
      <c r="E1265" t="n">
        <v>1</v>
      </c>
      <c r="F1265" t="inlineStr">
        <is>
          <t>2026-01-20</t>
        </is>
      </c>
      <c r="G1265" t="n">
        <v>165</v>
      </c>
      <c r="H1265" t="inlineStr">
        <is>
          <t>Y</t>
        </is>
      </c>
      <c r="I1265">
        <f>HYPERLINK("https://admin.shopify.com/store/ge-beauty-cosmeticos/customers/10072862425408","abrir")</f>
        <v/>
      </c>
      <c r="J1265">
        <f>HYPERLINK("https://www.gebeauty.com.br/products/primer-cachos-definidos?ref=review","review")</f>
        <v/>
      </c>
      <c r="K1265" t="inlineStr">
        <is>
          <t>SEND</t>
        </is>
      </c>
    </row>
    <row r="1266">
      <c r="A1266" t="inlineStr">
        <is>
          <t>Simone</t>
        </is>
      </c>
      <c r="B1266" t="inlineStr">
        <is>
          <t>+5521992274901</t>
        </is>
      </c>
      <c r="C1266" t="inlineStr">
        <is>
          <t>Refill</t>
        </is>
      </c>
      <c r="D1266" t="inlineStr">
        <is>
          <t>Primer Cachos</t>
        </is>
      </c>
      <c r="E1266" t="n">
        <v>1</v>
      </c>
      <c r="F1266" t="inlineStr">
        <is>
          <t>2026-01-20</t>
        </is>
      </c>
      <c r="G1266" t="n">
        <v>165</v>
      </c>
      <c r="H1266" t="inlineStr">
        <is>
          <t>Y</t>
        </is>
      </c>
      <c r="I1266">
        <f>HYPERLINK("https://admin.shopify.com/store/ge-beauty-cosmeticos/customers/10072858394944","abrir")</f>
        <v/>
      </c>
      <c r="J1266">
        <f>HYPERLINK("https://www.gebeauty.com.br/products/primer-cachos-definidos?ref=review","review")</f>
        <v/>
      </c>
      <c r="K1266" t="inlineStr">
        <is>
          <t>SEND</t>
        </is>
      </c>
    </row>
    <row r="1267">
      <c r="A1267" t="inlineStr">
        <is>
          <t>Kelly</t>
        </is>
      </c>
      <c r="B1267" t="inlineStr">
        <is>
          <t>+5511980377200</t>
        </is>
      </c>
      <c r="C1267" t="inlineStr">
        <is>
          <t>Refill</t>
        </is>
      </c>
      <c r="D1267" t="inlineStr">
        <is>
          <t>Primer Cachos</t>
        </is>
      </c>
      <c r="E1267" t="n">
        <v>1</v>
      </c>
      <c r="F1267" t="inlineStr">
        <is>
          <t>2026-01-20</t>
        </is>
      </c>
      <c r="G1267" t="n">
        <v>165</v>
      </c>
      <c r="H1267" t="inlineStr">
        <is>
          <t>Y</t>
        </is>
      </c>
      <c r="I1267">
        <f>HYPERLINK("https://admin.shopify.com/store/ge-beauty-cosmeticos/customers/10072831066432","abrir")</f>
        <v/>
      </c>
      <c r="J1267">
        <f>HYPERLINK("https://www.gebeauty.com.br/products/primer-cachos-definidos?ref=review","review")</f>
        <v/>
      </c>
      <c r="K1267" t="inlineStr">
        <is>
          <t>SEND</t>
        </is>
      </c>
    </row>
    <row r="1268">
      <c r="A1268" t="inlineStr">
        <is>
          <t>Gislene</t>
        </is>
      </c>
      <c r="B1268" t="inlineStr">
        <is>
          <t>+5531997980105</t>
        </is>
      </c>
      <c r="C1268" t="inlineStr">
        <is>
          <t>Refill</t>
        </is>
      </c>
      <c r="D1268" t="inlineStr">
        <is>
          <t>Primer Cachos</t>
        </is>
      </c>
      <c r="E1268" t="n">
        <v>1</v>
      </c>
      <c r="F1268" t="inlineStr">
        <is>
          <t>2026-01-20</t>
        </is>
      </c>
      <c r="G1268" t="n">
        <v>165</v>
      </c>
      <c r="H1268" t="inlineStr">
        <is>
          <t>Y</t>
        </is>
      </c>
      <c r="I1268">
        <f>HYPERLINK("https://admin.shopify.com/store/ge-beauty-cosmeticos/customers/10072889819456","abrir")</f>
        <v/>
      </c>
      <c r="J1268">
        <f>HYPERLINK("https://www.gebeauty.com.br/products/primer-cachos-definidos?ref=review","review")</f>
        <v/>
      </c>
      <c r="K1268" t="inlineStr">
        <is>
          <t>SEND</t>
        </is>
      </c>
    </row>
    <row r="1269">
      <c r="A1269" t="inlineStr">
        <is>
          <t>Cristiane</t>
        </is>
      </c>
      <c r="B1269" t="inlineStr">
        <is>
          <t>+5511971500166</t>
        </is>
      </c>
      <c r="C1269" t="inlineStr">
        <is>
          <t>Refill</t>
        </is>
      </c>
      <c r="D1269" t="inlineStr">
        <is>
          <t>Primer Cachos</t>
        </is>
      </c>
      <c r="E1269" t="n">
        <v>1</v>
      </c>
      <c r="F1269" t="inlineStr">
        <is>
          <t>2026-01-20</t>
        </is>
      </c>
      <c r="G1269" t="n">
        <v>165</v>
      </c>
      <c r="H1269" t="inlineStr">
        <is>
          <t>Y</t>
        </is>
      </c>
      <c r="I1269">
        <f>HYPERLINK("https://admin.shopify.com/store/ge-beauty-cosmeticos/customers/10072871305536","abrir")</f>
        <v/>
      </c>
      <c r="J1269">
        <f>HYPERLINK("https://www.gebeauty.com.br/products/primer-cachos-definidos?ref=review","review")</f>
        <v/>
      </c>
      <c r="K1269" t="inlineStr">
        <is>
          <t>SEND</t>
        </is>
      </c>
    </row>
    <row r="1270">
      <c r="A1270" t="inlineStr">
        <is>
          <t>Maria Catarina</t>
        </is>
      </c>
      <c r="B1270" t="inlineStr">
        <is>
          <t>+5571991234226</t>
        </is>
      </c>
      <c r="C1270" t="inlineStr">
        <is>
          <t>Refill</t>
        </is>
      </c>
      <c r="D1270" t="inlineStr">
        <is>
          <t>Primer Cachos</t>
        </is>
      </c>
      <c r="E1270" t="n">
        <v>1</v>
      </c>
      <c r="F1270" t="inlineStr">
        <is>
          <t>2026-01-20</t>
        </is>
      </c>
      <c r="G1270" t="n">
        <v>165</v>
      </c>
      <c r="H1270" t="inlineStr">
        <is>
          <t>Y</t>
        </is>
      </c>
      <c r="I1270">
        <f>HYPERLINK("https://admin.shopify.com/store/ge-beauty-cosmeticos/customers/7761021829440","abrir")</f>
        <v/>
      </c>
      <c r="J1270">
        <f>HYPERLINK("https://www.gebeauty.com.br/products/primer-cachos-definidos?ref=review","review")</f>
        <v/>
      </c>
      <c r="K1270" t="inlineStr">
        <is>
          <t>SEND</t>
        </is>
      </c>
    </row>
    <row r="1271">
      <c r="A1271" t="inlineStr">
        <is>
          <t>Claudia</t>
        </is>
      </c>
      <c r="B1271" t="inlineStr">
        <is>
          <t>+5511999643824</t>
        </is>
      </c>
      <c r="C1271" t="inlineStr">
        <is>
          <t>Refill</t>
        </is>
      </c>
      <c r="D1271" t="inlineStr">
        <is>
          <t>Primer Cachos</t>
        </is>
      </c>
      <c r="E1271" t="n">
        <v>1</v>
      </c>
      <c r="F1271" t="inlineStr">
        <is>
          <t>2026-01-20</t>
        </is>
      </c>
      <c r="G1271" t="n">
        <v>165</v>
      </c>
      <c r="H1271" t="inlineStr">
        <is>
          <t>Y</t>
        </is>
      </c>
      <c r="I1271">
        <f>HYPERLINK("https://admin.shopify.com/store/ge-beauty-cosmeticos/customers/9172326678848","abrir")</f>
        <v/>
      </c>
      <c r="J1271">
        <f>HYPERLINK("https://www.gebeauty.com.br/products/primer-cachos-definidos?ref=review","review")</f>
        <v/>
      </c>
      <c r="K1271" t="inlineStr">
        <is>
          <t>SEND</t>
        </is>
      </c>
    </row>
    <row r="1272">
      <c r="A1272" t="inlineStr">
        <is>
          <t>Michelle</t>
        </is>
      </c>
      <c r="B1272" t="inlineStr">
        <is>
          <t>+5511998029635</t>
        </is>
      </c>
      <c r="C1272" t="inlineStr">
        <is>
          <t>Refill</t>
        </is>
      </c>
      <c r="D1272" t="inlineStr">
        <is>
          <t>Primer Cachos</t>
        </is>
      </c>
      <c r="E1272" t="n">
        <v>1</v>
      </c>
      <c r="F1272" t="inlineStr">
        <is>
          <t>2026-01-20</t>
        </is>
      </c>
      <c r="G1272" t="n">
        <v>165</v>
      </c>
      <c r="H1272" t="inlineStr">
        <is>
          <t>Y</t>
        </is>
      </c>
      <c r="I1272">
        <f>HYPERLINK("https://admin.shopify.com/store/ge-beauty-cosmeticos/customers/10072922489152","abrir")</f>
        <v/>
      </c>
      <c r="J1272">
        <f>HYPERLINK("https://www.gebeauty.com.br/products/primer-cachos-definidos?ref=review","review")</f>
        <v/>
      </c>
      <c r="K1272" t="inlineStr">
        <is>
          <t>SEND</t>
        </is>
      </c>
    </row>
    <row r="1273">
      <c r="A1273" t="inlineStr">
        <is>
          <t>Leonir</t>
        </is>
      </c>
      <c r="B1273" t="inlineStr">
        <is>
          <t>+5511942067293</t>
        </is>
      </c>
      <c r="C1273" t="inlineStr">
        <is>
          <t>Refill</t>
        </is>
      </c>
      <c r="D1273" t="inlineStr">
        <is>
          <t>Primer Cachos</t>
        </is>
      </c>
      <c r="E1273" t="n">
        <v>1</v>
      </c>
      <c r="F1273" t="inlineStr">
        <is>
          <t>2026-01-20</t>
        </is>
      </c>
      <c r="G1273" t="n">
        <v>165</v>
      </c>
      <c r="H1273" t="inlineStr">
        <is>
          <t>Y</t>
        </is>
      </c>
      <c r="I1273">
        <f>HYPERLINK("https://admin.shopify.com/store/ge-beauty-cosmeticos/customers/10072901058880","abrir")</f>
        <v/>
      </c>
      <c r="J1273">
        <f>HYPERLINK("https://www.gebeauty.com.br/products/primer-cachos-definidos?ref=review","review")</f>
        <v/>
      </c>
      <c r="K1273" t="inlineStr">
        <is>
          <t>SEND</t>
        </is>
      </c>
    </row>
    <row r="1274">
      <c r="A1274" t="inlineStr">
        <is>
          <t>Camilla</t>
        </is>
      </c>
      <c r="B1274" t="inlineStr">
        <is>
          <t>+5531996462948</t>
        </is>
      </c>
      <c r="C1274" t="inlineStr">
        <is>
          <t>Refill</t>
        </is>
      </c>
      <c r="D1274" t="inlineStr">
        <is>
          <t>Primer Cachos</t>
        </is>
      </c>
      <c r="E1274" t="n">
        <v>1</v>
      </c>
      <c r="F1274" t="inlineStr">
        <is>
          <t>2026-01-20</t>
        </is>
      </c>
      <c r="G1274" t="n">
        <v>165</v>
      </c>
      <c r="H1274" t="inlineStr">
        <is>
          <t>Y</t>
        </is>
      </c>
      <c r="I1274">
        <f>HYPERLINK("https://admin.shopify.com/store/ge-beauty-cosmeticos/customers/10072898240832","abrir")</f>
        <v/>
      </c>
      <c r="J1274">
        <f>HYPERLINK("https://www.gebeauty.com.br/products/primer-cachos-definidos?ref=review","review")</f>
        <v/>
      </c>
      <c r="K1274" t="inlineStr">
        <is>
          <t>SEND</t>
        </is>
      </c>
    </row>
    <row r="1275">
      <c r="A1275" t="inlineStr">
        <is>
          <t>Juliana</t>
        </is>
      </c>
      <c r="B1275" t="inlineStr">
        <is>
          <t>+5531998230014</t>
        </is>
      </c>
      <c r="C1275" t="inlineStr">
        <is>
          <t>Refill</t>
        </is>
      </c>
      <c r="D1275" t="inlineStr">
        <is>
          <t>Primer Cachos</t>
        </is>
      </c>
      <c r="E1275" t="n">
        <v>1</v>
      </c>
      <c r="F1275" t="inlineStr">
        <is>
          <t>2026-01-20</t>
        </is>
      </c>
      <c r="G1275" t="n">
        <v>165</v>
      </c>
      <c r="H1275" t="inlineStr">
        <is>
          <t>Y</t>
        </is>
      </c>
      <c r="I1275">
        <f>HYPERLINK("https://admin.shopify.com/store/ge-beauty-cosmeticos/customers/10072889950528","abrir")</f>
        <v/>
      </c>
      <c r="J1275">
        <f>HYPERLINK("https://www.gebeauty.com.br/products/primer-cachos-definidos?ref=review","review")</f>
        <v/>
      </c>
      <c r="K1275" t="inlineStr">
        <is>
          <t>SEND</t>
        </is>
      </c>
    </row>
    <row r="1276">
      <c r="A1276" t="inlineStr">
        <is>
          <t>Tatiana</t>
        </is>
      </c>
      <c r="B1276" t="inlineStr">
        <is>
          <t>+5519993585214</t>
        </is>
      </c>
      <c r="C1276" t="inlineStr">
        <is>
          <t>Refill</t>
        </is>
      </c>
      <c r="D1276" t="inlineStr">
        <is>
          <t>Primer Cachos</t>
        </is>
      </c>
      <c r="E1276" t="n">
        <v>1</v>
      </c>
      <c r="F1276" t="inlineStr">
        <is>
          <t>2026-01-20</t>
        </is>
      </c>
      <c r="G1276" t="n">
        <v>165</v>
      </c>
      <c r="H1276" t="inlineStr">
        <is>
          <t>Y</t>
        </is>
      </c>
      <c r="I1276">
        <f>HYPERLINK("https://admin.shopify.com/store/ge-beauty-cosmeticos/customers/10072925798720","abrir")</f>
        <v/>
      </c>
      <c r="J1276">
        <f>HYPERLINK("https://www.gebeauty.com.br/products/primer-cachos-definidos?ref=review","review")</f>
        <v/>
      </c>
      <c r="K1276" t="inlineStr">
        <is>
          <t>HOLDOUT</t>
        </is>
      </c>
    </row>
    <row r="1277">
      <c r="A1277" t="inlineStr">
        <is>
          <t>Ana</t>
        </is>
      </c>
      <c r="B1277" t="inlineStr">
        <is>
          <t>+5511985828581</t>
        </is>
      </c>
      <c r="C1277" t="inlineStr">
        <is>
          <t>Refill</t>
        </is>
      </c>
      <c r="D1277" t="inlineStr">
        <is>
          <t>Primer Cachos</t>
        </is>
      </c>
      <c r="E1277" t="n">
        <v>1</v>
      </c>
      <c r="F1277" t="inlineStr">
        <is>
          <t>2026-01-20</t>
        </is>
      </c>
      <c r="G1277" t="n">
        <v>165</v>
      </c>
      <c r="H1277" t="inlineStr">
        <is>
          <t>Y</t>
        </is>
      </c>
      <c r="I1277">
        <f>HYPERLINK("https://admin.shopify.com/store/ge-beauty-cosmeticos/customers/10072926388544","abrir")</f>
        <v/>
      </c>
      <c r="J1277">
        <f>HYPERLINK("https://www.gebeauty.com.br/products/primer-cachos-definidos?ref=review","review")</f>
        <v/>
      </c>
      <c r="K1277" t="inlineStr">
        <is>
          <t>SEND</t>
        </is>
      </c>
    </row>
    <row r="1278">
      <c r="A1278" t="inlineStr">
        <is>
          <t>Natalia</t>
        </is>
      </c>
      <c r="B1278" t="inlineStr">
        <is>
          <t>+5521968770990</t>
        </is>
      </c>
      <c r="C1278" t="inlineStr">
        <is>
          <t>Refill</t>
        </is>
      </c>
      <c r="D1278" t="inlineStr">
        <is>
          <t>Primer Cachos</t>
        </is>
      </c>
      <c r="E1278" t="n">
        <v>1</v>
      </c>
      <c r="F1278" t="inlineStr">
        <is>
          <t>2026-01-20</t>
        </is>
      </c>
      <c r="G1278" t="n">
        <v>165</v>
      </c>
      <c r="H1278" t="inlineStr">
        <is>
          <t>Y</t>
        </is>
      </c>
      <c r="I1278">
        <f>HYPERLINK("https://admin.shopify.com/store/ge-beauty-cosmeticos/customers/10072918819136","abrir")</f>
        <v/>
      </c>
      <c r="J1278">
        <f>HYPERLINK("https://www.gebeauty.com.br/products/primer-cachos-definidos?ref=review","review")</f>
        <v/>
      </c>
      <c r="K1278" t="inlineStr">
        <is>
          <t>SEND</t>
        </is>
      </c>
    </row>
    <row r="1279">
      <c r="A1279" t="inlineStr">
        <is>
          <t>Haydee</t>
        </is>
      </c>
      <c r="B1279" t="inlineStr">
        <is>
          <t>+5511975770844</t>
        </is>
      </c>
      <c r="C1279" t="inlineStr">
        <is>
          <t>Refill</t>
        </is>
      </c>
      <c r="D1279" t="inlineStr">
        <is>
          <t>Primer Cachos</t>
        </is>
      </c>
      <c r="E1279" t="n">
        <v>1</v>
      </c>
      <c r="F1279" t="inlineStr">
        <is>
          <t>2026-01-20</t>
        </is>
      </c>
      <c r="G1279" t="n">
        <v>165</v>
      </c>
      <c r="H1279" t="inlineStr">
        <is>
          <t>Y</t>
        </is>
      </c>
      <c r="I1279">
        <f>HYPERLINK("https://admin.shopify.com/store/ge-beauty-cosmeticos/customers/10072949981504","abrir")</f>
        <v/>
      </c>
      <c r="J1279">
        <f>HYPERLINK("https://www.gebeauty.com.br/products/primer-cachos-definidos?ref=review","review")</f>
        <v/>
      </c>
      <c r="K1279" t="inlineStr">
        <is>
          <t>SEND</t>
        </is>
      </c>
    </row>
    <row r="1280">
      <c r="A1280" t="inlineStr">
        <is>
          <t>Andrea</t>
        </is>
      </c>
      <c r="B1280" t="inlineStr">
        <is>
          <t>+5562998426656</t>
        </is>
      </c>
      <c r="C1280" t="inlineStr">
        <is>
          <t>Refill</t>
        </is>
      </c>
      <c r="D1280" t="inlineStr">
        <is>
          <t>Primer Cachos</t>
        </is>
      </c>
      <c r="E1280" t="n">
        <v>1</v>
      </c>
      <c r="F1280" t="inlineStr">
        <is>
          <t>2026-01-20</t>
        </is>
      </c>
      <c r="G1280" t="n">
        <v>165</v>
      </c>
      <c r="H1280" t="inlineStr">
        <is>
          <t>Y</t>
        </is>
      </c>
      <c r="I1280">
        <f>HYPERLINK("https://admin.shopify.com/store/ge-beauty-cosmeticos/customers/10072939299136","abrir")</f>
        <v/>
      </c>
      <c r="J1280">
        <f>HYPERLINK("https://www.gebeauty.com.br/products/primer-cachos-definidos?ref=review","review")</f>
        <v/>
      </c>
      <c r="K1280" t="inlineStr">
        <is>
          <t>SEND</t>
        </is>
      </c>
    </row>
    <row r="1281">
      <c r="A1281" t="inlineStr">
        <is>
          <t>Adriana</t>
        </is>
      </c>
      <c r="B1281" t="inlineStr">
        <is>
          <t>+5551996037669</t>
        </is>
      </c>
      <c r="C1281" t="inlineStr">
        <is>
          <t>Refill</t>
        </is>
      </c>
      <c r="D1281" t="inlineStr">
        <is>
          <t>Primer Cachos</t>
        </is>
      </c>
      <c r="E1281" t="n">
        <v>1</v>
      </c>
      <c r="F1281" t="inlineStr">
        <is>
          <t>2026-01-20</t>
        </is>
      </c>
      <c r="G1281" t="n">
        <v>165</v>
      </c>
      <c r="H1281" t="inlineStr">
        <is>
          <t>Y</t>
        </is>
      </c>
      <c r="I1281">
        <f>HYPERLINK("https://admin.shopify.com/store/ge-beauty-cosmeticos/customers/10072947654976","abrir")</f>
        <v/>
      </c>
      <c r="J1281">
        <f>HYPERLINK("https://www.gebeauty.com.br/products/primer-cachos-definidos?ref=review","review")</f>
        <v/>
      </c>
      <c r="K1281" t="inlineStr">
        <is>
          <t>SEND</t>
        </is>
      </c>
    </row>
    <row r="1282">
      <c r="A1282" t="inlineStr">
        <is>
          <t>Ilka</t>
        </is>
      </c>
      <c r="B1282" t="inlineStr">
        <is>
          <t>+5551999013223</t>
        </is>
      </c>
      <c r="C1282" t="inlineStr">
        <is>
          <t>Refill</t>
        </is>
      </c>
      <c r="D1282" t="inlineStr">
        <is>
          <t>Primer Cachos</t>
        </is>
      </c>
      <c r="E1282" t="n">
        <v>1</v>
      </c>
      <c r="F1282" t="inlineStr">
        <is>
          <t>2026-01-20</t>
        </is>
      </c>
      <c r="G1282" t="n">
        <v>165</v>
      </c>
      <c r="H1282" t="inlineStr">
        <is>
          <t>Y</t>
        </is>
      </c>
      <c r="I1282">
        <f>HYPERLINK("https://admin.shopify.com/store/ge-beauty-cosmeticos/customers/7761918001472","abrir")</f>
        <v/>
      </c>
      <c r="J1282">
        <f>HYPERLINK("https://www.gebeauty.com.br/products/primer-cachos-definidos?ref=review","review")</f>
        <v/>
      </c>
      <c r="K1282" t="inlineStr">
        <is>
          <t>SEND</t>
        </is>
      </c>
    </row>
    <row r="1283">
      <c r="A1283" t="inlineStr">
        <is>
          <t>Ana</t>
        </is>
      </c>
      <c r="B1283" t="inlineStr">
        <is>
          <t>+5521973736299</t>
        </is>
      </c>
      <c r="C1283" t="inlineStr">
        <is>
          <t>Refill</t>
        </is>
      </c>
      <c r="D1283" t="inlineStr">
        <is>
          <t>Primer Cachos</t>
        </is>
      </c>
      <c r="E1283" t="n">
        <v>1</v>
      </c>
      <c r="F1283" t="inlineStr">
        <is>
          <t>2026-01-20</t>
        </is>
      </c>
      <c r="G1283" t="n">
        <v>165</v>
      </c>
      <c r="H1283" t="inlineStr">
        <is>
          <t>Y</t>
        </is>
      </c>
      <c r="I1283">
        <f>HYPERLINK("https://admin.shopify.com/store/ge-beauty-cosmeticos/customers/10072957616448","abrir")</f>
        <v/>
      </c>
      <c r="J1283">
        <f>HYPERLINK("https://www.gebeauty.com.br/products/primer-cachos-definidos?ref=review","review")</f>
        <v/>
      </c>
      <c r="K1283" t="inlineStr">
        <is>
          <t>SEND</t>
        </is>
      </c>
    </row>
    <row r="1284">
      <c r="A1284" t="inlineStr">
        <is>
          <t>Larissa</t>
        </is>
      </c>
      <c r="B1284" t="inlineStr">
        <is>
          <t>+5511999711152</t>
        </is>
      </c>
      <c r="C1284" t="inlineStr">
        <is>
          <t>Refill</t>
        </is>
      </c>
      <c r="D1284" t="inlineStr">
        <is>
          <t>Primer Cachos</t>
        </is>
      </c>
      <c r="E1284" t="n">
        <v>1</v>
      </c>
      <c r="F1284" t="inlineStr">
        <is>
          <t>2026-01-20</t>
        </is>
      </c>
      <c r="G1284" t="n">
        <v>165</v>
      </c>
      <c r="H1284" t="inlineStr">
        <is>
          <t>Y</t>
        </is>
      </c>
      <c r="I1284">
        <f>HYPERLINK("https://admin.shopify.com/store/ge-beauty-cosmeticos/customers/9484595528000","abrir")</f>
        <v/>
      </c>
      <c r="J1284">
        <f>HYPERLINK("https://www.gebeauty.com.br/products/primer-cachos-definidos?ref=review","review")</f>
        <v/>
      </c>
      <c r="K1284" t="inlineStr">
        <is>
          <t>SEND</t>
        </is>
      </c>
    </row>
    <row r="1285">
      <c r="A1285" t="inlineStr">
        <is>
          <t>Tatiana</t>
        </is>
      </c>
      <c r="B1285" t="inlineStr">
        <is>
          <t>+5549991502997</t>
        </is>
      </c>
      <c r="C1285" t="inlineStr">
        <is>
          <t>Refill</t>
        </is>
      </c>
      <c r="D1285" t="inlineStr">
        <is>
          <t>Primer Cachos</t>
        </is>
      </c>
      <c r="E1285" t="n">
        <v>1</v>
      </c>
      <c r="F1285" t="inlineStr">
        <is>
          <t>2026-01-20</t>
        </is>
      </c>
      <c r="G1285" t="n">
        <v>165</v>
      </c>
      <c r="H1285" t="inlineStr">
        <is>
          <t>Y</t>
        </is>
      </c>
      <c r="I1285">
        <f>HYPERLINK("https://admin.shopify.com/store/ge-beauty-cosmeticos/customers/10072978325824","abrir")</f>
        <v/>
      </c>
      <c r="J1285">
        <f>HYPERLINK("https://www.gebeauty.com.br/products/primer-cachos-definidos?ref=review","review")</f>
        <v/>
      </c>
      <c r="K1285" t="inlineStr">
        <is>
          <t>SEND</t>
        </is>
      </c>
    </row>
    <row r="1286">
      <c r="A1286" t="inlineStr">
        <is>
          <t>Leila</t>
        </is>
      </c>
      <c r="B1286" t="inlineStr">
        <is>
          <t>+5521999527919</t>
        </is>
      </c>
      <c r="C1286" t="inlineStr">
        <is>
          <t>Refill</t>
        </is>
      </c>
      <c r="D1286" t="inlineStr">
        <is>
          <t>Primer Cachos</t>
        </is>
      </c>
      <c r="E1286" t="n">
        <v>1</v>
      </c>
      <c r="F1286" t="inlineStr">
        <is>
          <t>2026-01-20</t>
        </is>
      </c>
      <c r="G1286" t="n">
        <v>165</v>
      </c>
      <c r="H1286" t="inlineStr">
        <is>
          <t>Y</t>
        </is>
      </c>
      <c r="I1286">
        <f>HYPERLINK("https://admin.shopify.com/store/ge-beauty-cosmeticos/customers/10072982290752","abrir")</f>
        <v/>
      </c>
      <c r="J1286">
        <f>HYPERLINK("https://www.gebeauty.com.br/products/primer-cachos-definidos?ref=review","review")</f>
        <v/>
      </c>
      <c r="K1286" t="inlineStr">
        <is>
          <t>SEND</t>
        </is>
      </c>
    </row>
    <row r="1287">
      <c r="A1287" t="inlineStr">
        <is>
          <t>Débora</t>
        </is>
      </c>
      <c r="B1287" t="inlineStr">
        <is>
          <t>+5584999584422</t>
        </is>
      </c>
      <c r="C1287" t="inlineStr">
        <is>
          <t>Refill</t>
        </is>
      </c>
      <c r="D1287" t="inlineStr">
        <is>
          <t>Primer Cachos</t>
        </is>
      </c>
      <c r="E1287" t="n">
        <v>1</v>
      </c>
      <c r="F1287" t="inlineStr">
        <is>
          <t>2026-01-20</t>
        </is>
      </c>
      <c r="G1287" t="n">
        <v>165</v>
      </c>
      <c r="H1287" t="inlineStr">
        <is>
          <t>Y</t>
        </is>
      </c>
      <c r="I1287">
        <f>HYPERLINK("https://admin.shopify.com/store/ge-beauty-cosmeticos/customers/9485968277824","abrir")</f>
        <v/>
      </c>
      <c r="J1287">
        <f>HYPERLINK("https://www.gebeauty.com.br/products/primer-cachos-definidos?ref=review","review")</f>
        <v/>
      </c>
      <c r="K1287" t="inlineStr">
        <is>
          <t>SEND</t>
        </is>
      </c>
    </row>
    <row r="1288">
      <c r="A1288" t="inlineStr">
        <is>
          <t>Ana</t>
        </is>
      </c>
      <c r="B1288" t="inlineStr">
        <is>
          <t>+5511993754226</t>
        </is>
      </c>
      <c r="C1288" t="inlineStr">
        <is>
          <t>Refill</t>
        </is>
      </c>
      <c r="D1288" t="inlineStr">
        <is>
          <t>Primer Cachos</t>
        </is>
      </c>
      <c r="E1288" t="n">
        <v>1</v>
      </c>
      <c r="F1288" t="inlineStr">
        <is>
          <t>2026-01-20</t>
        </is>
      </c>
      <c r="G1288" t="n">
        <v>165</v>
      </c>
      <c r="H1288" t="inlineStr">
        <is>
          <t>Y</t>
        </is>
      </c>
      <c r="I1288">
        <f>HYPERLINK("https://admin.shopify.com/store/ge-beauty-cosmeticos/customers/10072993464640","abrir")</f>
        <v/>
      </c>
      <c r="J1288">
        <f>HYPERLINK("https://www.gebeauty.com.br/products/primer-cachos-definidos?ref=review","review")</f>
        <v/>
      </c>
      <c r="K1288" t="inlineStr">
        <is>
          <t>SEND</t>
        </is>
      </c>
    </row>
    <row r="1289">
      <c r="A1289" t="inlineStr">
        <is>
          <t>Renata</t>
        </is>
      </c>
      <c r="B1289" t="inlineStr">
        <is>
          <t>+5521995375161</t>
        </is>
      </c>
      <c r="C1289" t="inlineStr">
        <is>
          <t>Refill</t>
        </is>
      </c>
      <c r="D1289" t="inlineStr">
        <is>
          <t>Primer Cachos</t>
        </is>
      </c>
      <c r="E1289" t="n">
        <v>1</v>
      </c>
      <c r="F1289" t="inlineStr">
        <is>
          <t>2026-01-20</t>
        </is>
      </c>
      <c r="G1289" t="n">
        <v>165</v>
      </c>
      <c r="H1289" t="inlineStr">
        <is>
          <t>Y</t>
        </is>
      </c>
      <c r="I1289">
        <f>HYPERLINK("https://admin.shopify.com/store/ge-beauty-cosmeticos/customers/10072995692864","abrir")</f>
        <v/>
      </c>
      <c r="J1289">
        <f>HYPERLINK("https://www.gebeauty.com.br/products/primer-cachos-definidos?ref=review","review")</f>
        <v/>
      </c>
      <c r="K1289" t="inlineStr">
        <is>
          <t>SEND</t>
        </is>
      </c>
    </row>
    <row r="1290">
      <c r="A1290" t="inlineStr">
        <is>
          <t>Mariane</t>
        </is>
      </c>
      <c r="B1290" t="inlineStr">
        <is>
          <t>+5521996394937</t>
        </is>
      </c>
      <c r="C1290" t="inlineStr">
        <is>
          <t>Refill</t>
        </is>
      </c>
      <c r="D1290" t="inlineStr">
        <is>
          <t>Primer Cachos</t>
        </is>
      </c>
      <c r="E1290" t="n">
        <v>1</v>
      </c>
      <c r="F1290" t="inlineStr">
        <is>
          <t>2026-01-20</t>
        </is>
      </c>
      <c r="G1290" t="n">
        <v>165</v>
      </c>
      <c r="H1290" t="inlineStr">
        <is>
          <t>Y</t>
        </is>
      </c>
      <c r="I1290">
        <f>HYPERLINK("https://admin.shopify.com/store/ge-beauty-cosmeticos/customers/10072991236416","abrir")</f>
        <v/>
      </c>
      <c r="J1290">
        <f>HYPERLINK("https://www.gebeauty.com.br/products/primer-cachos-definidos?ref=review","review")</f>
        <v/>
      </c>
      <c r="K1290" t="inlineStr">
        <is>
          <t>SEND</t>
        </is>
      </c>
    </row>
    <row r="1291">
      <c r="A1291" t="inlineStr">
        <is>
          <t>Nilza</t>
        </is>
      </c>
      <c r="B1291" t="inlineStr">
        <is>
          <t>+5511996331221</t>
        </is>
      </c>
      <c r="C1291" t="inlineStr">
        <is>
          <t>Refill</t>
        </is>
      </c>
      <c r="D1291" t="inlineStr">
        <is>
          <t>Primer Cachos</t>
        </is>
      </c>
      <c r="E1291" t="n">
        <v>1</v>
      </c>
      <c r="F1291" t="inlineStr">
        <is>
          <t>2026-01-20</t>
        </is>
      </c>
      <c r="G1291" t="n">
        <v>165</v>
      </c>
      <c r="H1291" t="inlineStr">
        <is>
          <t>Y</t>
        </is>
      </c>
      <c r="I1291">
        <f>HYPERLINK("https://admin.shopify.com/store/ge-beauty-cosmeticos/customers/10072998773056","abrir")</f>
        <v/>
      </c>
      <c r="J1291">
        <f>HYPERLINK("https://www.gebeauty.com.br/products/primer-cachos-definidos?ref=review","review")</f>
        <v/>
      </c>
      <c r="K1291" t="inlineStr">
        <is>
          <t>SEND</t>
        </is>
      </c>
    </row>
    <row r="1292">
      <c r="A1292" t="inlineStr">
        <is>
          <t>Rafaela</t>
        </is>
      </c>
      <c r="B1292" t="inlineStr">
        <is>
          <t>+5511941922539</t>
        </is>
      </c>
      <c r="C1292" t="inlineStr">
        <is>
          <t>Refill</t>
        </is>
      </c>
      <c r="D1292" t="inlineStr">
        <is>
          <t>Primer Cachos</t>
        </is>
      </c>
      <c r="E1292" t="n">
        <v>1</v>
      </c>
      <c r="F1292" t="inlineStr">
        <is>
          <t>2026-01-20</t>
        </is>
      </c>
      <c r="G1292" t="n">
        <v>165</v>
      </c>
      <c r="H1292" t="inlineStr">
        <is>
          <t>Y</t>
        </is>
      </c>
      <c r="I1292">
        <f>HYPERLINK("https://admin.shopify.com/store/ge-beauty-cosmeticos/customers/9486500266304","abrir")</f>
        <v/>
      </c>
      <c r="J1292">
        <f>HYPERLINK("https://www.gebeauty.com.br/products/primer-cachos-definidos?ref=review","review")</f>
        <v/>
      </c>
      <c r="K1292" t="inlineStr">
        <is>
          <t>SEND</t>
        </is>
      </c>
    </row>
    <row r="1293">
      <c r="A1293" t="inlineStr">
        <is>
          <t>Adriana</t>
        </is>
      </c>
      <c r="B1293" t="inlineStr">
        <is>
          <t>+5516981447787</t>
        </is>
      </c>
      <c r="C1293" t="inlineStr">
        <is>
          <t>Refill</t>
        </is>
      </c>
      <c r="D1293" t="inlineStr">
        <is>
          <t>Primer Cachos</t>
        </is>
      </c>
      <c r="E1293" t="n">
        <v>1</v>
      </c>
      <c r="F1293" t="inlineStr">
        <is>
          <t>2026-01-20</t>
        </is>
      </c>
      <c r="G1293" t="n">
        <v>165</v>
      </c>
      <c r="H1293" t="inlineStr">
        <is>
          <t>Y</t>
        </is>
      </c>
      <c r="I1293">
        <f>HYPERLINK("https://admin.shopify.com/store/ge-beauty-cosmeticos/customers/10073005818176","abrir")</f>
        <v/>
      </c>
      <c r="J1293">
        <f>HYPERLINK("https://www.gebeauty.com.br/products/primer-cachos-definidos?ref=review","review")</f>
        <v/>
      </c>
      <c r="K1293" t="inlineStr">
        <is>
          <t>SEND</t>
        </is>
      </c>
    </row>
    <row r="1294">
      <c r="A1294" t="inlineStr">
        <is>
          <t>Rany</t>
        </is>
      </c>
      <c r="B1294" t="inlineStr">
        <is>
          <t>+5511984881388</t>
        </is>
      </c>
      <c r="C1294" t="inlineStr">
        <is>
          <t>Refill</t>
        </is>
      </c>
      <c r="D1294" t="inlineStr">
        <is>
          <t>Primer Cachos</t>
        </is>
      </c>
      <c r="E1294" t="n">
        <v>1</v>
      </c>
      <c r="F1294" t="inlineStr">
        <is>
          <t>2026-01-20</t>
        </is>
      </c>
      <c r="G1294" t="n">
        <v>165</v>
      </c>
      <c r="H1294" t="inlineStr">
        <is>
          <t>Y</t>
        </is>
      </c>
      <c r="I1294">
        <f>HYPERLINK("https://admin.shopify.com/store/ge-beauty-cosmeticos/customers/10072999756096","abrir")</f>
        <v/>
      </c>
      <c r="J1294">
        <f>HYPERLINK("https://www.gebeauty.com.br/products/primer-cachos-definidos?ref=review","review")</f>
        <v/>
      </c>
      <c r="K1294" t="inlineStr">
        <is>
          <t>SEND</t>
        </is>
      </c>
    </row>
    <row r="1295">
      <c r="A1295" t="inlineStr">
        <is>
          <t>Joana</t>
        </is>
      </c>
      <c r="B1295" t="inlineStr">
        <is>
          <t>+5573999690638</t>
        </is>
      </c>
      <c r="C1295" t="inlineStr">
        <is>
          <t>Refill</t>
        </is>
      </c>
      <c r="D1295" t="inlineStr">
        <is>
          <t>Primer Cachos</t>
        </is>
      </c>
      <c r="E1295" t="n">
        <v>1</v>
      </c>
      <c r="F1295" t="inlineStr">
        <is>
          <t>2026-01-20</t>
        </is>
      </c>
      <c r="G1295" t="n">
        <v>165</v>
      </c>
      <c r="H1295" t="inlineStr">
        <is>
          <t>Y</t>
        </is>
      </c>
      <c r="I1295">
        <f>HYPERLINK("https://admin.shopify.com/store/ge-beauty-cosmeticos/customers/10073016369472","abrir")</f>
        <v/>
      </c>
      <c r="J1295">
        <f>HYPERLINK("https://www.gebeauty.com.br/products/primer-cachos-definidos?ref=review","review")</f>
        <v/>
      </c>
      <c r="K1295" t="inlineStr">
        <is>
          <t>HOLDOUT</t>
        </is>
      </c>
    </row>
    <row r="1296">
      <c r="A1296" t="inlineStr">
        <is>
          <t>Juliana</t>
        </is>
      </c>
      <c r="B1296" t="inlineStr">
        <is>
          <t>+5549999816565</t>
        </is>
      </c>
      <c r="C1296" t="inlineStr">
        <is>
          <t>Refill</t>
        </is>
      </c>
      <c r="D1296" t="inlineStr">
        <is>
          <t>Primer Cachos</t>
        </is>
      </c>
      <c r="E1296" t="n">
        <v>1</v>
      </c>
      <c r="F1296" t="inlineStr">
        <is>
          <t>2026-01-20</t>
        </is>
      </c>
      <c r="G1296" t="n">
        <v>165</v>
      </c>
      <c r="H1296" t="inlineStr">
        <is>
          <t>Y</t>
        </is>
      </c>
      <c r="I1296">
        <f>HYPERLINK("https://admin.shopify.com/store/ge-beauty-cosmeticos/customers/10073021612352","abrir")</f>
        <v/>
      </c>
      <c r="J1296">
        <f>HYPERLINK("https://www.gebeauty.com.br/products/primer-cachos-definidos?ref=review","review")</f>
        <v/>
      </c>
      <c r="K1296" t="inlineStr">
        <is>
          <t>SEND</t>
        </is>
      </c>
    </row>
    <row r="1297">
      <c r="A1297" t="inlineStr">
        <is>
          <t>Josiane</t>
        </is>
      </c>
      <c r="B1297" t="inlineStr">
        <is>
          <t>+5514997785610</t>
        </is>
      </c>
      <c r="C1297" t="inlineStr">
        <is>
          <t>Refill</t>
        </is>
      </c>
      <c r="D1297" t="inlineStr">
        <is>
          <t>Primer Cachos</t>
        </is>
      </c>
      <c r="E1297" t="n">
        <v>1</v>
      </c>
      <c r="F1297" t="inlineStr">
        <is>
          <t>2026-01-20</t>
        </is>
      </c>
      <c r="G1297" t="n">
        <v>165</v>
      </c>
      <c r="H1297" t="inlineStr">
        <is>
          <t>Y</t>
        </is>
      </c>
      <c r="I1297">
        <f>HYPERLINK("https://admin.shopify.com/store/ge-beauty-cosmeticos/customers/10073028591936","abrir")</f>
        <v/>
      </c>
      <c r="J1297">
        <f>HYPERLINK("https://www.gebeauty.com.br/products/primer-cachos-definidos?ref=review","review")</f>
        <v/>
      </c>
      <c r="K1297" t="inlineStr">
        <is>
          <t>SEND</t>
        </is>
      </c>
    </row>
    <row r="1298">
      <c r="A1298" t="inlineStr">
        <is>
          <t>Karina</t>
        </is>
      </c>
      <c r="B1298" t="inlineStr">
        <is>
          <t>+5511912013073</t>
        </is>
      </c>
      <c r="C1298" t="inlineStr">
        <is>
          <t>Refill</t>
        </is>
      </c>
      <c r="D1298" t="inlineStr">
        <is>
          <t>Primer Cachos</t>
        </is>
      </c>
      <c r="E1298" t="n">
        <v>1</v>
      </c>
      <c r="F1298" t="inlineStr">
        <is>
          <t>2026-01-20</t>
        </is>
      </c>
      <c r="G1298" t="n">
        <v>165</v>
      </c>
      <c r="H1298" t="inlineStr">
        <is>
          <t>Y</t>
        </is>
      </c>
      <c r="I1298">
        <f>HYPERLINK("https://admin.shopify.com/store/ge-beauty-cosmeticos/customers/10073036685632","abrir")</f>
        <v/>
      </c>
      <c r="J1298">
        <f>HYPERLINK("https://www.gebeauty.com.br/products/primer-cachos-definidos?ref=review","review")</f>
        <v/>
      </c>
      <c r="K1298" t="inlineStr">
        <is>
          <t>SEND</t>
        </is>
      </c>
    </row>
    <row r="1299">
      <c r="A1299" t="inlineStr">
        <is>
          <t>Fernanda</t>
        </is>
      </c>
      <c r="B1299" t="inlineStr">
        <is>
          <t>+5531986083369</t>
        </is>
      </c>
      <c r="C1299" t="inlineStr">
        <is>
          <t>Refill</t>
        </is>
      </c>
      <c r="D1299" t="inlineStr">
        <is>
          <t>Primer Cachos</t>
        </is>
      </c>
      <c r="E1299" t="n">
        <v>1</v>
      </c>
      <c r="F1299" t="inlineStr">
        <is>
          <t>2026-01-20</t>
        </is>
      </c>
      <c r="G1299" t="n">
        <v>165</v>
      </c>
      <c r="H1299" t="inlineStr">
        <is>
          <t>Y</t>
        </is>
      </c>
      <c r="I1299">
        <f>HYPERLINK("https://admin.shopify.com/store/ge-beauty-cosmeticos/customers/10073009258816","abrir")</f>
        <v/>
      </c>
      <c r="J1299">
        <f>HYPERLINK("https://www.gebeauty.com.br/products/primer-cachos-definidos?ref=review","review")</f>
        <v/>
      </c>
      <c r="K1299" t="inlineStr">
        <is>
          <t>SEND</t>
        </is>
      </c>
    </row>
    <row r="1300">
      <c r="A1300" t="inlineStr">
        <is>
          <t>Monique</t>
        </is>
      </c>
      <c r="B1300" t="inlineStr">
        <is>
          <t>+5521997638163</t>
        </is>
      </c>
      <c r="C1300" t="inlineStr">
        <is>
          <t>Refill</t>
        </is>
      </c>
      <c r="D1300" t="inlineStr">
        <is>
          <t>Primer Cachos</t>
        </is>
      </c>
      <c r="E1300" t="n">
        <v>1</v>
      </c>
      <c r="F1300" t="inlineStr">
        <is>
          <t>2026-01-20</t>
        </is>
      </c>
      <c r="G1300" t="n">
        <v>165</v>
      </c>
      <c r="H1300" t="inlineStr">
        <is>
          <t>Y</t>
        </is>
      </c>
      <c r="I1300">
        <f>HYPERLINK("https://admin.shopify.com/store/ge-beauty-cosmeticos/customers/10073038520640","abrir")</f>
        <v/>
      </c>
      <c r="J1300">
        <f>HYPERLINK("https://www.gebeauty.com.br/products/primer-cachos-definidos?ref=review","review")</f>
        <v/>
      </c>
      <c r="K1300" t="inlineStr">
        <is>
          <t>SEND</t>
        </is>
      </c>
    </row>
    <row r="1301">
      <c r="A1301" t="inlineStr">
        <is>
          <t>Ana</t>
        </is>
      </c>
      <c r="B1301" t="inlineStr">
        <is>
          <t>+5551981409028</t>
        </is>
      </c>
      <c r="C1301" t="inlineStr">
        <is>
          <t>Refill</t>
        </is>
      </c>
      <c r="D1301" t="inlineStr">
        <is>
          <t>Primer Cachos</t>
        </is>
      </c>
      <c r="E1301" t="n">
        <v>1</v>
      </c>
      <c r="F1301" t="inlineStr">
        <is>
          <t>2026-01-20</t>
        </is>
      </c>
      <c r="G1301" t="n">
        <v>165</v>
      </c>
      <c r="H1301" t="inlineStr">
        <is>
          <t>Y</t>
        </is>
      </c>
      <c r="I1301">
        <f>HYPERLINK("https://admin.shopify.com/store/ge-beauty-cosmeticos/customers/8253870768448","abrir")</f>
        <v/>
      </c>
      <c r="J1301">
        <f>HYPERLINK("https://www.gebeauty.com.br/products/primer-cachos-definidos?ref=review","review")</f>
        <v/>
      </c>
      <c r="K1301" t="inlineStr">
        <is>
          <t>SEND</t>
        </is>
      </c>
    </row>
    <row r="1302">
      <c r="A1302" t="inlineStr">
        <is>
          <t>Priscila</t>
        </is>
      </c>
      <c r="B1302" t="inlineStr">
        <is>
          <t>+5535991781792</t>
        </is>
      </c>
      <c r="C1302" t="inlineStr">
        <is>
          <t>Refill</t>
        </is>
      </c>
      <c r="D1302" t="inlineStr">
        <is>
          <t>Primer Cachos</t>
        </is>
      </c>
      <c r="E1302" t="n">
        <v>1</v>
      </c>
      <c r="F1302" t="inlineStr">
        <is>
          <t>2026-01-20</t>
        </is>
      </c>
      <c r="G1302" t="n">
        <v>165</v>
      </c>
      <c r="H1302" t="inlineStr">
        <is>
          <t>Y</t>
        </is>
      </c>
      <c r="I1302">
        <f>HYPERLINK("https://admin.shopify.com/store/ge-beauty-cosmeticos/customers/10073045270848","abrir")</f>
        <v/>
      </c>
      <c r="J1302">
        <f>HYPERLINK("https://www.gebeauty.com.br/products/primer-cachos-definidos?ref=review","review")</f>
        <v/>
      </c>
      <c r="K1302" t="inlineStr">
        <is>
          <t>SEND</t>
        </is>
      </c>
    </row>
    <row r="1303">
      <c r="A1303" t="inlineStr">
        <is>
          <t>Talitha</t>
        </is>
      </c>
      <c r="B1303" t="inlineStr">
        <is>
          <t>+5545999412015</t>
        </is>
      </c>
      <c r="C1303" t="inlineStr">
        <is>
          <t>Refill</t>
        </is>
      </c>
      <c r="D1303" t="inlineStr">
        <is>
          <t>Primer Cachos</t>
        </is>
      </c>
      <c r="E1303" t="n">
        <v>1</v>
      </c>
      <c r="F1303" t="inlineStr">
        <is>
          <t>2026-01-20</t>
        </is>
      </c>
      <c r="G1303" t="n">
        <v>165</v>
      </c>
      <c r="H1303" t="inlineStr">
        <is>
          <t>Y</t>
        </is>
      </c>
      <c r="I1303">
        <f>HYPERLINK("https://admin.shopify.com/store/ge-beauty-cosmeticos/customers/10073064407360","abrir")</f>
        <v/>
      </c>
      <c r="J1303">
        <f>HYPERLINK("https://www.gebeauty.com.br/products/primer-cachos-definidos?ref=review","review")</f>
        <v/>
      </c>
      <c r="K1303" t="inlineStr">
        <is>
          <t>SEND</t>
        </is>
      </c>
    </row>
    <row r="1304">
      <c r="A1304" t="inlineStr">
        <is>
          <t>Patrícia</t>
        </is>
      </c>
      <c r="B1304" t="inlineStr">
        <is>
          <t>+5519992535770</t>
        </is>
      </c>
      <c r="C1304" t="inlineStr">
        <is>
          <t>Refill</t>
        </is>
      </c>
      <c r="D1304" t="inlineStr">
        <is>
          <t>Primer Cachos</t>
        </is>
      </c>
      <c r="E1304" t="n">
        <v>1</v>
      </c>
      <c r="F1304" t="inlineStr">
        <is>
          <t>2026-01-20</t>
        </is>
      </c>
      <c r="G1304" t="n">
        <v>165</v>
      </c>
      <c r="H1304" t="inlineStr">
        <is>
          <t>Y</t>
        </is>
      </c>
      <c r="I1304">
        <f>HYPERLINK("https://admin.shopify.com/store/ge-beauty-cosmeticos/customers/10073071485248","abrir")</f>
        <v/>
      </c>
      <c r="J1304">
        <f>HYPERLINK("https://www.gebeauty.com.br/products/primer-cachos-definidos?ref=review","review")</f>
        <v/>
      </c>
      <c r="K1304" t="inlineStr">
        <is>
          <t>SEND</t>
        </is>
      </c>
    </row>
    <row r="1305">
      <c r="A1305" t="inlineStr">
        <is>
          <t>Brisa</t>
        </is>
      </c>
      <c r="B1305" t="inlineStr">
        <is>
          <t>+5518997074077</t>
        </is>
      </c>
      <c r="C1305" t="inlineStr">
        <is>
          <t>Refill</t>
        </is>
      </c>
      <c r="D1305" t="inlineStr">
        <is>
          <t>Primer Cachos</t>
        </is>
      </c>
      <c r="E1305" t="n">
        <v>1</v>
      </c>
      <c r="F1305" t="inlineStr">
        <is>
          <t>2026-01-20</t>
        </is>
      </c>
      <c r="G1305" t="n">
        <v>165</v>
      </c>
      <c r="H1305" t="inlineStr">
        <is>
          <t>Y</t>
        </is>
      </c>
      <c r="I1305">
        <f>HYPERLINK("https://admin.shopify.com/store/ge-beauty-cosmeticos/customers/10073081315648","abrir")</f>
        <v/>
      </c>
      <c r="J1305">
        <f>HYPERLINK("https://www.gebeauty.com.br/products/primer-cachos-definidos?ref=review","review")</f>
        <v/>
      </c>
      <c r="K1305" t="inlineStr">
        <is>
          <t>HOLDOUT</t>
        </is>
      </c>
    </row>
    <row r="1306">
      <c r="A1306" t="inlineStr">
        <is>
          <t>Fernanda</t>
        </is>
      </c>
      <c r="B1306" t="inlineStr">
        <is>
          <t>+5515996304797</t>
        </is>
      </c>
      <c r="C1306" t="inlineStr">
        <is>
          <t>Refill</t>
        </is>
      </c>
      <c r="D1306" t="inlineStr">
        <is>
          <t>Primer Cachos</t>
        </is>
      </c>
      <c r="E1306" t="n">
        <v>1</v>
      </c>
      <c r="F1306" t="inlineStr">
        <is>
          <t>2026-01-20</t>
        </is>
      </c>
      <c r="G1306" t="n">
        <v>165</v>
      </c>
      <c r="H1306" t="inlineStr">
        <is>
          <t>Y</t>
        </is>
      </c>
      <c r="I1306">
        <f>HYPERLINK("https://admin.shopify.com/store/ge-beauty-cosmeticos/customers/10073076269376","abrir")</f>
        <v/>
      </c>
      <c r="J1306">
        <f>HYPERLINK("https://www.gebeauty.com.br/products/primer-cachos-definidos?ref=review","review")</f>
        <v/>
      </c>
      <c r="K1306" t="inlineStr">
        <is>
          <t>SEND</t>
        </is>
      </c>
    </row>
    <row r="1307">
      <c r="A1307" t="inlineStr">
        <is>
          <t>Melissa</t>
        </is>
      </c>
      <c r="B1307" t="inlineStr">
        <is>
          <t>+5548991710303</t>
        </is>
      </c>
      <c r="C1307" t="inlineStr">
        <is>
          <t>Refill</t>
        </is>
      </c>
      <c r="D1307" t="inlineStr">
        <is>
          <t>Primer Cachos</t>
        </is>
      </c>
      <c r="E1307" t="n">
        <v>1</v>
      </c>
      <c r="F1307" t="inlineStr">
        <is>
          <t>2026-01-20</t>
        </is>
      </c>
      <c r="G1307" t="n">
        <v>165</v>
      </c>
      <c r="H1307" t="inlineStr">
        <is>
          <t>Y</t>
        </is>
      </c>
      <c r="I1307">
        <f>HYPERLINK("https://admin.shopify.com/store/ge-beauty-cosmeticos/customers/9484617548096","abrir")</f>
        <v/>
      </c>
      <c r="J1307">
        <f>HYPERLINK("https://www.gebeauty.com.br/products/primer-cachos-definidos?ref=review","review")</f>
        <v/>
      </c>
      <c r="K1307" t="inlineStr">
        <is>
          <t>SEND</t>
        </is>
      </c>
    </row>
    <row r="1308">
      <c r="A1308" t="inlineStr">
        <is>
          <t>Eleonilda</t>
        </is>
      </c>
      <c r="B1308" t="inlineStr">
        <is>
          <t>+5532999996686</t>
        </is>
      </c>
      <c r="C1308" t="inlineStr">
        <is>
          <t>Refill</t>
        </is>
      </c>
      <c r="D1308" t="inlineStr">
        <is>
          <t>Primer Cachos</t>
        </is>
      </c>
      <c r="E1308" t="n">
        <v>1</v>
      </c>
      <c r="F1308" t="inlineStr">
        <is>
          <t>2026-01-20</t>
        </is>
      </c>
      <c r="G1308" t="n">
        <v>165</v>
      </c>
      <c r="H1308" t="inlineStr">
        <is>
          <t>Y</t>
        </is>
      </c>
      <c r="I1308">
        <f>HYPERLINK("https://admin.shopify.com/store/ge-beauty-cosmeticos/customers/10073090457920","abrir")</f>
        <v/>
      </c>
      <c r="J1308">
        <f>HYPERLINK("https://www.gebeauty.com.br/products/primer-cachos-definidos?ref=review","review")</f>
        <v/>
      </c>
      <c r="K1308" t="inlineStr">
        <is>
          <t>SEND</t>
        </is>
      </c>
    </row>
    <row r="1309">
      <c r="A1309" t="inlineStr">
        <is>
          <t>Ester</t>
        </is>
      </c>
      <c r="B1309" t="inlineStr">
        <is>
          <t>+5519997710141</t>
        </is>
      </c>
      <c r="C1309" t="inlineStr">
        <is>
          <t>Refill</t>
        </is>
      </c>
      <c r="D1309" t="inlineStr">
        <is>
          <t>Primer Cachos</t>
        </is>
      </c>
      <c r="E1309" t="n">
        <v>1</v>
      </c>
      <c r="F1309" t="inlineStr">
        <is>
          <t>2026-01-20</t>
        </is>
      </c>
      <c r="G1309" t="n">
        <v>165</v>
      </c>
      <c r="H1309" t="inlineStr">
        <is>
          <t>Y</t>
        </is>
      </c>
      <c r="I1309">
        <f>HYPERLINK("https://admin.shopify.com/store/ge-beauty-cosmeticos/customers/10073097568576","abrir")</f>
        <v/>
      </c>
      <c r="J1309">
        <f>HYPERLINK("https://www.gebeauty.com.br/products/primer-cachos-definidos?ref=review","review")</f>
        <v/>
      </c>
      <c r="K1309" t="inlineStr">
        <is>
          <t>HOLDOUT</t>
        </is>
      </c>
    </row>
    <row r="1310">
      <c r="A1310" t="inlineStr">
        <is>
          <t>Antonella</t>
        </is>
      </c>
      <c r="B1310" t="inlineStr">
        <is>
          <t>+5511983267710</t>
        </is>
      </c>
      <c r="C1310" t="inlineStr">
        <is>
          <t>Refill</t>
        </is>
      </c>
      <c r="D1310" t="inlineStr">
        <is>
          <t>Primer Cachos</t>
        </is>
      </c>
      <c r="E1310" t="n">
        <v>1</v>
      </c>
      <c r="F1310" t="inlineStr">
        <is>
          <t>2026-01-20</t>
        </is>
      </c>
      <c r="G1310" t="n">
        <v>165</v>
      </c>
      <c r="H1310" t="inlineStr">
        <is>
          <t>Y</t>
        </is>
      </c>
      <c r="I1310">
        <f>HYPERLINK("https://admin.shopify.com/store/ge-beauty-cosmeticos/customers/10073040781632","abrir")</f>
        <v/>
      </c>
      <c r="J1310">
        <f>HYPERLINK("https://www.gebeauty.com.br/products/primer-cachos-definidos?ref=review","review")</f>
        <v/>
      </c>
      <c r="K1310" t="inlineStr">
        <is>
          <t>SEND</t>
        </is>
      </c>
    </row>
    <row r="1311">
      <c r="A1311" t="inlineStr">
        <is>
          <t>Ana</t>
        </is>
      </c>
      <c r="B1311" t="inlineStr">
        <is>
          <t>+5511973733393</t>
        </is>
      </c>
      <c r="C1311" t="inlineStr">
        <is>
          <t>Refill</t>
        </is>
      </c>
      <c r="D1311" t="inlineStr">
        <is>
          <t>Primer Cachos</t>
        </is>
      </c>
      <c r="E1311" t="n">
        <v>1</v>
      </c>
      <c r="F1311" t="inlineStr">
        <is>
          <t>2026-01-20</t>
        </is>
      </c>
      <c r="G1311" t="n">
        <v>165</v>
      </c>
      <c r="H1311" t="inlineStr">
        <is>
          <t>Y</t>
        </is>
      </c>
      <c r="I1311">
        <f>HYPERLINK("https://admin.shopify.com/store/ge-beauty-cosmeticos/customers/10073098715456","abrir")</f>
        <v/>
      </c>
      <c r="J1311">
        <f>HYPERLINK("https://www.gebeauty.com.br/products/primer-cachos-definidos?ref=review","review")</f>
        <v/>
      </c>
      <c r="K1311" t="inlineStr">
        <is>
          <t>SEND</t>
        </is>
      </c>
    </row>
    <row r="1312">
      <c r="A1312" t="inlineStr">
        <is>
          <t>Paloma</t>
        </is>
      </c>
      <c r="B1312" t="inlineStr">
        <is>
          <t>+5581999963310</t>
        </is>
      </c>
      <c r="C1312" t="inlineStr">
        <is>
          <t>Refill</t>
        </is>
      </c>
      <c r="D1312" t="inlineStr">
        <is>
          <t>Primer Cachos</t>
        </is>
      </c>
      <c r="E1312" t="n">
        <v>1</v>
      </c>
      <c r="F1312" t="inlineStr">
        <is>
          <t>2026-01-20</t>
        </is>
      </c>
      <c r="G1312" t="n">
        <v>165</v>
      </c>
      <c r="H1312" t="inlineStr">
        <is>
          <t>Y</t>
        </is>
      </c>
      <c r="I1312">
        <f>HYPERLINK("https://admin.shopify.com/store/ge-beauty-cosmeticos/customers/10073111396672","abrir")</f>
        <v/>
      </c>
      <c r="J1312">
        <f>HYPERLINK("https://www.gebeauty.com.br/products/primer-cachos-definidos?ref=review","review")</f>
        <v/>
      </c>
      <c r="K1312" t="inlineStr">
        <is>
          <t>SEND</t>
        </is>
      </c>
    </row>
    <row r="1313">
      <c r="A1313" t="inlineStr">
        <is>
          <t>Monica</t>
        </is>
      </c>
      <c r="B1313" t="inlineStr">
        <is>
          <t>+5511998982860</t>
        </is>
      </c>
      <c r="C1313" t="inlineStr">
        <is>
          <t>Refill</t>
        </is>
      </c>
      <c r="D1313" t="inlineStr">
        <is>
          <t>Primer Cachos</t>
        </is>
      </c>
      <c r="E1313" t="n">
        <v>1</v>
      </c>
      <c r="F1313" t="inlineStr">
        <is>
          <t>2026-01-20</t>
        </is>
      </c>
      <c r="G1313" t="n">
        <v>165</v>
      </c>
      <c r="H1313" t="inlineStr">
        <is>
          <t>Y</t>
        </is>
      </c>
      <c r="I1313">
        <f>HYPERLINK("https://admin.shopify.com/store/ge-beauty-cosmeticos/customers/10073116868928","abrir")</f>
        <v/>
      </c>
      <c r="J1313">
        <f>HYPERLINK("https://www.gebeauty.com.br/products/primer-cachos-definidos?ref=review","review")</f>
        <v/>
      </c>
      <c r="K1313" t="inlineStr">
        <is>
          <t>SEND</t>
        </is>
      </c>
    </row>
    <row r="1314">
      <c r="A1314" t="inlineStr">
        <is>
          <t>Erika</t>
        </is>
      </c>
      <c r="B1314" t="inlineStr">
        <is>
          <t>+5511994021960</t>
        </is>
      </c>
      <c r="C1314" t="inlineStr">
        <is>
          <t>Refill</t>
        </is>
      </c>
      <c r="D1314" t="inlineStr">
        <is>
          <t>Primer Cachos</t>
        </is>
      </c>
      <c r="E1314" t="n">
        <v>1</v>
      </c>
      <c r="F1314" t="inlineStr">
        <is>
          <t>2026-01-20</t>
        </is>
      </c>
      <c r="G1314" t="n">
        <v>165</v>
      </c>
      <c r="H1314" t="inlineStr">
        <is>
          <t>Y</t>
        </is>
      </c>
      <c r="I1314">
        <f>HYPERLINK("https://admin.shopify.com/store/ge-beauty-cosmeticos/customers/10073119621440","abrir")</f>
        <v/>
      </c>
      <c r="J1314">
        <f>HYPERLINK("https://www.gebeauty.com.br/products/primer-cachos-definidos?ref=review","review")</f>
        <v/>
      </c>
      <c r="K1314" t="inlineStr">
        <is>
          <t>SEND</t>
        </is>
      </c>
    </row>
    <row r="1315">
      <c r="A1315" t="inlineStr">
        <is>
          <t>Fernando</t>
        </is>
      </c>
      <c r="B1315" t="inlineStr">
        <is>
          <t>+5547997682707</t>
        </is>
      </c>
      <c r="C1315" t="inlineStr">
        <is>
          <t>Refill</t>
        </is>
      </c>
      <c r="D1315" t="inlineStr">
        <is>
          <t>Primer Cachos</t>
        </is>
      </c>
      <c r="E1315" t="n">
        <v>1</v>
      </c>
      <c r="F1315" t="inlineStr">
        <is>
          <t>2026-01-20</t>
        </is>
      </c>
      <c r="G1315" t="n">
        <v>165</v>
      </c>
      <c r="H1315" t="inlineStr">
        <is>
          <t>Y</t>
        </is>
      </c>
      <c r="I1315">
        <f>HYPERLINK("https://admin.shopify.com/store/ge-beauty-cosmeticos/customers/10073128108352","abrir")</f>
        <v/>
      </c>
      <c r="J1315">
        <f>HYPERLINK("https://www.gebeauty.com.br/products/primer-cachos-definidos?ref=review","review")</f>
        <v/>
      </c>
      <c r="K1315" t="inlineStr">
        <is>
          <t>SEND</t>
        </is>
      </c>
    </row>
    <row r="1316">
      <c r="A1316" t="inlineStr">
        <is>
          <t>Sônia</t>
        </is>
      </c>
      <c r="B1316" t="inlineStr">
        <is>
          <t>+5537991994775</t>
        </is>
      </c>
      <c r="C1316" t="inlineStr">
        <is>
          <t>Refill</t>
        </is>
      </c>
      <c r="D1316" t="inlineStr">
        <is>
          <t>Primer Cachos</t>
        </is>
      </c>
      <c r="E1316" t="n">
        <v>1</v>
      </c>
      <c r="F1316" t="inlineStr">
        <is>
          <t>2026-01-20</t>
        </is>
      </c>
      <c r="G1316" t="n">
        <v>165</v>
      </c>
      <c r="H1316" t="inlineStr">
        <is>
          <t>Y</t>
        </is>
      </c>
      <c r="I1316">
        <f>HYPERLINK("https://admin.shopify.com/store/ge-beauty-cosmeticos/customers/10073129812288","abrir")</f>
        <v/>
      </c>
      <c r="J1316">
        <f>HYPERLINK("https://www.gebeauty.com.br/products/primer-cachos-definidos?ref=review","review")</f>
        <v/>
      </c>
      <c r="K1316" t="inlineStr">
        <is>
          <t>HOLDOUT</t>
        </is>
      </c>
    </row>
    <row r="1317">
      <c r="A1317" t="inlineStr">
        <is>
          <t>Bruno</t>
        </is>
      </c>
      <c r="B1317" t="inlineStr">
        <is>
          <t>+5571991749519</t>
        </is>
      </c>
      <c r="C1317" t="inlineStr">
        <is>
          <t>Refill</t>
        </is>
      </c>
      <c r="D1317" t="inlineStr">
        <is>
          <t>Primer Cachos</t>
        </is>
      </c>
      <c r="E1317" t="n">
        <v>1</v>
      </c>
      <c r="F1317" t="inlineStr">
        <is>
          <t>2026-01-20</t>
        </is>
      </c>
      <c r="G1317" t="n">
        <v>165</v>
      </c>
      <c r="H1317" t="inlineStr">
        <is>
          <t>Y</t>
        </is>
      </c>
      <c r="I1317">
        <f>HYPERLINK("https://admin.shopify.com/store/ge-beauty-cosmeticos/customers/10073125060928","abrir")</f>
        <v/>
      </c>
      <c r="J1317">
        <f>HYPERLINK("https://www.gebeauty.com.br/products/primer-cachos-definidos?ref=review","review")</f>
        <v/>
      </c>
      <c r="K1317" t="inlineStr">
        <is>
          <t>SEND</t>
        </is>
      </c>
    </row>
    <row r="1318">
      <c r="A1318" t="inlineStr">
        <is>
          <t>Deborah</t>
        </is>
      </c>
      <c r="B1318" t="inlineStr">
        <is>
          <t>+5581997987804</t>
        </is>
      </c>
      <c r="C1318" t="inlineStr">
        <is>
          <t>Refill</t>
        </is>
      </c>
      <c r="D1318" t="inlineStr">
        <is>
          <t>Primer Cachos</t>
        </is>
      </c>
      <c r="E1318" t="n">
        <v>1</v>
      </c>
      <c r="F1318" t="inlineStr">
        <is>
          <t>2026-01-20</t>
        </is>
      </c>
      <c r="G1318" t="n">
        <v>165</v>
      </c>
      <c r="H1318" t="inlineStr">
        <is>
          <t>Y</t>
        </is>
      </c>
      <c r="I1318">
        <f>HYPERLINK("https://admin.shopify.com/store/ge-beauty-cosmeticos/customers/10073135055168","abrir")</f>
        <v/>
      </c>
      <c r="J1318">
        <f>HYPERLINK("https://www.gebeauty.com.br/products/primer-cachos-definidos?ref=review","review")</f>
        <v/>
      </c>
      <c r="K1318" t="inlineStr">
        <is>
          <t>SEND</t>
        </is>
      </c>
    </row>
    <row r="1319">
      <c r="A1319" t="inlineStr">
        <is>
          <t>Juliana</t>
        </is>
      </c>
      <c r="B1319" t="inlineStr">
        <is>
          <t>+5519982778673</t>
        </is>
      </c>
      <c r="C1319" t="inlineStr">
        <is>
          <t>Refill</t>
        </is>
      </c>
      <c r="D1319" t="inlineStr">
        <is>
          <t>Primer Cachos</t>
        </is>
      </c>
      <c r="E1319" t="n">
        <v>1</v>
      </c>
      <c r="F1319" t="inlineStr">
        <is>
          <t>2026-01-20</t>
        </is>
      </c>
      <c r="G1319" t="n">
        <v>165</v>
      </c>
      <c r="H1319" t="inlineStr">
        <is>
          <t>Y</t>
        </is>
      </c>
      <c r="I1319">
        <f>HYPERLINK("https://admin.shopify.com/store/ge-beauty-cosmeticos/customers/10072968233280","abrir")</f>
        <v/>
      </c>
      <c r="J1319">
        <f>HYPERLINK("https://www.gebeauty.com.br/products/primer-cachos-definidos?ref=review","review")</f>
        <v/>
      </c>
      <c r="K1319" t="inlineStr">
        <is>
          <t>SEND</t>
        </is>
      </c>
    </row>
    <row r="1320">
      <c r="A1320" t="inlineStr">
        <is>
          <t>Ju</t>
        </is>
      </c>
      <c r="B1320" t="inlineStr">
        <is>
          <t>+5521999952310</t>
        </is>
      </c>
      <c r="C1320" t="inlineStr">
        <is>
          <t>Refill</t>
        </is>
      </c>
      <c r="D1320" t="inlineStr">
        <is>
          <t>Primer Cachos</t>
        </is>
      </c>
      <c r="E1320" t="n">
        <v>1</v>
      </c>
      <c r="F1320" t="inlineStr">
        <is>
          <t>2026-01-20</t>
        </is>
      </c>
      <c r="G1320" t="n">
        <v>165</v>
      </c>
      <c r="H1320" t="inlineStr">
        <is>
          <t>Y</t>
        </is>
      </c>
      <c r="I1320">
        <f>HYPERLINK("https://admin.shopify.com/store/ge-beauty-cosmeticos/customers/10073134989632","abrir")</f>
        <v/>
      </c>
      <c r="J1320">
        <f>HYPERLINK("https://www.gebeauty.com.br/products/primer-cachos-definidos?ref=review","review")</f>
        <v/>
      </c>
      <c r="K1320" t="inlineStr">
        <is>
          <t>SEND</t>
        </is>
      </c>
    </row>
    <row r="1321">
      <c r="A1321" t="inlineStr">
        <is>
          <t>Marisa</t>
        </is>
      </c>
      <c r="B1321" t="inlineStr">
        <is>
          <t>+5521993256368</t>
        </is>
      </c>
      <c r="C1321" t="inlineStr">
        <is>
          <t>Refill</t>
        </is>
      </c>
      <c r="D1321" t="inlineStr">
        <is>
          <t>Primer Cachos</t>
        </is>
      </c>
      <c r="E1321" t="n">
        <v>1</v>
      </c>
      <c r="F1321" t="inlineStr">
        <is>
          <t>2026-01-20</t>
        </is>
      </c>
      <c r="G1321" t="n">
        <v>165</v>
      </c>
      <c r="H1321" t="inlineStr">
        <is>
          <t>Y</t>
        </is>
      </c>
      <c r="I1321">
        <f>HYPERLINK("https://admin.shopify.com/store/ge-beauty-cosmeticos/customers/10073162580288","abrir")</f>
        <v/>
      </c>
      <c r="J1321">
        <f>HYPERLINK("https://www.gebeauty.com.br/products/primer-cachos-definidos?ref=review","review")</f>
        <v/>
      </c>
      <c r="K1321" t="inlineStr">
        <is>
          <t>SEND</t>
        </is>
      </c>
    </row>
    <row r="1322">
      <c r="A1322" t="inlineStr">
        <is>
          <t>Andresa</t>
        </is>
      </c>
      <c r="B1322" t="inlineStr">
        <is>
          <t>+5511987812444</t>
        </is>
      </c>
      <c r="C1322" t="inlineStr">
        <is>
          <t>Refill</t>
        </is>
      </c>
      <c r="D1322" t="inlineStr">
        <is>
          <t>Primer Cachos</t>
        </is>
      </c>
      <c r="E1322" t="n">
        <v>1</v>
      </c>
      <c r="F1322" t="inlineStr">
        <is>
          <t>2026-01-20</t>
        </is>
      </c>
      <c r="G1322" t="n">
        <v>165</v>
      </c>
      <c r="H1322" t="inlineStr">
        <is>
          <t>Y</t>
        </is>
      </c>
      <c r="I1322">
        <f>HYPERLINK("https://admin.shopify.com/store/ge-beauty-cosmeticos/customers/10073156780352","abrir")</f>
        <v/>
      </c>
      <c r="J1322">
        <f>HYPERLINK("https://www.gebeauty.com.br/products/primer-cachos-definidos?ref=review","review")</f>
        <v/>
      </c>
      <c r="K1322" t="inlineStr">
        <is>
          <t>SEND</t>
        </is>
      </c>
    </row>
    <row r="1323">
      <c r="A1323" t="inlineStr">
        <is>
          <t>Bianca</t>
        </is>
      </c>
      <c r="B1323" t="inlineStr">
        <is>
          <t>+5511995255853</t>
        </is>
      </c>
      <c r="C1323" t="inlineStr">
        <is>
          <t>Refill</t>
        </is>
      </c>
      <c r="D1323" t="inlineStr">
        <is>
          <t>Primer Cachos</t>
        </is>
      </c>
      <c r="E1323" t="n">
        <v>1</v>
      </c>
      <c r="F1323" t="inlineStr">
        <is>
          <t>2026-01-20</t>
        </is>
      </c>
      <c r="G1323" t="n">
        <v>165</v>
      </c>
      <c r="H1323" t="inlineStr">
        <is>
          <t>Y</t>
        </is>
      </c>
      <c r="I1323">
        <f>HYPERLINK("https://admin.shopify.com/store/ge-beauty-cosmeticos/customers/10073166971200","abrir")</f>
        <v/>
      </c>
      <c r="J1323">
        <f>HYPERLINK("https://www.gebeauty.com.br/products/primer-cachos-definidos?ref=review","review")</f>
        <v/>
      </c>
      <c r="K1323" t="inlineStr">
        <is>
          <t>SEND</t>
        </is>
      </c>
    </row>
    <row r="1324">
      <c r="A1324" t="inlineStr">
        <is>
          <t>Clara</t>
        </is>
      </c>
      <c r="B1324" t="inlineStr">
        <is>
          <t>+5535997623077</t>
        </is>
      </c>
      <c r="C1324" t="inlineStr">
        <is>
          <t>Refill</t>
        </is>
      </c>
      <c r="D1324" t="inlineStr">
        <is>
          <t>Primer Cachos</t>
        </is>
      </c>
      <c r="E1324" t="n">
        <v>1</v>
      </c>
      <c r="F1324" t="inlineStr">
        <is>
          <t>2026-01-20</t>
        </is>
      </c>
      <c r="G1324" t="n">
        <v>165</v>
      </c>
      <c r="H1324" t="inlineStr">
        <is>
          <t>Y</t>
        </is>
      </c>
      <c r="I1324">
        <f>HYPERLINK("https://admin.shopify.com/store/ge-beauty-cosmeticos/customers/10073168904512","abrir")</f>
        <v/>
      </c>
      <c r="J1324">
        <f>HYPERLINK("https://www.gebeauty.com.br/products/primer-cachos-definidos?ref=review","review")</f>
        <v/>
      </c>
      <c r="K1324" t="inlineStr">
        <is>
          <t>SEND</t>
        </is>
      </c>
    </row>
    <row r="1325">
      <c r="A1325" t="inlineStr">
        <is>
          <t>Ana</t>
        </is>
      </c>
      <c r="B1325" t="inlineStr">
        <is>
          <t>+5561999613476</t>
        </is>
      </c>
      <c r="C1325" t="inlineStr">
        <is>
          <t>Refill</t>
        </is>
      </c>
      <c r="D1325" t="inlineStr">
        <is>
          <t>Primer Cachos</t>
        </is>
      </c>
      <c r="E1325" t="n">
        <v>1</v>
      </c>
      <c r="F1325" t="inlineStr">
        <is>
          <t>2026-01-20</t>
        </is>
      </c>
      <c r="G1325" t="n">
        <v>165</v>
      </c>
      <c r="H1325" t="inlineStr">
        <is>
          <t>Y</t>
        </is>
      </c>
      <c r="I1325">
        <f>HYPERLINK("https://admin.shopify.com/store/ge-beauty-cosmeticos/customers/10073174606144","abrir")</f>
        <v/>
      </c>
      <c r="J1325">
        <f>HYPERLINK("https://www.gebeauty.com.br/products/primer-cachos-definidos?ref=review","review")</f>
        <v/>
      </c>
      <c r="K1325" t="inlineStr">
        <is>
          <t>SEND</t>
        </is>
      </c>
    </row>
    <row r="1326">
      <c r="A1326" t="inlineStr">
        <is>
          <t>Jussara</t>
        </is>
      </c>
      <c r="B1326" t="inlineStr">
        <is>
          <t>+5551993563919</t>
        </is>
      </c>
      <c r="C1326" t="inlineStr">
        <is>
          <t>Refill</t>
        </is>
      </c>
      <c r="D1326" t="inlineStr">
        <is>
          <t>Primer Cachos</t>
        </is>
      </c>
      <c r="E1326" t="n">
        <v>1</v>
      </c>
      <c r="F1326" t="inlineStr">
        <is>
          <t>2026-01-20</t>
        </is>
      </c>
      <c r="G1326" t="n">
        <v>165</v>
      </c>
      <c r="H1326" t="inlineStr">
        <is>
          <t>Y</t>
        </is>
      </c>
      <c r="I1326">
        <f>HYPERLINK("https://admin.shopify.com/store/ge-beauty-cosmeticos/customers/10073169494336","abrir")</f>
        <v/>
      </c>
      <c r="J1326">
        <f>HYPERLINK("https://www.gebeauty.com.br/products/primer-cachos-definidos?ref=review","review")</f>
        <v/>
      </c>
      <c r="K1326" t="inlineStr">
        <is>
          <t>SEND</t>
        </is>
      </c>
    </row>
    <row r="1327">
      <c r="A1327" t="inlineStr">
        <is>
          <t>Isabela</t>
        </is>
      </c>
      <c r="B1327" t="inlineStr">
        <is>
          <t>+5511995748203</t>
        </is>
      </c>
      <c r="C1327" t="inlineStr">
        <is>
          <t>Refill</t>
        </is>
      </c>
      <c r="D1327" t="inlineStr">
        <is>
          <t>Primer Cachos</t>
        </is>
      </c>
      <c r="E1327" t="n">
        <v>1</v>
      </c>
      <c r="F1327" t="inlineStr">
        <is>
          <t>2026-01-20</t>
        </is>
      </c>
      <c r="G1327" t="n">
        <v>165</v>
      </c>
      <c r="H1327" t="inlineStr">
        <is>
          <t>Y</t>
        </is>
      </c>
      <c r="I1327">
        <f>HYPERLINK("https://admin.shopify.com/store/ge-beauty-cosmeticos/customers/10073180438848","abrir")</f>
        <v/>
      </c>
      <c r="J1327">
        <f>HYPERLINK("https://www.gebeauty.com.br/products/primer-cachos-definidos?ref=review","review")</f>
        <v/>
      </c>
      <c r="K1327" t="inlineStr">
        <is>
          <t>SEND</t>
        </is>
      </c>
    </row>
    <row r="1328">
      <c r="A1328" t="inlineStr">
        <is>
          <t>Barbara</t>
        </is>
      </c>
      <c r="B1328" t="inlineStr">
        <is>
          <t>+5511987816765</t>
        </is>
      </c>
      <c r="C1328" t="inlineStr">
        <is>
          <t>Refill</t>
        </is>
      </c>
      <c r="D1328" t="inlineStr">
        <is>
          <t>Primer Cachos</t>
        </is>
      </c>
      <c r="E1328" t="n">
        <v>1</v>
      </c>
      <c r="F1328" t="inlineStr">
        <is>
          <t>2026-01-20</t>
        </is>
      </c>
      <c r="G1328" t="n">
        <v>165</v>
      </c>
      <c r="H1328" t="inlineStr">
        <is>
          <t>Y</t>
        </is>
      </c>
      <c r="I1328">
        <f>HYPERLINK("https://admin.shopify.com/store/ge-beauty-cosmeticos/customers/10073185419584","abrir")</f>
        <v/>
      </c>
      <c r="J1328">
        <f>HYPERLINK("https://www.gebeauty.com.br/products/primer-cachos-definidos?ref=review","review")</f>
        <v/>
      </c>
      <c r="K1328" t="inlineStr">
        <is>
          <t>SEND</t>
        </is>
      </c>
    </row>
    <row r="1329">
      <c r="A1329" t="inlineStr">
        <is>
          <t>Mirtha</t>
        </is>
      </c>
      <c r="B1329" t="inlineStr">
        <is>
          <t>+5521981086682</t>
        </is>
      </c>
      <c r="C1329" t="inlineStr">
        <is>
          <t>Refill</t>
        </is>
      </c>
      <c r="D1329" t="inlineStr">
        <is>
          <t>Primer Cachos</t>
        </is>
      </c>
      <c r="E1329" t="n">
        <v>1</v>
      </c>
      <c r="F1329" t="inlineStr">
        <is>
          <t>2026-01-20</t>
        </is>
      </c>
      <c r="G1329" t="n">
        <v>165</v>
      </c>
      <c r="H1329" t="inlineStr">
        <is>
          <t>Y</t>
        </is>
      </c>
      <c r="I1329">
        <f>HYPERLINK("https://admin.shopify.com/store/ge-beauty-cosmeticos/customers/10073189843264","abrir")</f>
        <v/>
      </c>
      <c r="J1329">
        <f>HYPERLINK("https://www.gebeauty.com.br/products/primer-cachos-definidos?ref=review","review")</f>
        <v/>
      </c>
      <c r="K1329" t="inlineStr">
        <is>
          <t>SEND</t>
        </is>
      </c>
    </row>
    <row r="1330">
      <c r="A1330" t="inlineStr">
        <is>
          <t>Evelyn</t>
        </is>
      </c>
      <c r="B1330" t="inlineStr">
        <is>
          <t>+5511975407618</t>
        </is>
      </c>
      <c r="C1330" t="inlineStr">
        <is>
          <t>Refill</t>
        </is>
      </c>
      <c r="D1330" t="inlineStr">
        <is>
          <t>Primer Cachos</t>
        </is>
      </c>
      <c r="E1330" t="n">
        <v>1</v>
      </c>
      <c r="F1330" t="inlineStr">
        <is>
          <t>2026-01-20</t>
        </is>
      </c>
      <c r="G1330" t="n">
        <v>165</v>
      </c>
      <c r="H1330" t="inlineStr">
        <is>
          <t>Y</t>
        </is>
      </c>
      <c r="I1330">
        <f>HYPERLINK("https://admin.shopify.com/store/ge-beauty-cosmeticos/customers/10073198657856","abrir")</f>
        <v/>
      </c>
      <c r="J1330">
        <f>HYPERLINK("https://www.gebeauty.com.br/products/primer-cachos-definidos?ref=review","review")</f>
        <v/>
      </c>
      <c r="K1330" t="inlineStr">
        <is>
          <t>SEND</t>
        </is>
      </c>
    </row>
    <row r="1331">
      <c r="A1331" t="inlineStr">
        <is>
          <t>Marilda</t>
        </is>
      </c>
      <c r="B1331" t="inlineStr">
        <is>
          <t>+5516992409731</t>
        </is>
      </c>
      <c r="C1331" t="inlineStr">
        <is>
          <t>Refill</t>
        </is>
      </c>
      <c r="D1331" t="inlineStr">
        <is>
          <t>Primer Cachos</t>
        </is>
      </c>
      <c r="E1331" t="n">
        <v>1</v>
      </c>
      <c r="F1331" t="inlineStr">
        <is>
          <t>2026-01-20</t>
        </is>
      </c>
      <c r="G1331" t="n">
        <v>165</v>
      </c>
      <c r="H1331" t="inlineStr">
        <is>
          <t>Y</t>
        </is>
      </c>
      <c r="I1331">
        <f>HYPERLINK("https://admin.shopify.com/store/ge-beauty-cosmeticos/customers/10073209241920","abrir")</f>
        <v/>
      </c>
      <c r="J1331">
        <f>HYPERLINK("https://www.gebeauty.com.br/products/primer-cachos-definidos?ref=review","review")</f>
        <v/>
      </c>
      <c r="K1331" t="inlineStr">
        <is>
          <t>SEND</t>
        </is>
      </c>
    </row>
    <row r="1332">
      <c r="A1332" t="inlineStr">
        <is>
          <t>Luciana</t>
        </is>
      </c>
      <c r="B1332" t="inlineStr">
        <is>
          <t>+5511999507862</t>
        </is>
      </c>
      <c r="C1332" t="inlineStr">
        <is>
          <t>Refill</t>
        </is>
      </c>
      <c r="D1332" t="inlineStr">
        <is>
          <t>Primer Cachos</t>
        </is>
      </c>
      <c r="E1332" t="n">
        <v>1</v>
      </c>
      <c r="F1332" t="inlineStr">
        <is>
          <t>2026-01-20</t>
        </is>
      </c>
      <c r="G1332" t="n">
        <v>165</v>
      </c>
      <c r="H1332" t="inlineStr">
        <is>
          <t>Y</t>
        </is>
      </c>
      <c r="I1332">
        <f>HYPERLINK("https://admin.shopify.com/store/ge-beauty-cosmeticos/customers/10073212256576","abrir")</f>
        <v/>
      </c>
      <c r="J1332">
        <f>HYPERLINK("https://www.gebeauty.com.br/products/primer-cachos-definidos?ref=review","review")</f>
        <v/>
      </c>
      <c r="K1332" t="inlineStr">
        <is>
          <t>SEND</t>
        </is>
      </c>
    </row>
    <row r="1333">
      <c r="A1333" t="inlineStr">
        <is>
          <t>Andréa</t>
        </is>
      </c>
      <c r="B1333" t="inlineStr">
        <is>
          <t>+5521997168156</t>
        </is>
      </c>
      <c r="C1333" t="inlineStr">
        <is>
          <t>Refill</t>
        </is>
      </c>
      <c r="D1333" t="inlineStr">
        <is>
          <t>Primer Cachos</t>
        </is>
      </c>
      <c r="E1333" t="n">
        <v>1</v>
      </c>
      <c r="F1333" t="inlineStr">
        <is>
          <t>2026-01-20</t>
        </is>
      </c>
      <c r="G1333" t="n">
        <v>165</v>
      </c>
      <c r="H1333" t="inlineStr">
        <is>
          <t>Y</t>
        </is>
      </c>
      <c r="I1333">
        <f>HYPERLINK("https://admin.shopify.com/store/ge-beauty-cosmeticos/customers/10073213370688","abrir")</f>
        <v/>
      </c>
      <c r="J1333">
        <f>HYPERLINK("https://www.gebeauty.com.br/products/primer-cachos-definidos?ref=review","review")</f>
        <v/>
      </c>
      <c r="K1333" t="inlineStr">
        <is>
          <t>SEND</t>
        </is>
      </c>
    </row>
    <row r="1334">
      <c r="A1334" t="inlineStr">
        <is>
          <t>Soraia</t>
        </is>
      </c>
      <c r="B1334" t="inlineStr">
        <is>
          <t>+5514981635702</t>
        </is>
      </c>
      <c r="C1334" t="inlineStr">
        <is>
          <t>Refill</t>
        </is>
      </c>
      <c r="D1334" t="inlineStr">
        <is>
          <t>Primer Cachos</t>
        </is>
      </c>
      <c r="E1334" t="n">
        <v>1</v>
      </c>
      <c r="F1334" t="inlineStr">
        <is>
          <t>2026-01-20</t>
        </is>
      </c>
      <c r="G1334" t="n">
        <v>165</v>
      </c>
      <c r="H1334" t="inlineStr">
        <is>
          <t>Y</t>
        </is>
      </c>
      <c r="I1334">
        <f>HYPERLINK("https://admin.shopify.com/store/ge-beauty-cosmeticos/customers/10073225756992","abrir")</f>
        <v/>
      </c>
      <c r="J1334">
        <f>HYPERLINK("https://www.gebeauty.com.br/products/primer-cachos-definidos?ref=review","review")</f>
        <v/>
      </c>
      <c r="K1334" t="inlineStr">
        <is>
          <t>SEND</t>
        </is>
      </c>
    </row>
    <row r="1335">
      <c r="A1335" t="inlineStr">
        <is>
          <t>Tatiane</t>
        </is>
      </c>
      <c r="B1335" t="inlineStr">
        <is>
          <t>+5548999573147</t>
        </is>
      </c>
      <c r="C1335" t="inlineStr">
        <is>
          <t>Refill</t>
        </is>
      </c>
      <c r="D1335" t="inlineStr">
        <is>
          <t>Primer Cachos</t>
        </is>
      </c>
      <c r="E1335" t="n">
        <v>1</v>
      </c>
      <c r="F1335" t="inlineStr">
        <is>
          <t>2026-01-20</t>
        </is>
      </c>
      <c r="G1335" t="n">
        <v>165</v>
      </c>
      <c r="H1335" t="inlineStr">
        <is>
          <t>Y</t>
        </is>
      </c>
      <c r="I1335">
        <f>HYPERLINK("https://admin.shopify.com/store/ge-beauty-cosmeticos/customers/10073237160256","abrir")</f>
        <v/>
      </c>
      <c r="J1335">
        <f>HYPERLINK("https://www.gebeauty.com.br/products/primer-cachos-definidos?ref=review","review")</f>
        <v/>
      </c>
      <c r="K1335" t="inlineStr">
        <is>
          <t>SEND</t>
        </is>
      </c>
    </row>
    <row r="1336">
      <c r="A1336" t="inlineStr">
        <is>
          <t>Silvania</t>
        </is>
      </c>
      <c r="B1336" t="inlineStr">
        <is>
          <t>+5555991194080</t>
        </is>
      </c>
      <c r="C1336" t="inlineStr">
        <is>
          <t>Refill</t>
        </is>
      </c>
      <c r="D1336" t="inlineStr">
        <is>
          <t>Primer Cachos</t>
        </is>
      </c>
      <c r="E1336" t="n">
        <v>1</v>
      </c>
      <c r="F1336" t="inlineStr">
        <is>
          <t>2026-01-20</t>
        </is>
      </c>
      <c r="G1336" t="n">
        <v>165</v>
      </c>
      <c r="H1336" t="inlineStr">
        <is>
          <t>Y</t>
        </is>
      </c>
      <c r="I1336">
        <f>HYPERLINK("https://admin.shopify.com/store/ge-beauty-cosmeticos/customers/10073234833728","abrir")</f>
        <v/>
      </c>
      <c r="J1336">
        <f>HYPERLINK("https://www.gebeauty.com.br/products/primer-cachos-definidos?ref=review","review")</f>
        <v/>
      </c>
      <c r="K1336" t="inlineStr">
        <is>
          <t>SEND</t>
        </is>
      </c>
    </row>
    <row r="1337">
      <c r="A1337" t="inlineStr">
        <is>
          <t>Edmara</t>
        </is>
      </c>
      <c r="B1337" t="inlineStr">
        <is>
          <t>+5511940267264</t>
        </is>
      </c>
      <c r="C1337" t="inlineStr">
        <is>
          <t>Refill</t>
        </is>
      </c>
      <c r="D1337" t="inlineStr">
        <is>
          <t>Primer Cachos</t>
        </is>
      </c>
      <c r="E1337" t="n">
        <v>1</v>
      </c>
      <c r="F1337" t="inlineStr">
        <is>
          <t>2026-01-20</t>
        </is>
      </c>
      <c r="G1337" t="n">
        <v>165</v>
      </c>
      <c r="H1337" t="inlineStr">
        <is>
          <t>Y</t>
        </is>
      </c>
      <c r="I1337">
        <f>HYPERLINK("https://admin.shopify.com/store/ge-beauty-cosmeticos/customers/10073242992960","abrir")</f>
        <v/>
      </c>
      <c r="J1337">
        <f>HYPERLINK("https://www.gebeauty.com.br/products/primer-cachos-definidos?ref=review","review")</f>
        <v/>
      </c>
      <c r="K1337" t="inlineStr">
        <is>
          <t>SEND</t>
        </is>
      </c>
    </row>
    <row r="1338">
      <c r="A1338" t="inlineStr">
        <is>
          <t>Isabela</t>
        </is>
      </c>
      <c r="B1338" t="inlineStr">
        <is>
          <t>+5511999940931</t>
        </is>
      </c>
      <c r="C1338" t="inlineStr">
        <is>
          <t>Refill</t>
        </is>
      </c>
      <c r="D1338" t="inlineStr">
        <is>
          <t>Primer Cachos</t>
        </is>
      </c>
      <c r="E1338" t="n">
        <v>1</v>
      </c>
      <c r="F1338" t="inlineStr">
        <is>
          <t>2026-01-20</t>
        </is>
      </c>
      <c r="G1338" t="n">
        <v>165</v>
      </c>
      <c r="H1338" t="inlineStr">
        <is>
          <t>Y</t>
        </is>
      </c>
      <c r="I1338">
        <f>HYPERLINK("https://admin.shopify.com/store/ge-beauty-cosmeticos/customers/10073245712704","abrir")</f>
        <v/>
      </c>
      <c r="J1338">
        <f>HYPERLINK("https://www.gebeauty.com.br/products/primer-cachos-definidos?ref=review","review")</f>
        <v/>
      </c>
      <c r="K1338" t="inlineStr">
        <is>
          <t>SEND</t>
        </is>
      </c>
    </row>
    <row r="1339">
      <c r="A1339" t="inlineStr">
        <is>
          <t>Poliane</t>
        </is>
      </c>
      <c r="B1339" t="inlineStr">
        <is>
          <t>+5562996921151</t>
        </is>
      </c>
      <c r="C1339" t="inlineStr">
        <is>
          <t>Refill</t>
        </is>
      </c>
      <c r="D1339" t="inlineStr">
        <is>
          <t>Primer Cachos</t>
        </is>
      </c>
      <c r="E1339" t="n">
        <v>1</v>
      </c>
      <c r="F1339" t="inlineStr">
        <is>
          <t>2026-01-20</t>
        </is>
      </c>
      <c r="G1339" t="n">
        <v>165</v>
      </c>
      <c r="H1339" t="inlineStr">
        <is>
          <t>Y</t>
        </is>
      </c>
      <c r="I1339">
        <f>HYPERLINK("https://admin.shopify.com/store/ge-beauty-cosmeticos/customers/10073257214272","abrir")</f>
        <v/>
      </c>
      <c r="J1339">
        <f>HYPERLINK("https://www.gebeauty.com.br/products/primer-cachos-definidos?ref=review","review")</f>
        <v/>
      </c>
      <c r="K1339" t="inlineStr">
        <is>
          <t>SEND</t>
        </is>
      </c>
    </row>
    <row r="1340">
      <c r="A1340" t="inlineStr">
        <is>
          <t>Maria</t>
        </is>
      </c>
      <c r="B1340" t="inlineStr">
        <is>
          <t>+5561993033583</t>
        </is>
      </c>
      <c r="C1340" t="inlineStr">
        <is>
          <t>Refill</t>
        </is>
      </c>
      <c r="D1340" t="inlineStr">
        <is>
          <t>Primer Cachos</t>
        </is>
      </c>
      <c r="E1340" t="n">
        <v>1</v>
      </c>
      <c r="F1340" t="inlineStr">
        <is>
          <t>2026-01-20</t>
        </is>
      </c>
      <c r="G1340" t="n">
        <v>165</v>
      </c>
      <c r="H1340" t="inlineStr">
        <is>
          <t>Y</t>
        </is>
      </c>
      <c r="I1340">
        <f>HYPERLINK("https://admin.shopify.com/store/ge-beauty-cosmeticos/customers/10073242173760","abrir")</f>
        <v/>
      </c>
      <c r="J1340">
        <f>HYPERLINK("https://www.gebeauty.com.br/products/primer-cachos-definidos?ref=review","review")</f>
        <v/>
      </c>
      <c r="K1340" t="inlineStr">
        <is>
          <t>SEND</t>
        </is>
      </c>
    </row>
    <row r="1341">
      <c r="A1341" t="inlineStr">
        <is>
          <t>Lais</t>
        </is>
      </c>
      <c r="B1341" t="inlineStr">
        <is>
          <t>+5516991589506</t>
        </is>
      </c>
      <c r="C1341" t="inlineStr">
        <is>
          <t>Refill</t>
        </is>
      </c>
      <c r="D1341" t="inlineStr">
        <is>
          <t>Primer Cachos</t>
        </is>
      </c>
      <c r="E1341" t="n">
        <v>1</v>
      </c>
      <c r="F1341" t="inlineStr">
        <is>
          <t>2026-01-20</t>
        </is>
      </c>
      <c r="G1341" t="n">
        <v>165</v>
      </c>
      <c r="H1341" t="inlineStr">
        <is>
          <t>Y</t>
        </is>
      </c>
      <c r="I1341">
        <f>HYPERLINK("https://admin.shopify.com/store/ge-beauty-cosmeticos/customers/10073265766720","abrir")</f>
        <v/>
      </c>
      <c r="J1341">
        <f>HYPERLINK("https://www.gebeauty.com.br/products/primer-cachos-definidos?ref=review","review")</f>
        <v/>
      </c>
      <c r="K1341" t="inlineStr">
        <is>
          <t>SEND</t>
        </is>
      </c>
    </row>
    <row r="1342">
      <c r="A1342" t="inlineStr">
        <is>
          <t>Haline</t>
        </is>
      </c>
      <c r="B1342" t="inlineStr">
        <is>
          <t>+5514997452732</t>
        </is>
      </c>
      <c r="C1342" t="inlineStr">
        <is>
          <t>Refill</t>
        </is>
      </c>
      <c r="D1342" t="inlineStr">
        <is>
          <t>Primer Cachos</t>
        </is>
      </c>
      <c r="E1342" t="n">
        <v>1</v>
      </c>
      <c r="F1342" t="inlineStr">
        <is>
          <t>2026-01-20</t>
        </is>
      </c>
      <c r="G1342" t="n">
        <v>165</v>
      </c>
      <c r="H1342" t="inlineStr">
        <is>
          <t>Y</t>
        </is>
      </c>
      <c r="I1342">
        <f>HYPERLINK("https://admin.shopify.com/store/ge-beauty-cosmeticos/customers/8156129526080","abrir")</f>
        <v/>
      </c>
      <c r="J1342">
        <f>HYPERLINK("https://www.gebeauty.com.br/products/primer-cachos-definidos?ref=review","review")</f>
        <v/>
      </c>
      <c r="K1342" t="inlineStr">
        <is>
          <t>SEND</t>
        </is>
      </c>
    </row>
    <row r="1343">
      <c r="A1343" t="inlineStr">
        <is>
          <t>Suélen</t>
        </is>
      </c>
      <c r="B1343" t="inlineStr">
        <is>
          <t>+5551999310104</t>
        </is>
      </c>
      <c r="C1343" t="inlineStr">
        <is>
          <t>Refill</t>
        </is>
      </c>
      <c r="D1343" t="inlineStr">
        <is>
          <t>Primer Cachos</t>
        </is>
      </c>
      <c r="E1343" t="n">
        <v>1</v>
      </c>
      <c r="F1343" t="inlineStr">
        <is>
          <t>2026-01-20</t>
        </is>
      </c>
      <c r="G1343" t="n">
        <v>165</v>
      </c>
      <c r="H1343" t="inlineStr">
        <is>
          <t>Y</t>
        </is>
      </c>
      <c r="I1343">
        <f>HYPERLINK("https://admin.shopify.com/store/ge-beauty-cosmeticos/customers/10073269436736","abrir")</f>
        <v/>
      </c>
      <c r="J1343">
        <f>HYPERLINK("https://www.gebeauty.com.br/products/primer-cachos-definidos?ref=review","review")</f>
        <v/>
      </c>
      <c r="K1343" t="inlineStr">
        <is>
          <t>SEND</t>
        </is>
      </c>
    </row>
    <row r="1344">
      <c r="A1344" t="inlineStr">
        <is>
          <t>Mariana</t>
        </is>
      </c>
      <c r="B1344" t="inlineStr">
        <is>
          <t>+5511999536406</t>
        </is>
      </c>
      <c r="C1344" t="inlineStr">
        <is>
          <t>Refill</t>
        </is>
      </c>
      <c r="D1344" t="inlineStr">
        <is>
          <t>Primer Cachos</t>
        </is>
      </c>
      <c r="E1344" t="n">
        <v>1</v>
      </c>
      <c r="F1344" t="inlineStr">
        <is>
          <t>2026-01-20</t>
        </is>
      </c>
      <c r="G1344" t="n">
        <v>165</v>
      </c>
      <c r="H1344" t="inlineStr">
        <is>
          <t>Y</t>
        </is>
      </c>
      <c r="I1344">
        <f>HYPERLINK("https://admin.shopify.com/store/ge-beauty-cosmeticos/customers/10073283068224","abrir")</f>
        <v/>
      </c>
      <c r="J1344">
        <f>HYPERLINK("https://www.gebeauty.com.br/products/primer-cachos-definidos?ref=review","review")</f>
        <v/>
      </c>
      <c r="K1344" t="inlineStr">
        <is>
          <t>HOLDOUT</t>
        </is>
      </c>
    </row>
    <row r="1345">
      <c r="A1345" t="inlineStr">
        <is>
          <t>Thais</t>
        </is>
      </c>
      <c r="B1345" t="inlineStr">
        <is>
          <t>+5585987870061</t>
        </is>
      </c>
      <c r="C1345" t="inlineStr">
        <is>
          <t>Refill</t>
        </is>
      </c>
      <c r="D1345" t="inlineStr">
        <is>
          <t>Primer Cachos</t>
        </is>
      </c>
      <c r="E1345" t="n">
        <v>1</v>
      </c>
      <c r="F1345" t="inlineStr">
        <is>
          <t>2026-01-20</t>
        </is>
      </c>
      <c r="G1345" t="n">
        <v>165</v>
      </c>
      <c r="H1345" t="inlineStr">
        <is>
          <t>Y</t>
        </is>
      </c>
      <c r="I1345">
        <f>HYPERLINK("https://admin.shopify.com/store/ge-beauty-cosmeticos/customers/10073277661504","abrir")</f>
        <v/>
      </c>
      <c r="J1345">
        <f>HYPERLINK("https://www.gebeauty.com.br/products/primer-cachos-definidos?ref=review","review")</f>
        <v/>
      </c>
      <c r="K1345" t="inlineStr">
        <is>
          <t>SEND</t>
        </is>
      </c>
    </row>
    <row r="1346">
      <c r="A1346" t="inlineStr">
        <is>
          <t>Elaine</t>
        </is>
      </c>
      <c r="B1346" t="inlineStr">
        <is>
          <t>+5511953568135</t>
        </is>
      </c>
      <c r="C1346" t="inlineStr">
        <is>
          <t>Refill</t>
        </is>
      </c>
      <c r="D1346" t="inlineStr">
        <is>
          <t>Primer Cachos</t>
        </is>
      </c>
      <c r="E1346" t="n">
        <v>1</v>
      </c>
      <c r="F1346" t="inlineStr">
        <is>
          <t>2026-01-20</t>
        </is>
      </c>
      <c r="G1346" t="n">
        <v>165</v>
      </c>
      <c r="H1346" t="inlineStr">
        <is>
          <t>Y</t>
        </is>
      </c>
      <c r="I1346">
        <f>HYPERLINK("https://admin.shopify.com/store/ge-beauty-cosmeticos/customers/10073287917888","abrir")</f>
        <v/>
      </c>
      <c r="J1346">
        <f>HYPERLINK("https://www.gebeauty.com.br/products/primer-cachos-definidos?ref=review","review")</f>
        <v/>
      </c>
      <c r="K1346" t="inlineStr">
        <is>
          <t>SEND</t>
        </is>
      </c>
    </row>
    <row r="1347">
      <c r="A1347" t="inlineStr">
        <is>
          <t>Michele</t>
        </is>
      </c>
      <c r="B1347" t="inlineStr">
        <is>
          <t>+5541992701607</t>
        </is>
      </c>
      <c r="C1347" t="inlineStr">
        <is>
          <t>Refill</t>
        </is>
      </c>
      <c r="D1347" t="inlineStr">
        <is>
          <t>Primer Cachos</t>
        </is>
      </c>
      <c r="E1347" t="n">
        <v>1</v>
      </c>
      <c r="F1347" t="inlineStr">
        <is>
          <t>2026-01-20</t>
        </is>
      </c>
      <c r="G1347" t="n">
        <v>165</v>
      </c>
      <c r="H1347" t="inlineStr">
        <is>
          <t>Y</t>
        </is>
      </c>
      <c r="I1347">
        <f>HYPERLINK("https://admin.shopify.com/store/ge-beauty-cosmeticos/customers/10073318293824","abrir")</f>
        <v/>
      </c>
      <c r="J1347">
        <f>HYPERLINK("https://www.gebeauty.com.br/products/primer-cachos-definidos?ref=review","review")</f>
        <v/>
      </c>
      <c r="K1347" t="inlineStr">
        <is>
          <t>SEND</t>
        </is>
      </c>
    </row>
    <row r="1348">
      <c r="A1348" t="inlineStr">
        <is>
          <t>Patricia</t>
        </is>
      </c>
      <c r="B1348" t="inlineStr">
        <is>
          <t>+5551999613583</t>
        </is>
      </c>
      <c r="C1348" t="inlineStr">
        <is>
          <t>Refill</t>
        </is>
      </c>
      <c r="D1348" t="inlineStr">
        <is>
          <t>Primer Cachos</t>
        </is>
      </c>
      <c r="E1348" t="n">
        <v>1</v>
      </c>
      <c r="F1348" t="inlineStr">
        <is>
          <t>2026-01-20</t>
        </is>
      </c>
      <c r="G1348" t="n">
        <v>165</v>
      </c>
      <c r="H1348" t="inlineStr">
        <is>
          <t>Y</t>
        </is>
      </c>
      <c r="I1348">
        <f>HYPERLINK("https://admin.shopify.com/store/ge-beauty-cosmeticos/customers/10073302434112","abrir")</f>
        <v/>
      </c>
      <c r="J1348">
        <f>HYPERLINK("https://www.gebeauty.com.br/products/primer-cachos-definidos?ref=review","review")</f>
        <v/>
      </c>
      <c r="K1348" t="inlineStr">
        <is>
          <t>SEND</t>
        </is>
      </c>
    </row>
    <row r="1349">
      <c r="A1349" t="inlineStr">
        <is>
          <t>Juliana</t>
        </is>
      </c>
      <c r="B1349" t="inlineStr">
        <is>
          <t>+5524992770893</t>
        </is>
      </c>
      <c r="C1349" t="inlineStr">
        <is>
          <t>Refill</t>
        </is>
      </c>
      <c r="D1349" t="inlineStr">
        <is>
          <t>Primer Cachos</t>
        </is>
      </c>
      <c r="E1349" t="n">
        <v>1</v>
      </c>
      <c r="F1349" t="inlineStr">
        <is>
          <t>2026-01-20</t>
        </is>
      </c>
      <c r="G1349" t="n">
        <v>165</v>
      </c>
      <c r="H1349" t="inlineStr">
        <is>
          <t>Y</t>
        </is>
      </c>
      <c r="I1349">
        <f>HYPERLINK("https://admin.shopify.com/store/ge-beauty-cosmeticos/customers/10073318850880","abrir")</f>
        <v/>
      </c>
      <c r="J1349">
        <f>HYPERLINK("https://www.gebeauty.com.br/products/primer-cachos-definidos?ref=review","review")</f>
        <v/>
      </c>
      <c r="K1349" t="inlineStr">
        <is>
          <t>SEND</t>
        </is>
      </c>
    </row>
    <row r="1350">
      <c r="A1350" t="inlineStr">
        <is>
          <t>Alexandra</t>
        </is>
      </c>
      <c r="B1350" t="inlineStr">
        <is>
          <t>+5511996534637</t>
        </is>
      </c>
      <c r="C1350" t="inlineStr">
        <is>
          <t>Refill</t>
        </is>
      </c>
      <c r="D1350" t="inlineStr">
        <is>
          <t>Primer Cachos</t>
        </is>
      </c>
      <c r="E1350" t="n">
        <v>1</v>
      </c>
      <c r="F1350" t="inlineStr">
        <is>
          <t>2026-01-20</t>
        </is>
      </c>
      <c r="G1350" t="n">
        <v>165</v>
      </c>
      <c r="H1350" t="inlineStr">
        <is>
          <t>Y</t>
        </is>
      </c>
      <c r="I1350">
        <f>HYPERLINK("https://admin.shopify.com/store/ge-beauty-cosmeticos/customers/10073316524352","abrir")</f>
        <v/>
      </c>
      <c r="J1350">
        <f>HYPERLINK("https://www.gebeauty.com.br/products/primer-cachos-definidos?ref=review","review")</f>
        <v/>
      </c>
      <c r="K1350" t="inlineStr">
        <is>
          <t>SEND</t>
        </is>
      </c>
    </row>
    <row r="1351">
      <c r="A1351" t="inlineStr">
        <is>
          <t>Leticia</t>
        </is>
      </c>
      <c r="B1351" t="inlineStr">
        <is>
          <t>+5514981299396</t>
        </is>
      </c>
      <c r="C1351" t="inlineStr">
        <is>
          <t>Refill</t>
        </is>
      </c>
      <c r="D1351" t="inlineStr">
        <is>
          <t>Primer Cachos</t>
        </is>
      </c>
      <c r="E1351" t="n">
        <v>1</v>
      </c>
      <c r="F1351" t="inlineStr">
        <is>
          <t>2026-01-20</t>
        </is>
      </c>
      <c r="G1351" t="n">
        <v>165</v>
      </c>
      <c r="H1351" t="inlineStr">
        <is>
          <t>Y</t>
        </is>
      </c>
      <c r="I1351">
        <f>HYPERLINK("https://admin.shopify.com/store/ge-beauty-cosmeticos/customers/10073346310464","abrir")</f>
        <v/>
      </c>
      <c r="J1351">
        <f>HYPERLINK("https://www.gebeauty.com.br/products/primer-cachos-definidos?ref=review","review")</f>
        <v/>
      </c>
      <c r="K1351" t="inlineStr">
        <is>
          <t>SEND</t>
        </is>
      </c>
    </row>
    <row r="1352">
      <c r="A1352" t="inlineStr">
        <is>
          <t>Naiane</t>
        </is>
      </c>
      <c r="B1352" t="inlineStr">
        <is>
          <t>+5554999099280</t>
        </is>
      </c>
      <c r="C1352" t="inlineStr">
        <is>
          <t>Refill</t>
        </is>
      </c>
      <c r="D1352" t="inlineStr">
        <is>
          <t>Primer Cachos</t>
        </is>
      </c>
      <c r="E1352" t="n">
        <v>1</v>
      </c>
      <c r="F1352" t="inlineStr">
        <is>
          <t>2026-01-20</t>
        </is>
      </c>
      <c r="G1352" t="n">
        <v>165</v>
      </c>
      <c r="H1352" t="inlineStr">
        <is>
          <t>Y</t>
        </is>
      </c>
      <c r="I1352">
        <f>HYPERLINK("https://admin.shopify.com/store/ge-beauty-cosmeticos/customers/10073368166720","abrir")</f>
        <v/>
      </c>
      <c r="J1352">
        <f>HYPERLINK("https://www.gebeauty.com.br/products/primer-cachos-definidos?ref=review","review")</f>
        <v/>
      </c>
      <c r="K1352" t="inlineStr">
        <is>
          <t>SEND</t>
        </is>
      </c>
    </row>
    <row r="1353">
      <c r="A1353" t="inlineStr">
        <is>
          <t>Janaina</t>
        </is>
      </c>
      <c r="B1353" t="inlineStr">
        <is>
          <t>+5511974825228</t>
        </is>
      </c>
      <c r="C1353" t="inlineStr">
        <is>
          <t>Refill</t>
        </is>
      </c>
      <c r="D1353" t="inlineStr">
        <is>
          <t>Primer Cachos</t>
        </is>
      </c>
      <c r="E1353" t="n">
        <v>1</v>
      </c>
      <c r="F1353" t="inlineStr">
        <is>
          <t>2026-01-20</t>
        </is>
      </c>
      <c r="G1353" t="n">
        <v>165</v>
      </c>
      <c r="H1353" t="inlineStr">
        <is>
          <t>Y</t>
        </is>
      </c>
      <c r="I1353">
        <f>HYPERLINK("https://admin.shopify.com/store/ge-beauty-cosmeticos/customers/10073365741888","abrir")</f>
        <v/>
      </c>
      <c r="J1353">
        <f>HYPERLINK("https://www.gebeauty.com.br/products/primer-cachos-definidos?ref=review","review")</f>
        <v/>
      </c>
      <c r="K1353" t="inlineStr">
        <is>
          <t>SEND</t>
        </is>
      </c>
    </row>
    <row r="1354">
      <c r="A1354" t="inlineStr">
        <is>
          <t>Carla</t>
        </is>
      </c>
      <c r="B1354" t="inlineStr">
        <is>
          <t>+5511983224749</t>
        </is>
      </c>
      <c r="C1354" t="inlineStr">
        <is>
          <t>Refill</t>
        </is>
      </c>
      <c r="D1354" t="inlineStr">
        <is>
          <t>Primer Cachos</t>
        </is>
      </c>
      <c r="E1354" t="n">
        <v>1</v>
      </c>
      <c r="F1354" t="inlineStr">
        <is>
          <t>2026-01-20</t>
        </is>
      </c>
      <c r="G1354" t="n">
        <v>165</v>
      </c>
      <c r="H1354" t="inlineStr">
        <is>
          <t>Y</t>
        </is>
      </c>
      <c r="I1354">
        <f>HYPERLINK("https://admin.shopify.com/store/ge-beauty-cosmeticos/customers/10073374720320","abrir")</f>
        <v/>
      </c>
      <c r="J1354">
        <f>HYPERLINK("https://www.gebeauty.com.br/products/primer-cachos-definidos?ref=review","review")</f>
        <v/>
      </c>
      <c r="K1354" t="inlineStr">
        <is>
          <t>SEND</t>
        </is>
      </c>
    </row>
    <row r="1355">
      <c r="A1355" t="inlineStr">
        <is>
          <t>Angela</t>
        </is>
      </c>
      <c r="B1355" t="inlineStr">
        <is>
          <t>+5585999074215</t>
        </is>
      </c>
      <c r="C1355" t="inlineStr">
        <is>
          <t>Refill</t>
        </is>
      </c>
      <c r="D1355" t="inlineStr">
        <is>
          <t>Primer Cachos</t>
        </is>
      </c>
      <c r="E1355" t="n">
        <v>1</v>
      </c>
      <c r="F1355" t="inlineStr">
        <is>
          <t>2026-01-20</t>
        </is>
      </c>
      <c r="G1355" t="n">
        <v>165</v>
      </c>
      <c r="H1355" t="inlineStr">
        <is>
          <t>Y</t>
        </is>
      </c>
      <c r="I1355">
        <f>HYPERLINK("https://admin.shopify.com/store/ge-beauty-cosmeticos/customers/10073364726080","abrir")</f>
        <v/>
      </c>
      <c r="J1355">
        <f>HYPERLINK("https://www.gebeauty.com.br/products/primer-cachos-definidos?ref=review","review")</f>
        <v/>
      </c>
      <c r="K1355" t="inlineStr">
        <is>
          <t>SEND</t>
        </is>
      </c>
    </row>
    <row r="1356">
      <c r="A1356" t="inlineStr">
        <is>
          <t>Viviana</t>
        </is>
      </c>
      <c r="B1356" t="inlineStr">
        <is>
          <t>+5511976737486</t>
        </is>
      </c>
      <c r="C1356" t="inlineStr">
        <is>
          <t>Refill</t>
        </is>
      </c>
      <c r="D1356" t="inlineStr">
        <is>
          <t>Primer Cachos</t>
        </is>
      </c>
      <c r="E1356" t="n">
        <v>1</v>
      </c>
      <c r="F1356" t="inlineStr">
        <is>
          <t>2026-01-20</t>
        </is>
      </c>
      <c r="G1356" t="n">
        <v>165</v>
      </c>
      <c r="H1356" t="inlineStr">
        <is>
          <t>Y</t>
        </is>
      </c>
      <c r="I1356">
        <f>HYPERLINK("https://admin.shopify.com/store/ge-beauty-cosmeticos/customers/10073377997120","abrir")</f>
        <v/>
      </c>
      <c r="J1356">
        <f>HYPERLINK("https://www.gebeauty.com.br/products/primer-cachos-definidos?ref=review","review")</f>
        <v/>
      </c>
      <c r="K1356" t="inlineStr">
        <is>
          <t>SEND</t>
        </is>
      </c>
    </row>
    <row r="1357">
      <c r="A1357" t="inlineStr">
        <is>
          <t>Ligia</t>
        </is>
      </c>
      <c r="B1357" t="inlineStr">
        <is>
          <t>+5511973357562</t>
        </is>
      </c>
      <c r="C1357" t="inlineStr">
        <is>
          <t>Refill</t>
        </is>
      </c>
      <c r="D1357" t="inlineStr">
        <is>
          <t>Primer Cachos</t>
        </is>
      </c>
      <c r="E1357" t="n">
        <v>1</v>
      </c>
      <c r="F1357" t="inlineStr">
        <is>
          <t>2026-01-20</t>
        </is>
      </c>
      <c r="G1357" t="n">
        <v>165</v>
      </c>
      <c r="H1357" t="inlineStr">
        <is>
          <t>Y</t>
        </is>
      </c>
      <c r="I1357">
        <f>HYPERLINK("https://admin.shopify.com/store/ge-beauty-cosmeticos/customers/10073369018688","abrir")</f>
        <v/>
      </c>
      <c r="J1357">
        <f>HYPERLINK("https://www.gebeauty.com.br/products/primer-cachos-definidos?ref=review","review")</f>
        <v/>
      </c>
      <c r="K1357" t="inlineStr">
        <is>
          <t>SEND</t>
        </is>
      </c>
    </row>
    <row r="1358">
      <c r="A1358" t="inlineStr">
        <is>
          <t>Fernanda</t>
        </is>
      </c>
      <c r="B1358" t="inlineStr">
        <is>
          <t>+5511984437483</t>
        </is>
      </c>
      <c r="C1358" t="inlineStr">
        <is>
          <t>Refill</t>
        </is>
      </c>
      <c r="D1358" t="inlineStr">
        <is>
          <t>Primer Cachos</t>
        </is>
      </c>
      <c r="E1358" t="n">
        <v>1</v>
      </c>
      <c r="F1358" t="inlineStr">
        <is>
          <t>2026-01-20</t>
        </is>
      </c>
      <c r="G1358" t="n">
        <v>165</v>
      </c>
      <c r="H1358" t="inlineStr">
        <is>
          <t>Y</t>
        </is>
      </c>
      <c r="I1358">
        <f>HYPERLINK("https://admin.shopify.com/store/ge-beauty-cosmeticos/customers/10073470107968","abrir")</f>
        <v/>
      </c>
      <c r="J1358">
        <f>HYPERLINK("https://www.gebeauty.com.br/products/primer-cachos-definidos?ref=review","review")</f>
        <v/>
      </c>
      <c r="K1358" t="inlineStr">
        <is>
          <t>SEND</t>
        </is>
      </c>
    </row>
    <row r="1359">
      <c r="A1359" t="inlineStr">
        <is>
          <t>Kelsy</t>
        </is>
      </c>
      <c r="B1359" t="inlineStr">
        <is>
          <t>+5521983449728</t>
        </is>
      </c>
      <c r="C1359" t="inlineStr">
        <is>
          <t>Refill</t>
        </is>
      </c>
      <c r="D1359" t="inlineStr">
        <is>
          <t>Primer Cachos</t>
        </is>
      </c>
      <c r="E1359" t="n">
        <v>1</v>
      </c>
      <c r="F1359" t="inlineStr">
        <is>
          <t>2026-01-20</t>
        </is>
      </c>
      <c r="G1359" t="n">
        <v>165</v>
      </c>
      <c r="H1359" t="inlineStr">
        <is>
          <t>Y</t>
        </is>
      </c>
      <c r="I1359">
        <f>HYPERLINK("https://admin.shopify.com/store/ge-beauty-cosmeticos/customers/7759572664640","abrir")</f>
        <v/>
      </c>
      <c r="J1359">
        <f>HYPERLINK("https://www.gebeauty.com.br/products/primer-cachos-definidos?ref=review","review")</f>
        <v/>
      </c>
      <c r="K1359" t="inlineStr">
        <is>
          <t>SEND</t>
        </is>
      </c>
    </row>
    <row r="1360">
      <c r="A1360" t="inlineStr">
        <is>
          <t>Nadia</t>
        </is>
      </c>
      <c r="B1360" t="inlineStr">
        <is>
          <t>+5511948305045</t>
        </is>
      </c>
      <c r="C1360" t="inlineStr">
        <is>
          <t>Refill</t>
        </is>
      </c>
      <c r="D1360" t="inlineStr">
        <is>
          <t>Primer Cachos</t>
        </is>
      </c>
      <c r="E1360" t="n">
        <v>1</v>
      </c>
      <c r="F1360" t="inlineStr">
        <is>
          <t>2026-01-20</t>
        </is>
      </c>
      <c r="G1360" t="n">
        <v>165</v>
      </c>
      <c r="H1360" t="inlineStr">
        <is>
          <t>Y</t>
        </is>
      </c>
      <c r="I1360">
        <f>HYPERLINK("https://admin.shopify.com/store/ge-beauty-cosmeticos/customers/10073716785472","abrir")</f>
        <v/>
      </c>
      <c r="J1360">
        <f>HYPERLINK("https://www.gebeauty.com.br/products/primer-cachos-definidos?ref=review","review")</f>
        <v/>
      </c>
      <c r="K1360" t="inlineStr">
        <is>
          <t>SEND</t>
        </is>
      </c>
    </row>
    <row r="1361">
      <c r="A1361" t="inlineStr">
        <is>
          <t>Maria de Fatima</t>
        </is>
      </c>
      <c r="B1361" t="inlineStr">
        <is>
          <t>+5521995380395</t>
        </is>
      </c>
      <c r="C1361" t="inlineStr">
        <is>
          <t>Refill</t>
        </is>
      </c>
      <c r="D1361" t="inlineStr">
        <is>
          <t>Primer Cachos</t>
        </is>
      </c>
      <c r="E1361" t="n">
        <v>1</v>
      </c>
      <c r="F1361" t="inlineStr">
        <is>
          <t>2026-01-20</t>
        </is>
      </c>
      <c r="G1361" t="n">
        <v>165</v>
      </c>
      <c r="H1361" t="inlineStr">
        <is>
          <t>Y</t>
        </is>
      </c>
      <c r="I1361">
        <f>HYPERLINK("https://admin.shopify.com/store/ge-beauty-cosmeticos/customers/10073625624896","abrir")</f>
        <v/>
      </c>
      <c r="J1361">
        <f>HYPERLINK("https://www.gebeauty.com.br/products/primer-cachos-definidos?ref=review","review")</f>
        <v/>
      </c>
      <c r="K1361" t="inlineStr">
        <is>
          <t>SEND</t>
        </is>
      </c>
    </row>
    <row r="1362">
      <c r="A1362" t="inlineStr">
        <is>
          <t>Paula</t>
        </is>
      </c>
      <c r="B1362" t="inlineStr">
        <is>
          <t>+5511989620265</t>
        </is>
      </c>
      <c r="C1362" t="inlineStr">
        <is>
          <t>Refill</t>
        </is>
      </c>
      <c r="D1362" t="inlineStr">
        <is>
          <t>Primer Cachos</t>
        </is>
      </c>
      <c r="E1362" t="n">
        <v>1</v>
      </c>
      <c r="F1362" t="inlineStr">
        <is>
          <t>2026-01-20</t>
        </is>
      </c>
      <c r="G1362" t="n">
        <v>165</v>
      </c>
      <c r="H1362" t="inlineStr">
        <is>
          <t>Y</t>
        </is>
      </c>
      <c r="I1362">
        <f>HYPERLINK("https://admin.shopify.com/store/ge-beauty-cosmeticos/customers/10073839599936","abrir")</f>
        <v/>
      </c>
      <c r="J1362">
        <f>HYPERLINK("https://www.gebeauty.com.br/products/primer-cachos-definidos?ref=review","review")</f>
        <v/>
      </c>
      <c r="K1362" t="inlineStr">
        <is>
          <t>SEND</t>
        </is>
      </c>
    </row>
    <row r="1363">
      <c r="A1363" t="inlineStr">
        <is>
          <t>Paula</t>
        </is>
      </c>
      <c r="B1363" t="inlineStr">
        <is>
          <t>+5521987239360</t>
        </is>
      </c>
      <c r="C1363" t="inlineStr">
        <is>
          <t>Refill</t>
        </is>
      </c>
      <c r="D1363" t="inlineStr">
        <is>
          <t>Primer Cachos</t>
        </is>
      </c>
      <c r="E1363" t="n">
        <v>1</v>
      </c>
      <c r="F1363" t="inlineStr">
        <is>
          <t>2026-01-20</t>
        </is>
      </c>
      <c r="G1363" t="n">
        <v>165</v>
      </c>
      <c r="H1363" t="inlineStr">
        <is>
          <t>Y</t>
        </is>
      </c>
      <c r="I1363">
        <f>HYPERLINK("https://admin.shopify.com/store/ge-beauty-cosmeticos/customers/10071685497152","abrir")</f>
        <v/>
      </c>
      <c r="J1363">
        <f>HYPERLINK("https://www.gebeauty.com.br/products/primer-cachos-definidos?ref=review","review")</f>
        <v/>
      </c>
      <c r="K1363" t="inlineStr">
        <is>
          <t>SEND</t>
        </is>
      </c>
    </row>
    <row r="1364">
      <c r="A1364" t="inlineStr">
        <is>
          <t>Andressa</t>
        </is>
      </c>
      <c r="B1364" t="inlineStr">
        <is>
          <t>+5511982725455</t>
        </is>
      </c>
      <c r="C1364" t="inlineStr">
        <is>
          <t>Refill</t>
        </is>
      </c>
      <c r="D1364" t="inlineStr">
        <is>
          <t>Primer Cachos</t>
        </is>
      </c>
      <c r="E1364" t="n">
        <v>1</v>
      </c>
      <c r="F1364" t="inlineStr">
        <is>
          <t>2026-01-20</t>
        </is>
      </c>
      <c r="G1364" t="n">
        <v>165</v>
      </c>
      <c r="H1364" t="inlineStr">
        <is>
          <t>Y</t>
        </is>
      </c>
      <c r="I1364">
        <f>HYPERLINK("https://admin.shopify.com/store/ge-beauty-cosmeticos/customers/10073898647872","abrir")</f>
        <v/>
      </c>
      <c r="J1364">
        <f>HYPERLINK("https://www.gebeauty.com.br/products/primer-cachos-definidos?ref=review","review")</f>
        <v/>
      </c>
      <c r="K1364" t="inlineStr">
        <is>
          <t>SEND</t>
        </is>
      </c>
    </row>
    <row r="1365">
      <c r="A1365" t="inlineStr">
        <is>
          <t>Nagila</t>
        </is>
      </c>
      <c r="B1365" t="inlineStr">
        <is>
          <t>+5511974683374</t>
        </is>
      </c>
      <c r="C1365" t="inlineStr">
        <is>
          <t>Refill</t>
        </is>
      </c>
      <c r="D1365" t="inlineStr">
        <is>
          <t>Primer Cachos</t>
        </is>
      </c>
      <c r="E1365" t="n">
        <v>1</v>
      </c>
      <c r="F1365" t="inlineStr">
        <is>
          <t>2026-01-20</t>
        </is>
      </c>
      <c r="G1365" t="n">
        <v>165</v>
      </c>
      <c r="H1365" t="inlineStr">
        <is>
          <t>Y</t>
        </is>
      </c>
      <c r="I1365">
        <f>HYPERLINK("https://admin.shopify.com/store/ge-beauty-cosmeticos/customers/10073998688576","abrir")</f>
        <v/>
      </c>
      <c r="J1365">
        <f>HYPERLINK("https://www.gebeauty.com.br/products/primer-cachos-definidos?ref=review","review")</f>
        <v/>
      </c>
      <c r="K1365" t="inlineStr">
        <is>
          <t>HOLDOUT</t>
        </is>
      </c>
    </row>
    <row r="1366">
      <c r="A1366" t="inlineStr">
        <is>
          <t>Ana Paula</t>
        </is>
      </c>
      <c r="B1366" t="inlineStr">
        <is>
          <t>+5531997115053</t>
        </is>
      </c>
      <c r="C1366" t="inlineStr">
        <is>
          <t>Refill</t>
        </is>
      </c>
      <c r="D1366" t="inlineStr">
        <is>
          <t>Primer Cachos</t>
        </is>
      </c>
      <c r="E1366" t="n">
        <v>1</v>
      </c>
      <c r="F1366" t="inlineStr">
        <is>
          <t>2026-01-20</t>
        </is>
      </c>
      <c r="G1366" t="n">
        <v>165</v>
      </c>
      <c r="H1366" t="inlineStr">
        <is>
          <t>Y</t>
        </is>
      </c>
      <c r="I1366">
        <f>HYPERLINK("https://admin.shopify.com/store/ge-beauty-cosmeticos/customers/10073817743680","abrir")</f>
        <v/>
      </c>
      <c r="J1366">
        <f>HYPERLINK("https://www.gebeauty.com.br/products/primer-cachos-definidos?ref=review","review")</f>
        <v/>
      </c>
      <c r="K1366" t="inlineStr">
        <is>
          <t>SEND</t>
        </is>
      </c>
    </row>
    <row r="1367">
      <c r="A1367" t="inlineStr">
        <is>
          <t>Angelica</t>
        </is>
      </c>
      <c r="B1367" t="inlineStr">
        <is>
          <t>+5511995356097</t>
        </is>
      </c>
      <c r="C1367" t="inlineStr">
        <is>
          <t>Refill</t>
        </is>
      </c>
      <c r="D1367" t="inlineStr">
        <is>
          <t>Primer Cachos</t>
        </is>
      </c>
      <c r="E1367" t="n">
        <v>1</v>
      </c>
      <c r="F1367" t="inlineStr">
        <is>
          <t>2026-01-20</t>
        </is>
      </c>
      <c r="G1367" t="n">
        <v>165</v>
      </c>
      <c r="H1367" t="inlineStr">
        <is>
          <t>Y</t>
        </is>
      </c>
      <c r="I1367">
        <f>HYPERLINK("https://admin.shopify.com/store/ge-beauty-cosmeticos/customers/9837068353856","abrir")</f>
        <v/>
      </c>
      <c r="J1367">
        <f>HYPERLINK("https://www.gebeauty.com.br/products/primer-cachos-definidos?ref=review","review")</f>
        <v/>
      </c>
      <c r="K1367" t="inlineStr">
        <is>
          <t>SEND</t>
        </is>
      </c>
    </row>
    <row r="1368">
      <c r="A1368" t="inlineStr">
        <is>
          <t>Adriana</t>
        </is>
      </c>
      <c r="B1368" t="inlineStr">
        <is>
          <t>+5514997436140</t>
        </is>
      </c>
      <c r="C1368" t="inlineStr">
        <is>
          <t>Refill</t>
        </is>
      </c>
      <c r="D1368" t="inlineStr">
        <is>
          <t>Primer Cachos</t>
        </is>
      </c>
      <c r="E1368" t="n">
        <v>1</v>
      </c>
      <c r="F1368" t="inlineStr">
        <is>
          <t>2026-01-20</t>
        </is>
      </c>
      <c r="G1368" t="n">
        <v>165</v>
      </c>
      <c r="H1368" t="inlineStr">
        <is>
          <t>Y</t>
        </is>
      </c>
      <c r="I1368">
        <f>HYPERLINK("https://admin.shopify.com/store/ge-beauty-cosmeticos/customers/10074012582208","abrir")</f>
        <v/>
      </c>
      <c r="J1368">
        <f>HYPERLINK("https://www.gebeauty.com.br/products/primer-cachos-definidos?ref=review","review")</f>
        <v/>
      </c>
      <c r="K1368" t="inlineStr">
        <is>
          <t>SEND</t>
        </is>
      </c>
    </row>
    <row r="1369">
      <c r="A1369" t="inlineStr">
        <is>
          <t>Ana Cristina</t>
        </is>
      </c>
      <c r="B1369" t="inlineStr">
        <is>
          <t>+5511992226005</t>
        </is>
      </c>
      <c r="C1369" t="inlineStr">
        <is>
          <t>Refill</t>
        </is>
      </c>
      <c r="D1369" t="inlineStr">
        <is>
          <t>Primer Cachos</t>
        </is>
      </c>
      <c r="E1369" t="n">
        <v>1</v>
      </c>
      <c r="F1369" t="inlineStr">
        <is>
          <t>2026-01-20</t>
        </is>
      </c>
      <c r="G1369" t="n">
        <v>165</v>
      </c>
      <c r="H1369" t="inlineStr">
        <is>
          <t>Y</t>
        </is>
      </c>
      <c r="I1369">
        <f>HYPERLINK("https://admin.shopify.com/store/ge-beauty-cosmeticos/customers/10073769181504","abrir")</f>
        <v/>
      </c>
      <c r="J1369">
        <f>HYPERLINK("https://www.gebeauty.com.br/products/primer-cachos-definidos?ref=review","review")</f>
        <v/>
      </c>
      <c r="K1369" t="inlineStr">
        <is>
          <t>SEND</t>
        </is>
      </c>
    </row>
    <row r="1370">
      <c r="A1370" t="inlineStr">
        <is>
          <t>Maria</t>
        </is>
      </c>
      <c r="B1370" t="inlineStr">
        <is>
          <t>+5518997648793</t>
        </is>
      </c>
      <c r="C1370" t="inlineStr">
        <is>
          <t>Refill</t>
        </is>
      </c>
      <c r="D1370" t="inlineStr">
        <is>
          <t>Primer Cachos</t>
        </is>
      </c>
      <c r="E1370" t="n">
        <v>1</v>
      </c>
      <c r="F1370" t="inlineStr">
        <is>
          <t>2026-01-20</t>
        </is>
      </c>
      <c r="G1370" t="n">
        <v>165</v>
      </c>
      <c r="H1370" t="inlineStr">
        <is>
          <t>Y</t>
        </is>
      </c>
      <c r="I1370">
        <f>HYPERLINK("https://admin.shopify.com/store/ge-beauty-cosmeticos/customers/10073808273728","abrir")</f>
        <v/>
      </c>
      <c r="J1370">
        <f>HYPERLINK("https://www.gebeauty.com.br/products/primer-cachos-definidos?ref=review","review")</f>
        <v/>
      </c>
      <c r="K1370" t="inlineStr">
        <is>
          <t>SEND</t>
        </is>
      </c>
    </row>
    <row r="1371">
      <c r="A1371" t="inlineStr">
        <is>
          <t>Lailah</t>
        </is>
      </c>
      <c r="B1371" t="inlineStr">
        <is>
          <t>+5511957740146</t>
        </is>
      </c>
      <c r="C1371" t="inlineStr">
        <is>
          <t>Refill</t>
        </is>
      </c>
      <c r="D1371" t="inlineStr">
        <is>
          <t>Primer Cachos</t>
        </is>
      </c>
      <c r="E1371" t="n">
        <v>1</v>
      </c>
      <c r="F1371" t="inlineStr">
        <is>
          <t>2026-01-20</t>
        </is>
      </c>
      <c r="G1371" t="n">
        <v>165</v>
      </c>
      <c r="H1371" t="inlineStr">
        <is>
          <t>Y</t>
        </is>
      </c>
      <c r="I1371">
        <f>HYPERLINK("https://admin.shopify.com/store/ge-beauty-cosmeticos/customers/10073843106112","abrir")</f>
        <v/>
      </c>
      <c r="J1371">
        <f>HYPERLINK("https://www.gebeauty.com.br/products/primer-cachos-definidos?ref=review","review")</f>
        <v/>
      </c>
      <c r="K1371" t="inlineStr">
        <is>
          <t>SEND</t>
        </is>
      </c>
    </row>
    <row r="1372">
      <c r="A1372" t="inlineStr">
        <is>
          <t>Marcella</t>
        </is>
      </c>
      <c r="B1372" t="inlineStr">
        <is>
          <t>+5521978372823</t>
        </is>
      </c>
      <c r="C1372" t="inlineStr">
        <is>
          <t>Refill</t>
        </is>
      </c>
      <c r="D1372" t="inlineStr">
        <is>
          <t>Primer Cachos</t>
        </is>
      </c>
      <c r="E1372" t="n">
        <v>1</v>
      </c>
      <c r="F1372" t="inlineStr">
        <is>
          <t>2026-01-20</t>
        </is>
      </c>
      <c r="G1372" t="n">
        <v>165</v>
      </c>
      <c r="H1372" t="inlineStr">
        <is>
          <t>Y</t>
        </is>
      </c>
      <c r="I1372">
        <f>HYPERLINK("https://admin.shopify.com/store/ge-beauty-cosmeticos/customers/10073299648832","abrir")</f>
        <v/>
      </c>
      <c r="J1372">
        <f>HYPERLINK("https://www.gebeauty.com.br/products/primer-cachos-definidos?ref=review","review")</f>
        <v/>
      </c>
      <c r="K1372" t="inlineStr">
        <is>
          <t>SEND</t>
        </is>
      </c>
    </row>
    <row r="1373">
      <c r="A1373" t="inlineStr">
        <is>
          <t>Clarice</t>
        </is>
      </c>
      <c r="B1373" t="inlineStr">
        <is>
          <t>+5511973187381</t>
        </is>
      </c>
      <c r="C1373" t="inlineStr">
        <is>
          <t>Refill</t>
        </is>
      </c>
      <c r="D1373" t="inlineStr">
        <is>
          <t>Primer Cachos</t>
        </is>
      </c>
      <c r="E1373" t="n">
        <v>1</v>
      </c>
      <c r="F1373" t="inlineStr">
        <is>
          <t>2026-01-20</t>
        </is>
      </c>
      <c r="G1373" t="n">
        <v>165</v>
      </c>
      <c r="H1373" t="inlineStr">
        <is>
          <t>Y</t>
        </is>
      </c>
      <c r="I1373">
        <f>HYPERLINK("https://admin.shopify.com/store/ge-beauty-cosmeticos/customers/9097228190016","abrir")</f>
        <v/>
      </c>
      <c r="J1373">
        <f>HYPERLINK("https://www.gebeauty.com.br/products/primer-cachos-definidos?ref=review","review")</f>
        <v/>
      </c>
      <c r="K1373" t="inlineStr">
        <is>
          <t>SEND</t>
        </is>
      </c>
    </row>
    <row r="1374">
      <c r="A1374" t="inlineStr">
        <is>
          <t>Maria Fernanda</t>
        </is>
      </c>
      <c r="B1374" t="inlineStr">
        <is>
          <t>+5511984782334</t>
        </is>
      </c>
      <c r="C1374" t="inlineStr">
        <is>
          <t>Refill</t>
        </is>
      </c>
      <c r="D1374" t="inlineStr">
        <is>
          <t>Primer Cachos</t>
        </is>
      </c>
      <c r="E1374" t="n">
        <v>1</v>
      </c>
      <c r="F1374" t="inlineStr">
        <is>
          <t>2026-01-20</t>
        </is>
      </c>
      <c r="G1374" t="n">
        <v>165</v>
      </c>
      <c r="H1374" t="inlineStr">
        <is>
          <t>Y</t>
        </is>
      </c>
      <c r="I1374">
        <f>HYPERLINK("https://admin.shopify.com/store/ge-beauty-cosmeticos/customers/10074024837440","abrir")</f>
        <v/>
      </c>
      <c r="J1374">
        <f>HYPERLINK("https://www.gebeauty.com.br/products/primer-cachos-definidos?ref=review","review")</f>
        <v/>
      </c>
      <c r="K1374" t="inlineStr">
        <is>
          <t>SEND</t>
        </is>
      </c>
    </row>
    <row r="1375">
      <c r="A1375" t="inlineStr">
        <is>
          <t>Dália</t>
        </is>
      </c>
      <c r="B1375" t="inlineStr">
        <is>
          <t>+5521988816563</t>
        </is>
      </c>
      <c r="C1375" t="inlineStr">
        <is>
          <t>Refill</t>
        </is>
      </c>
      <c r="D1375" t="inlineStr">
        <is>
          <t>Primer Cachos</t>
        </is>
      </c>
      <c r="E1375" t="n">
        <v>1</v>
      </c>
      <c r="F1375" t="inlineStr">
        <is>
          <t>2026-01-20</t>
        </is>
      </c>
      <c r="G1375" t="n">
        <v>165</v>
      </c>
      <c r="H1375" t="inlineStr">
        <is>
          <t>Y</t>
        </is>
      </c>
      <c r="I1375">
        <f>HYPERLINK("https://admin.shopify.com/store/ge-beauty-cosmeticos/customers/10074019266880","abrir")</f>
        <v/>
      </c>
      <c r="J1375">
        <f>HYPERLINK("https://www.gebeauty.com.br/products/primer-cachos-definidos?ref=review","review")</f>
        <v/>
      </c>
      <c r="K1375" t="inlineStr">
        <is>
          <t>SEND</t>
        </is>
      </c>
    </row>
    <row r="1376">
      <c r="A1376" t="inlineStr">
        <is>
          <t>Alessandra</t>
        </is>
      </c>
      <c r="B1376" t="inlineStr">
        <is>
          <t>+5562999753365</t>
        </is>
      </c>
      <c r="C1376" t="inlineStr">
        <is>
          <t>Refill</t>
        </is>
      </c>
      <c r="D1376" t="inlineStr">
        <is>
          <t>Primer Cachos</t>
        </is>
      </c>
      <c r="E1376" t="n">
        <v>1</v>
      </c>
      <c r="F1376" t="inlineStr">
        <is>
          <t>2026-01-20</t>
        </is>
      </c>
      <c r="G1376" t="n">
        <v>165</v>
      </c>
      <c r="H1376" t="inlineStr">
        <is>
          <t>Y</t>
        </is>
      </c>
      <c r="I1376">
        <f>HYPERLINK("https://admin.shopify.com/store/ge-beauty-cosmeticos/customers/10074027786560","abrir")</f>
        <v/>
      </c>
      <c r="J1376">
        <f>HYPERLINK("https://www.gebeauty.com.br/products/primer-cachos-definidos?ref=review","review")</f>
        <v/>
      </c>
      <c r="K1376" t="inlineStr">
        <is>
          <t>HOLDOUT</t>
        </is>
      </c>
    </row>
    <row r="1377">
      <c r="A1377" t="inlineStr">
        <is>
          <t>Camila</t>
        </is>
      </c>
      <c r="B1377" t="inlineStr">
        <is>
          <t>+5561999999544</t>
        </is>
      </c>
      <c r="C1377" t="inlineStr">
        <is>
          <t>Refill</t>
        </is>
      </c>
      <c r="D1377" t="inlineStr">
        <is>
          <t>Primer Cachos</t>
        </is>
      </c>
      <c r="E1377" t="n">
        <v>1</v>
      </c>
      <c r="F1377" t="inlineStr">
        <is>
          <t>2026-01-20</t>
        </is>
      </c>
      <c r="G1377" t="n">
        <v>165</v>
      </c>
      <c r="H1377" t="inlineStr">
        <is>
          <t>Y</t>
        </is>
      </c>
      <c r="I1377">
        <f>HYPERLINK("https://admin.shopify.com/store/ge-beauty-cosmeticos/customers/7761573183808","abrir")</f>
        <v/>
      </c>
      <c r="J1377">
        <f>HYPERLINK("https://www.gebeauty.com.br/products/primer-cachos-definidos?ref=review","review")</f>
        <v/>
      </c>
      <c r="K1377" t="inlineStr">
        <is>
          <t>SEND</t>
        </is>
      </c>
    </row>
    <row r="1378">
      <c r="A1378" t="inlineStr">
        <is>
          <t>Denise</t>
        </is>
      </c>
      <c r="B1378" t="inlineStr">
        <is>
          <t>+5534999718158</t>
        </is>
      </c>
      <c r="C1378" t="inlineStr">
        <is>
          <t>Refill</t>
        </is>
      </c>
      <c r="D1378" t="inlineStr">
        <is>
          <t>Primer Cachos</t>
        </is>
      </c>
      <c r="E1378" t="n">
        <v>1</v>
      </c>
      <c r="F1378" t="inlineStr">
        <is>
          <t>2026-01-20</t>
        </is>
      </c>
      <c r="G1378" t="n">
        <v>165</v>
      </c>
      <c r="H1378" t="inlineStr">
        <is>
          <t>Y</t>
        </is>
      </c>
      <c r="I1378">
        <f>HYPERLINK("https://admin.shopify.com/store/ge-beauty-cosmeticos/customers/10074025754944","abrir")</f>
        <v/>
      </c>
      <c r="J1378">
        <f>HYPERLINK("https://www.gebeauty.com.br/products/primer-cachos-definidos?ref=review","review")</f>
        <v/>
      </c>
      <c r="K1378" t="inlineStr">
        <is>
          <t>SEND</t>
        </is>
      </c>
    </row>
    <row r="1379">
      <c r="A1379" t="inlineStr">
        <is>
          <t>Evanir</t>
        </is>
      </c>
      <c r="B1379" t="inlineStr">
        <is>
          <t>+5541999330872</t>
        </is>
      </c>
      <c r="C1379" t="inlineStr">
        <is>
          <t>Refill</t>
        </is>
      </c>
      <c r="D1379" t="inlineStr">
        <is>
          <t>Primer Cachos</t>
        </is>
      </c>
      <c r="E1379" t="n">
        <v>1</v>
      </c>
      <c r="F1379" t="inlineStr">
        <is>
          <t>2026-01-20</t>
        </is>
      </c>
      <c r="G1379" t="n">
        <v>165</v>
      </c>
      <c r="H1379" t="inlineStr">
        <is>
          <t>Y</t>
        </is>
      </c>
      <c r="I1379">
        <f>HYPERLINK("https://admin.shopify.com/store/ge-beauty-cosmeticos/customers/10073814925632","abrir")</f>
        <v/>
      </c>
      <c r="J1379">
        <f>HYPERLINK("https://www.gebeauty.com.br/products/primer-cachos-definidos?ref=review","review")</f>
        <v/>
      </c>
      <c r="K1379" t="inlineStr">
        <is>
          <t>SEND</t>
        </is>
      </c>
    </row>
    <row r="1380">
      <c r="A1380" t="inlineStr">
        <is>
          <t>Silvia</t>
        </is>
      </c>
      <c r="B1380" t="inlineStr">
        <is>
          <t>+5516981119993</t>
        </is>
      </c>
      <c r="C1380" t="inlineStr">
        <is>
          <t>Refill</t>
        </is>
      </c>
      <c r="D1380" t="inlineStr">
        <is>
          <t>Primer Cachos</t>
        </is>
      </c>
      <c r="E1380" t="n">
        <v>1</v>
      </c>
      <c r="F1380" t="inlineStr">
        <is>
          <t>2026-01-20</t>
        </is>
      </c>
      <c r="G1380" t="n">
        <v>165</v>
      </c>
      <c r="H1380" t="inlineStr">
        <is>
          <t>Y</t>
        </is>
      </c>
      <c r="I1380">
        <f>HYPERLINK("https://admin.shopify.com/store/ge-beauty-cosmeticos/customers/10074032832832","abrir")</f>
        <v/>
      </c>
      <c r="J1380">
        <f>HYPERLINK("https://www.gebeauty.com.br/products/primer-cachos-definidos?ref=review","review")</f>
        <v/>
      </c>
      <c r="K1380" t="inlineStr">
        <is>
          <t>SEND</t>
        </is>
      </c>
    </row>
    <row r="1381">
      <c r="A1381" t="inlineStr">
        <is>
          <t>Jaqueline</t>
        </is>
      </c>
      <c r="B1381" t="inlineStr">
        <is>
          <t>+5546999129315</t>
        </is>
      </c>
      <c r="C1381" t="inlineStr">
        <is>
          <t>Refill</t>
        </is>
      </c>
      <c r="D1381" t="inlineStr">
        <is>
          <t>Primer Cachos</t>
        </is>
      </c>
      <c r="E1381" t="n">
        <v>1</v>
      </c>
      <c r="F1381" t="inlineStr">
        <is>
          <t>2026-01-20</t>
        </is>
      </c>
      <c r="G1381" t="n">
        <v>165</v>
      </c>
      <c r="H1381" t="inlineStr">
        <is>
          <t>Y</t>
        </is>
      </c>
      <c r="I1381">
        <f>HYPERLINK("https://admin.shopify.com/store/ge-beauty-cosmeticos/customers/10074037223744","abrir")</f>
        <v/>
      </c>
      <c r="J1381">
        <f>HYPERLINK("https://www.gebeauty.com.br/products/primer-cachos-definidos?ref=review","review")</f>
        <v/>
      </c>
      <c r="K1381" t="inlineStr">
        <is>
          <t>SEND</t>
        </is>
      </c>
    </row>
    <row r="1382">
      <c r="A1382" t="inlineStr">
        <is>
          <t>Claudia</t>
        </is>
      </c>
      <c r="B1382" t="inlineStr">
        <is>
          <t>+5521985003156</t>
        </is>
      </c>
      <c r="C1382" t="inlineStr">
        <is>
          <t>Refill</t>
        </is>
      </c>
      <c r="D1382" t="inlineStr">
        <is>
          <t>Primer Cachos</t>
        </is>
      </c>
      <c r="E1382" t="n">
        <v>1</v>
      </c>
      <c r="F1382" t="inlineStr">
        <is>
          <t>2026-01-20</t>
        </is>
      </c>
      <c r="G1382" t="n">
        <v>165</v>
      </c>
      <c r="H1382" t="inlineStr">
        <is>
          <t>Y</t>
        </is>
      </c>
      <c r="I1382">
        <f>HYPERLINK("https://admin.shopify.com/store/ge-beauty-cosmeticos/customers/10074032865600","abrir")</f>
        <v/>
      </c>
      <c r="J1382">
        <f>HYPERLINK("https://www.gebeauty.com.br/products/primer-cachos-definidos?ref=review","review")</f>
        <v/>
      </c>
      <c r="K1382" t="inlineStr">
        <is>
          <t>SEND</t>
        </is>
      </c>
    </row>
    <row r="1383">
      <c r="A1383" t="inlineStr">
        <is>
          <t>Elaine</t>
        </is>
      </c>
      <c r="B1383" t="inlineStr">
        <is>
          <t>+5511953024655</t>
        </is>
      </c>
      <c r="C1383" t="inlineStr">
        <is>
          <t>Refill</t>
        </is>
      </c>
      <c r="D1383" t="inlineStr">
        <is>
          <t>Primer Cachos</t>
        </is>
      </c>
      <c r="E1383" t="n">
        <v>1</v>
      </c>
      <c r="F1383" t="inlineStr">
        <is>
          <t>2026-01-20</t>
        </is>
      </c>
      <c r="G1383" t="n">
        <v>165</v>
      </c>
      <c r="H1383" t="inlineStr">
        <is>
          <t>Y</t>
        </is>
      </c>
      <c r="I1383">
        <f>HYPERLINK("https://admin.shopify.com/store/ge-beauty-cosmeticos/customers/10074049249600","abrir")</f>
        <v/>
      </c>
      <c r="J1383">
        <f>HYPERLINK("https://www.gebeauty.com.br/products/primer-cachos-definidos?ref=review","review")</f>
        <v/>
      </c>
      <c r="K1383" t="inlineStr">
        <is>
          <t>SEND</t>
        </is>
      </c>
    </row>
    <row r="1384">
      <c r="A1384" t="inlineStr">
        <is>
          <t>Giselle</t>
        </is>
      </c>
      <c r="B1384" t="inlineStr">
        <is>
          <t>+5511970896223</t>
        </is>
      </c>
      <c r="C1384" t="inlineStr">
        <is>
          <t>Refill</t>
        </is>
      </c>
      <c r="D1384" t="inlineStr">
        <is>
          <t>Primer Cachos</t>
        </is>
      </c>
      <c r="E1384" t="n">
        <v>1</v>
      </c>
      <c r="F1384" t="inlineStr">
        <is>
          <t>2026-01-20</t>
        </is>
      </c>
      <c r="G1384" t="n">
        <v>165</v>
      </c>
      <c r="H1384" t="inlineStr">
        <is>
          <t>Y</t>
        </is>
      </c>
      <c r="I1384">
        <f>HYPERLINK("https://admin.shopify.com/store/ge-beauty-cosmeticos/customers/10074030375232","abrir")</f>
        <v/>
      </c>
      <c r="J1384">
        <f>HYPERLINK("https://www.gebeauty.com.br/products/primer-cachos-definidos?ref=review","review")</f>
        <v/>
      </c>
      <c r="K1384" t="inlineStr">
        <is>
          <t>SEND</t>
        </is>
      </c>
    </row>
    <row r="1385">
      <c r="A1385" t="inlineStr">
        <is>
          <t>Cintia</t>
        </is>
      </c>
      <c r="B1385" t="inlineStr">
        <is>
          <t>+5511963440044</t>
        </is>
      </c>
      <c r="C1385" t="inlineStr">
        <is>
          <t>Refill</t>
        </is>
      </c>
      <c r="D1385" t="inlineStr">
        <is>
          <t>Primer Cachos</t>
        </is>
      </c>
      <c r="E1385" t="n">
        <v>1</v>
      </c>
      <c r="F1385" t="inlineStr">
        <is>
          <t>2026-01-20</t>
        </is>
      </c>
      <c r="G1385" t="n">
        <v>165</v>
      </c>
      <c r="H1385" t="inlineStr">
        <is>
          <t>Y</t>
        </is>
      </c>
      <c r="I1385">
        <f>HYPERLINK("https://admin.shopify.com/store/ge-beauty-cosmeticos/customers/10074043973952","abrir")</f>
        <v/>
      </c>
      <c r="J1385">
        <f>HYPERLINK("https://www.gebeauty.com.br/products/primer-cachos-definidos?ref=review","review")</f>
        <v/>
      </c>
      <c r="K1385" t="inlineStr">
        <is>
          <t>SEND</t>
        </is>
      </c>
    </row>
    <row r="1386">
      <c r="A1386" t="inlineStr">
        <is>
          <t>Maria</t>
        </is>
      </c>
      <c r="B1386" t="inlineStr">
        <is>
          <t>+5521987052125</t>
        </is>
      </c>
      <c r="C1386" t="inlineStr">
        <is>
          <t>Refill</t>
        </is>
      </c>
      <c r="D1386" t="inlineStr">
        <is>
          <t>Primer Cachos</t>
        </is>
      </c>
      <c r="E1386" t="n">
        <v>1</v>
      </c>
      <c r="F1386" t="inlineStr">
        <is>
          <t>2026-01-20</t>
        </is>
      </c>
      <c r="G1386" t="n">
        <v>165</v>
      </c>
      <c r="H1386" t="inlineStr">
        <is>
          <t>Y</t>
        </is>
      </c>
      <c r="I1386">
        <f>HYPERLINK("https://admin.shopify.com/store/ge-beauty-cosmeticos/customers/8416420430144","abrir")</f>
        <v/>
      </c>
      <c r="J1386">
        <f>HYPERLINK("https://www.gebeauty.com.br/products/primer-cachos-definidos?ref=review","review")</f>
        <v/>
      </c>
      <c r="K1386" t="inlineStr">
        <is>
          <t>SEND</t>
        </is>
      </c>
    </row>
    <row r="1387">
      <c r="A1387" t="inlineStr">
        <is>
          <t>Elizabeth</t>
        </is>
      </c>
      <c r="B1387" t="inlineStr">
        <is>
          <t>+5516997614052</t>
        </is>
      </c>
      <c r="C1387" t="inlineStr">
        <is>
          <t>Refill</t>
        </is>
      </c>
      <c r="D1387" t="inlineStr">
        <is>
          <t>Primer Cachos</t>
        </is>
      </c>
      <c r="E1387" t="n">
        <v>1</v>
      </c>
      <c r="F1387" t="inlineStr">
        <is>
          <t>2026-01-20</t>
        </is>
      </c>
      <c r="G1387" t="n">
        <v>165</v>
      </c>
      <c r="H1387" t="inlineStr">
        <is>
          <t>Y</t>
        </is>
      </c>
      <c r="I1387">
        <f>HYPERLINK("https://admin.shopify.com/store/ge-beauty-cosmeticos/customers/10074053902656","abrir")</f>
        <v/>
      </c>
      <c r="J1387">
        <f>HYPERLINK("https://www.gebeauty.com.br/products/primer-cachos-definidos?ref=review","review")</f>
        <v/>
      </c>
      <c r="K1387" t="inlineStr">
        <is>
          <t>SEND</t>
        </is>
      </c>
    </row>
    <row r="1388">
      <c r="A1388" t="inlineStr">
        <is>
          <t>Fabrine</t>
        </is>
      </c>
      <c r="B1388" t="inlineStr">
        <is>
          <t>+5532984102703</t>
        </is>
      </c>
      <c r="C1388" t="inlineStr">
        <is>
          <t>Refill</t>
        </is>
      </c>
      <c r="D1388" t="inlineStr">
        <is>
          <t>Primer Cachos</t>
        </is>
      </c>
      <c r="E1388" t="n">
        <v>1</v>
      </c>
      <c r="F1388" t="inlineStr">
        <is>
          <t>2026-01-20</t>
        </is>
      </c>
      <c r="G1388" t="n">
        <v>165</v>
      </c>
      <c r="H1388" t="inlineStr">
        <is>
          <t>Y</t>
        </is>
      </c>
      <c r="I1388">
        <f>HYPERLINK("https://admin.shopify.com/store/ge-beauty-cosmeticos/customers/10074054000960","abrir")</f>
        <v/>
      </c>
      <c r="J1388">
        <f>HYPERLINK("https://www.gebeauty.com.br/products/primer-cachos-definidos?ref=review","review")</f>
        <v/>
      </c>
      <c r="K1388" t="inlineStr">
        <is>
          <t>SEND</t>
        </is>
      </c>
    </row>
    <row r="1389">
      <c r="A1389" t="inlineStr">
        <is>
          <t>Maria</t>
        </is>
      </c>
      <c r="B1389" t="inlineStr">
        <is>
          <t>+5518981294305</t>
        </is>
      </c>
      <c r="C1389" t="inlineStr">
        <is>
          <t>Refill</t>
        </is>
      </c>
      <c r="D1389" t="inlineStr">
        <is>
          <t>Primer Cachos</t>
        </is>
      </c>
      <c r="E1389" t="n">
        <v>1</v>
      </c>
      <c r="F1389" t="inlineStr">
        <is>
          <t>2026-01-20</t>
        </is>
      </c>
      <c r="G1389" t="n">
        <v>165</v>
      </c>
      <c r="H1389" t="inlineStr">
        <is>
          <t>Y</t>
        </is>
      </c>
      <c r="I1389">
        <f>HYPERLINK("https://admin.shopify.com/store/ge-beauty-cosmeticos/customers/10074044465472","abrir")</f>
        <v/>
      </c>
      <c r="J1389">
        <f>HYPERLINK("https://www.gebeauty.com.br/products/primer-cachos-definidos?ref=review","review")</f>
        <v/>
      </c>
      <c r="K1389" t="inlineStr">
        <is>
          <t>SEND</t>
        </is>
      </c>
    </row>
    <row r="1390">
      <c r="A1390" t="inlineStr">
        <is>
          <t>Ana Paula</t>
        </is>
      </c>
      <c r="B1390" t="inlineStr">
        <is>
          <t>+5521991539009</t>
        </is>
      </c>
      <c r="C1390" t="inlineStr">
        <is>
          <t>Refill</t>
        </is>
      </c>
      <c r="D1390" t="inlineStr">
        <is>
          <t>Primer Cachos</t>
        </is>
      </c>
      <c r="E1390" t="n">
        <v>1</v>
      </c>
      <c r="F1390" t="inlineStr">
        <is>
          <t>2026-01-20</t>
        </is>
      </c>
      <c r="G1390" t="n">
        <v>165</v>
      </c>
      <c r="H1390" t="inlineStr">
        <is>
          <t>Y</t>
        </is>
      </c>
      <c r="I1390">
        <f>HYPERLINK("https://admin.shopify.com/store/ge-beauty-cosmeticos/customers/10074050756928","abrir")</f>
        <v/>
      </c>
      <c r="J1390">
        <f>HYPERLINK("https://www.gebeauty.com.br/products/primer-cachos-definidos?ref=review","review")</f>
        <v/>
      </c>
      <c r="K1390" t="inlineStr">
        <is>
          <t>SEND</t>
        </is>
      </c>
    </row>
    <row r="1391">
      <c r="A1391" t="inlineStr">
        <is>
          <t>Sheila</t>
        </is>
      </c>
      <c r="B1391" t="inlineStr">
        <is>
          <t>+5511983700256</t>
        </is>
      </c>
      <c r="C1391" t="inlineStr">
        <is>
          <t>Refill</t>
        </is>
      </c>
      <c r="D1391" t="inlineStr">
        <is>
          <t>Primer Cachos</t>
        </is>
      </c>
      <c r="E1391" t="n">
        <v>1</v>
      </c>
      <c r="F1391" t="inlineStr">
        <is>
          <t>2026-01-20</t>
        </is>
      </c>
      <c r="G1391" t="n">
        <v>165</v>
      </c>
      <c r="H1391" t="inlineStr">
        <is>
          <t>Y</t>
        </is>
      </c>
      <c r="I1391">
        <f>HYPERLINK("https://admin.shopify.com/store/ge-beauty-cosmeticos/customers/10074054492480","abrir")</f>
        <v/>
      </c>
      <c r="J1391">
        <f>HYPERLINK("https://www.gebeauty.com.br/products/primer-cachos-definidos?ref=review","review")</f>
        <v/>
      </c>
      <c r="K1391" t="inlineStr">
        <is>
          <t>SEND</t>
        </is>
      </c>
    </row>
    <row r="1392">
      <c r="A1392" t="inlineStr">
        <is>
          <t>Renata</t>
        </is>
      </c>
      <c r="B1392" t="inlineStr">
        <is>
          <t>+5511930391608</t>
        </is>
      </c>
      <c r="C1392" t="inlineStr">
        <is>
          <t>Refill</t>
        </is>
      </c>
      <c r="D1392" t="inlineStr">
        <is>
          <t>Primer Cachos</t>
        </is>
      </c>
      <c r="E1392" t="n">
        <v>1</v>
      </c>
      <c r="F1392" t="inlineStr">
        <is>
          <t>2026-01-20</t>
        </is>
      </c>
      <c r="G1392" t="n">
        <v>165</v>
      </c>
      <c r="H1392" t="inlineStr">
        <is>
          <t>Y</t>
        </is>
      </c>
      <c r="I1392">
        <f>HYPERLINK("https://admin.shopify.com/store/ge-beauty-cosmeticos/customers/10074049347904","abrir")</f>
        <v/>
      </c>
      <c r="J1392">
        <f>HYPERLINK("https://www.gebeauty.com.br/products/primer-cachos-definidos?ref=review","review")</f>
        <v/>
      </c>
      <c r="K1392" t="inlineStr">
        <is>
          <t>SEND</t>
        </is>
      </c>
    </row>
    <row r="1393">
      <c r="A1393" t="inlineStr">
        <is>
          <t>Marina</t>
        </is>
      </c>
      <c r="B1393" t="inlineStr">
        <is>
          <t>+5511995684365</t>
        </is>
      </c>
      <c r="C1393" t="inlineStr">
        <is>
          <t>Refill</t>
        </is>
      </c>
      <c r="D1393" t="inlineStr">
        <is>
          <t>Primer Cachos</t>
        </is>
      </c>
      <c r="E1393" t="n">
        <v>1</v>
      </c>
      <c r="F1393" t="inlineStr">
        <is>
          <t>2026-01-20</t>
        </is>
      </c>
      <c r="G1393" t="n">
        <v>165</v>
      </c>
      <c r="H1393" t="inlineStr">
        <is>
          <t>Y</t>
        </is>
      </c>
      <c r="I1393">
        <f>HYPERLINK("https://admin.shopify.com/store/ge-beauty-cosmeticos/customers/10074055475520","abrir")</f>
        <v/>
      </c>
      <c r="J1393">
        <f>HYPERLINK("https://www.gebeauty.com.br/products/primer-cachos-definidos?ref=review","review")</f>
        <v/>
      </c>
      <c r="K1393" t="inlineStr">
        <is>
          <t>SEND</t>
        </is>
      </c>
    </row>
    <row r="1394">
      <c r="A1394" t="inlineStr">
        <is>
          <t>Kélen</t>
        </is>
      </c>
      <c r="B1394" t="inlineStr">
        <is>
          <t>+5548999684729</t>
        </is>
      </c>
      <c r="C1394" t="inlineStr">
        <is>
          <t>Refill</t>
        </is>
      </c>
      <c r="D1394" t="inlineStr">
        <is>
          <t>Primer Cachos</t>
        </is>
      </c>
      <c r="E1394" t="n">
        <v>1</v>
      </c>
      <c r="F1394" t="inlineStr">
        <is>
          <t>2026-01-20</t>
        </is>
      </c>
      <c r="G1394" t="n">
        <v>165</v>
      </c>
      <c r="H1394" t="inlineStr">
        <is>
          <t>Y</t>
        </is>
      </c>
      <c r="I1394">
        <f>HYPERLINK("https://admin.shopify.com/store/ge-beauty-cosmeticos/customers/10074070483264","abrir")</f>
        <v/>
      </c>
      <c r="J1394">
        <f>HYPERLINK("https://www.gebeauty.com.br/products/primer-cachos-definidos?ref=review","review")</f>
        <v/>
      </c>
      <c r="K1394" t="inlineStr">
        <is>
          <t>HOLDOUT</t>
        </is>
      </c>
    </row>
    <row r="1395">
      <c r="A1395" t="inlineStr">
        <is>
          <t>Catia</t>
        </is>
      </c>
      <c r="B1395" t="inlineStr">
        <is>
          <t>+5511994864899</t>
        </is>
      </c>
      <c r="C1395" t="inlineStr">
        <is>
          <t>Refill</t>
        </is>
      </c>
      <c r="D1395" t="inlineStr">
        <is>
          <t>Primer Cachos</t>
        </is>
      </c>
      <c r="E1395" t="n">
        <v>1</v>
      </c>
      <c r="F1395" t="inlineStr">
        <is>
          <t>2026-01-20</t>
        </is>
      </c>
      <c r="G1395" t="n">
        <v>165</v>
      </c>
      <c r="H1395" t="inlineStr">
        <is>
          <t>Y</t>
        </is>
      </c>
      <c r="I1395">
        <f>HYPERLINK("https://admin.shopify.com/store/ge-beauty-cosmeticos/customers/10074070384960","abrir")</f>
        <v/>
      </c>
      <c r="J1395">
        <f>HYPERLINK("https://www.gebeauty.com.br/products/primer-cachos-definidos?ref=review","review")</f>
        <v/>
      </c>
      <c r="K1395" t="inlineStr">
        <is>
          <t>SEND</t>
        </is>
      </c>
    </row>
    <row r="1396">
      <c r="A1396" t="inlineStr">
        <is>
          <t>Claudia</t>
        </is>
      </c>
      <c r="B1396" t="inlineStr">
        <is>
          <t>+5511994354131</t>
        </is>
      </c>
      <c r="C1396" t="inlineStr">
        <is>
          <t>Refill</t>
        </is>
      </c>
      <c r="D1396" t="inlineStr">
        <is>
          <t>Primer Cachos</t>
        </is>
      </c>
      <c r="E1396" t="n">
        <v>1</v>
      </c>
      <c r="F1396" t="inlineStr">
        <is>
          <t>2026-01-20</t>
        </is>
      </c>
      <c r="G1396" t="n">
        <v>165</v>
      </c>
      <c r="H1396" t="inlineStr">
        <is>
          <t>Y</t>
        </is>
      </c>
      <c r="I1396">
        <f>HYPERLINK("https://admin.shopify.com/store/ge-beauty-cosmeticos/customers/10074062192960","abrir")</f>
        <v/>
      </c>
      <c r="J1396">
        <f>HYPERLINK("https://www.gebeauty.com.br/products/primer-cachos-definidos?ref=review","review")</f>
        <v/>
      </c>
      <c r="K1396" t="inlineStr">
        <is>
          <t>SEND</t>
        </is>
      </c>
    </row>
    <row r="1397">
      <c r="A1397" t="inlineStr">
        <is>
          <t>Jéssica Carolina</t>
        </is>
      </c>
      <c r="B1397" t="inlineStr">
        <is>
          <t>+5533991072704</t>
        </is>
      </c>
      <c r="C1397" t="inlineStr">
        <is>
          <t>Refill</t>
        </is>
      </c>
      <c r="D1397" t="inlineStr">
        <is>
          <t>Primer Cachos</t>
        </is>
      </c>
      <c r="E1397" t="n">
        <v>1</v>
      </c>
      <c r="F1397" t="inlineStr">
        <is>
          <t>2026-01-20</t>
        </is>
      </c>
      <c r="G1397" t="n">
        <v>165</v>
      </c>
      <c r="H1397" t="inlineStr">
        <is>
          <t>Y</t>
        </is>
      </c>
      <c r="I1397">
        <f>HYPERLINK("https://admin.shopify.com/store/ge-beauty-cosmeticos/customers/10074062029120","abrir")</f>
        <v/>
      </c>
      <c r="J1397">
        <f>HYPERLINK("https://www.gebeauty.com.br/products/primer-cachos-definidos?ref=review","review")</f>
        <v/>
      </c>
      <c r="K1397" t="inlineStr">
        <is>
          <t>SEND</t>
        </is>
      </c>
    </row>
    <row r="1398">
      <c r="A1398" t="inlineStr">
        <is>
          <t>Mariana</t>
        </is>
      </c>
      <c r="B1398" t="inlineStr">
        <is>
          <t>+5517997641985</t>
        </is>
      </c>
      <c r="C1398" t="inlineStr">
        <is>
          <t>Refill</t>
        </is>
      </c>
      <c r="D1398" t="inlineStr">
        <is>
          <t>Primer Cachos</t>
        </is>
      </c>
      <c r="E1398" t="n">
        <v>1</v>
      </c>
      <c r="F1398" t="inlineStr">
        <is>
          <t>2026-01-20</t>
        </is>
      </c>
      <c r="G1398" t="n">
        <v>165</v>
      </c>
      <c r="H1398" t="inlineStr">
        <is>
          <t>Y</t>
        </is>
      </c>
      <c r="I1398">
        <f>HYPERLINK("https://admin.shopify.com/store/ge-beauty-cosmeticos/customers/10074069893440","abrir")</f>
        <v/>
      </c>
      <c r="J1398">
        <f>HYPERLINK("https://www.gebeauty.com.br/products/primer-cachos-definidos?ref=review","review")</f>
        <v/>
      </c>
      <c r="K1398" t="inlineStr">
        <is>
          <t>SEND</t>
        </is>
      </c>
    </row>
    <row r="1399">
      <c r="A1399" t="inlineStr">
        <is>
          <t>Marcia</t>
        </is>
      </c>
      <c r="B1399" t="inlineStr">
        <is>
          <t>+5531986793569</t>
        </is>
      </c>
      <c r="C1399" t="inlineStr">
        <is>
          <t>Refill</t>
        </is>
      </c>
      <c r="D1399" t="inlineStr">
        <is>
          <t>Primer Cachos</t>
        </is>
      </c>
      <c r="E1399" t="n">
        <v>1</v>
      </c>
      <c r="F1399" t="inlineStr">
        <is>
          <t>2026-01-20</t>
        </is>
      </c>
      <c r="G1399" t="n">
        <v>165</v>
      </c>
      <c r="H1399" t="inlineStr">
        <is>
          <t>Y</t>
        </is>
      </c>
      <c r="I1399">
        <f>HYPERLINK("https://admin.shopify.com/store/ge-beauty-cosmeticos/customers/10074080215360","abrir")</f>
        <v/>
      </c>
      <c r="J1399">
        <f>HYPERLINK("https://www.gebeauty.com.br/products/primer-cachos-definidos?ref=review","review")</f>
        <v/>
      </c>
      <c r="K1399" t="inlineStr">
        <is>
          <t>HOLDOUT</t>
        </is>
      </c>
    </row>
    <row r="1400">
      <c r="A1400" t="inlineStr">
        <is>
          <t>Sonia</t>
        </is>
      </c>
      <c r="B1400" t="inlineStr">
        <is>
          <t>+5517992202412</t>
        </is>
      </c>
      <c r="C1400" t="inlineStr">
        <is>
          <t>Refill</t>
        </is>
      </c>
      <c r="D1400" t="inlineStr">
        <is>
          <t>Primer Cachos</t>
        </is>
      </c>
      <c r="E1400" t="n">
        <v>1</v>
      </c>
      <c r="F1400" t="inlineStr">
        <is>
          <t>2026-01-20</t>
        </is>
      </c>
      <c r="G1400" t="n">
        <v>165</v>
      </c>
      <c r="H1400" t="inlineStr">
        <is>
          <t>Y</t>
        </is>
      </c>
      <c r="I1400">
        <f>HYPERLINK("https://admin.shopify.com/store/ge-beauty-cosmeticos/customers/10074072252736","abrir")</f>
        <v/>
      </c>
      <c r="J1400">
        <f>HYPERLINK("https://www.gebeauty.com.br/products/primer-cachos-definidos?ref=review","review")</f>
        <v/>
      </c>
      <c r="K1400" t="inlineStr">
        <is>
          <t>SEND</t>
        </is>
      </c>
    </row>
    <row r="1401">
      <c r="A1401" t="inlineStr">
        <is>
          <t>Larissa</t>
        </is>
      </c>
      <c r="B1401" t="inlineStr">
        <is>
          <t>+5511998875696</t>
        </is>
      </c>
      <c r="C1401" t="inlineStr">
        <is>
          <t>Refill</t>
        </is>
      </c>
      <c r="D1401" t="inlineStr">
        <is>
          <t>Primer Cachos</t>
        </is>
      </c>
      <c r="E1401" t="n">
        <v>1</v>
      </c>
      <c r="F1401" t="inlineStr">
        <is>
          <t>2026-01-20</t>
        </is>
      </c>
      <c r="G1401" t="n">
        <v>165</v>
      </c>
      <c r="H1401" t="inlineStr">
        <is>
          <t>Y</t>
        </is>
      </c>
      <c r="I1401">
        <f>HYPERLINK("https://admin.shopify.com/store/ge-beauty-cosmeticos/customers/10074074644800","abrir")</f>
        <v/>
      </c>
      <c r="J1401">
        <f>HYPERLINK("https://www.gebeauty.com.br/products/primer-cachos-definidos?ref=review","review")</f>
        <v/>
      </c>
      <c r="K1401" t="inlineStr">
        <is>
          <t>SEND</t>
        </is>
      </c>
    </row>
    <row r="1402">
      <c r="A1402" t="inlineStr">
        <is>
          <t>Ana</t>
        </is>
      </c>
      <c r="B1402" t="inlineStr">
        <is>
          <t>+5531986058913</t>
        </is>
      </c>
      <c r="C1402" t="inlineStr">
        <is>
          <t>Refill</t>
        </is>
      </c>
      <c r="D1402" t="inlineStr">
        <is>
          <t>Primer Cachos</t>
        </is>
      </c>
      <c r="E1402" t="n">
        <v>1</v>
      </c>
      <c r="F1402" t="inlineStr">
        <is>
          <t>2026-01-20</t>
        </is>
      </c>
      <c r="G1402" t="n">
        <v>165</v>
      </c>
      <c r="H1402" t="inlineStr">
        <is>
          <t>Y</t>
        </is>
      </c>
      <c r="I1402">
        <f>HYPERLINK("https://admin.shopify.com/store/ge-beauty-cosmeticos/customers/10074070679872","abrir")</f>
        <v/>
      </c>
      <c r="J1402">
        <f>HYPERLINK("https://www.gebeauty.com.br/products/primer-cachos-definidos?ref=review","review")</f>
        <v/>
      </c>
      <c r="K1402" t="inlineStr">
        <is>
          <t>SEND</t>
        </is>
      </c>
    </row>
    <row r="1403">
      <c r="A1403" t="inlineStr">
        <is>
          <t>Jordana</t>
        </is>
      </c>
      <c r="B1403" t="inlineStr">
        <is>
          <t>+5562984134384</t>
        </is>
      </c>
      <c r="C1403" t="inlineStr">
        <is>
          <t>Refill</t>
        </is>
      </c>
      <c r="D1403" t="inlineStr">
        <is>
          <t>Primer Cachos</t>
        </is>
      </c>
      <c r="E1403" t="n">
        <v>1</v>
      </c>
      <c r="F1403" t="inlineStr">
        <is>
          <t>2026-01-20</t>
        </is>
      </c>
      <c r="G1403" t="n">
        <v>165</v>
      </c>
      <c r="H1403" t="inlineStr">
        <is>
          <t>Y</t>
        </is>
      </c>
      <c r="I1403">
        <f>HYPERLINK("https://admin.shopify.com/store/ge-beauty-cosmeticos/customers/10074069958976","abrir")</f>
        <v/>
      </c>
      <c r="J1403">
        <f>HYPERLINK("https://www.gebeauty.com.br/products/primer-cachos-definidos?ref=review","review")</f>
        <v/>
      </c>
      <c r="K1403" t="inlineStr">
        <is>
          <t>SEND</t>
        </is>
      </c>
    </row>
    <row r="1404">
      <c r="A1404" t="inlineStr">
        <is>
          <t>Eliane</t>
        </is>
      </c>
      <c r="B1404" t="inlineStr">
        <is>
          <t>+5537999034696</t>
        </is>
      </c>
      <c r="C1404" t="inlineStr">
        <is>
          <t>Refill</t>
        </is>
      </c>
      <c r="D1404" t="inlineStr">
        <is>
          <t>Primer Cachos</t>
        </is>
      </c>
      <c r="E1404" t="n">
        <v>1</v>
      </c>
      <c r="F1404" t="inlineStr">
        <is>
          <t>2026-01-20</t>
        </is>
      </c>
      <c r="G1404" t="n">
        <v>165</v>
      </c>
      <c r="H1404" t="inlineStr">
        <is>
          <t>Y</t>
        </is>
      </c>
      <c r="I1404">
        <f>HYPERLINK("https://admin.shopify.com/store/ge-beauty-cosmeticos/customers/10074090176832","abrir")</f>
        <v/>
      </c>
      <c r="J1404">
        <f>HYPERLINK("https://www.gebeauty.com.br/products/primer-cachos-definidos?ref=review","review")</f>
        <v/>
      </c>
      <c r="K1404" t="inlineStr">
        <is>
          <t>SEND</t>
        </is>
      </c>
    </row>
    <row r="1405">
      <c r="A1405" t="inlineStr">
        <is>
          <t>Rossana</t>
        </is>
      </c>
      <c r="B1405" t="inlineStr">
        <is>
          <t>+5531999487733</t>
        </is>
      </c>
      <c r="C1405" t="inlineStr">
        <is>
          <t>Refill</t>
        </is>
      </c>
      <c r="D1405" t="inlineStr">
        <is>
          <t>Primer Cachos</t>
        </is>
      </c>
      <c r="E1405" t="n">
        <v>1</v>
      </c>
      <c r="F1405" t="inlineStr">
        <is>
          <t>2026-01-20</t>
        </is>
      </c>
      <c r="G1405" t="n">
        <v>165</v>
      </c>
      <c r="H1405" t="inlineStr">
        <is>
          <t>Y</t>
        </is>
      </c>
      <c r="I1405">
        <f>HYPERLINK("https://admin.shopify.com/store/ge-beauty-cosmeticos/customers/10073166676288","abrir")</f>
        <v/>
      </c>
      <c r="J1405">
        <f>HYPERLINK("https://www.gebeauty.com.br/products/primer-cachos-definidos?ref=review","review")</f>
        <v/>
      </c>
      <c r="K1405" t="inlineStr">
        <is>
          <t>SEND</t>
        </is>
      </c>
    </row>
    <row r="1406">
      <c r="A1406" t="inlineStr">
        <is>
          <t>Elizabete</t>
        </is>
      </c>
      <c r="B1406" t="inlineStr">
        <is>
          <t>+5511971309411</t>
        </is>
      </c>
      <c r="C1406" t="inlineStr">
        <is>
          <t>Refill</t>
        </is>
      </c>
      <c r="D1406" t="inlineStr">
        <is>
          <t>Primer Cachos</t>
        </is>
      </c>
      <c r="E1406" t="n">
        <v>1</v>
      </c>
      <c r="F1406" t="inlineStr">
        <is>
          <t>2026-01-20</t>
        </is>
      </c>
      <c r="G1406" t="n">
        <v>165</v>
      </c>
      <c r="H1406" t="inlineStr">
        <is>
          <t>Y</t>
        </is>
      </c>
      <c r="I1406">
        <f>HYPERLINK("https://admin.shopify.com/store/ge-beauty-cosmeticos/customers/10073148817728","abrir")</f>
        <v/>
      </c>
      <c r="J1406">
        <f>HYPERLINK("https://www.gebeauty.com.br/products/primer-cachos-definidos?ref=review","review")</f>
        <v/>
      </c>
      <c r="K1406" t="inlineStr">
        <is>
          <t>SEND</t>
        </is>
      </c>
    </row>
    <row r="1407">
      <c r="A1407" t="inlineStr">
        <is>
          <t>Silvia</t>
        </is>
      </c>
      <c r="B1407" t="inlineStr">
        <is>
          <t>+5535999124400</t>
        </is>
      </c>
      <c r="C1407" t="inlineStr">
        <is>
          <t>Refill</t>
        </is>
      </c>
      <c r="D1407" t="inlineStr">
        <is>
          <t>Primer Cachos</t>
        </is>
      </c>
      <c r="E1407" t="n">
        <v>1</v>
      </c>
      <c r="F1407" t="inlineStr">
        <is>
          <t>2026-01-20</t>
        </is>
      </c>
      <c r="G1407" t="n">
        <v>165</v>
      </c>
      <c r="H1407" t="inlineStr">
        <is>
          <t>Y</t>
        </is>
      </c>
      <c r="I1407">
        <f>HYPERLINK("https://admin.shopify.com/store/ge-beauty-cosmeticos/customers/10074072219968","abrir")</f>
        <v/>
      </c>
      <c r="J1407">
        <f>HYPERLINK("https://www.gebeauty.com.br/products/primer-cachos-definidos?ref=review","review")</f>
        <v/>
      </c>
      <c r="K1407" t="inlineStr">
        <is>
          <t>SEND</t>
        </is>
      </c>
    </row>
    <row r="1408">
      <c r="A1408" t="inlineStr">
        <is>
          <t>Ladjane</t>
        </is>
      </c>
      <c r="B1408" t="inlineStr">
        <is>
          <t>+5521972531275</t>
        </is>
      </c>
      <c r="C1408" t="inlineStr">
        <is>
          <t>Refill</t>
        </is>
      </c>
      <c r="D1408" t="inlineStr">
        <is>
          <t>Primer Cachos</t>
        </is>
      </c>
      <c r="E1408" t="n">
        <v>1</v>
      </c>
      <c r="F1408" t="inlineStr">
        <is>
          <t>2026-01-20</t>
        </is>
      </c>
      <c r="G1408" t="n">
        <v>165</v>
      </c>
      <c r="H1408" t="inlineStr">
        <is>
          <t>Y</t>
        </is>
      </c>
      <c r="I1408">
        <f>HYPERLINK("https://admin.shopify.com/store/ge-beauty-cosmeticos/customers/10074080018752","abrir")</f>
        <v/>
      </c>
      <c r="J1408">
        <f>HYPERLINK("https://www.gebeauty.com.br/products/primer-cachos-definidos?ref=review","review")</f>
        <v/>
      </c>
      <c r="K1408" t="inlineStr">
        <is>
          <t>SEND</t>
        </is>
      </c>
    </row>
    <row r="1409">
      <c r="A1409" t="inlineStr">
        <is>
          <t>Patrícia Helena</t>
        </is>
      </c>
      <c r="B1409" t="inlineStr">
        <is>
          <t>+5535992778576</t>
        </is>
      </c>
      <c r="C1409" t="inlineStr">
        <is>
          <t>Refill</t>
        </is>
      </c>
      <c r="D1409" t="inlineStr">
        <is>
          <t>Primer Cachos</t>
        </is>
      </c>
      <c r="E1409" t="n">
        <v>1</v>
      </c>
      <c r="F1409" t="inlineStr">
        <is>
          <t>2026-01-20</t>
        </is>
      </c>
      <c r="G1409" t="n">
        <v>165</v>
      </c>
      <c r="H1409" t="inlineStr">
        <is>
          <t>Y</t>
        </is>
      </c>
      <c r="I1409">
        <f>HYPERLINK("https://admin.shopify.com/store/ge-beauty-cosmeticos/customers/10074066518336","abrir")</f>
        <v/>
      </c>
      <c r="J1409">
        <f>HYPERLINK("https://www.gebeauty.com.br/products/primer-cachos-definidos?ref=review","review")</f>
        <v/>
      </c>
      <c r="K1409" t="inlineStr">
        <is>
          <t>SEND</t>
        </is>
      </c>
    </row>
    <row r="1410">
      <c r="A1410" t="inlineStr">
        <is>
          <t>Elaine Cristina</t>
        </is>
      </c>
      <c r="B1410" t="inlineStr">
        <is>
          <t>+5511942001123</t>
        </is>
      </c>
      <c r="C1410" t="inlineStr">
        <is>
          <t>Refill</t>
        </is>
      </c>
      <c r="D1410" t="inlineStr">
        <is>
          <t>Primer Cachos</t>
        </is>
      </c>
      <c r="E1410" t="n">
        <v>1</v>
      </c>
      <c r="F1410" t="inlineStr">
        <is>
          <t>2026-01-20</t>
        </is>
      </c>
      <c r="G1410" t="n">
        <v>165</v>
      </c>
      <c r="H1410" t="inlineStr">
        <is>
          <t>Y</t>
        </is>
      </c>
      <c r="I1410">
        <f>HYPERLINK("https://admin.shopify.com/store/ge-beauty-cosmeticos/customers/10074095288640","abrir")</f>
        <v/>
      </c>
      <c r="J1410">
        <f>HYPERLINK("https://www.gebeauty.com.br/products/primer-cachos-definidos?ref=review","review")</f>
        <v/>
      </c>
      <c r="K1410" t="inlineStr">
        <is>
          <t>SEND</t>
        </is>
      </c>
    </row>
    <row r="1411">
      <c r="A1411" t="inlineStr">
        <is>
          <t>Silvania</t>
        </is>
      </c>
      <c r="B1411" t="inlineStr">
        <is>
          <t>+5561999052928</t>
        </is>
      </c>
      <c r="C1411" t="inlineStr">
        <is>
          <t>Refill</t>
        </is>
      </c>
      <c r="D1411" t="inlineStr">
        <is>
          <t>Primer Cachos</t>
        </is>
      </c>
      <c r="E1411" t="n">
        <v>1</v>
      </c>
      <c r="F1411" t="inlineStr">
        <is>
          <t>2026-01-20</t>
        </is>
      </c>
      <c r="G1411" t="n">
        <v>165</v>
      </c>
      <c r="H1411" t="inlineStr">
        <is>
          <t>Y</t>
        </is>
      </c>
      <c r="I1411">
        <f>HYPERLINK("https://admin.shopify.com/store/ge-beauty-cosmeticos/customers/10074096861504","abrir")</f>
        <v/>
      </c>
      <c r="J1411">
        <f>HYPERLINK("https://www.gebeauty.com.br/products/primer-cachos-definidos?ref=review","review")</f>
        <v/>
      </c>
      <c r="K1411" t="inlineStr">
        <is>
          <t>SEND</t>
        </is>
      </c>
    </row>
    <row r="1412">
      <c r="A1412" t="inlineStr">
        <is>
          <t>Simara</t>
        </is>
      </c>
      <c r="B1412" t="inlineStr">
        <is>
          <t>+5511999442848</t>
        </is>
      </c>
      <c r="C1412" t="inlineStr">
        <is>
          <t>Refill</t>
        </is>
      </c>
      <c r="D1412" t="inlineStr">
        <is>
          <t>Primer Cachos</t>
        </is>
      </c>
      <c r="E1412" t="n">
        <v>1</v>
      </c>
      <c r="F1412" t="inlineStr">
        <is>
          <t>2026-01-20</t>
        </is>
      </c>
      <c r="G1412" t="n">
        <v>165</v>
      </c>
      <c r="H1412" t="inlineStr">
        <is>
          <t>Y</t>
        </is>
      </c>
      <c r="I1412">
        <f>HYPERLINK("https://admin.shopify.com/store/ge-beauty-cosmeticos/customers/8606477189440","abrir")</f>
        <v/>
      </c>
      <c r="J1412">
        <f>HYPERLINK("https://www.gebeauty.com.br/products/primer-cachos-definidos?ref=review","review")</f>
        <v/>
      </c>
      <c r="K1412" t="inlineStr">
        <is>
          <t>SEND</t>
        </is>
      </c>
    </row>
    <row r="1413">
      <c r="A1413" t="inlineStr">
        <is>
          <t>Denise</t>
        </is>
      </c>
      <c r="B1413" t="inlineStr">
        <is>
          <t>+5511971331604</t>
        </is>
      </c>
      <c r="C1413" t="inlineStr">
        <is>
          <t>Refill</t>
        </is>
      </c>
      <c r="D1413" t="inlineStr">
        <is>
          <t>Primer Cachos</t>
        </is>
      </c>
      <c r="E1413" t="n">
        <v>1</v>
      </c>
      <c r="F1413" t="inlineStr">
        <is>
          <t>2026-01-20</t>
        </is>
      </c>
      <c r="G1413" t="n">
        <v>165</v>
      </c>
      <c r="H1413" t="inlineStr">
        <is>
          <t>Y</t>
        </is>
      </c>
      <c r="I1413">
        <f>HYPERLINK("https://admin.shopify.com/store/ge-beauty-cosmeticos/customers/10074096075072","abrir")</f>
        <v/>
      </c>
      <c r="J1413">
        <f>HYPERLINK("https://www.gebeauty.com.br/products/primer-cachos-definidos?ref=review","review")</f>
        <v/>
      </c>
      <c r="K1413" t="inlineStr">
        <is>
          <t>SEND</t>
        </is>
      </c>
    </row>
    <row r="1414">
      <c r="A1414" t="inlineStr">
        <is>
          <t>Marina</t>
        </is>
      </c>
      <c r="B1414" t="inlineStr">
        <is>
          <t>+5511982930121</t>
        </is>
      </c>
      <c r="C1414" t="inlineStr">
        <is>
          <t>Refill</t>
        </is>
      </c>
      <c r="D1414" t="inlineStr">
        <is>
          <t>Primer Cachos</t>
        </is>
      </c>
      <c r="E1414" t="n">
        <v>1</v>
      </c>
      <c r="F1414" t="inlineStr">
        <is>
          <t>2026-01-20</t>
        </is>
      </c>
      <c r="G1414" t="n">
        <v>165</v>
      </c>
      <c r="H1414" t="inlineStr">
        <is>
          <t>Y</t>
        </is>
      </c>
      <c r="I1414">
        <f>HYPERLINK("https://admin.shopify.com/store/ge-beauty-cosmeticos/customers/8491294097728","abrir")</f>
        <v/>
      </c>
      <c r="J1414">
        <f>HYPERLINK("https://www.gebeauty.com.br/products/primer-cachos-definidos?ref=review","review")</f>
        <v/>
      </c>
      <c r="K1414" t="inlineStr">
        <is>
          <t>HOLDOUT</t>
        </is>
      </c>
    </row>
    <row r="1415">
      <c r="A1415" t="inlineStr">
        <is>
          <t>Sarah</t>
        </is>
      </c>
      <c r="B1415" t="inlineStr">
        <is>
          <t>+5585999325009</t>
        </is>
      </c>
      <c r="C1415" t="inlineStr">
        <is>
          <t>Refill</t>
        </is>
      </c>
      <c r="D1415" t="inlineStr">
        <is>
          <t>Primer Cachos</t>
        </is>
      </c>
      <c r="E1415" t="n">
        <v>1</v>
      </c>
      <c r="F1415" t="inlineStr">
        <is>
          <t>2026-01-20</t>
        </is>
      </c>
      <c r="G1415" t="n">
        <v>165</v>
      </c>
      <c r="H1415" t="inlineStr">
        <is>
          <t>N</t>
        </is>
      </c>
      <c r="I1415">
        <f>HYPERLINK("https://admin.shopify.com/store/ge-beauty-cosmeticos/customers/10074109051200","abrir")</f>
        <v/>
      </c>
      <c r="J1415">
        <f>HYPERLINK("https://www.gebeauty.com.br/products/primer-cachos-definidos?ref=review","review")</f>
        <v/>
      </c>
      <c r="K1415" t="inlineStr">
        <is>
          <t>SEND</t>
        </is>
      </c>
    </row>
    <row r="1416">
      <c r="A1416" t="inlineStr">
        <is>
          <t>Luciana</t>
        </is>
      </c>
      <c r="B1416" t="inlineStr">
        <is>
          <t>+5585988548768</t>
        </is>
      </c>
      <c r="C1416" t="inlineStr">
        <is>
          <t>Refill</t>
        </is>
      </c>
      <c r="D1416" t="inlineStr">
        <is>
          <t>Primer Cachos</t>
        </is>
      </c>
      <c r="E1416" t="n">
        <v>1</v>
      </c>
      <c r="F1416" t="inlineStr">
        <is>
          <t>2026-01-20</t>
        </is>
      </c>
      <c r="G1416" t="n">
        <v>165</v>
      </c>
      <c r="H1416" t="inlineStr">
        <is>
          <t>Y</t>
        </is>
      </c>
      <c r="I1416">
        <f>HYPERLINK("https://admin.shopify.com/store/ge-beauty-cosmeticos/customers/10074107412800","abrir")</f>
        <v/>
      </c>
      <c r="J1416">
        <f>HYPERLINK("https://www.gebeauty.com.br/products/primer-cachos-definidos?ref=review","review")</f>
        <v/>
      </c>
      <c r="K1416" t="inlineStr">
        <is>
          <t>SEND</t>
        </is>
      </c>
    </row>
    <row r="1417">
      <c r="A1417" t="inlineStr">
        <is>
          <t>Rafaela</t>
        </is>
      </c>
      <c r="B1417" t="inlineStr">
        <is>
          <t>+5514997619595</t>
        </is>
      </c>
      <c r="C1417" t="inlineStr">
        <is>
          <t>Refill</t>
        </is>
      </c>
      <c r="D1417" t="inlineStr">
        <is>
          <t>Primer Cachos</t>
        </is>
      </c>
      <c r="E1417" t="n">
        <v>1</v>
      </c>
      <c r="F1417" t="inlineStr">
        <is>
          <t>2026-01-20</t>
        </is>
      </c>
      <c r="G1417" t="n">
        <v>165</v>
      </c>
      <c r="H1417" t="inlineStr">
        <is>
          <t>Y</t>
        </is>
      </c>
      <c r="I1417">
        <f>HYPERLINK("https://admin.shopify.com/store/ge-beauty-cosmeticos/customers/10074112655680","abrir")</f>
        <v/>
      </c>
      <c r="J1417">
        <f>HYPERLINK("https://www.gebeauty.com.br/products/primer-cachos-definidos?ref=review","review")</f>
        <v/>
      </c>
      <c r="K1417" t="inlineStr">
        <is>
          <t>SEND</t>
        </is>
      </c>
    </row>
    <row r="1418">
      <c r="A1418" t="inlineStr">
        <is>
          <t>Juliana</t>
        </is>
      </c>
      <c r="B1418" t="inlineStr">
        <is>
          <t>+5537999629420</t>
        </is>
      </c>
      <c r="C1418" t="inlineStr">
        <is>
          <t>Refill</t>
        </is>
      </c>
      <c r="D1418" t="inlineStr">
        <is>
          <t>Primer Cachos</t>
        </is>
      </c>
      <c r="E1418" t="n">
        <v>1</v>
      </c>
      <c r="F1418" t="inlineStr">
        <is>
          <t>2026-01-20</t>
        </is>
      </c>
      <c r="G1418" t="n">
        <v>165</v>
      </c>
      <c r="H1418" t="inlineStr">
        <is>
          <t>Y</t>
        </is>
      </c>
      <c r="I1418">
        <f>HYPERLINK("https://admin.shopify.com/store/ge-beauty-cosmeticos/customers/10074113147200","abrir")</f>
        <v/>
      </c>
      <c r="J1418">
        <f>HYPERLINK("https://www.gebeauty.com.br/products/primer-cachos-definidos?ref=review","review")</f>
        <v/>
      </c>
      <c r="K1418" t="inlineStr">
        <is>
          <t>HOLDOUT</t>
        </is>
      </c>
    </row>
    <row r="1419">
      <c r="A1419" t="inlineStr">
        <is>
          <t>Tayjane</t>
        </is>
      </c>
      <c r="B1419" t="inlineStr">
        <is>
          <t>+5583991172496</t>
        </is>
      </c>
      <c r="C1419" t="inlineStr">
        <is>
          <t>Refill</t>
        </is>
      </c>
      <c r="D1419" t="inlineStr">
        <is>
          <t>Primer Cachos</t>
        </is>
      </c>
      <c r="E1419" t="n">
        <v>1</v>
      </c>
      <c r="F1419" t="inlineStr">
        <is>
          <t>2026-01-20</t>
        </is>
      </c>
      <c r="G1419" t="n">
        <v>165</v>
      </c>
      <c r="H1419" t="inlineStr">
        <is>
          <t>Y</t>
        </is>
      </c>
      <c r="I1419">
        <f>HYPERLINK("https://admin.shopify.com/store/ge-beauty-cosmeticos/customers/10074113737024","abrir")</f>
        <v/>
      </c>
      <c r="J1419">
        <f>HYPERLINK("https://www.gebeauty.com.br/products/primer-cachos-definidos?ref=review","review")</f>
        <v/>
      </c>
      <c r="K1419" t="inlineStr">
        <is>
          <t>HOLDOUT</t>
        </is>
      </c>
    </row>
    <row r="1420">
      <c r="A1420" t="inlineStr">
        <is>
          <t>Lilian</t>
        </is>
      </c>
      <c r="B1420" t="inlineStr">
        <is>
          <t>+5592999949440</t>
        </is>
      </c>
      <c r="C1420" t="inlineStr">
        <is>
          <t>Refill</t>
        </is>
      </c>
      <c r="D1420" t="inlineStr">
        <is>
          <t>Primer Cachos</t>
        </is>
      </c>
      <c r="E1420" t="n">
        <v>1</v>
      </c>
      <c r="F1420" t="inlineStr">
        <is>
          <t>2026-01-20</t>
        </is>
      </c>
      <c r="G1420" t="n">
        <v>165</v>
      </c>
      <c r="H1420" t="inlineStr">
        <is>
          <t>Y</t>
        </is>
      </c>
      <c r="I1420">
        <f>HYPERLINK("https://admin.shopify.com/store/ge-beauty-cosmeticos/customers/10074102268224","abrir")</f>
        <v/>
      </c>
      <c r="J1420">
        <f>HYPERLINK("https://www.gebeauty.com.br/products/primer-cachos-definidos?ref=review","review")</f>
        <v/>
      </c>
      <c r="K1420" t="inlineStr">
        <is>
          <t>HOLDOUT</t>
        </is>
      </c>
    </row>
    <row r="1421">
      <c r="A1421" t="inlineStr">
        <is>
          <t>Nathália</t>
        </is>
      </c>
      <c r="B1421" t="inlineStr">
        <is>
          <t>+5551993558145</t>
        </is>
      </c>
      <c r="C1421" t="inlineStr">
        <is>
          <t>Refill</t>
        </is>
      </c>
      <c r="D1421" t="inlineStr">
        <is>
          <t>Primer Cachos</t>
        </is>
      </c>
      <c r="E1421" t="n">
        <v>1</v>
      </c>
      <c r="F1421" t="inlineStr">
        <is>
          <t>2026-01-20</t>
        </is>
      </c>
      <c r="G1421" t="n">
        <v>165</v>
      </c>
      <c r="H1421" t="inlineStr">
        <is>
          <t>Y</t>
        </is>
      </c>
      <c r="I1421">
        <f>HYPERLINK("https://admin.shopify.com/store/ge-beauty-cosmeticos/customers/10074111508800","abrir")</f>
        <v/>
      </c>
      <c r="J1421">
        <f>HYPERLINK("https://www.gebeauty.com.br/products/primer-cachos-definidos?ref=review","review")</f>
        <v/>
      </c>
      <c r="K1421" t="inlineStr">
        <is>
          <t>SEND</t>
        </is>
      </c>
    </row>
    <row r="1422">
      <c r="A1422" t="inlineStr">
        <is>
          <t>Ana</t>
        </is>
      </c>
      <c r="B1422" t="inlineStr">
        <is>
          <t>+5521988177925</t>
        </is>
      </c>
      <c r="C1422" t="inlineStr">
        <is>
          <t>Refill</t>
        </is>
      </c>
      <c r="D1422" t="inlineStr">
        <is>
          <t>Primer Cachos</t>
        </is>
      </c>
      <c r="E1422" t="n">
        <v>1</v>
      </c>
      <c r="F1422" t="inlineStr">
        <is>
          <t>2026-01-20</t>
        </is>
      </c>
      <c r="G1422" t="n">
        <v>165</v>
      </c>
      <c r="H1422" t="inlineStr">
        <is>
          <t>Y</t>
        </is>
      </c>
      <c r="I1422">
        <f>HYPERLINK("https://admin.shopify.com/store/ge-beauty-cosmeticos/customers/10074101776704","abrir")</f>
        <v/>
      </c>
      <c r="J1422">
        <f>HYPERLINK("https://www.gebeauty.com.br/products/primer-cachos-definidos?ref=review","review")</f>
        <v/>
      </c>
      <c r="K1422" t="inlineStr">
        <is>
          <t>SEND</t>
        </is>
      </c>
    </row>
    <row r="1423">
      <c r="A1423" t="inlineStr">
        <is>
          <t>Raira</t>
        </is>
      </c>
      <c r="B1423" t="inlineStr">
        <is>
          <t>+5514996000969</t>
        </is>
      </c>
      <c r="C1423" t="inlineStr">
        <is>
          <t>Refill</t>
        </is>
      </c>
      <c r="D1423" t="inlineStr">
        <is>
          <t>Primer Cachos</t>
        </is>
      </c>
      <c r="E1423" t="n">
        <v>1</v>
      </c>
      <c r="F1423" t="inlineStr">
        <is>
          <t>2026-01-20</t>
        </is>
      </c>
      <c r="G1423" t="n">
        <v>165</v>
      </c>
      <c r="H1423" t="inlineStr">
        <is>
          <t>Y</t>
        </is>
      </c>
      <c r="I1423">
        <f>HYPERLINK("https://admin.shopify.com/store/ge-beauty-cosmeticos/customers/10074066551104","abrir")</f>
        <v/>
      </c>
      <c r="J1423">
        <f>HYPERLINK("https://www.gebeauty.com.br/products/primer-cachos-definidos?ref=review","review")</f>
        <v/>
      </c>
      <c r="K1423" t="inlineStr">
        <is>
          <t>SEND</t>
        </is>
      </c>
    </row>
    <row r="1424">
      <c r="A1424" t="inlineStr">
        <is>
          <t>Daniela</t>
        </is>
      </c>
      <c r="B1424" t="inlineStr">
        <is>
          <t>+5511981336751</t>
        </is>
      </c>
      <c r="C1424" t="inlineStr">
        <is>
          <t>Refill</t>
        </is>
      </c>
      <c r="D1424" t="inlineStr">
        <is>
          <t>Primer Cachos</t>
        </is>
      </c>
      <c r="E1424" t="n">
        <v>1</v>
      </c>
      <c r="F1424" t="inlineStr">
        <is>
          <t>2026-01-20</t>
        </is>
      </c>
      <c r="G1424" t="n">
        <v>165</v>
      </c>
      <c r="H1424" t="inlineStr">
        <is>
          <t>Y</t>
        </is>
      </c>
      <c r="I1424">
        <f>HYPERLINK("https://admin.shopify.com/store/ge-beauty-cosmeticos/customers/10074110460224","abrir")</f>
        <v/>
      </c>
      <c r="J1424">
        <f>HYPERLINK("https://www.gebeauty.com.br/products/primer-cachos-definidos?ref=review","review")</f>
        <v/>
      </c>
      <c r="K1424" t="inlineStr">
        <is>
          <t>HOLDOUT</t>
        </is>
      </c>
    </row>
    <row r="1425">
      <c r="A1425" t="inlineStr">
        <is>
          <t>Andrea</t>
        </is>
      </c>
      <c r="B1425" t="inlineStr">
        <is>
          <t>+5521964581172</t>
        </is>
      </c>
      <c r="C1425" t="inlineStr">
        <is>
          <t>Refill</t>
        </is>
      </c>
      <c r="D1425" t="inlineStr">
        <is>
          <t>Primer Cachos</t>
        </is>
      </c>
      <c r="E1425" t="n">
        <v>1</v>
      </c>
      <c r="F1425" t="inlineStr">
        <is>
          <t>2026-01-20</t>
        </is>
      </c>
      <c r="G1425" t="n">
        <v>165</v>
      </c>
      <c r="H1425" t="inlineStr">
        <is>
          <t>Y</t>
        </is>
      </c>
      <c r="I1425">
        <f>HYPERLINK("https://admin.shopify.com/store/ge-beauty-cosmeticos/customers/10074109444416","abrir")</f>
        <v/>
      </c>
      <c r="J1425">
        <f>HYPERLINK("https://www.gebeauty.com.br/products/primer-cachos-definidos?ref=review","review")</f>
        <v/>
      </c>
      <c r="K1425" t="inlineStr">
        <is>
          <t>SEND</t>
        </is>
      </c>
    </row>
    <row r="1426">
      <c r="A1426" t="inlineStr">
        <is>
          <t>Mileine</t>
        </is>
      </c>
      <c r="B1426" t="inlineStr">
        <is>
          <t>+5511982711976</t>
        </is>
      </c>
      <c r="C1426" t="inlineStr">
        <is>
          <t>Refill</t>
        </is>
      </c>
      <c r="D1426" t="inlineStr">
        <is>
          <t>Primer Cachos</t>
        </is>
      </c>
      <c r="E1426" t="n">
        <v>1</v>
      </c>
      <c r="F1426" t="inlineStr">
        <is>
          <t>2026-01-20</t>
        </is>
      </c>
      <c r="G1426" t="n">
        <v>165</v>
      </c>
      <c r="H1426" t="inlineStr">
        <is>
          <t>Y</t>
        </is>
      </c>
      <c r="I1426">
        <f>HYPERLINK("https://admin.shopify.com/store/ge-beauty-cosmeticos/customers/10074121404736","abrir")</f>
        <v/>
      </c>
      <c r="J1426">
        <f>HYPERLINK("https://www.gebeauty.com.br/products/primer-cachos-definidos?ref=review","review")</f>
        <v/>
      </c>
      <c r="K1426" t="inlineStr">
        <is>
          <t>SEND</t>
        </is>
      </c>
    </row>
    <row r="1427">
      <c r="A1427" t="inlineStr">
        <is>
          <t>Macinésia</t>
        </is>
      </c>
      <c r="B1427" t="inlineStr">
        <is>
          <t>+5584999630979</t>
        </is>
      </c>
      <c r="C1427" t="inlineStr">
        <is>
          <t>Refill</t>
        </is>
      </c>
      <c r="D1427" t="inlineStr">
        <is>
          <t>Primer Cachos</t>
        </is>
      </c>
      <c r="E1427" t="n">
        <v>1</v>
      </c>
      <c r="F1427" t="inlineStr">
        <is>
          <t>2026-01-20</t>
        </is>
      </c>
      <c r="G1427" t="n">
        <v>165</v>
      </c>
      <c r="H1427" t="inlineStr">
        <is>
          <t>Y</t>
        </is>
      </c>
      <c r="I1427">
        <f>HYPERLINK("https://admin.shopify.com/store/ge-beauty-cosmeticos/customers/10074123829568","abrir")</f>
        <v/>
      </c>
      <c r="J1427">
        <f>HYPERLINK("https://www.gebeauty.com.br/products/primer-cachos-definidos?ref=review","review")</f>
        <v/>
      </c>
      <c r="K1427" t="inlineStr">
        <is>
          <t>SEND</t>
        </is>
      </c>
    </row>
    <row r="1428">
      <c r="A1428" t="inlineStr">
        <is>
          <t>Evelin</t>
        </is>
      </c>
      <c r="B1428" t="inlineStr">
        <is>
          <t>+5511967975968</t>
        </is>
      </c>
      <c r="C1428" t="inlineStr">
        <is>
          <t>Refill</t>
        </is>
      </c>
      <c r="D1428" t="inlineStr">
        <is>
          <t>Primer Cachos</t>
        </is>
      </c>
      <c r="E1428" t="n">
        <v>1</v>
      </c>
      <c r="F1428" t="inlineStr">
        <is>
          <t>2026-01-20</t>
        </is>
      </c>
      <c r="G1428" t="n">
        <v>165</v>
      </c>
      <c r="H1428" t="inlineStr">
        <is>
          <t>Y</t>
        </is>
      </c>
      <c r="I1428">
        <f>HYPERLINK("https://admin.shopify.com/store/ge-beauty-cosmeticos/customers/10074125599040","abrir")</f>
        <v/>
      </c>
      <c r="J1428">
        <f>HYPERLINK("https://www.gebeauty.com.br/products/primer-cachos-definidos?ref=review","review")</f>
        <v/>
      </c>
      <c r="K1428" t="inlineStr">
        <is>
          <t>SEND</t>
        </is>
      </c>
    </row>
    <row r="1429">
      <c r="A1429" t="inlineStr">
        <is>
          <t>Natalia</t>
        </is>
      </c>
      <c r="B1429" t="inlineStr">
        <is>
          <t>+5581992322801</t>
        </is>
      </c>
      <c r="C1429" t="inlineStr">
        <is>
          <t>Refill</t>
        </is>
      </c>
      <c r="D1429" t="inlineStr">
        <is>
          <t>Primer Cachos</t>
        </is>
      </c>
      <c r="E1429" t="n">
        <v>1</v>
      </c>
      <c r="F1429" t="inlineStr">
        <is>
          <t>2026-01-20</t>
        </is>
      </c>
      <c r="G1429" t="n">
        <v>165</v>
      </c>
      <c r="H1429" t="inlineStr">
        <is>
          <t>Y</t>
        </is>
      </c>
      <c r="I1429">
        <f>HYPERLINK("https://admin.shopify.com/store/ge-beauty-cosmeticos/customers/10074127302976","abrir")</f>
        <v/>
      </c>
      <c r="J1429">
        <f>HYPERLINK("https://www.gebeauty.com.br/products/primer-cachos-definidos?ref=review","review")</f>
        <v/>
      </c>
      <c r="K1429" t="inlineStr">
        <is>
          <t>SEND</t>
        </is>
      </c>
    </row>
    <row r="1430">
      <c r="A1430" t="inlineStr">
        <is>
          <t>Adriana</t>
        </is>
      </c>
      <c r="B1430" t="inlineStr">
        <is>
          <t>+5511984058759</t>
        </is>
      </c>
      <c r="C1430" t="inlineStr">
        <is>
          <t>Refill</t>
        </is>
      </c>
      <c r="D1430" t="inlineStr">
        <is>
          <t>Primer Cachos</t>
        </is>
      </c>
      <c r="E1430" t="n">
        <v>1</v>
      </c>
      <c r="F1430" t="inlineStr">
        <is>
          <t>2026-01-20</t>
        </is>
      </c>
      <c r="G1430" t="n">
        <v>165</v>
      </c>
      <c r="H1430" t="inlineStr">
        <is>
          <t>Y</t>
        </is>
      </c>
      <c r="I1430">
        <f>HYPERLINK("https://admin.shopify.com/store/ge-beauty-cosmeticos/customers/10074118848832","abrir")</f>
        <v/>
      </c>
      <c r="J1430">
        <f>HYPERLINK("https://www.gebeauty.com.br/products/primer-cachos-definidos?ref=review","review")</f>
        <v/>
      </c>
      <c r="K1430" t="inlineStr">
        <is>
          <t>SEND</t>
        </is>
      </c>
    </row>
    <row r="1431">
      <c r="A1431" t="inlineStr">
        <is>
          <t>Carolina</t>
        </is>
      </c>
      <c r="B1431" t="inlineStr">
        <is>
          <t>+5511999682105</t>
        </is>
      </c>
      <c r="C1431" t="inlineStr">
        <is>
          <t>Refill</t>
        </is>
      </c>
      <c r="D1431" t="inlineStr">
        <is>
          <t>Primer Cachos</t>
        </is>
      </c>
      <c r="E1431" t="n">
        <v>1</v>
      </c>
      <c r="F1431" t="inlineStr">
        <is>
          <t>2026-01-20</t>
        </is>
      </c>
      <c r="G1431" t="n">
        <v>165</v>
      </c>
      <c r="H1431" t="inlineStr">
        <is>
          <t>Y</t>
        </is>
      </c>
      <c r="I1431">
        <f>HYPERLINK("https://admin.shopify.com/store/ge-beauty-cosmeticos/customers/10074101055808","abrir")</f>
        <v/>
      </c>
      <c r="J1431">
        <f>HYPERLINK("https://www.gebeauty.com.br/products/primer-cachos-definidos?ref=review","review")</f>
        <v/>
      </c>
      <c r="K1431" t="inlineStr">
        <is>
          <t>SEND</t>
        </is>
      </c>
    </row>
    <row r="1432">
      <c r="A1432" t="inlineStr">
        <is>
          <t>Luana</t>
        </is>
      </c>
      <c r="B1432" t="inlineStr">
        <is>
          <t>+5511957115890</t>
        </is>
      </c>
      <c r="C1432" t="inlineStr">
        <is>
          <t>Refill</t>
        </is>
      </c>
      <c r="D1432" t="inlineStr">
        <is>
          <t>Primer Cachos</t>
        </is>
      </c>
      <c r="E1432" t="n">
        <v>1</v>
      </c>
      <c r="F1432" t="inlineStr">
        <is>
          <t>2026-01-20</t>
        </is>
      </c>
      <c r="G1432" t="n">
        <v>165</v>
      </c>
      <c r="H1432" t="inlineStr">
        <is>
          <t>Y</t>
        </is>
      </c>
      <c r="I1432">
        <f>HYPERLINK("https://admin.shopify.com/store/ge-beauty-cosmeticos/customers/10074129727808","abrir")</f>
        <v/>
      </c>
      <c r="J1432">
        <f>HYPERLINK("https://www.gebeauty.com.br/products/primer-cachos-definidos?ref=review","review")</f>
        <v/>
      </c>
      <c r="K1432" t="inlineStr">
        <is>
          <t>SEND</t>
        </is>
      </c>
    </row>
    <row r="1433">
      <c r="A1433" t="inlineStr">
        <is>
          <t>Luciana</t>
        </is>
      </c>
      <c r="B1433" t="inlineStr">
        <is>
          <t>+5511981965426</t>
        </is>
      </c>
      <c r="C1433" t="inlineStr">
        <is>
          <t>Refill</t>
        </is>
      </c>
      <c r="D1433" t="inlineStr">
        <is>
          <t>Primer Cachos</t>
        </is>
      </c>
      <c r="E1433" t="n">
        <v>1</v>
      </c>
      <c r="F1433" t="inlineStr">
        <is>
          <t>2026-01-20</t>
        </is>
      </c>
      <c r="G1433" t="n">
        <v>165</v>
      </c>
      <c r="H1433" t="inlineStr">
        <is>
          <t>Y</t>
        </is>
      </c>
      <c r="I1433">
        <f>HYPERLINK("https://admin.shopify.com/store/ge-beauty-cosmeticos/customers/10074124484928","abrir")</f>
        <v/>
      </c>
      <c r="J1433">
        <f>HYPERLINK("https://www.gebeauty.com.br/products/primer-cachos-definidos?ref=review","review")</f>
        <v/>
      </c>
      <c r="K1433" t="inlineStr">
        <is>
          <t>SEND</t>
        </is>
      </c>
    </row>
    <row r="1434">
      <c r="A1434" t="inlineStr">
        <is>
          <t>Lorena</t>
        </is>
      </c>
      <c r="B1434" t="inlineStr">
        <is>
          <t>+5571987483993</t>
        </is>
      </c>
      <c r="C1434" t="inlineStr">
        <is>
          <t>Refill</t>
        </is>
      </c>
      <c r="D1434" t="inlineStr">
        <is>
          <t>Primer Cachos</t>
        </is>
      </c>
      <c r="E1434" t="n">
        <v>1</v>
      </c>
      <c r="F1434" t="inlineStr">
        <is>
          <t>2026-01-20</t>
        </is>
      </c>
      <c r="G1434" t="n">
        <v>165</v>
      </c>
      <c r="H1434" t="inlineStr">
        <is>
          <t>Y</t>
        </is>
      </c>
      <c r="I1434">
        <f>HYPERLINK("https://admin.shopify.com/store/ge-beauty-cosmeticos/customers/10074115670336","abrir")</f>
        <v/>
      </c>
      <c r="J1434">
        <f>HYPERLINK("https://www.gebeauty.com.br/products/primer-cachos-definidos?ref=review","review")</f>
        <v/>
      </c>
      <c r="K1434" t="inlineStr">
        <is>
          <t>SEND</t>
        </is>
      </c>
    </row>
    <row r="1435">
      <c r="A1435" t="inlineStr">
        <is>
          <t>Luisa</t>
        </is>
      </c>
      <c r="B1435" t="inlineStr">
        <is>
          <t>+5522999818272</t>
        </is>
      </c>
      <c r="C1435" t="inlineStr">
        <is>
          <t>Refill</t>
        </is>
      </c>
      <c r="D1435" t="inlineStr">
        <is>
          <t>Primer Cachos</t>
        </is>
      </c>
      <c r="E1435" t="n">
        <v>1</v>
      </c>
      <c r="F1435" t="inlineStr">
        <is>
          <t>2026-01-20</t>
        </is>
      </c>
      <c r="G1435" t="n">
        <v>165</v>
      </c>
      <c r="H1435" t="inlineStr">
        <is>
          <t>Y</t>
        </is>
      </c>
      <c r="I1435">
        <f>HYPERLINK("https://admin.shopify.com/store/ge-beauty-cosmeticos/customers/9486617739584","abrir")</f>
        <v/>
      </c>
      <c r="J1435">
        <f>HYPERLINK("https://www.gebeauty.com.br/products/primer-cachos-definidos?ref=review","review")</f>
        <v/>
      </c>
      <c r="K1435" t="inlineStr">
        <is>
          <t>SEND</t>
        </is>
      </c>
    </row>
    <row r="1436">
      <c r="A1436" t="inlineStr">
        <is>
          <t>Sandrine</t>
        </is>
      </c>
      <c r="B1436" t="inlineStr">
        <is>
          <t>+5551999587566</t>
        </is>
      </c>
      <c r="C1436" t="inlineStr">
        <is>
          <t>Refill</t>
        </is>
      </c>
      <c r="D1436" t="inlineStr">
        <is>
          <t>Primer Cachos</t>
        </is>
      </c>
      <c r="E1436" t="n">
        <v>1</v>
      </c>
      <c r="F1436" t="inlineStr">
        <is>
          <t>2026-01-20</t>
        </is>
      </c>
      <c r="G1436" t="n">
        <v>165</v>
      </c>
      <c r="H1436" t="inlineStr">
        <is>
          <t>Y</t>
        </is>
      </c>
      <c r="I1436">
        <f>HYPERLINK("https://admin.shopify.com/store/ge-beauty-cosmeticos/customers/10074128286016","abrir")</f>
        <v/>
      </c>
      <c r="J1436">
        <f>HYPERLINK("https://www.gebeauty.com.br/products/primer-cachos-definidos?ref=review","review")</f>
        <v/>
      </c>
      <c r="K1436" t="inlineStr">
        <is>
          <t>SEND</t>
        </is>
      </c>
    </row>
    <row r="1437">
      <c r="A1437" t="inlineStr">
        <is>
          <t>Fernanda</t>
        </is>
      </c>
      <c r="B1437" t="inlineStr">
        <is>
          <t>+5565999874285</t>
        </is>
      </c>
      <c r="C1437" t="inlineStr">
        <is>
          <t>Refill</t>
        </is>
      </c>
      <c r="D1437" t="inlineStr">
        <is>
          <t>Primer Cachos</t>
        </is>
      </c>
      <c r="E1437" t="n">
        <v>1</v>
      </c>
      <c r="F1437" t="inlineStr">
        <is>
          <t>2026-01-20</t>
        </is>
      </c>
      <c r="G1437" t="n">
        <v>165</v>
      </c>
      <c r="H1437" t="inlineStr">
        <is>
          <t>Y</t>
        </is>
      </c>
      <c r="I1437">
        <f>HYPERLINK("https://admin.shopify.com/store/ge-beauty-cosmeticos/customers/10074131857728","abrir")</f>
        <v/>
      </c>
      <c r="J1437">
        <f>HYPERLINK("https://www.gebeauty.com.br/products/primer-cachos-definidos?ref=review","review")</f>
        <v/>
      </c>
      <c r="K1437" t="inlineStr">
        <is>
          <t>SEND</t>
        </is>
      </c>
    </row>
    <row r="1438">
      <c r="A1438" t="inlineStr">
        <is>
          <t>Vanessa</t>
        </is>
      </c>
      <c r="B1438" t="inlineStr">
        <is>
          <t>+5514991320902</t>
        </is>
      </c>
      <c r="C1438" t="inlineStr">
        <is>
          <t>Refill</t>
        </is>
      </c>
      <c r="D1438" t="inlineStr">
        <is>
          <t>Primer Cachos</t>
        </is>
      </c>
      <c r="E1438" t="n">
        <v>1</v>
      </c>
      <c r="F1438" t="inlineStr">
        <is>
          <t>2026-01-20</t>
        </is>
      </c>
      <c r="G1438" t="n">
        <v>165</v>
      </c>
      <c r="H1438" t="inlineStr">
        <is>
          <t>Y</t>
        </is>
      </c>
      <c r="I1438">
        <f>HYPERLINK("https://admin.shopify.com/store/ge-beauty-cosmeticos/customers/10074118586688","abrir")</f>
        <v/>
      </c>
      <c r="J1438">
        <f>HYPERLINK("https://www.gebeauty.com.br/products/primer-cachos-definidos?ref=review","review")</f>
        <v/>
      </c>
      <c r="K1438" t="inlineStr">
        <is>
          <t>SEND</t>
        </is>
      </c>
    </row>
    <row r="1439">
      <c r="A1439" t="inlineStr">
        <is>
          <t>Silvia</t>
        </is>
      </c>
      <c r="B1439" t="inlineStr">
        <is>
          <t>+5549999680090</t>
        </is>
      </c>
      <c r="C1439" t="inlineStr">
        <is>
          <t>Refill</t>
        </is>
      </c>
      <c r="D1439" t="inlineStr">
        <is>
          <t>Primer Cachos</t>
        </is>
      </c>
      <c r="E1439" t="n">
        <v>1</v>
      </c>
      <c r="F1439" t="inlineStr">
        <is>
          <t>2026-01-20</t>
        </is>
      </c>
      <c r="G1439" t="n">
        <v>165</v>
      </c>
      <c r="H1439" t="inlineStr">
        <is>
          <t>Y</t>
        </is>
      </c>
      <c r="I1439">
        <f>HYPERLINK("https://admin.shopify.com/store/ge-beauty-cosmeticos/customers/10074138935616","abrir")</f>
        <v/>
      </c>
      <c r="J1439">
        <f>HYPERLINK("https://www.gebeauty.com.br/products/primer-cachos-definidos?ref=review","review")</f>
        <v/>
      </c>
      <c r="K1439" t="inlineStr">
        <is>
          <t>SEND</t>
        </is>
      </c>
    </row>
    <row r="1440">
      <c r="A1440" t="inlineStr">
        <is>
          <t>Silmara</t>
        </is>
      </c>
      <c r="B1440" t="inlineStr">
        <is>
          <t>+5547999279775</t>
        </is>
      </c>
      <c r="C1440" t="inlineStr">
        <is>
          <t>Refill</t>
        </is>
      </c>
      <c r="D1440" t="inlineStr">
        <is>
          <t>Primer Cachos</t>
        </is>
      </c>
      <c r="E1440" t="n">
        <v>1</v>
      </c>
      <c r="F1440" t="inlineStr">
        <is>
          <t>2026-01-20</t>
        </is>
      </c>
      <c r="G1440" t="n">
        <v>165</v>
      </c>
      <c r="H1440" t="inlineStr">
        <is>
          <t>Y</t>
        </is>
      </c>
      <c r="I1440">
        <f>HYPERLINK("https://admin.shopify.com/store/ge-beauty-cosmeticos/customers/10074130350400","abrir")</f>
        <v/>
      </c>
      <c r="J1440">
        <f>HYPERLINK("https://www.gebeauty.com.br/products/primer-cachos-definidos?ref=review","review")</f>
        <v/>
      </c>
      <c r="K1440" t="inlineStr">
        <is>
          <t>SEND</t>
        </is>
      </c>
    </row>
    <row r="1441">
      <c r="A1441" t="inlineStr">
        <is>
          <t>Cilce</t>
        </is>
      </c>
      <c r="B1441" t="inlineStr">
        <is>
          <t>+5565999713289</t>
        </is>
      </c>
      <c r="C1441" t="inlineStr">
        <is>
          <t>Refill</t>
        </is>
      </c>
      <c r="D1441" t="inlineStr">
        <is>
          <t>Primer Cachos</t>
        </is>
      </c>
      <c r="E1441" t="n">
        <v>1</v>
      </c>
      <c r="F1441" t="inlineStr">
        <is>
          <t>2026-01-20</t>
        </is>
      </c>
      <c r="G1441" t="n">
        <v>165</v>
      </c>
      <c r="H1441" t="inlineStr">
        <is>
          <t>Y</t>
        </is>
      </c>
      <c r="I1441">
        <f>HYPERLINK("https://admin.shopify.com/store/ge-beauty-cosmeticos/customers/10074142212416","abrir")</f>
        <v/>
      </c>
      <c r="J1441">
        <f>HYPERLINK("https://www.gebeauty.com.br/products/primer-cachos-definidos?ref=review","review")</f>
        <v/>
      </c>
      <c r="K1441" t="inlineStr">
        <is>
          <t>SEND</t>
        </is>
      </c>
    </row>
    <row r="1442">
      <c r="A1442" t="inlineStr">
        <is>
          <t>Fernanda</t>
        </is>
      </c>
      <c r="B1442" t="inlineStr">
        <is>
          <t>+5548999124453</t>
        </is>
      </c>
      <c r="C1442" t="inlineStr">
        <is>
          <t>Refill</t>
        </is>
      </c>
      <c r="D1442" t="inlineStr">
        <is>
          <t>Primer Cachos</t>
        </is>
      </c>
      <c r="E1442" t="n">
        <v>1</v>
      </c>
      <c r="F1442" t="inlineStr">
        <is>
          <t>2026-01-20</t>
        </is>
      </c>
      <c r="G1442" t="n">
        <v>165</v>
      </c>
      <c r="H1442" t="inlineStr">
        <is>
          <t>Y</t>
        </is>
      </c>
      <c r="I1442">
        <f>HYPERLINK("https://admin.shopify.com/store/ge-beauty-cosmeticos/customers/10074141262144","abrir")</f>
        <v/>
      </c>
      <c r="J1442">
        <f>HYPERLINK("https://www.gebeauty.com.br/products/primer-cachos-definidos?ref=review","review")</f>
        <v/>
      </c>
      <c r="K1442" t="inlineStr">
        <is>
          <t>HOLDOUT</t>
        </is>
      </c>
    </row>
    <row r="1443">
      <c r="A1443" t="inlineStr">
        <is>
          <t>Claudia</t>
        </is>
      </c>
      <c r="B1443" t="inlineStr">
        <is>
          <t>+5521996277592</t>
        </is>
      </c>
      <c r="C1443" t="inlineStr">
        <is>
          <t>Refill</t>
        </is>
      </c>
      <c r="D1443" t="inlineStr">
        <is>
          <t>Primer Cachos</t>
        </is>
      </c>
      <c r="E1443" t="n">
        <v>1</v>
      </c>
      <c r="F1443" t="inlineStr">
        <is>
          <t>2026-01-20</t>
        </is>
      </c>
      <c r="G1443" t="n">
        <v>165</v>
      </c>
      <c r="H1443" t="inlineStr">
        <is>
          <t>Y</t>
        </is>
      </c>
      <c r="I1443">
        <f>HYPERLINK("https://admin.shopify.com/store/ge-beauty-cosmeticos/customers/10074147356992","abrir")</f>
        <v/>
      </c>
      <c r="J1443">
        <f>HYPERLINK("https://www.gebeauty.com.br/products/primer-cachos-definidos?ref=review","review")</f>
        <v/>
      </c>
      <c r="K1443" t="inlineStr">
        <is>
          <t>SEND</t>
        </is>
      </c>
    </row>
    <row r="1444">
      <c r="A1444" t="inlineStr">
        <is>
          <t>Grazieli</t>
        </is>
      </c>
      <c r="B1444" t="inlineStr">
        <is>
          <t>+5514997154648</t>
        </is>
      </c>
      <c r="C1444" t="inlineStr">
        <is>
          <t>Refill</t>
        </is>
      </c>
      <c r="D1444" t="inlineStr">
        <is>
          <t>Primer Cachos</t>
        </is>
      </c>
      <c r="E1444" t="n">
        <v>1</v>
      </c>
      <c r="F1444" t="inlineStr">
        <is>
          <t>2026-01-20</t>
        </is>
      </c>
      <c r="G1444" t="n">
        <v>165</v>
      </c>
      <c r="H1444" t="inlineStr">
        <is>
          <t>Y</t>
        </is>
      </c>
      <c r="I1444">
        <f>HYPERLINK("https://admin.shopify.com/store/ge-beauty-cosmeticos/customers/10074135396672","abrir")</f>
        <v/>
      </c>
      <c r="J1444">
        <f>HYPERLINK("https://www.gebeauty.com.br/products/primer-cachos-definidos?ref=review","review")</f>
        <v/>
      </c>
      <c r="K1444" t="inlineStr">
        <is>
          <t>SEND</t>
        </is>
      </c>
    </row>
    <row r="1445">
      <c r="A1445" t="inlineStr">
        <is>
          <t>Lais</t>
        </is>
      </c>
      <c r="B1445" t="inlineStr">
        <is>
          <t>+5524988040956</t>
        </is>
      </c>
      <c r="C1445" t="inlineStr">
        <is>
          <t>Refill</t>
        </is>
      </c>
      <c r="D1445" t="inlineStr">
        <is>
          <t>Primer Cachos</t>
        </is>
      </c>
      <c r="E1445" t="n">
        <v>1</v>
      </c>
      <c r="F1445" t="inlineStr">
        <is>
          <t>2026-01-20</t>
        </is>
      </c>
      <c r="G1445" t="n">
        <v>165</v>
      </c>
      <c r="H1445" t="inlineStr">
        <is>
          <t>Y</t>
        </is>
      </c>
      <c r="I1445">
        <f>HYPERLINK("https://admin.shopify.com/store/ge-beauty-cosmeticos/customers/10074153845056","abrir")</f>
        <v/>
      </c>
      <c r="J1445">
        <f>HYPERLINK("https://www.gebeauty.com.br/products/primer-cachos-definidos?ref=review","review")</f>
        <v/>
      </c>
      <c r="K1445" t="inlineStr">
        <is>
          <t>HOLDOUT</t>
        </is>
      </c>
    </row>
    <row r="1446">
      <c r="A1446" t="inlineStr">
        <is>
          <t>Jailza</t>
        </is>
      </c>
      <c r="B1446" t="inlineStr">
        <is>
          <t>+5521986111353</t>
        </is>
      </c>
      <c r="C1446" t="inlineStr">
        <is>
          <t>Refill</t>
        </is>
      </c>
      <c r="D1446" t="inlineStr">
        <is>
          <t>Primer Cachos</t>
        </is>
      </c>
      <c r="E1446" t="n">
        <v>1</v>
      </c>
      <c r="F1446" t="inlineStr">
        <is>
          <t>2026-01-20</t>
        </is>
      </c>
      <c r="G1446" t="n">
        <v>165</v>
      </c>
      <c r="H1446" t="inlineStr">
        <is>
          <t>Y</t>
        </is>
      </c>
      <c r="I1446">
        <f>HYPERLINK("https://admin.shopify.com/store/ge-beauty-cosmeticos/customers/10074155548992","abrir")</f>
        <v/>
      </c>
      <c r="J1446">
        <f>HYPERLINK("https://www.gebeauty.com.br/products/primer-cachos-definidos?ref=review","review")</f>
        <v/>
      </c>
      <c r="K1446" t="inlineStr">
        <is>
          <t>SEND</t>
        </is>
      </c>
    </row>
    <row r="1447">
      <c r="A1447" t="inlineStr">
        <is>
          <t>Fabiana</t>
        </is>
      </c>
      <c r="B1447" t="inlineStr">
        <is>
          <t>+5516991402190</t>
        </is>
      </c>
      <c r="C1447" t="inlineStr">
        <is>
          <t>Refill</t>
        </is>
      </c>
      <c r="D1447" t="inlineStr">
        <is>
          <t>Primer Cachos</t>
        </is>
      </c>
      <c r="E1447" t="n">
        <v>1</v>
      </c>
      <c r="F1447" t="inlineStr">
        <is>
          <t>2026-01-20</t>
        </is>
      </c>
      <c r="G1447" t="n">
        <v>165</v>
      </c>
      <c r="H1447" t="inlineStr">
        <is>
          <t>Y</t>
        </is>
      </c>
      <c r="I1447">
        <f>HYPERLINK("https://admin.shopify.com/store/ge-beauty-cosmeticos/customers/10074149486912","abrir")</f>
        <v/>
      </c>
      <c r="J1447">
        <f>HYPERLINK("https://www.gebeauty.com.br/products/primer-cachos-definidos?ref=review","review")</f>
        <v/>
      </c>
      <c r="K1447" t="inlineStr">
        <is>
          <t>SEND</t>
        </is>
      </c>
    </row>
    <row r="1448">
      <c r="A1448" t="inlineStr">
        <is>
          <t>Cris</t>
        </is>
      </c>
      <c r="B1448" t="inlineStr">
        <is>
          <t>+5511970276494</t>
        </is>
      </c>
      <c r="C1448" t="inlineStr">
        <is>
          <t>Refill</t>
        </is>
      </c>
      <c r="D1448" t="inlineStr">
        <is>
          <t>Primer Cachos</t>
        </is>
      </c>
      <c r="E1448" t="n">
        <v>1</v>
      </c>
      <c r="F1448" t="inlineStr">
        <is>
          <t>2026-01-20</t>
        </is>
      </c>
      <c r="G1448" t="n">
        <v>165</v>
      </c>
      <c r="H1448" t="inlineStr">
        <is>
          <t>Y</t>
        </is>
      </c>
      <c r="I1448">
        <f>HYPERLINK("https://admin.shopify.com/store/ge-beauty-cosmeticos/customers/8466249253184","abrir")</f>
        <v/>
      </c>
      <c r="J1448">
        <f>HYPERLINK("https://www.gebeauty.com.br/products/primer-cachos-definidos?ref=review","review")</f>
        <v/>
      </c>
      <c r="K1448" t="inlineStr">
        <is>
          <t>SEND</t>
        </is>
      </c>
    </row>
    <row r="1449">
      <c r="A1449" t="inlineStr">
        <is>
          <t>Vera</t>
        </is>
      </c>
      <c r="B1449" t="inlineStr">
        <is>
          <t>+5515997766021</t>
        </is>
      </c>
      <c r="C1449" t="inlineStr">
        <is>
          <t>Refill</t>
        </is>
      </c>
      <c r="D1449" t="inlineStr">
        <is>
          <t>Primer Cachos</t>
        </is>
      </c>
      <c r="E1449" t="n">
        <v>1</v>
      </c>
      <c r="F1449" t="inlineStr">
        <is>
          <t>2026-01-20</t>
        </is>
      </c>
      <c r="G1449" t="n">
        <v>165</v>
      </c>
      <c r="H1449" t="inlineStr">
        <is>
          <t>Y</t>
        </is>
      </c>
      <c r="I1449">
        <f>HYPERLINK("https://admin.shopify.com/store/ge-beauty-cosmeticos/customers/10074152304960","abrir")</f>
        <v/>
      </c>
      <c r="J1449">
        <f>HYPERLINK("https://www.gebeauty.com.br/products/primer-cachos-definidos?ref=review","review")</f>
        <v/>
      </c>
      <c r="K1449" t="inlineStr">
        <is>
          <t>SEND</t>
        </is>
      </c>
    </row>
    <row r="1450">
      <c r="A1450" t="inlineStr">
        <is>
          <t>Juliana</t>
        </is>
      </c>
      <c r="B1450" t="inlineStr">
        <is>
          <t>+5583988579989</t>
        </is>
      </c>
      <c r="C1450" t="inlineStr">
        <is>
          <t>Refill</t>
        </is>
      </c>
      <c r="D1450" t="inlineStr">
        <is>
          <t>Primer Cachos</t>
        </is>
      </c>
      <c r="E1450" t="n">
        <v>1</v>
      </c>
      <c r="F1450" t="inlineStr">
        <is>
          <t>2026-01-20</t>
        </is>
      </c>
      <c r="G1450" t="n">
        <v>165</v>
      </c>
      <c r="H1450" t="inlineStr">
        <is>
          <t>Y</t>
        </is>
      </c>
      <c r="I1450">
        <f>HYPERLINK("https://admin.shopify.com/store/ge-beauty-cosmeticos/customers/10074155450688","abrir")</f>
        <v/>
      </c>
      <c r="J1450">
        <f>HYPERLINK("https://www.gebeauty.com.br/products/primer-cachos-definidos?ref=review","review")</f>
        <v/>
      </c>
      <c r="K1450" t="inlineStr">
        <is>
          <t>SEND</t>
        </is>
      </c>
    </row>
    <row r="1451">
      <c r="A1451" t="inlineStr">
        <is>
          <t>Roberta</t>
        </is>
      </c>
      <c r="B1451" t="inlineStr">
        <is>
          <t>+5518991153060</t>
        </is>
      </c>
      <c r="C1451" t="inlineStr">
        <is>
          <t>Refill</t>
        </is>
      </c>
      <c r="D1451" t="inlineStr">
        <is>
          <t>Primer Cachos</t>
        </is>
      </c>
      <c r="E1451" t="n">
        <v>1</v>
      </c>
      <c r="F1451" t="inlineStr">
        <is>
          <t>2026-01-20</t>
        </is>
      </c>
      <c r="G1451" t="n">
        <v>165</v>
      </c>
      <c r="H1451" t="inlineStr">
        <is>
          <t>N</t>
        </is>
      </c>
      <c r="I1451">
        <f>HYPERLINK("https://admin.shopify.com/store/ge-beauty-cosmeticos/customers/10074102858048","abrir")</f>
        <v/>
      </c>
      <c r="J1451">
        <f>HYPERLINK("https://www.gebeauty.com.br/products/primer-cachos-definidos?ref=review","review")</f>
        <v/>
      </c>
      <c r="K1451" t="inlineStr">
        <is>
          <t>SEND</t>
        </is>
      </c>
    </row>
    <row r="1452">
      <c r="A1452" t="inlineStr">
        <is>
          <t>Beatriz</t>
        </is>
      </c>
      <c r="B1452" t="inlineStr">
        <is>
          <t>+5579999550418</t>
        </is>
      </c>
      <c r="C1452" t="inlineStr">
        <is>
          <t>Refill</t>
        </is>
      </c>
      <c r="D1452" t="inlineStr">
        <is>
          <t>Primer Cachos</t>
        </is>
      </c>
      <c r="E1452" t="n">
        <v>1</v>
      </c>
      <c r="F1452" t="inlineStr">
        <is>
          <t>2026-01-20</t>
        </is>
      </c>
      <c r="G1452" t="n">
        <v>165</v>
      </c>
      <c r="H1452" t="inlineStr">
        <is>
          <t>Y</t>
        </is>
      </c>
      <c r="I1452">
        <f>HYPERLINK("https://admin.shopify.com/store/ge-beauty-cosmeticos/customers/10074164756800","abrir")</f>
        <v/>
      </c>
      <c r="J1452">
        <f>HYPERLINK("https://www.gebeauty.com.br/products/primer-cachos-definidos?ref=review","review")</f>
        <v/>
      </c>
      <c r="K1452" t="inlineStr">
        <is>
          <t>SEND</t>
        </is>
      </c>
    </row>
    <row r="1453">
      <c r="A1453" t="inlineStr">
        <is>
          <t>Mara</t>
        </is>
      </c>
      <c r="B1453" t="inlineStr">
        <is>
          <t>+5511967081903</t>
        </is>
      </c>
      <c r="C1453" t="inlineStr">
        <is>
          <t>Refill</t>
        </is>
      </c>
      <c r="D1453" t="inlineStr">
        <is>
          <t>Primer Cachos</t>
        </is>
      </c>
      <c r="E1453" t="n">
        <v>1</v>
      </c>
      <c r="F1453" t="inlineStr">
        <is>
          <t>2026-01-20</t>
        </is>
      </c>
      <c r="G1453" t="n">
        <v>165</v>
      </c>
      <c r="H1453" t="inlineStr">
        <is>
          <t>Y</t>
        </is>
      </c>
      <c r="I1453">
        <f>HYPERLINK("https://admin.shopify.com/store/ge-beauty-cosmeticos/customers/10074155516224","abrir")</f>
        <v/>
      </c>
      <c r="J1453">
        <f>HYPERLINK("https://www.gebeauty.com.br/products/primer-cachos-definidos?ref=review","review")</f>
        <v/>
      </c>
      <c r="K1453" t="inlineStr">
        <is>
          <t>SEND</t>
        </is>
      </c>
    </row>
    <row r="1454">
      <c r="A1454" t="inlineStr">
        <is>
          <t>Tárcylla</t>
        </is>
      </c>
      <c r="B1454" t="inlineStr">
        <is>
          <t>+5581999993613</t>
        </is>
      </c>
      <c r="C1454" t="inlineStr">
        <is>
          <t>Refill</t>
        </is>
      </c>
      <c r="D1454" t="inlineStr">
        <is>
          <t>Primer Cachos</t>
        </is>
      </c>
      <c r="E1454" t="n">
        <v>1</v>
      </c>
      <c r="F1454" t="inlineStr">
        <is>
          <t>2026-01-20</t>
        </is>
      </c>
      <c r="G1454" t="n">
        <v>165</v>
      </c>
      <c r="H1454" t="inlineStr">
        <is>
          <t>Y</t>
        </is>
      </c>
      <c r="I1454">
        <f>HYPERLINK("https://admin.shopify.com/store/ge-beauty-cosmeticos/customers/10074166886720","abrir")</f>
        <v/>
      </c>
      <c r="J1454">
        <f>HYPERLINK("https://www.gebeauty.com.br/products/primer-cachos-definidos?ref=review","review")</f>
        <v/>
      </c>
      <c r="K1454" t="inlineStr">
        <is>
          <t>SEND</t>
        </is>
      </c>
    </row>
    <row r="1455">
      <c r="A1455" t="inlineStr">
        <is>
          <t>Sabrina</t>
        </is>
      </c>
      <c r="B1455" t="inlineStr">
        <is>
          <t>+5515992672972</t>
        </is>
      </c>
      <c r="C1455" t="inlineStr">
        <is>
          <t>Refill</t>
        </is>
      </c>
      <c r="D1455" t="inlineStr">
        <is>
          <t>Primer Cachos</t>
        </is>
      </c>
      <c r="E1455" t="n">
        <v>1</v>
      </c>
      <c r="F1455" t="inlineStr">
        <is>
          <t>2026-01-20</t>
        </is>
      </c>
      <c r="G1455" t="n">
        <v>165</v>
      </c>
      <c r="H1455" t="inlineStr">
        <is>
          <t>Y</t>
        </is>
      </c>
      <c r="I1455">
        <f>HYPERLINK("https://admin.shopify.com/store/ge-beauty-cosmeticos/customers/10074165379392","abrir")</f>
        <v/>
      </c>
      <c r="J1455">
        <f>HYPERLINK("https://www.gebeauty.com.br/products/primer-cachos-definidos?ref=review","review")</f>
        <v/>
      </c>
      <c r="K1455" t="inlineStr">
        <is>
          <t>SEND</t>
        </is>
      </c>
    </row>
    <row r="1456">
      <c r="A1456" t="inlineStr">
        <is>
          <t>Mary</t>
        </is>
      </c>
      <c r="B1456" t="inlineStr">
        <is>
          <t>+5547991970304</t>
        </is>
      </c>
      <c r="C1456" t="inlineStr">
        <is>
          <t>Refill</t>
        </is>
      </c>
      <c r="D1456" t="inlineStr">
        <is>
          <t>Primer Cachos</t>
        </is>
      </c>
      <c r="E1456" t="n">
        <v>1</v>
      </c>
      <c r="F1456" t="inlineStr">
        <is>
          <t>2026-01-20</t>
        </is>
      </c>
      <c r="G1456" t="n">
        <v>165</v>
      </c>
      <c r="H1456" t="inlineStr">
        <is>
          <t>Y</t>
        </is>
      </c>
      <c r="I1456">
        <f>HYPERLINK("https://admin.shopify.com/store/ge-beauty-cosmeticos/customers/10074155483456","abrir")</f>
        <v/>
      </c>
      <c r="J1456">
        <f>HYPERLINK("https://www.gebeauty.com.br/products/primer-cachos-definidos?ref=review","review")</f>
        <v/>
      </c>
      <c r="K1456" t="inlineStr">
        <is>
          <t>SEND</t>
        </is>
      </c>
    </row>
    <row r="1457">
      <c r="A1457" t="inlineStr">
        <is>
          <t>Karine</t>
        </is>
      </c>
      <c r="B1457" t="inlineStr">
        <is>
          <t>+5521982688069</t>
        </is>
      </c>
      <c r="C1457" t="inlineStr">
        <is>
          <t>Refill</t>
        </is>
      </c>
      <c r="D1457" t="inlineStr">
        <is>
          <t>Primer Cachos</t>
        </is>
      </c>
      <c r="E1457" t="n">
        <v>1</v>
      </c>
      <c r="F1457" t="inlineStr">
        <is>
          <t>2026-01-20</t>
        </is>
      </c>
      <c r="G1457" t="n">
        <v>165</v>
      </c>
      <c r="H1457" t="inlineStr">
        <is>
          <t>Y</t>
        </is>
      </c>
      <c r="I1457">
        <f>HYPERLINK("https://admin.shopify.com/store/ge-beauty-cosmeticos/customers/10074161316160","abrir")</f>
        <v/>
      </c>
      <c r="J1457">
        <f>HYPERLINK("https://www.gebeauty.com.br/products/primer-cachos-definidos?ref=review","review")</f>
        <v/>
      </c>
      <c r="K1457" t="inlineStr">
        <is>
          <t>SEND</t>
        </is>
      </c>
    </row>
    <row r="1458">
      <c r="A1458" t="inlineStr">
        <is>
          <t>Neia</t>
        </is>
      </c>
      <c r="B1458" t="inlineStr">
        <is>
          <t>+5512988400608</t>
        </is>
      </c>
      <c r="C1458" t="inlineStr">
        <is>
          <t>Refill</t>
        </is>
      </c>
      <c r="D1458" t="inlineStr">
        <is>
          <t>Primer Cachos</t>
        </is>
      </c>
      <c r="E1458" t="n">
        <v>1</v>
      </c>
      <c r="F1458" t="inlineStr">
        <is>
          <t>2026-01-20</t>
        </is>
      </c>
      <c r="G1458" t="n">
        <v>165</v>
      </c>
      <c r="H1458" t="inlineStr">
        <is>
          <t>Y</t>
        </is>
      </c>
      <c r="I1458">
        <f>HYPERLINK("https://admin.shopify.com/store/ge-beauty-cosmeticos/customers/10074133987648","abrir")</f>
        <v/>
      </c>
      <c r="J1458">
        <f>HYPERLINK("https://www.gebeauty.com.br/products/primer-cachos-definidos?ref=review","review")</f>
        <v/>
      </c>
      <c r="K1458" t="inlineStr">
        <is>
          <t>SEND</t>
        </is>
      </c>
    </row>
    <row r="1459">
      <c r="A1459" t="inlineStr">
        <is>
          <t>Lisiane</t>
        </is>
      </c>
      <c r="B1459" t="inlineStr">
        <is>
          <t>+5551999139674</t>
        </is>
      </c>
      <c r="C1459" t="inlineStr">
        <is>
          <t>Refill</t>
        </is>
      </c>
      <c r="D1459" t="inlineStr">
        <is>
          <t>Primer Cachos</t>
        </is>
      </c>
      <c r="E1459" t="n">
        <v>1</v>
      </c>
      <c r="F1459" t="inlineStr">
        <is>
          <t>2026-01-20</t>
        </is>
      </c>
      <c r="G1459" t="n">
        <v>165</v>
      </c>
      <c r="H1459" t="inlineStr">
        <is>
          <t>Y</t>
        </is>
      </c>
      <c r="I1459">
        <f>HYPERLINK("https://admin.shopify.com/store/ge-beauty-cosmeticos/customers/10074070810944","abrir")</f>
        <v/>
      </c>
      <c r="J1459">
        <f>HYPERLINK("https://www.gebeauty.com.br/products/primer-cachos-definidos?ref=review","review")</f>
        <v/>
      </c>
      <c r="K1459" t="inlineStr">
        <is>
          <t>SEND</t>
        </is>
      </c>
    </row>
    <row r="1460">
      <c r="A1460" t="inlineStr">
        <is>
          <t>Natassia</t>
        </is>
      </c>
      <c r="B1460" t="inlineStr">
        <is>
          <t>+5534991338027</t>
        </is>
      </c>
      <c r="C1460" t="inlineStr">
        <is>
          <t>Refill</t>
        </is>
      </c>
      <c r="D1460" t="inlineStr">
        <is>
          <t>Primer Cachos</t>
        </is>
      </c>
      <c r="E1460" t="n">
        <v>1</v>
      </c>
      <c r="F1460" t="inlineStr">
        <is>
          <t>2026-01-20</t>
        </is>
      </c>
      <c r="G1460" t="n">
        <v>165</v>
      </c>
      <c r="H1460" t="inlineStr">
        <is>
          <t>Y</t>
        </is>
      </c>
      <c r="I1460">
        <f>HYPERLINK("https://admin.shopify.com/store/ge-beauty-cosmeticos/customers/10074171507008","abrir")</f>
        <v/>
      </c>
      <c r="J1460">
        <f>HYPERLINK("https://www.gebeauty.com.br/products/primer-cachos-definidos?ref=review","review")</f>
        <v/>
      </c>
      <c r="K1460" t="inlineStr">
        <is>
          <t>SEND</t>
        </is>
      </c>
    </row>
    <row r="1461">
      <c r="A1461" t="inlineStr">
        <is>
          <t>Talita</t>
        </is>
      </c>
      <c r="B1461" t="inlineStr">
        <is>
          <t>+5511980650869</t>
        </is>
      </c>
      <c r="C1461" t="inlineStr">
        <is>
          <t>Refill</t>
        </is>
      </c>
      <c r="D1461" t="inlineStr">
        <is>
          <t>Primer Cachos</t>
        </is>
      </c>
      <c r="E1461" t="n">
        <v>1</v>
      </c>
      <c r="F1461" t="inlineStr">
        <is>
          <t>2026-01-20</t>
        </is>
      </c>
      <c r="G1461" t="n">
        <v>165</v>
      </c>
      <c r="H1461" t="inlineStr">
        <is>
          <t>Y</t>
        </is>
      </c>
      <c r="I1461">
        <f>HYPERLINK("https://admin.shopify.com/store/ge-beauty-cosmeticos/customers/10074174652736","abrir")</f>
        <v/>
      </c>
      <c r="J1461">
        <f>HYPERLINK("https://www.gebeauty.com.br/products/primer-cachos-definidos?ref=review","review")</f>
        <v/>
      </c>
      <c r="K1461" t="inlineStr">
        <is>
          <t>SEND</t>
        </is>
      </c>
    </row>
    <row r="1462">
      <c r="A1462" t="inlineStr">
        <is>
          <t>Liliane</t>
        </is>
      </c>
      <c r="B1462" t="inlineStr">
        <is>
          <t>+5521976597380</t>
        </is>
      </c>
      <c r="C1462" t="inlineStr">
        <is>
          <t>Refill</t>
        </is>
      </c>
      <c r="D1462" t="inlineStr">
        <is>
          <t>Primer Cachos</t>
        </is>
      </c>
      <c r="E1462" t="n">
        <v>1</v>
      </c>
      <c r="F1462" t="inlineStr">
        <is>
          <t>2026-01-20</t>
        </is>
      </c>
      <c r="G1462" t="n">
        <v>165</v>
      </c>
      <c r="H1462" t="inlineStr">
        <is>
          <t>Y</t>
        </is>
      </c>
      <c r="I1462">
        <f>HYPERLINK("https://admin.shopify.com/store/ge-beauty-cosmeticos/customers/10074178584896","abrir")</f>
        <v/>
      </c>
      <c r="J1462">
        <f>HYPERLINK("https://www.gebeauty.com.br/products/primer-cachos-definidos?ref=review","review")</f>
        <v/>
      </c>
      <c r="K1462" t="inlineStr">
        <is>
          <t>SEND</t>
        </is>
      </c>
    </row>
    <row r="1463">
      <c r="A1463" t="inlineStr">
        <is>
          <t>Cristiane</t>
        </is>
      </c>
      <c r="B1463" t="inlineStr">
        <is>
          <t>+5518997144767</t>
        </is>
      </c>
      <c r="C1463" t="inlineStr">
        <is>
          <t>Refill</t>
        </is>
      </c>
      <c r="D1463" t="inlineStr">
        <is>
          <t>Primer Cachos</t>
        </is>
      </c>
      <c r="E1463" t="n">
        <v>1</v>
      </c>
      <c r="F1463" t="inlineStr">
        <is>
          <t>2026-01-20</t>
        </is>
      </c>
      <c r="G1463" t="n">
        <v>165</v>
      </c>
      <c r="H1463" t="inlineStr">
        <is>
          <t>Y</t>
        </is>
      </c>
      <c r="I1463">
        <f>HYPERLINK("https://admin.shopify.com/store/ge-beauty-cosmeticos/customers/10074180583744","abrir")</f>
        <v/>
      </c>
      <c r="J1463">
        <f>HYPERLINK("https://www.gebeauty.com.br/products/primer-cachos-definidos?ref=review","review")</f>
        <v/>
      </c>
      <c r="K1463" t="inlineStr">
        <is>
          <t>SEND</t>
        </is>
      </c>
    </row>
    <row r="1464">
      <c r="A1464" t="inlineStr">
        <is>
          <t>Thaissa</t>
        </is>
      </c>
      <c r="B1464" t="inlineStr">
        <is>
          <t>+5591982333537</t>
        </is>
      </c>
      <c r="C1464" t="inlineStr">
        <is>
          <t>Refill</t>
        </is>
      </c>
      <c r="D1464" t="inlineStr">
        <is>
          <t>Primer Cachos</t>
        </is>
      </c>
      <c r="E1464" t="n">
        <v>1</v>
      </c>
      <c r="F1464" t="inlineStr">
        <is>
          <t>2026-01-20</t>
        </is>
      </c>
      <c r="G1464" t="n">
        <v>165</v>
      </c>
      <c r="H1464" t="inlineStr">
        <is>
          <t>Y</t>
        </is>
      </c>
      <c r="I1464">
        <f>HYPERLINK("https://admin.shopify.com/store/ge-beauty-cosmeticos/customers/10074174718272","abrir")</f>
        <v/>
      </c>
      <c r="J1464">
        <f>HYPERLINK("https://www.gebeauty.com.br/products/primer-cachos-definidos?ref=review","review")</f>
        <v/>
      </c>
      <c r="K1464" t="inlineStr">
        <is>
          <t>SEND</t>
        </is>
      </c>
    </row>
    <row r="1465">
      <c r="A1465" t="inlineStr">
        <is>
          <t>Maria de Fatima</t>
        </is>
      </c>
      <c r="B1465" t="inlineStr">
        <is>
          <t>+5561994264250</t>
        </is>
      </c>
      <c r="C1465" t="inlineStr">
        <is>
          <t>Refill</t>
        </is>
      </c>
      <c r="D1465" t="inlineStr">
        <is>
          <t>Primer Cachos</t>
        </is>
      </c>
      <c r="E1465" t="n">
        <v>1</v>
      </c>
      <c r="F1465" t="inlineStr">
        <is>
          <t>2026-01-20</t>
        </is>
      </c>
      <c r="G1465" t="n">
        <v>165</v>
      </c>
      <c r="H1465" t="inlineStr">
        <is>
          <t>Y</t>
        </is>
      </c>
      <c r="I1465">
        <f>HYPERLINK("https://admin.shopify.com/store/ge-beauty-cosmeticos/customers/10074185695552","abrir")</f>
        <v/>
      </c>
      <c r="J1465">
        <f>HYPERLINK("https://www.gebeauty.com.br/products/primer-cachos-definidos?ref=review","review")</f>
        <v/>
      </c>
      <c r="K1465" t="inlineStr">
        <is>
          <t>SEND</t>
        </is>
      </c>
    </row>
    <row r="1466">
      <c r="A1466" t="inlineStr">
        <is>
          <t>Rafaela Beatriz</t>
        </is>
      </c>
      <c r="B1466" t="inlineStr">
        <is>
          <t>+5541988562180</t>
        </is>
      </c>
      <c r="C1466" t="inlineStr">
        <is>
          <t>Refill</t>
        </is>
      </c>
      <c r="D1466" t="inlineStr">
        <is>
          <t>Primer Cachos</t>
        </is>
      </c>
      <c r="E1466" t="n">
        <v>1</v>
      </c>
      <c r="F1466" t="inlineStr">
        <is>
          <t>2026-01-20</t>
        </is>
      </c>
      <c r="G1466" t="n">
        <v>165</v>
      </c>
      <c r="H1466" t="inlineStr">
        <is>
          <t>Y</t>
        </is>
      </c>
      <c r="I1466">
        <f>HYPERLINK("https://admin.shopify.com/store/ge-beauty-cosmeticos/customers/10074181665088","abrir")</f>
        <v/>
      </c>
      <c r="J1466">
        <f>HYPERLINK("https://www.gebeauty.com.br/products/primer-cachos-definidos?ref=review","review")</f>
        <v/>
      </c>
      <c r="K1466" t="inlineStr">
        <is>
          <t>HOLDOUT</t>
        </is>
      </c>
    </row>
    <row r="1467">
      <c r="A1467" t="inlineStr">
        <is>
          <t>Rosana</t>
        </is>
      </c>
      <c r="B1467" t="inlineStr">
        <is>
          <t>+5511989403895</t>
        </is>
      </c>
      <c r="C1467" t="inlineStr">
        <is>
          <t>Refill</t>
        </is>
      </c>
      <c r="D1467" t="inlineStr">
        <is>
          <t>Primer Cachos</t>
        </is>
      </c>
      <c r="E1467" t="n">
        <v>1</v>
      </c>
      <c r="F1467" t="inlineStr">
        <is>
          <t>2026-01-20</t>
        </is>
      </c>
      <c r="G1467" t="n">
        <v>165</v>
      </c>
      <c r="H1467" t="inlineStr">
        <is>
          <t>Y</t>
        </is>
      </c>
      <c r="I1467">
        <f>HYPERLINK("https://admin.shopify.com/store/ge-beauty-cosmeticos/customers/10074191069504","abrir")</f>
        <v/>
      </c>
      <c r="J1467">
        <f>HYPERLINK("https://www.gebeauty.com.br/products/primer-cachos-definidos?ref=review","review")</f>
        <v/>
      </c>
      <c r="K1467" t="inlineStr">
        <is>
          <t>SEND</t>
        </is>
      </c>
    </row>
    <row r="1468">
      <c r="A1468" t="inlineStr">
        <is>
          <t>Nayra</t>
        </is>
      </c>
      <c r="B1468" t="inlineStr">
        <is>
          <t>+5516981745044</t>
        </is>
      </c>
      <c r="C1468" t="inlineStr">
        <is>
          <t>Refill</t>
        </is>
      </c>
      <c r="D1468" t="inlineStr">
        <is>
          <t>Primer Cachos</t>
        </is>
      </c>
      <c r="E1468" t="n">
        <v>1</v>
      </c>
      <c r="F1468" t="inlineStr">
        <is>
          <t>2026-01-20</t>
        </is>
      </c>
      <c r="G1468" t="n">
        <v>165</v>
      </c>
      <c r="H1468" t="inlineStr">
        <is>
          <t>Y</t>
        </is>
      </c>
      <c r="I1468">
        <f>HYPERLINK("https://admin.shopify.com/store/ge-beauty-cosmeticos/customers/10074187727168","abrir")</f>
        <v/>
      </c>
      <c r="J1468">
        <f>HYPERLINK("https://www.gebeauty.com.br/products/primer-cachos-definidos?ref=review","review")</f>
        <v/>
      </c>
      <c r="K1468" t="inlineStr">
        <is>
          <t>SEND</t>
        </is>
      </c>
    </row>
    <row r="1469">
      <c r="A1469" t="inlineStr">
        <is>
          <t>Nidia</t>
        </is>
      </c>
      <c r="B1469" t="inlineStr">
        <is>
          <t>+5511991222131</t>
        </is>
      </c>
      <c r="C1469" t="inlineStr">
        <is>
          <t>Refill</t>
        </is>
      </c>
      <c r="D1469" t="inlineStr">
        <is>
          <t>Primer Cachos</t>
        </is>
      </c>
      <c r="E1469" t="n">
        <v>1</v>
      </c>
      <c r="F1469" t="inlineStr">
        <is>
          <t>2026-01-20</t>
        </is>
      </c>
      <c r="G1469" t="n">
        <v>165</v>
      </c>
      <c r="H1469" t="inlineStr">
        <is>
          <t>Y</t>
        </is>
      </c>
      <c r="I1469">
        <f>HYPERLINK("https://admin.shopify.com/store/ge-beauty-cosmeticos/customers/10074191888704","abrir")</f>
        <v/>
      </c>
      <c r="J1469">
        <f>HYPERLINK("https://www.gebeauty.com.br/products/primer-cachos-definidos?ref=review","review")</f>
        <v/>
      </c>
      <c r="K1469" t="inlineStr">
        <is>
          <t>SEND</t>
        </is>
      </c>
    </row>
    <row r="1470">
      <c r="A1470" t="inlineStr">
        <is>
          <t>Bruna</t>
        </is>
      </c>
      <c r="B1470" t="inlineStr">
        <is>
          <t>+5511949805719</t>
        </is>
      </c>
      <c r="C1470" t="inlineStr">
        <is>
          <t>Refill</t>
        </is>
      </c>
      <c r="D1470" t="inlineStr">
        <is>
          <t>Primer Cachos</t>
        </is>
      </c>
      <c r="E1470" t="n">
        <v>1</v>
      </c>
      <c r="F1470" t="inlineStr">
        <is>
          <t>2026-01-20</t>
        </is>
      </c>
      <c r="G1470" t="n">
        <v>165</v>
      </c>
      <c r="H1470" t="inlineStr">
        <is>
          <t>Y</t>
        </is>
      </c>
      <c r="I1470">
        <f>HYPERLINK("https://admin.shopify.com/store/ge-beauty-cosmeticos/customers/10074189037888","abrir")</f>
        <v/>
      </c>
      <c r="J1470">
        <f>HYPERLINK("https://www.gebeauty.com.br/products/primer-cachos-definidos?ref=review","review")</f>
        <v/>
      </c>
      <c r="K1470" t="inlineStr">
        <is>
          <t>SEND</t>
        </is>
      </c>
    </row>
    <row r="1471">
      <c r="A1471" t="inlineStr">
        <is>
          <t>Andre</t>
        </is>
      </c>
      <c r="B1471" t="inlineStr">
        <is>
          <t>+5532991564260</t>
        </is>
      </c>
      <c r="C1471" t="inlineStr">
        <is>
          <t>Refill</t>
        </is>
      </c>
      <c r="D1471" t="inlineStr">
        <is>
          <t>Primer Cachos</t>
        </is>
      </c>
      <c r="E1471" t="n">
        <v>1</v>
      </c>
      <c r="F1471" t="inlineStr">
        <is>
          <t>2026-01-20</t>
        </is>
      </c>
      <c r="G1471" t="n">
        <v>165</v>
      </c>
      <c r="H1471" t="inlineStr">
        <is>
          <t>Y</t>
        </is>
      </c>
      <c r="I1471">
        <f>HYPERLINK("https://admin.shopify.com/store/ge-beauty-cosmeticos/customers/10074198966592","abrir")</f>
        <v/>
      </c>
      <c r="J1471">
        <f>HYPERLINK("https://www.gebeauty.com.br/products/primer-cachos-definidos?ref=review","review")</f>
        <v/>
      </c>
      <c r="K1471" t="inlineStr">
        <is>
          <t>SEND</t>
        </is>
      </c>
    </row>
    <row r="1472">
      <c r="A1472" t="inlineStr">
        <is>
          <t>Bethânia</t>
        </is>
      </c>
      <c r="B1472" t="inlineStr">
        <is>
          <t>+5521971037004</t>
        </is>
      </c>
      <c r="C1472" t="inlineStr">
        <is>
          <t>Refill</t>
        </is>
      </c>
      <c r="D1472" t="inlineStr">
        <is>
          <t>Primer Cachos</t>
        </is>
      </c>
      <c r="E1472" t="n">
        <v>1</v>
      </c>
      <c r="F1472" t="inlineStr">
        <is>
          <t>2026-01-20</t>
        </is>
      </c>
      <c r="G1472" t="n">
        <v>165</v>
      </c>
      <c r="H1472" t="inlineStr">
        <is>
          <t>Y</t>
        </is>
      </c>
      <c r="I1472">
        <f>HYPERLINK("https://admin.shopify.com/store/ge-beauty-cosmeticos/customers/10074199195968","abrir")</f>
        <v/>
      </c>
      <c r="J1472">
        <f>HYPERLINK("https://www.gebeauty.com.br/products/primer-cachos-definidos?ref=review","review")</f>
        <v/>
      </c>
      <c r="K1472" t="inlineStr">
        <is>
          <t>SEND</t>
        </is>
      </c>
    </row>
    <row r="1473">
      <c r="A1473" t="inlineStr">
        <is>
          <t>Tania</t>
        </is>
      </c>
      <c r="B1473" t="inlineStr">
        <is>
          <t>+5511941502022</t>
        </is>
      </c>
      <c r="C1473" t="inlineStr">
        <is>
          <t>Refill</t>
        </is>
      </c>
      <c r="D1473" t="inlineStr">
        <is>
          <t>Primer Cachos</t>
        </is>
      </c>
      <c r="E1473" t="n">
        <v>1</v>
      </c>
      <c r="F1473" t="inlineStr">
        <is>
          <t>2026-01-20</t>
        </is>
      </c>
      <c r="G1473" t="n">
        <v>165</v>
      </c>
      <c r="H1473" t="inlineStr">
        <is>
          <t>Y</t>
        </is>
      </c>
      <c r="I1473">
        <f>HYPERLINK("https://admin.shopify.com/store/ge-beauty-cosmeticos/customers/10074201751872","abrir")</f>
        <v/>
      </c>
      <c r="J1473">
        <f>HYPERLINK("https://www.gebeauty.com.br/products/primer-cachos-definidos?ref=review","review")</f>
        <v/>
      </c>
      <c r="K1473" t="inlineStr">
        <is>
          <t>HOLDOUT</t>
        </is>
      </c>
    </row>
    <row r="1474">
      <c r="A1474" t="inlineStr">
        <is>
          <t>Joice</t>
        </is>
      </c>
      <c r="B1474" t="inlineStr">
        <is>
          <t>+5511985840884</t>
        </is>
      </c>
      <c r="C1474" t="inlineStr">
        <is>
          <t>Refill</t>
        </is>
      </c>
      <c r="D1474" t="inlineStr">
        <is>
          <t>Primer Cachos</t>
        </is>
      </c>
      <c r="E1474" t="n">
        <v>1</v>
      </c>
      <c r="F1474" t="inlineStr">
        <is>
          <t>2026-01-20</t>
        </is>
      </c>
      <c r="G1474" t="n">
        <v>165</v>
      </c>
      <c r="H1474" t="inlineStr">
        <is>
          <t>Y</t>
        </is>
      </c>
      <c r="I1474">
        <f>HYPERLINK("https://admin.shopify.com/store/ge-beauty-cosmeticos/customers/10074192380224","abrir")</f>
        <v/>
      </c>
      <c r="J1474">
        <f>HYPERLINK("https://www.gebeauty.com.br/products/primer-cachos-definidos?ref=review","review")</f>
        <v/>
      </c>
      <c r="K1474" t="inlineStr">
        <is>
          <t>SEND</t>
        </is>
      </c>
    </row>
    <row r="1475">
      <c r="A1475" t="inlineStr">
        <is>
          <t>Gerlandia</t>
        </is>
      </c>
      <c r="B1475" t="inlineStr">
        <is>
          <t>+5514998851835</t>
        </is>
      </c>
      <c r="C1475" t="inlineStr">
        <is>
          <t>Refill</t>
        </is>
      </c>
      <c r="D1475" t="inlineStr">
        <is>
          <t>Primer Cachos</t>
        </is>
      </c>
      <c r="E1475" t="n">
        <v>1</v>
      </c>
      <c r="F1475" t="inlineStr">
        <is>
          <t>2026-01-20</t>
        </is>
      </c>
      <c r="G1475" t="n">
        <v>165</v>
      </c>
      <c r="H1475" t="inlineStr">
        <is>
          <t>Y</t>
        </is>
      </c>
      <c r="I1475">
        <f>HYPERLINK("https://admin.shopify.com/store/ge-beauty-cosmeticos/customers/10074194182464","abrir")</f>
        <v/>
      </c>
      <c r="J1475">
        <f>HYPERLINK("https://www.gebeauty.com.br/products/primer-cachos-definidos?ref=review","review")</f>
        <v/>
      </c>
      <c r="K1475" t="inlineStr">
        <is>
          <t>SEND</t>
        </is>
      </c>
    </row>
    <row r="1476">
      <c r="A1476" t="inlineStr">
        <is>
          <t>Nilza</t>
        </is>
      </c>
      <c r="B1476" t="inlineStr">
        <is>
          <t>+5522997511257</t>
        </is>
      </c>
      <c r="C1476" t="inlineStr">
        <is>
          <t>Refill</t>
        </is>
      </c>
      <c r="D1476" t="inlineStr">
        <is>
          <t>Primer Cachos</t>
        </is>
      </c>
      <c r="E1476" t="n">
        <v>1</v>
      </c>
      <c r="F1476" t="inlineStr">
        <is>
          <t>2026-01-20</t>
        </is>
      </c>
      <c r="G1476" t="n">
        <v>165</v>
      </c>
      <c r="H1476" t="inlineStr">
        <is>
          <t>Y</t>
        </is>
      </c>
      <c r="I1476">
        <f>HYPERLINK("https://admin.shopify.com/store/ge-beauty-cosmeticos/customers/10074204832064","abrir")</f>
        <v/>
      </c>
      <c r="J1476">
        <f>HYPERLINK("https://www.gebeauty.com.br/products/primer-cachos-definidos?ref=review","review")</f>
        <v/>
      </c>
      <c r="K1476" t="inlineStr">
        <is>
          <t>SEND</t>
        </is>
      </c>
    </row>
    <row r="1477">
      <c r="A1477" t="inlineStr">
        <is>
          <t>Tatiane</t>
        </is>
      </c>
      <c r="B1477" t="inlineStr">
        <is>
          <t>+5512996408460</t>
        </is>
      </c>
      <c r="C1477" t="inlineStr">
        <is>
          <t>Refill</t>
        </is>
      </c>
      <c r="D1477" t="inlineStr">
        <is>
          <t>Primer Cachos</t>
        </is>
      </c>
      <c r="E1477" t="n">
        <v>1</v>
      </c>
      <c r="F1477" t="inlineStr">
        <is>
          <t>2026-01-20</t>
        </is>
      </c>
      <c r="G1477" t="n">
        <v>165</v>
      </c>
      <c r="H1477" t="inlineStr">
        <is>
          <t>Y</t>
        </is>
      </c>
      <c r="I1477">
        <f>HYPERLINK("https://admin.shopify.com/store/ge-beauty-cosmeticos/customers/10074202177856","abrir")</f>
        <v/>
      </c>
      <c r="J1477">
        <f>HYPERLINK("https://www.gebeauty.com.br/products/primer-cachos-definidos?ref=review","review")</f>
        <v/>
      </c>
      <c r="K1477" t="inlineStr">
        <is>
          <t>SEND</t>
        </is>
      </c>
    </row>
    <row r="1478">
      <c r="A1478" t="inlineStr">
        <is>
          <t>Fernanda</t>
        </is>
      </c>
      <c r="B1478" t="inlineStr">
        <is>
          <t>+5511997911709</t>
        </is>
      </c>
      <c r="C1478" t="inlineStr">
        <is>
          <t>Refill</t>
        </is>
      </c>
      <c r="D1478" t="inlineStr">
        <is>
          <t>Primer Cachos</t>
        </is>
      </c>
      <c r="E1478" t="n">
        <v>1</v>
      </c>
      <c r="F1478" t="inlineStr">
        <is>
          <t>2026-01-20</t>
        </is>
      </c>
      <c r="G1478" t="n">
        <v>165</v>
      </c>
      <c r="H1478" t="inlineStr">
        <is>
          <t>Y</t>
        </is>
      </c>
      <c r="I1478">
        <f>HYPERLINK("https://admin.shopify.com/store/ge-beauty-cosmeticos/customers/10074213646656","abrir")</f>
        <v/>
      </c>
      <c r="J1478">
        <f>HYPERLINK("https://www.gebeauty.com.br/products/primer-cachos-definidos?ref=review","review")</f>
        <v/>
      </c>
      <c r="K1478" t="inlineStr">
        <is>
          <t>SEND</t>
        </is>
      </c>
    </row>
    <row r="1479">
      <c r="A1479" t="inlineStr">
        <is>
          <t>Fernanda</t>
        </is>
      </c>
      <c r="B1479" t="inlineStr">
        <is>
          <t>+5541996866884</t>
        </is>
      </c>
      <c r="C1479" t="inlineStr">
        <is>
          <t>Refill</t>
        </is>
      </c>
      <c r="D1479" t="inlineStr">
        <is>
          <t>Primer Cachos</t>
        </is>
      </c>
      <c r="E1479" t="n">
        <v>1</v>
      </c>
      <c r="F1479" t="inlineStr">
        <is>
          <t>2026-01-20</t>
        </is>
      </c>
      <c r="G1479" t="n">
        <v>165</v>
      </c>
      <c r="H1479" t="inlineStr">
        <is>
          <t>Y</t>
        </is>
      </c>
      <c r="I1479">
        <f>HYPERLINK("https://admin.shopify.com/store/ge-beauty-cosmeticos/customers/10074218266944","abrir")</f>
        <v/>
      </c>
      <c r="J1479">
        <f>HYPERLINK("https://www.gebeauty.com.br/products/primer-cachos-definidos?ref=review","review")</f>
        <v/>
      </c>
      <c r="K1479" t="inlineStr">
        <is>
          <t>HOLDOUT</t>
        </is>
      </c>
    </row>
    <row r="1480">
      <c r="A1480" t="inlineStr">
        <is>
          <t>Janaina</t>
        </is>
      </c>
      <c r="B1480" t="inlineStr">
        <is>
          <t>+5521995334360</t>
        </is>
      </c>
      <c r="C1480" t="inlineStr">
        <is>
          <t>Refill</t>
        </is>
      </c>
      <c r="D1480" t="inlineStr">
        <is>
          <t>Primer Cachos</t>
        </is>
      </c>
      <c r="E1480" t="n">
        <v>1</v>
      </c>
      <c r="F1480" t="inlineStr">
        <is>
          <t>2026-01-20</t>
        </is>
      </c>
      <c r="G1480" t="n">
        <v>165</v>
      </c>
      <c r="H1480" t="inlineStr">
        <is>
          <t>Y</t>
        </is>
      </c>
      <c r="I1480">
        <f>HYPERLINK("https://admin.shopify.com/store/ge-beauty-cosmeticos/customers/10074221150528","abrir")</f>
        <v/>
      </c>
      <c r="J1480">
        <f>HYPERLINK("https://www.gebeauty.com.br/products/primer-cachos-definidos?ref=review","review")</f>
        <v/>
      </c>
      <c r="K1480" t="inlineStr">
        <is>
          <t>SEND</t>
        </is>
      </c>
    </row>
    <row r="1481">
      <c r="A1481" t="inlineStr">
        <is>
          <t>Eliete</t>
        </is>
      </c>
      <c r="B1481" t="inlineStr">
        <is>
          <t>+5527997000933</t>
        </is>
      </c>
      <c r="C1481" t="inlineStr">
        <is>
          <t>Refill</t>
        </is>
      </c>
      <c r="D1481" t="inlineStr">
        <is>
          <t>Primer Cachos</t>
        </is>
      </c>
      <c r="E1481" t="n">
        <v>1</v>
      </c>
      <c r="F1481" t="inlineStr">
        <is>
          <t>2026-01-20</t>
        </is>
      </c>
      <c r="G1481" t="n">
        <v>165</v>
      </c>
      <c r="H1481" t="inlineStr">
        <is>
          <t>Y</t>
        </is>
      </c>
      <c r="I1481">
        <f>HYPERLINK("https://admin.shopify.com/store/ge-beauty-cosmeticos/customers/10074212827456","abrir")</f>
        <v/>
      </c>
      <c r="J1481">
        <f>HYPERLINK("https://www.gebeauty.com.br/products/primer-cachos-definidos?ref=review","review")</f>
        <v/>
      </c>
      <c r="K1481" t="inlineStr">
        <is>
          <t>SEND</t>
        </is>
      </c>
    </row>
    <row r="1482">
      <c r="A1482" t="inlineStr">
        <is>
          <t>Catia</t>
        </is>
      </c>
      <c r="B1482" t="inlineStr">
        <is>
          <t>+5521997111198</t>
        </is>
      </c>
      <c r="C1482" t="inlineStr">
        <is>
          <t>Refill</t>
        </is>
      </c>
      <c r="D1482" t="inlineStr">
        <is>
          <t>Primer Cachos</t>
        </is>
      </c>
      <c r="E1482" t="n">
        <v>1</v>
      </c>
      <c r="F1482" t="inlineStr">
        <is>
          <t>2026-01-21</t>
        </is>
      </c>
      <c r="G1482" t="n">
        <v>164</v>
      </c>
      <c r="H1482" t="inlineStr">
        <is>
          <t>Y</t>
        </is>
      </c>
      <c r="I1482">
        <f>HYPERLINK("https://admin.shopify.com/store/ge-beauty-cosmeticos/customers/10074215022912","abrir")</f>
        <v/>
      </c>
      <c r="J1482">
        <f>HYPERLINK("https://www.gebeauty.com.br/products/primer-cachos-definidos?ref=review","review")</f>
        <v/>
      </c>
      <c r="K1482" t="inlineStr">
        <is>
          <t>SEND</t>
        </is>
      </c>
    </row>
    <row r="1483">
      <c r="A1483" t="inlineStr">
        <is>
          <t>Silneia</t>
        </is>
      </c>
      <c r="B1483" t="inlineStr">
        <is>
          <t>+5541991715698</t>
        </is>
      </c>
      <c r="C1483" t="inlineStr">
        <is>
          <t>Refill</t>
        </is>
      </c>
      <c r="D1483" t="inlineStr">
        <is>
          <t>Primer Cachos</t>
        </is>
      </c>
      <c r="E1483" t="n">
        <v>1</v>
      </c>
      <c r="F1483" t="inlineStr">
        <is>
          <t>2026-01-21</t>
        </is>
      </c>
      <c r="G1483" t="n">
        <v>164</v>
      </c>
      <c r="H1483" t="inlineStr">
        <is>
          <t>Y</t>
        </is>
      </c>
      <c r="I1483">
        <f>HYPERLINK("https://admin.shopify.com/store/ge-beauty-cosmeticos/customers/10074220724544","abrir")</f>
        <v/>
      </c>
      <c r="J1483">
        <f>HYPERLINK("https://www.gebeauty.com.br/products/primer-cachos-definidos?ref=review","review")</f>
        <v/>
      </c>
      <c r="K1483" t="inlineStr">
        <is>
          <t>SEND</t>
        </is>
      </c>
    </row>
    <row r="1484">
      <c r="A1484" t="inlineStr">
        <is>
          <t>Flavia</t>
        </is>
      </c>
      <c r="B1484" t="inlineStr">
        <is>
          <t>+5511987914581</t>
        </is>
      </c>
      <c r="C1484" t="inlineStr">
        <is>
          <t>Refill</t>
        </is>
      </c>
      <c r="D1484" t="inlineStr">
        <is>
          <t>Primer Cachos</t>
        </is>
      </c>
      <c r="E1484" t="n">
        <v>1</v>
      </c>
      <c r="F1484" t="inlineStr">
        <is>
          <t>2026-01-21</t>
        </is>
      </c>
      <c r="G1484" t="n">
        <v>164</v>
      </c>
      <c r="H1484" t="inlineStr">
        <is>
          <t>Y</t>
        </is>
      </c>
      <c r="I1484">
        <f>HYPERLINK("https://admin.shopify.com/store/ge-beauty-cosmeticos/customers/9909972140352","abrir")</f>
        <v/>
      </c>
      <c r="J1484">
        <f>HYPERLINK("https://www.gebeauty.com.br/products/primer-cachos-definidos?ref=review","review")</f>
        <v/>
      </c>
      <c r="K1484" t="inlineStr">
        <is>
          <t>SEND</t>
        </is>
      </c>
    </row>
    <row r="1485">
      <c r="A1485" t="inlineStr">
        <is>
          <t>Luh</t>
        </is>
      </c>
      <c r="B1485" t="inlineStr">
        <is>
          <t>+5514997885453</t>
        </is>
      </c>
      <c r="C1485" t="inlineStr">
        <is>
          <t>Refill</t>
        </is>
      </c>
      <c r="D1485" t="inlineStr">
        <is>
          <t>Primer Cachos</t>
        </is>
      </c>
      <c r="E1485" t="n">
        <v>1</v>
      </c>
      <c r="F1485" t="inlineStr">
        <is>
          <t>2026-01-21</t>
        </is>
      </c>
      <c r="G1485" t="n">
        <v>164</v>
      </c>
      <c r="H1485" t="inlineStr">
        <is>
          <t>Y</t>
        </is>
      </c>
      <c r="I1485">
        <f>HYPERLINK("https://admin.shopify.com/store/ge-beauty-cosmeticos/customers/10074237632832","abrir")</f>
        <v/>
      </c>
      <c r="J1485">
        <f>HYPERLINK("https://www.gebeauty.com.br/products/primer-cachos-definidos?ref=review","review")</f>
        <v/>
      </c>
      <c r="K1485" t="inlineStr">
        <is>
          <t>SEND</t>
        </is>
      </c>
    </row>
    <row r="1486">
      <c r="A1486" t="inlineStr">
        <is>
          <t>Vanessa</t>
        </is>
      </c>
      <c r="B1486" t="inlineStr">
        <is>
          <t>+5511968039744</t>
        </is>
      </c>
      <c r="C1486" t="inlineStr">
        <is>
          <t>Refill</t>
        </is>
      </c>
      <c r="D1486" t="inlineStr">
        <is>
          <t>Primer Cachos</t>
        </is>
      </c>
      <c r="E1486" t="n">
        <v>1</v>
      </c>
      <c r="F1486" t="inlineStr">
        <is>
          <t>2026-01-21</t>
        </is>
      </c>
      <c r="G1486" t="n">
        <v>164</v>
      </c>
      <c r="H1486" t="inlineStr">
        <is>
          <t>Y</t>
        </is>
      </c>
      <c r="I1486">
        <f>HYPERLINK("https://admin.shopify.com/store/ge-beauty-cosmeticos/customers/10074240319808","abrir")</f>
        <v/>
      </c>
      <c r="J1486">
        <f>HYPERLINK("https://www.gebeauty.com.br/products/primer-cachos-definidos?ref=review","review")</f>
        <v/>
      </c>
      <c r="K1486" t="inlineStr">
        <is>
          <t>SEND</t>
        </is>
      </c>
    </row>
    <row r="1487">
      <c r="A1487" t="inlineStr">
        <is>
          <t>Danielle</t>
        </is>
      </c>
      <c r="B1487" t="inlineStr">
        <is>
          <t>+5511991473768</t>
        </is>
      </c>
      <c r="C1487" t="inlineStr">
        <is>
          <t>Refill</t>
        </is>
      </c>
      <c r="D1487" t="inlineStr">
        <is>
          <t>Primer Cachos</t>
        </is>
      </c>
      <c r="E1487" t="n">
        <v>1</v>
      </c>
      <c r="F1487" t="inlineStr">
        <is>
          <t>2026-01-21</t>
        </is>
      </c>
      <c r="G1487" t="n">
        <v>164</v>
      </c>
      <c r="H1487" t="inlineStr">
        <is>
          <t>Y</t>
        </is>
      </c>
      <c r="I1487">
        <f>HYPERLINK("https://admin.shopify.com/store/ge-beauty-cosmeticos/customers/10074218463552","abrir")</f>
        <v/>
      </c>
      <c r="J1487">
        <f>HYPERLINK("https://www.gebeauty.com.br/products/primer-cachos-definidos?ref=review","review")</f>
        <v/>
      </c>
      <c r="K1487" t="inlineStr">
        <is>
          <t>SEND</t>
        </is>
      </c>
    </row>
    <row r="1488">
      <c r="A1488" t="inlineStr">
        <is>
          <t>Mariana</t>
        </is>
      </c>
      <c r="B1488" t="inlineStr">
        <is>
          <t>+5521995329580</t>
        </is>
      </c>
      <c r="C1488" t="inlineStr">
        <is>
          <t>Refill</t>
        </is>
      </c>
      <c r="D1488" t="inlineStr">
        <is>
          <t>Primer Cachos</t>
        </is>
      </c>
      <c r="E1488" t="n">
        <v>1</v>
      </c>
      <c r="F1488" t="inlineStr">
        <is>
          <t>2026-01-21</t>
        </is>
      </c>
      <c r="G1488" t="n">
        <v>164</v>
      </c>
      <c r="H1488" t="inlineStr">
        <is>
          <t>Y</t>
        </is>
      </c>
      <c r="I1488">
        <f>HYPERLINK("https://admin.shopify.com/store/ge-beauty-cosmeticos/customers/10074242351424","abrir")</f>
        <v/>
      </c>
      <c r="J1488">
        <f>HYPERLINK("https://www.gebeauty.com.br/products/primer-cachos-definidos?ref=review","review")</f>
        <v/>
      </c>
      <c r="K1488" t="inlineStr">
        <is>
          <t>SEND</t>
        </is>
      </c>
    </row>
    <row r="1489">
      <c r="A1489" t="inlineStr">
        <is>
          <t>Lysia</t>
        </is>
      </c>
      <c r="B1489" t="inlineStr">
        <is>
          <t>+5521996184059</t>
        </is>
      </c>
      <c r="C1489" t="inlineStr">
        <is>
          <t>Refill</t>
        </is>
      </c>
      <c r="D1489" t="inlineStr">
        <is>
          <t>Primer Cachos</t>
        </is>
      </c>
      <c r="E1489" t="n">
        <v>1</v>
      </c>
      <c r="F1489" t="inlineStr">
        <is>
          <t>2026-01-21</t>
        </is>
      </c>
      <c r="G1489" t="n">
        <v>164</v>
      </c>
      <c r="H1489" t="inlineStr">
        <is>
          <t>Y</t>
        </is>
      </c>
      <c r="I1489">
        <f>HYPERLINK("https://admin.shopify.com/store/ge-beauty-cosmeticos/customers/10074238746944","abrir")</f>
        <v/>
      </c>
      <c r="J1489">
        <f>HYPERLINK("https://www.gebeauty.com.br/products/primer-cachos-definidos?ref=review","review")</f>
        <v/>
      </c>
      <c r="K1489" t="inlineStr">
        <is>
          <t>SEND</t>
        </is>
      </c>
    </row>
    <row r="1490">
      <c r="A1490" t="inlineStr">
        <is>
          <t>Vanessa</t>
        </is>
      </c>
      <c r="B1490" t="inlineStr">
        <is>
          <t>+5532999191492</t>
        </is>
      </c>
      <c r="C1490" t="inlineStr">
        <is>
          <t>Refill</t>
        </is>
      </c>
      <c r="D1490" t="inlineStr">
        <is>
          <t>Primer Cachos</t>
        </is>
      </c>
      <c r="E1490" t="n">
        <v>1</v>
      </c>
      <c r="F1490" t="inlineStr">
        <is>
          <t>2026-01-21</t>
        </is>
      </c>
      <c r="G1490" t="n">
        <v>164</v>
      </c>
      <c r="H1490" t="inlineStr">
        <is>
          <t>Y</t>
        </is>
      </c>
      <c r="I1490">
        <f>HYPERLINK("https://admin.shopify.com/store/ge-beauty-cosmeticos/customers/10074240254272","abrir")</f>
        <v/>
      </c>
      <c r="J1490">
        <f>HYPERLINK("https://www.gebeauty.com.br/products/primer-cachos-definidos?ref=review","review")</f>
        <v/>
      </c>
      <c r="K1490" t="inlineStr">
        <is>
          <t>SEND</t>
        </is>
      </c>
    </row>
    <row r="1491">
      <c r="A1491" t="inlineStr">
        <is>
          <t>Cristina</t>
        </is>
      </c>
      <c r="B1491" t="inlineStr">
        <is>
          <t>+5561981339363</t>
        </is>
      </c>
      <c r="C1491" t="inlineStr">
        <is>
          <t>Refill</t>
        </is>
      </c>
      <c r="D1491" t="inlineStr">
        <is>
          <t>Primer Cachos</t>
        </is>
      </c>
      <c r="E1491" t="n">
        <v>1</v>
      </c>
      <c r="F1491" t="inlineStr">
        <is>
          <t>2026-01-21</t>
        </is>
      </c>
      <c r="G1491" t="n">
        <v>164</v>
      </c>
      <c r="H1491" t="inlineStr">
        <is>
          <t>Y</t>
        </is>
      </c>
      <c r="I1491">
        <f>HYPERLINK("https://admin.shopify.com/store/ge-beauty-cosmeticos/customers/9484761301312","abrir")</f>
        <v/>
      </c>
      <c r="J1491">
        <f>HYPERLINK("https://www.gebeauty.com.br/products/primer-cachos-definidos?ref=review","review")</f>
        <v/>
      </c>
      <c r="K1491" t="inlineStr">
        <is>
          <t>SEND</t>
        </is>
      </c>
    </row>
    <row r="1492">
      <c r="A1492" t="inlineStr">
        <is>
          <t>Patricia Mara</t>
        </is>
      </c>
      <c r="B1492" t="inlineStr">
        <is>
          <t>+5511991711233</t>
        </is>
      </c>
      <c r="C1492" t="inlineStr">
        <is>
          <t>Refill</t>
        </is>
      </c>
      <c r="D1492" t="inlineStr">
        <is>
          <t>Primer Cachos</t>
        </is>
      </c>
      <c r="E1492" t="n">
        <v>1</v>
      </c>
      <c r="F1492" t="inlineStr">
        <is>
          <t>2026-01-21</t>
        </is>
      </c>
      <c r="G1492" t="n">
        <v>164</v>
      </c>
      <c r="H1492" t="inlineStr">
        <is>
          <t>Y</t>
        </is>
      </c>
      <c r="I1492">
        <f>HYPERLINK("https://admin.shopify.com/store/ge-beauty-cosmeticos/customers/10074241630528","abrir")</f>
        <v/>
      </c>
      <c r="J1492">
        <f>HYPERLINK("https://www.gebeauty.com.br/products/primer-cachos-definidos?ref=review","review")</f>
        <v/>
      </c>
      <c r="K1492" t="inlineStr">
        <is>
          <t>SEND</t>
        </is>
      </c>
    </row>
    <row r="1493">
      <c r="A1493" t="inlineStr">
        <is>
          <t>Irene</t>
        </is>
      </c>
      <c r="B1493" t="inlineStr">
        <is>
          <t>+5511941068900</t>
        </is>
      </c>
      <c r="C1493" t="inlineStr">
        <is>
          <t>Refill</t>
        </is>
      </c>
      <c r="D1493" t="inlineStr">
        <is>
          <t>Primer Cachos</t>
        </is>
      </c>
      <c r="E1493" t="n">
        <v>1</v>
      </c>
      <c r="F1493" t="inlineStr">
        <is>
          <t>2026-01-21</t>
        </is>
      </c>
      <c r="G1493" t="n">
        <v>164</v>
      </c>
      <c r="H1493" t="inlineStr">
        <is>
          <t>Y</t>
        </is>
      </c>
      <c r="I1493">
        <f>HYPERLINK("https://admin.shopify.com/store/ge-beauty-cosmeticos/customers/10074241958208","abrir")</f>
        <v/>
      </c>
      <c r="J1493">
        <f>HYPERLINK("https://www.gebeauty.com.br/products/primer-cachos-definidos?ref=review","review")</f>
        <v/>
      </c>
      <c r="K1493" t="inlineStr">
        <is>
          <t>SEND</t>
        </is>
      </c>
    </row>
    <row r="1494">
      <c r="A1494" t="inlineStr">
        <is>
          <t>Ana</t>
        </is>
      </c>
      <c r="B1494" t="inlineStr">
        <is>
          <t>+5511972720752</t>
        </is>
      </c>
      <c r="C1494" t="inlineStr">
        <is>
          <t>Refill</t>
        </is>
      </c>
      <c r="D1494" t="inlineStr">
        <is>
          <t>Primer Cachos</t>
        </is>
      </c>
      <c r="E1494" t="n">
        <v>1</v>
      </c>
      <c r="F1494" t="inlineStr">
        <is>
          <t>2026-01-21</t>
        </is>
      </c>
      <c r="G1494" t="n">
        <v>164</v>
      </c>
      <c r="H1494" t="inlineStr">
        <is>
          <t>Y</t>
        </is>
      </c>
      <c r="I1494">
        <f>HYPERLINK("https://admin.shopify.com/store/ge-beauty-cosmeticos/customers/10074237567296","abrir")</f>
        <v/>
      </c>
      <c r="J1494">
        <f>HYPERLINK("https://www.gebeauty.com.br/products/primer-cachos-definidos?ref=review","review")</f>
        <v/>
      </c>
      <c r="K1494" t="inlineStr">
        <is>
          <t>SEND</t>
        </is>
      </c>
    </row>
    <row r="1495">
      <c r="A1495" t="inlineStr">
        <is>
          <t>Rosana</t>
        </is>
      </c>
      <c r="B1495" t="inlineStr">
        <is>
          <t>+5511995155782</t>
        </is>
      </c>
      <c r="C1495" t="inlineStr">
        <is>
          <t>Refill</t>
        </is>
      </c>
      <c r="D1495" t="inlineStr">
        <is>
          <t>Primer Cachos</t>
        </is>
      </c>
      <c r="E1495" t="n">
        <v>1</v>
      </c>
      <c r="F1495" t="inlineStr">
        <is>
          <t>2026-01-21</t>
        </is>
      </c>
      <c r="G1495" t="n">
        <v>164</v>
      </c>
      <c r="H1495" t="inlineStr">
        <is>
          <t>Y</t>
        </is>
      </c>
      <c r="I1495">
        <f>HYPERLINK("https://admin.shopify.com/store/ge-beauty-cosmeticos/customers/10074247561536","abrir")</f>
        <v/>
      </c>
      <c r="J1495">
        <f>HYPERLINK("https://www.gebeauty.com.br/products/primer-cachos-definidos?ref=review","review")</f>
        <v/>
      </c>
      <c r="K1495" t="inlineStr">
        <is>
          <t>SEND</t>
        </is>
      </c>
    </row>
    <row r="1496">
      <c r="A1496" t="inlineStr">
        <is>
          <t>Heleni</t>
        </is>
      </c>
      <c r="B1496" t="inlineStr">
        <is>
          <t>+5584988700102</t>
        </is>
      </c>
      <c r="C1496" t="inlineStr">
        <is>
          <t>Refill</t>
        </is>
      </c>
      <c r="D1496" t="inlineStr">
        <is>
          <t>Primer Cachos</t>
        </is>
      </c>
      <c r="E1496" t="n">
        <v>1</v>
      </c>
      <c r="F1496" t="inlineStr">
        <is>
          <t>2026-01-21</t>
        </is>
      </c>
      <c r="G1496" t="n">
        <v>164</v>
      </c>
      <c r="H1496" t="inlineStr">
        <is>
          <t>Y</t>
        </is>
      </c>
      <c r="I1496">
        <f>HYPERLINK("https://admin.shopify.com/store/ge-beauty-cosmeticos/customers/10074251919680","abrir")</f>
        <v/>
      </c>
      <c r="J1496">
        <f>HYPERLINK("https://www.gebeauty.com.br/products/primer-cachos-definidos?ref=review","review")</f>
        <v/>
      </c>
      <c r="K1496" t="inlineStr">
        <is>
          <t>HOLDOUT</t>
        </is>
      </c>
    </row>
    <row r="1497">
      <c r="A1497" t="inlineStr">
        <is>
          <t>Luciana</t>
        </is>
      </c>
      <c r="B1497" t="inlineStr">
        <is>
          <t>+5531999943418</t>
        </is>
      </c>
      <c r="C1497" t="inlineStr">
        <is>
          <t>Refill</t>
        </is>
      </c>
      <c r="D1497" t="inlineStr">
        <is>
          <t>Primer Cachos</t>
        </is>
      </c>
      <c r="E1497" t="n">
        <v>1</v>
      </c>
      <c r="F1497" t="inlineStr">
        <is>
          <t>2026-01-21</t>
        </is>
      </c>
      <c r="G1497" t="n">
        <v>164</v>
      </c>
      <c r="H1497" t="inlineStr">
        <is>
          <t>Y</t>
        </is>
      </c>
      <c r="I1497">
        <f>HYPERLINK("https://admin.shopify.com/store/ge-beauty-cosmeticos/customers/10074245005632","abrir")</f>
        <v/>
      </c>
      <c r="J1497">
        <f>HYPERLINK("https://www.gebeauty.com.br/products/primer-cachos-definidos?ref=review","review")</f>
        <v/>
      </c>
      <c r="K1497" t="inlineStr">
        <is>
          <t>SEND</t>
        </is>
      </c>
    </row>
    <row r="1498">
      <c r="A1498" t="inlineStr">
        <is>
          <t>Marcia</t>
        </is>
      </c>
      <c r="B1498" t="inlineStr">
        <is>
          <t>+5521995105350</t>
        </is>
      </c>
      <c r="C1498" t="inlineStr">
        <is>
          <t>Refill</t>
        </is>
      </c>
      <c r="D1498" t="inlineStr">
        <is>
          <t>Primer Cachos</t>
        </is>
      </c>
      <c r="E1498" t="n">
        <v>1</v>
      </c>
      <c r="F1498" t="inlineStr">
        <is>
          <t>2026-01-21</t>
        </is>
      </c>
      <c r="G1498" t="n">
        <v>164</v>
      </c>
      <c r="H1498" t="inlineStr">
        <is>
          <t>Y</t>
        </is>
      </c>
      <c r="I1498">
        <f>HYPERLINK("https://admin.shopify.com/store/ge-beauty-cosmeticos/customers/10074193035584","abrir")</f>
        <v/>
      </c>
      <c r="J1498">
        <f>HYPERLINK("https://www.gebeauty.com.br/products/primer-cachos-definidos?ref=review","review")</f>
        <v/>
      </c>
      <c r="K1498" t="inlineStr">
        <is>
          <t>SEND</t>
        </is>
      </c>
    </row>
    <row r="1499">
      <c r="A1499" t="inlineStr">
        <is>
          <t>Nilceia</t>
        </is>
      </c>
      <c r="B1499" t="inlineStr">
        <is>
          <t>+5511954208227</t>
        </is>
      </c>
      <c r="C1499" t="inlineStr">
        <is>
          <t>Refill</t>
        </is>
      </c>
      <c r="D1499" t="inlineStr">
        <is>
          <t>Primer Cachos</t>
        </is>
      </c>
      <c r="E1499" t="n">
        <v>1</v>
      </c>
      <c r="F1499" t="inlineStr">
        <is>
          <t>2026-01-21</t>
        </is>
      </c>
      <c r="G1499" t="n">
        <v>164</v>
      </c>
      <c r="H1499" t="inlineStr">
        <is>
          <t>Y</t>
        </is>
      </c>
      <c r="I1499">
        <f>HYPERLINK("https://admin.shopify.com/store/ge-beauty-cosmeticos/customers/10074249724224","abrir")</f>
        <v/>
      </c>
      <c r="J1499">
        <f>HYPERLINK("https://www.gebeauty.com.br/products/primer-cachos-definidos?ref=review","review")</f>
        <v/>
      </c>
      <c r="K1499" t="inlineStr">
        <is>
          <t>SEND</t>
        </is>
      </c>
    </row>
    <row r="1500">
      <c r="A1500" t="inlineStr">
        <is>
          <t>Mariana</t>
        </is>
      </c>
      <c r="B1500" t="inlineStr">
        <is>
          <t>+5511992261426</t>
        </is>
      </c>
      <c r="C1500" t="inlineStr">
        <is>
          <t>Refill</t>
        </is>
      </c>
      <c r="D1500" t="inlineStr">
        <is>
          <t>Primer Cachos</t>
        </is>
      </c>
      <c r="E1500" t="n">
        <v>1</v>
      </c>
      <c r="F1500" t="inlineStr">
        <is>
          <t>2026-01-21</t>
        </is>
      </c>
      <c r="G1500" t="n">
        <v>164</v>
      </c>
      <c r="H1500" t="inlineStr">
        <is>
          <t>Y</t>
        </is>
      </c>
      <c r="I1500">
        <f>HYPERLINK("https://admin.shopify.com/store/ge-beauty-cosmeticos/customers/10074259980608","abrir")</f>
        <v/>
      </c>
      <c r="J1500">
        <f>HYPERLINK("https://www.gebeauty.com.br/products/primer-cachos-definidos?ref=review","review")</f>
        <v/>
      </c>
      <c r="K1500" t="inlineStr">
        <is>
          <t>SEND</t>
        </is>
      </c>
    </row>
    <row r="1501">
      <c r="A1501" t="inlineStr">
        <is>
          <t>Makerli</t>
        </is>
      </c>
      <c r="B1501" t="inlineStr">
        <is>
          <t>+5511994892872</t>
        </is>
      </c>
      <c r="C1501" t="inlineStr">
        <is>
          <t>Refill</t>
        </is>
      </c>
      <c r="D1501" t="inlineStr">
        <is>
          <t>Primer Cachos</t>
        </is>
      </c>
      <c r="E1501" t="n">
        <v>1</v>
      </c>
      <c r="F1501" t="inlineStr">
        <is>
          <t>2026-01-21</t>
        </is>
      </c>
      <c r="G1501" t="n">
        <v>164</v>
      </c>
      <c r="H1501" t="inlineStr">
        <is>
          <t>Y</t>
        </is>
      </c>
      <c r="I1501">
        <f>HYPERLINK("https://admin.shopify.com/store/ge-beauty-cosmeticos/customers/10074257293632","abrir")</f>
        <v/>
      </c>
      <c r="J1501">
        <f>HYPERLINK("https://www.gebeauty.com.br/products/primer-cachos-definidos?ref=review","review")</f>
        <v/>
      </c>
      <c r="K1501" t="inlineStr">
        <is>
          <t>SEND</t>
        </is>
      </c>
    </row>
    <row r="1502">
      <c r="A1502" t="inlineStr">
        <is>
          <t>Maria Victoria</t>
        </is>
      </c>
      <c r="B1502" t="inlineStr">
        <is>
          <t>+5511995954771</t>
        </is>
      </c>
      <c r="C1502" t="inlineStr">
        <is>
          <t>Refill</t>
        </is>
      </c>
      <c r="D1502" t="inlineStr">
        <is>
          <t>Primer Cachos</t>
        </is>
      </c>
      <c r="E1502" t="n">
        <v>1</v>
      </c>
      <c r="F1502" t="inlineStr">
        <is>
          <t>2026-01-21</t>
        </is>
      </c>
      <c r="G1502" t="n">
        <v>164</v>
      </c>
      <c r="H1502" t="inlineStr">
        <is>
          <t>Y</t>
        </is>
      </c>
      <c r="I1502">
        <f>HYPERLINK("https://admin.shopify.com/store/ge-beauty-cosmeticos/customers/10074255753536","abrir")</f>
        <v/>
      </c>
      <c r="J1502">
        <f>HYPERLINK("https://www.gebeauty.com.br/products/primer-cachos-definidos?ref=review","review")</f>
        <v/>
      </c>
      <c r="K1502" t="inlineStr">
        <is>
          <t>SEND</t>
        </is>
      </c>
    </row>
    <row r="1503">
      <c r="A1503" t="inlineStr">
        <is>
          <t>Sandra</t>
        </is>
      </c>
      <c r="B1503" t="inlineStr">
        <is>
          <t>+5511983062203</t>
        </is>
      </c>
      <c r="C1503" t="inlineStr">
        <is>
          <t>Refill</t>
        </is>
      </c>
      <c r="D1503" t="inlineStr">
        <is>
          <t>Primer Cachos</t>
        </is>
      </c>
      <c r="E1503" t="n">
        <v>1</v>
      </c>
      <c r="F1503" t="inlineStr">
        <is>
          <t>2026-01-21</t>
        </is>
      </c>
      <c r="G1503" t="n">
        <v>164</v>
      </c>
      <c r="H1503" t="inlineStr">
        <is>
          <t>Y</t>
        </is>
      </c>
      <c r="I1503">
        <f>HYPERLINK("https://admin.shopify.com/store/ge-beauty-cosmeticos/customers/10074255163712","abrir")</f>
        <v/>
      </c>
      <c r="J1503">
        <f>HYPERLINK("https://www.gebeauty.com.br/products/primer-cachos-definidos?ref=review","review")</f>
        <v/>
      </c>
      <c r="K1503" t="inlineStr">
        <is>
          <t>SEND</t>
        </is>
      </c>
    </row>
    <row r="1504">
      <c r="A1504" t="inlineStr">
        <is>
          <t>Fabiana</t>
        </is>
      </c>
      <c r="B1504" t="inlineStr">
        <is>
          <t>+5511985386468</t>
        </is>
      </c>
      <c r="C1504" t="inlineStr">
        <is>
          <t>Refill</t>
        </is>
      </c>
      <c r="D1504" t="inlineStr">
        <is>
          <t>Primer Cachos</t>
        </is>
      </c>
      <c r="E1504" t="n">
        <v>1</v>
      </c>
      <c r="F1504" t="inlineStr">
        <is>
          <t>2026-01-21</t>
        </is>
      </c>
      <c r="G1504" t="n">
        <v>164</v>
      </c>
      <c r="H1504" t="inlineStr">
        <is>
          <t>Y</t>
        </is>
      </c>
      <c r="I1504">
        <f>HYPERLINK("https://admin.shopify.com/store/ge-beauty-cosmeticos/customers/10074255720768","abrir")</f>
        <v/>
      </c>
      <c r="J1504">
        <f>HYPERLINK("https://www.gebeauty.com.br/products/primer-cachos-definidos?ref=review","review")</f>
        <v/>
      </c>
      <c r="K1504" t="inlineStr">
        <is>
          <t>SEND</t>
        </is>
      </c>
    </row>
    <row r="1505">
      <c r="A1505" t="inlineStr">
        <is>
          <t>Lidiane</t>
        </is>
      </c>
      <c r="B1505" t="inlineStr">
        <is>
          <t>+5511987597575</t>
        </is>
      </c>
      <c r="C1505" t="inlineStr">
        <is>
          <t>Refill</t>
        </is>
      </c>
      <c r="D1505" t="inlineStr">
        <is>
          <t>Primer Cachos</t>
        </is>
      </c>
      <c r="E1505" t="n">
        <v>1</v>
      </c>
      <c r="F1505" t="inlineStr">
        <is>
          <t>2026-01-21</t>
        </is>
      </c>
      <c r="G1505" t="n">
        <v>164</v>
      </c>
      <c r="H1505" t="inlineStr">
        <is>
          <t>Y</t>
        </is>
      </c>
      <c r="I1505">
        <f>HYPERLINK("https://admin.shopify.com/store/ge-beauty-cosmeticos/customers/10074264338752","abrir")</f>
        <v/>
      </c>
      <c r="J1505">
        <f>HYPERLINK("https://www.gebeauty.com.br/products/primer-cachos-definidos?ref=review","review")</f>
        <v/>
      </c>
      <c r="K1505" t="inlineStr">
        <is>
          <t>HOLDOUT</t>
        </is>
      </c>
    </row>
    <row r="1506">
      <c r="A1506" t="inlineStr">
        <is>
          <t>Ana Maria</t>
        </is>
      </c>
      <c r="B1506" t="inlineStr">
        <is>
          <t>+5513991571480</t>
        </is>
      </c>
      <c r="C1506" t="inlineStr">
        <is>
          <t>Refill</t>
        </is>
      </c>
      <c r="D1506" t="inlineStr">
        <is>
          <t>Primer Cachos</t>
        </is>
      </c>
      <c r="E1506" t="n">
        <v>1</v>
      </c>
      <c r="F1506" t="inlineStr">
        <is>
          <t>2026-01-21</t>
        </is>
      </c>
      <c r="G1506" t="n">
        <v>164</v>
      </c>
      <c r="H1506" t="inlineStr">
        <is>
          <t>Y</t>
        </is>
      </c>
      <c r="I1506">
        <f>HYPERLINK("https://admin.shopify.com/store/ge-beauty-cosmeticos/customers/10074265157952","abrir")</f>
        <v/>
      </c>
      <c r="J1506">
        <f>HYPERLINK("https://www.gebeauty.com.br/products/primer-cachos-definidos?ref=review","review")</f>
        <v/>
      </c>
      <c r="K1506" t="inlineStr">
        <is>
          <t>HOLDOUT</t>
        </is>
      </c>
    </row>
    <row r="1507">
      <c r="A1507" t="inlineStr">
        <is>
          <t>Sabrina</t>
        </is>
      </c>
      <c r="B1507" t="inlineStr">
        <is>
          <t>+5511948979527</t>
        </is>
      </c>
      <c r="C1507" t="inlineStr">
        <is>
          <t>Refill</t>
        </is>
      </c>
      <c r="D1507" t="inlineStr">
        <is>
          <t>Primer Cachos</t>
        </is>
      </c>
      <c r="E1507" t="n">
        <v>1</v>
      </c>
      <c r="F1507" t="inlineStr">
        <is>
          <t>2026-01-21</t>
        </is>
      </c>
      <c r="G1507" t="n">
        <v>164</v>
      </c>
      <c r="H1507" t="inlineStr">
        <is>
          <t>Y</t>
        </is>
      </c>
      <c r="I1507">
        <f>HYPERLINK("https://admin.shopify.com/store/ge-beauty-cosmeticos/customers/10074248806720","abrir")</f>
        <v/>
      </c>
      <c r="J1507">
        <f>HYPERLINK("https://www.gebeauty.com.br/products/primer-cachos-definidos?ref=review","review")</f>
        <v/>
      </c>
      <c r="K1507" t="inlineStr">
        <is>
          <t>SEND</t>
        </is>
      </c>
    </row>
    <row r="1508">
      <c r="A1508" t="inlineStr">
        <is>
          <t>Heloisa</t>
        </is>
      </c>
      <c r="B1508" t="inlineStr">
        <is>
          <t>+5511987149589</t>
        </is>
      </c>
      <c r="C1508" t="inlineStr">
        <is>
          <t>Refill</t>
        </is>
      </c>
      <c r="D1508" t="inlineStr">
        <is>
          <t>Primer Cachos</t>
        </is>
      </c>
      <c r="E1508" t="n">
        <v>1</v>
      </c>
      <c r="F1508" t="inlineStr">
        <is>
          <t>2026-01-21</t>
        </is>
      </c>
      <c r="G1508" t="n">
        <v>164</v>
      </c>
      <c r="H1508" t="inlineStr">
        <is>
          <t>Y</t>
        </is>
      </c>
      <c r="I1508">
        <f>HYPERLINK("https://admin.shopify.com/store/ge-beauty-cosmeticos/customers/10074129432896","abrir")</f>
        <v/>
      </c>
      <c r="J1508">
        <f>HYPERLINK("https://www.gebeauty.com.br/products/primer-cachos-definidos?ref=review","review")</f>
        <v/>
      </c>
      <c r="K1508" t="inlineStr">
        <is>
          <t>SEND</t>
        </is>
      </c>
    </row>
    <row r="1509">
      <c r="A1509" t="inlineStr">
        <is>
          <t>Graziela</t>
        </is>
      </c>
      <c r="B1509" t="inlineStr">
        <is>
          <t>+5582981051313</t>
        </is>
      </c>
      <c r="C1509" t="inlineStr">
        <is>
          <t>Refill</t>
        </is>
      </c>
      <c r="D1509" t="inlineStr">
        <is>
          <t>Primer Cachos</t>
        </is>
      </c>
      <c r="E1509" t="n">
        <v>1</v>
      </c>
      <c r="F1509" t="inlineStr">
        <is>
          <t>2026-01-21</t>
        </is>
      </c>
      <c r="G1509" t="n">
        <v>164</v>
      </c>
      <c r="H1509" t="inlineStr">
        <is>
          <t>Y</t>
        </is>
      </c>
      <c r="I1509">
        <f>HYPERLINK("https://admin.shopify.com/store/ge-beauty-cosmeticos/customers/10074256441664","abrir")</f>
        <v/>
      </c>
      <c r="J1509">
        <f>HYPERLINK("https://www.gebeauty.com.br/products/primer-cachos-definidos?ref=review","review")</f>
        <v/>
      </c>
      <c r="K1509" t="inlineStr">
        <is>
          <t>SEND</t>
        </is>
      </c>
    </row>
    <row r="1510">
      <c r="A1510" t="inlineStr">
        <is>
          <t>Robson</t>
        </is>
      </c>
      <c r="B1510" t="inlineStr">
        <is>
          <t>+5534998011355</t>
        </is>
      </c>
      <c r="C1510" t="inlineStr">
        <is>
          <t>Refill</t>
        </is>
      </c>
      <c r="D1510" t="inlineStr">
        <is>
          <t>Primer Cachos</t>
        </is>
      </c>
      <c r="E1510" t="n">
        <v>1</v>
      </c>
      <c r="F1510" t="inlineStr">
        <is>
          <t>2026-01-21</t>
        </is>
      </c>
      <c r="G1510" t="n">
        <v>164</v>
      </c>
      <c r="H1510" t="inlineStr">
        <is>
          <t>Y</t>
        </is>
      </c>
      <c r="I1510">
        <f>HYPERLINK("https://admin.shopify.com/store/ge-beauty-cosmeticos/customers/10074260996416","abrir")</f>
        <v/>
      </c>
      <c r="J1510">
        <f>HYPERLINK("https://www.gebeauty.com.br/products/primer-cachos-definidos?ref=review","review")</f>
        <v/>
      </c>
      <c r="K1510" t="inlineStr">
        <is>
          <t>HOLDOUT</t>
        </is>
      </c>
    </row>
    <row r="1511">
      <c r="A1511" t="inlineStr">
        <is>
          <t>Lilia</t>
        </is>
      </c>
      <c r="B1511" t="inlineStr">
        <is>
          <t>+5585999806260</t>
        </is>
      </c>
      <c r="C1511" t="inlineStr">
        <is>
          <t>Refill</t>
        </is>
      </c>
      <c r="D1511" t="inlineStr">
        <is>
          <t>Primer Cachos</t>
        </is>
      </c>
      <c r="E1511" t="n">
        <v>1</v>
      </c>
      <c r="F1511" t="inlineStr">
        <is>
          <t>2026-01-21</t>
        </is>
      </c>
      <c r="G1511" t="n">
        <v>164</v>
      </c>
      <c r="H1511" t="inlineStr">
        <is>
          <t>Y</t>
        </is>
      </c>
      <c r="I1511">
        <f>HYPERLINK("https://admin.shopify.com/store/ge-beauty-cosmeticos/customers/9486393672000","abrir")</f>
        <v/>
      </c>
      <c r="J1511">
        <f>HYPERLINK("https://www.gebeauty.com.br/products/primer-cachos-definidos?ref=review","review")</f>
        <v/>
      </c>
      <c r="K1511" t="inlineStr">
        <is>
          <t>SEND</t>
        </is>
      </c>
    </row>
    <row r="1512">
      <c r="A1512" t="inlineStr">
        <is>
          <t>Carla</t>
        </is>
      </c>
      <c r="B1512" t="inlineStr">
        <is>
          <t>+5582988845440</t>
        </is>
      </c>
      <c r="C1512" t="inlineStr">
        <is>
          <t>Refill</t>
        </is>
      </c>
      <c r="D1512" t="inlineStr">
        <is>
          <t>Primer Cachos</t>
        </is>
      </c>
      <c r="E1512" t="n">
        <v>1</v>
      </c>
      <c r="F1512" t="inlineStr">
        <is>
          <t>2026-01-21</t>
        </is>
      </c>
      <c r="G1512" t="n">
        <v>164</v>
      </c>
      <c r="H1512" t="inlineStr">
        <is>
          <t>Y</t>
        </is>
      </c>
      <c r="I1512">
        <f>HYPERLINK("https://admin.shopify.com/store/ge-beauty-cosmeticos/customers/10074267943232","abrir")</f>
        <v/>
      </c>
      <c r="J1512">
        <f>HYPERLINK("https://www.gebeauty.com.br/products/primer-cachos-definidos?ref=review","review")</f>
        <v/>
      </c>
      <c r="K1512" t="inlineStr">
        <is>
          <t>SEND</t>
        </is>
      </c>
    </row>
    <row r="1513">
      <c r="A1513" t="inlineStr">
        <is>
          <t>Carolina</t>
        </is>
      </c>
      <c r="B1513" t="inlineStr">
        <is>
          <t>+5551981241645</t>
        </is>
      </c>
      <c r="C1513" t="inlineStr">
        <is>
          <t>Refill</t>
        </is>
      </c>
      <c r="D1513" t="inlineStr">
        <is>
          <t>Primer Cachos</t>
        </is>
      </c>
      <c r="E1513" t="n">
        <v>1</v>
      </c>
      <c r="F1513" t="inlineStr">
        <is>
          <t>2026-01-21</t>
        </is>
      </c>
      <c r="G1513" t="n">
        <v>164</v>
      </c>
      <c r="H1513" t="inlineStr">
        <is>
          <t>Y</t>
        </is>
      </c>
      <c r="I1513">
        <f>HYPERLINK("https://admin.shopify.com/store/ge-beauty-cosmeticos/customers/10074267910464","abrir")</f>
        <v/>
      </c>
      <c r="J1513">
        <f>HYPERLINK("https://www.gebeauty.com.br/products/primer-cachos-definidos?ref=review","review")</f>
        <v/>
      </c>
      <c r="K1513" t="inlineStr">
        <is>
          <t>SEND</t>
        </is>
      </c>
    </row>
    <row r="1514">
      <c r="A1514" t="inlineStr">
        <is>
          <t>Bruna</t>
        </is>
      </c>
      <c r="B1514" t="inlineStr">
        <is>
          <t>+5511969120718</t>
        </is>
      </c>
      <c r="C1514" t="inlineStr">
        <is>
          <t>Refill</t>
        </is>
      </c>
      <c r="D1514" t="inlineStr">
        <is>
          <t>Primer Cachos</t>
        </is>
      </c>
      <c r="E1514" t="n">
        <v>1</v>
      </c>
      <c r="F1514" t="inlineStr">
        <is>
          <t>2026-01-21</t>
        </is>
      </c>
      <c r="G1514" t="n">
        <v>164</v>
      </c>
      <c r="H1514" t="inlineStr">
        <is>
          <t>Y</t>
        </is>
      </c>
      <c r="I1514">
        <f>HYPERLINK("https://admin.shopify.com/store/ge-beauty-cosmeticos/customers/9608694137152","abrir")</f>
        <v/>
      </c>
      <c r="J1514">
        <f>HYPERLINK("https://www.gebeauty.com.br/products/primer-cachos-definidos?ref=review","review")</f>
        <v/>
      </c>
      <c r="K1514" t="inlineStr">
        <is>
          <t>SEND</t>
        </is>
      </c>
    </row>
    <row r="1515">
      <c r="A1515" t="inlineStr">
        <is>
          <t>Bianca</t>
        </is>
      </c>
      <c r="B1515" t="inlineStr">
        <is>
          <t>+5521999959497</t>
        </is>
      </c>
      <c r="C1515" t="inlineStr">
        <is>
          <t>Refill</t>
        </is>
      </c>
      <c r="D1515" t="inlineStr">
        <is>
          <t>Primer Cachos</t>
        </is>
      </c>
      <c r="E1515" t="n">
        <v>1</v>
      </c>
      <c r="F1515" t="inlineStr">
        <is>
          <t>2026-01-21</t>
        </is>
      </c>
      <c r="G1515" t="n">
        <v>164</v>
      </c>
      <c r="H1515" t="inlineStr">
        <is>
          <t>Y</t>
        </is>
      </c>
      <c r="I1515">
        <f>HYPERLINK("https://admin.shopify.com/store/ge-beauty-cosmeticos/customers/10074283376960","abrir")</f>
        <v/>
      </c>
      <c r="J1515">
        <f>HYPERLINK("https://www.gebeauty.com.br/products/primer-cachos-definidos?ref=review","review")</f>
        <v/>
      </c>
      <c r="K1515" t="inlineStr">
        <is>
          <t>SEND</t>
        </is>
      </c>
    </row>
    <row r="1516">
      <c r="A1516" t="inlineStr">
        <is>
          <t>Anyelle</t>
        </is>
      </c>
      <c r="B1516" t="inlineStr">
        <is>
          <t>+5522981015177</t>
        </is>
      </c>
      <c r="C1516" t="inlineStr">
        <is>
          <t>Refill</t>
        </is>
      </c>
      <c r="D1516" t="inlineStr">
        <is>
          <t>Primer Cachos</t>
        </is>
      </c>
      <c r="E1516" t="n">
        <v>1</v>
      </c>
      <c r="F1516" t="inlineStr">
        <is>
          <t>2026-01-21</t>
        </is>
      </c>
      <c r="G1516" t="n">
        <v>164</v>
      </c>
      <c r="H1516" t="inlineStr">
        <is>
          <t>Y</t>
        </is>
      </c>
      <c r="I1516">
        <f>HYPERLINK("https://admin.shopify.com/store/ge-beauty-cosmeticos/customers/10053660082496","abrir")</f>
        <v/>
      </c>
      <c r="J1516">
        <f>HYPERLINK("https://www.gebeauty.com.br/products/primer-cachos-definidos?ref=review","review")</f>
        <v/>
      </c>
      <c r="K1516" t="inlineStr">
        <is>
          <t>SEND</t>
        </is>
      </c>
    </row>
    <row r="1517">
      <c r="A1517" t="inlineStr">
        <is>
          <t>Maria Eduarda</t>
        </is>
      </c>
      <c r="B1517" t="inlineStr">
        <is>
          <t>+5581994193030</t>
        </is>
      </c>
      <c r="C1517" t="inlineStr">
        <is>
          <t>Refill</t>
        </is>
      </c>
      <c r="D1517" t="inlineStr">
        <is>
          <t>Primer Cachos</t>
        </is>
      </c>
      <c r="E1517" t="n">
        <v>1</v>
      </c>
      <c r="F1517" t="inlineStr">
        <is>
          <t>2026-01-21</t>
        </is>
      </c>
      <c r="G1517" t="n">
        <v>164</v>
      </c>
      <c r="H1517" t="inlineStr">
        <is>
          <t>Y</t>
        </is>
      </c>
      <c r="I1517">
        <f>HYPERLINK("https://admin.shopify.com/store/ge-beauty-cosmeticos/customers/10074283671872","abrir")</f>
        <v/>
      </c>
      <c r="J1517">
        <f>HYPERLINK("https://www.gebeauty.com.br/products/primer-cachos-definidos?ref=review","review")</f>
        <v/>
      </c>
      <c r="K1517" t="inlineStr">
        <is>
          <t>SEND</t>
        </is>
      </c>
    </row>
    <row r="1518">
      <c r="A1518" t="inlineStr">
        <is>
          <t>Sheyla</t>
        </is>
      </c>
      <c r="B1518" t="inlineStr">
        <is>
          <t>+5511947534510</t>
        </is>
      </c>
      <c r="C1518" t="inlineStr">
        <is>
          <t>Refill</t>
        </is>
      </c>
      <c r="D1518" t="inlineStr">
        <is>
          <t>Primer Cachos</t>
        </is>
      </c>
      <c r="E1518" t="n">
        <v>1</v>
      </c>
      <c r="F1518" t="inlineStr">
        <is>
          <t>2026-01-21</t>
        </is>
      </c>
      <c r="G1518" t="n">
        <v>164</v>
      </c>
      <c r="H1518" t="inlineStr">
        <is>
          <t>Y</t>
        </is>
      </c>
      <c r="I1518">
        <f>HYPERLINK("https://admin.shopify.com/store/ge-beauty-cosmeticos/customers/10074292814144","abrir")</f>
        <v/>
      </c>
      <c r="J1518">
        <f>HYPERLINK("https://www.gebeauty.com.br/products/primer-cachos-definidos?ref=review","review")</f>
        <v/>
      </c>
      <c r="K1518" t="inlineStr">
        <is>
          <t>SEND</t>
        </is>
      </c>
    </row>
    <row r="1519">
      <c r="A1519" t="inlineStr">
        <is>
          <t>Luciane</t>
        </is>
      </c>
      <c r="B1519" t="inlineStr">
        <is>
          <t>+5534992894322</t>
        </is>
      </c>
      <c r="C1519" t="inlineStr">
        <is>
          <t>Refill</t>
        </is>
      </c>
      <c r="D1519" t="inlineStr">
        <is>
          <t>Primer Cachos</t>
        </is>
      </c>
      <c r="E1519" t="n">
        <v>1</v>
      </c>
      <c r="F1519" t="inlineStr">
        <is>
          <t>2026-01-21</t>
        </is>
      </c>
      <c r="G1519" t="n">
        <v>164</v>
      </c>
      <c r="H1519" t="inlineStr">
        <is>
          <t>Y</t>
        </is>
      </c>
      <c r="I1519">
        <f>HYPERLINK("https://admin.shopify.com/store/ge-beauty-cosmeticos/customers/10073659736384","abrir")</f>
        <v/>
      </c>
      <c r="J1519">
        <f>HYPERLINK("https://www.gebeauty.com.br/products/primer-cachos-definidos?ref=review","review")</f>
        <v/>
      </c>
      <c r="K1519" t="inlineStr">
        <is>
          <t>SEND</t>
        </is>
      </c>
    </row>
    <row r="1520">
      <c r="A1520" t="inlineStr">
        <is>
          <t>Marilia</t>
        </is>
      </c>
      <c r="B1520" t="inlineStr">
        <is>
          <t>+5547991187228</t>
        </is>
      </c>
      <c r="C1520" t="inlineStr">
        <is>
          <t>Refill</t>
        </is>
      </c>
      <c r="D1520" t="inlineStr">
        <is>
          <t>Primer Cachos</t>
        </is>
      </c>
      <c r="E1520" t="n">
        <v>1</v>
      </c>
      <c r="F1520" t="inlineStr">
        <is>
          <t>2026-01-21</t>
        </is>
      </c>
      <c r="G1520" t="n">
        <v>164</v>
      </c>
      <c r="H1520" t="inlineStr">
        <is>
          <t>Y</t>
        </is>
      </c>
      <c r="I1520">
        <f>HYPERLINK("https://admin.shopify.com/store/ge-beauty-cosmeticos/customers/10074273153344","abrir")</f>
        <v/>
      </c>
      <c r="J1520">
        <f>HYPERLINK("https://www.gebeauty.com.br/products/primer-cachos-definidos?ref=review","review")</f>
        <v/>
      </c>
      <c r="K1520" t="inlineStr">
        <is>
          <t>SEND</t>
        </is>
      </c>
    </row>
    <row r="1521">
      <c r="A1521" t="inlineStr">
        <is>
          <t>Tatiane</t>
        </is>
      </c>
      <c r="B1521" t="inlineStr">
        <is>
          <t>+5527999101119</t>
        </is>
      </c>
      <c r="C1521" t="inlineStr">
        <is>
          <t>Refill</t>
        </is>
      </c>
      <c r="D1521" t="inlineStr">
        <is>
          <t>Primer Cachos</t>
        </is>
      </c>
      <c r="E1521" t="n">
        <v>1</v>
      </c>
      <c r="F1521" t="inlineStr">
        <is>
          <t>2026-01-21</t>
        </is>
      </c>
      <c r="G1521" t="n">
        <v>164</v>
      </c>
      <c r="H1521" t="inlineStr">
        <is>
          <t>Y</t>
        </is>
      </c>
      <c r="I1521">
        <f>HYPERLINK("https://admin.shopify.com/store/ge-beauty-cosmeticos/customers/10074279051584","abrir")</f>
        <v/>
      </c>
      <c r="J1521">
        <f>HYPERLINK("https://www.gebeauty.com.br/products/primer-cachos-definidos?ref=review","review")</f>
        <v/>
      </c>
      <c r="K1521" t="inlineStr">
        <is>
          <t>SEND</t>
        </is>
      </c>
    </row>
    <row r="1522">
      <c r="A1522" t="inlineStr">
        <is>
          <t>Nastassia</t>
        </is>
      </c>
      <c r="B1522" t="inlineStr">
        <is>
          <t>+5511989000220</t>
        </is>
      </c>
      <c r="C1522" t="inlineStr">
        <is>
          <t>Refill</t>
        </is>
      </c>
      <c r="D1522" t="inlineStr">
        <is>
          <t>Primer Cachos</t>
        </is>
      </c>
      <c r="E1522" t="n">
        <v>1</v>
      </c>
      <c r="F1522" t="inlineStr">
        <is>
          <t>2026-01-21</t>
        </is>
      </c>
      <c r="G1522" t="n">
        <v>164</v>
      </c>
      <c r="H1522" t="inlineStr">
        <is>
          <t>Y</t>
        </is>
      </c>
      <c r="I1522">
        <f>HYPERLINK("https://admin.shopify.com/store/ge-beauty-cosmeticos/customers/10074297270592","abrir")</f>
        <v/>
      </c>
      <c r="J1522">
        <f>HYPERLINK("https://www.gebeauty.com.br/products/primer-cachos-definidos?ref=review","review")</f>
        <v/>
      </c>
      <c r="K1522" t="inlineStr">
        <is>
          <t>SEND</t>
        </is>
      </c>
    </row>
    <row r="1523">
      <c r="A1523" t="inlineStr">
        <is>
          <t>Gina</t>
        </is>
      </c>
      <c r="B1523" t="inlineStr">
        <is>
          <t>+5531999819992</t>
        </is>
      </c>
      <c r="C1523" t="inlineStr">
        <is>
          <t>Refill</t>
        </is>
      </c>
      <c r="D1523" t="inlineStr">
        <is>
          <t>Primer Cachos</t>
        </is>
      </c>
      <c r="E1523" t="n">
        <v>1</v>
      </c>
      <c r="F1523" t="inlineStr">
        <is>
          <t>2026-01-21</t>
        </is>
      </c>
      <c r="G1523" t="n">
        <v>164</v>
      </c>
      <c r="H1523" t="inlineStr">
        <is>
          <t>Y</t>
        </is>
      </c>
      <c r="I1523">
        <f>HYPERLINK("https://admin.shopify.com/store/ge-beauty-cosmeticos/customers/10074298253632","abrir")</f>
        <v/>
      </c>
      <c r="J1523">
        <f>HYPERLINK("https://www.gebeauty.com.br/products/primer-cachos-definidos?ref=review","review")</f>
        <v/>
      </c>
      <c r="K1523" t="inlineStr">
        <is>
          <t>SEND</t>
        </is>
      </c>
    </row>
    <row r="1524">
      <c r="A1524" t="inlineStr">
        <is>
          <t>Ana</t>
        </is>
      </c>
      <c r="B1524" t="inlineStr">
        <is>
          <t>+5547991132220</t>
        </is>
      </c>
      <c r="C1524" t="inlineStr">
        <is>
          <t>Refill</t>
        </is>
      </c>
      <c r="D1524" t="inlineStr">
        <is>
          <t>Primer Cachos</t>
        </is>
      </c>
      <c r="E1524" t="n">
        <v>1</v>
      </c>
      <c r="F1524" t="inlineStr">
        <is>
          <t>2026-01-21</t>
        </is>
      </c>
      <c r="G1524" t="n">
        <v>164</v>
      </c>
      <c r="H1524" t="inlineStr">
        <is>
          <t>Y</t>
        </is>
      </c>
      <c r="I1524">
        <f>HYPERLINK("https://admin.shopify.com/store/ge-beauty-cosmeticos/customers/10074298122560","abrir")</f>
        <v/>
      </c>
      <c r="J1524">
        <f>HYPERLINK("https://www.gebeauty.com.br/products/primer-cachos-definidos?ref=review","review")</f>
        <v/>
      </c>
      <c r="K1524" t="inlineStr">
        <is>
          <t>SEND</t>
        </is>
      </c>
    </row>
    <row r="1525">
      <c r="A1525" t="inlineStr">
        <is>
          <t>Mariuccia</t>
        </is>
      </c>
      <c r="B1525" t="inlineStr">
        <is>
          <t>+5562992412148</t>
        </is>
      </c>
      <c r="C1525" t="inlineStr">
        <is>
          <t>Refill</t>
        </is>
      </c>
      <c r="D1525" t="inlineStr">
        <is>
          <t>Primer Cachos</t>
        </is>
      </c>
      <c r="E1525" t="n">
        <v>1</v>
      </c>
      <c r="F1525" t="inlineStr">
        <is>
          <t>2026-01-21</t>
        </is>
      </c>
      <c r="G1525" t="n">
        <v>164</v>
      </c>
      <c r="H1525" t="inlineStr">
        <is>
          <t>Y</t>
        </is>
      </c>
      <c r="I1525">
        <f>HYPERLINK("https://admin.shopify.com/store/ge-beauty-cosmeticos/customers/10074299367744","abrir")</f>
        <v/>
      </c>
      <c r="J1525">
        <f>HYPERLINK("https://www.gebeauty.com.br/products/primer-cachos-definidos?ref=review","review")</f>
        <v/>
      </c>
      <c r="K1525" t="inlineStr">
        <is>
          <t>SEND</t>
        </is>
      </c>
    </row>
    <row r="1526">
      <c r="A1526" t="inlineStr">
        <is>
          <t>Fernanda</t>
        </is>
      </c>
      <c r="B1526" t="inlineStr">
        <is>
          <t>+5511974722102</t>
        </is>
      </c>
      <c r="C1526" t="inlineStr">
        <is>
          <t>Refill</t>
        </is>
      </c>
      <c r="D1526" t="inlineStr">
        <is>
          <t>Primer Cachos</t>
        </is>
      </c>
      <c r="E1526" t="n">
        <v>1</v>
      </c>
      <c r="F1526" t="inlineStr">
        <is>
          <t>2026-01-21</t>
        </is>
      </c>
      <c r="G1526" t="n">
        <v>164</v>
      </c>
      <c r="H1526" t="inlineStr">
        <is>
          <t>Y</t>
        </is>
      </c>
      <c r="I1526">
        <f>HYPERLINK("https://admin.shopify.com/store/ge-beauty-cosmeticos/customers/8517432443200","abrir")</f>
        <v/>
      </c>
      <c r="J1526">
        <f>HYPERLINK("https://www.gebeauty.com.br/products/primer-cachos-definidos?ref=review","review")</f>
        <v/>
      </c>
      <c r="K1526" t="inlineStr">
        <is>
          <t>SEND</t>
        </is>
      </c>
    </row>
    <row r="1527">
      <c r="A1527" t="inlineStr">
        <is>
          <t>Maria</t>
        </is>
      </c>
      <c r="B1527" t="inlineStr">
        <is>
          <t>+5598982857694</t>
        </is>
      </c>
      <c r="C1527" t="inlineStr">
        <is>
          <t>Refill</t>
        </is>
      </c>
      <c r="D1527" t="inlineStr">
        <is>
          <t>Primer Cachos</t>
        </is>
      </c>
      <c r="E1527" t="n">
        <v>1</v>
      </c>
      <c r="F1527" t="inlineStr">
        <is>
          <t>2026-01-21</t>
        </is>
      </c>
      <c r="G1527" t="n">
        <v>164</v>
      </c>
      <c r="H1527" t="inlineStr">
        <is>
          <t>Y</t>
        </is>
      </c>
      <c r="I1527">
        <f>HYPERLINK("https://admin.shopify.com/store/ge-beauty-cosmeticos/customers/10074302972224","abrir")</f>
        <v/>
      </c>
      <c r="J1527">
        <f>HYPERLINK("https://www.gebeauty.com.br/products/primer-cachos-definidos?ref=review","review")</f>
        <v/>
      </c>
      <c r="K1527" t="inlineStr">
        <is>
          <t>SEND</t>
        </is>
      </c>
    </row>
    <row r="1528">
      <c r="A1528" t="inlineStr">
        <is>
          <t>Nilceia</t>
        </is>
      </c>
      <c r="B1528" t="inlineStr">
        <is>
          <t>+5511992111983</t>
        </is>
      </c>
      <c r="C1528" t="inlineStr">
        <is>
          <t>Refill</t>
        </is>
      </c>
      <c r="D1528" t="inlineStr">
        <is>
          <t>Primer Cachos</t>
        </is>
      </c>
      <c r="E1528" t="n">
        <v>1</v>
      </c>
      <c r="F1528" t="inlineStr">
        <is>
          <t>2026-01-21</t>
        </is>
      </c>
      <c r="G1528" t="n">
        <v>164</v>
      </c>
      <c r="H1528" t="inlineStr">
        <is>
          <t>Y</t>
        </is>
      </c>
      <c r="I1528">
        <f>HYPERLINK("https://admin.shopify.com/store/ge-beauty-cosmeticos/customers/10074289537344","abrir")</f>
        <v/>
      </c>
      <c r="J1528">
        <f>HYPERLINK("https://www.gebeauty.com.br/products/primer-cachos-definidos?ref=review","review")</f>
        <v/>
      </c>
      <c r="K1528" t="inlineStr">
        <is>
          <t>SEND</t>
        </is>
      </c>
    </row>
    <row r="1529">
      <c r="A1529" t="inlineStr">
        <is>
          <t>Natalia</t>
        </is>
      </c>
      <c r="B1529" t="inlineStr">
        <is>
          <t>+5511980546313</t>
        </is>
      </c>
      <c r="C1529" t="inlineStr">
        <is>
          <t>Refill</t>
        </is>
      </c>
      <c r="D1529" t="inlineStr">
        <is>
          <t>Primer Cachos</t>
        </is>
      </c>
      <c r="E1529" t="n">
        <v>1</v>
      </c>
      <c r="F1529" t="inlineStr">
        <is>
          <t>2026-01-21</t>
        </is>
      </c>
      <c r="G1529" t="n">
        <v>164</v>
      </c>
      <c r="H1529" t="inlineStr">
        <is>
          <t>Y</t>
        </is>
      </c>
      <c r="I1529">
        <f>HYPERLINK("https://admin.shopify.com/store/ge-beauty-cosmeticos/customers/9715392119104","abrir")</f>
        <v/>
      </c>
      <c r="J1529">
        <f>HYPERLINK("https://www.gebeauty.com.br/products/primer-cachos-definidos?ref=review","review")</f>
        <v/>
      </c>
      <c r="K1529" t="inlineStr">
        <is>
          <t>SEND</t>
        </is>
      </c>
    </row>
    <row r="1530">
      <c r="A1530" t="inlineStr">
        <is>
          <t>Angela Regina</t>
        </is>
      </c>
      <c r="B1530" t="inlineStr">
        <is>
          <t>+5554981390553</t>
        </is>
      </c>
      <c r="C1530" t="inlineStr">
        <is>
          <t>Refill</t>
        </is>
      </c>
      <c r="D1530" t="inlineStr">
        <is>
          <t>Primer Cachos</t>
        </is>
      </c>
      <c r="E1530" t="n">
        <v>1</v>
      </c>
      <c r="F1530" t="inlineStr">
        <is>
          <t>2026-01-21</t>
        </is>
      </c>
      <c r="G1530" t="n">
        <v>164</v>
      </c>
      <c r="H1530" t="inlineStr">
        <is>
          <t>Y</t>
        </is>
      </c>
      <c r="I1530">
        <f>HYPERLINK("https://admin.shopify.com/store/ge-beauty-cosmeticos/customers/10074315424064","abrir")</f>
        <v/>
      </c>
      <c r="J1530">
        <f>HYPERLINK("https://www.gebeauty.com.br/products/primer-cachos-definidos?ref=review","review")</f>
        <v/>
      </c>
      <c r="K1530" t="inlineStr">
        <is>
          <t>SEND</t>
        </is>
      </c>
    </row>
    <row r="1531">
      <c r="A1531" t="inlineStr">
        <is>
          <t>Vanessa</t>
        </is>
      </c>
      <c r="B1531" t="inlineStr">
        <is>
          <t>+5511992775883</t>
        </is>
      </c>
      <c r="C1531" t="inlineStr">
        <is>
          <t>Refill</t>
        </is>
      </c>
      <c r="D1531" t="inlineStr">
        <is>
          <t>Primer Cachos</t>
        </is>
      </c>
      <c r="E1531" t="n">
        <v>1</v>
      </c>
      <c r="F1531" t="inlineStr">
        <is>
          <t>2026-01-21</t>
        </is>
      </c>
      <c r="G1531" t="n">
        <v>164</v>
      </c>
      <c r="H1531" t="inlineStr">
        <is>
          <t>Y</t>
        </is>
      </c>
      <c r="I1531">
        <f>HYPERLINK("https://admin.shopify.com/store/ge-beauty-cosmeticos/customers/10074320437568","abrir")</f>
        <v/>
      </c>
      <c r="J1531">
        <f>HYPERLINK("https://www.gebeauty.com.br/products/primer-cachos-definidos?ref=review","review")</f>
        <v/>
      </c>
      <c r="K1531" t="inlineStr">
        <is>
          <t>SEND</t>
        </is>
      </c>
    </row>
    <row r="1532">
      <c r="A1532" t="inlineStr">
        <is>
          <t>Monica</t>
        </is>
      </c>
      <c r="B1532" t="inlineStr">
        <is>
          <t>+5511975336431</t>
        </is>
      </c>
      <c r="C1532" t="inlineStr">
        <is>
          <t>Refill</t>
        </is>
      </c>
      <c r="D1532" t="inlineStr">
        <is>
          <t>Primer Cachos</t>
        </is>
      </c>
      <c r="E1532" t="n">
        <v>1</v>
      </c>
      <c r="F1532" t="inlineStr">
        <is>
          <t>2026-01-21</t>
        </is>
      </c>
      <c r="G1532" t="n">
        <v>164</v>
      </c>
      <c r="H1532" t="inlineStr">
        <is>
          <t>Y</t>
        </is>
      </c>
      <c r="I1532">
        <f>HYPERLINK("https://admin.shopify.com/store/ge-beauty-cosmeticos/customers/10073151144256","abrir")</f>
        <v/>
      </c>
      <c r="J1532">
        <f>HYPERLINK("https://www.gebeauty.com.br/products/primer-cachos-definidos?ref=review","review")</f>
        <v/>
      </c>
      <c r="K1532" t="inlineStr">
        <is>
          <t>SEND</t>
        </is>
      </c>
    </row>
    <row r="1533">
      <c r="A1533" t="inlineStr">
        <is>
          <t>Ivanice</t>
        </is>
      </c>
      <c r="B1533" t="inlineStr">
        <is>
          <t>+5511996442232</t>
        </is>
      </c>
      <c r="C1533" t="inlineStr">
        <is>
          <t>Refill</t>
        </is>
      </c>
      <c r="D1533" t="inlineStr">
        <is>
          <t>Primer Cachos</t>
        </is>
      </c>
      <c r="E1533" t="n">
        <v>1</v>
      </c>
      <c r="F1533" t="inlineStr">
        <is>
          <t>2026-01-21</t>
        </is>
      </c>
      <c r="G1533" t="n">
        <v>164</v>
      </c>
      <c r="H1533" t="inlineStr">
        <is>
          <t>Y</t>
        </is>
      </c>
      <c r="I1533">
        <f>HYPERLINK("https://admin.shopify.com/store/ge-beauty-cosmeticos/customers/10074322239808","abrir")</f>
        <v/>
      </c>
      <c r="J1533">
        <f>HYPERLINK("https://www.gebeauty.com.br/products/primer-cachos-definidos?ref=review","review")</f>
        <v/>
      </c>
      <c r="K1533" t="inlineStr">
        <is>
          <t>SEND</t>
        </is>
      </c>
    </row>
    <row r="1534">
      <c r="A1534" t="inlineStr">
        <is>
          <t>Renata</t>
        </is>
      </c>
      <c r="B1534" t="inlineStr">
        <is>
          <t>+5511947041098</t>
        </is>
      </c>
      <c r="C1534" t="inlineStr">
        <is>
          <t>Refill</t>
        </is>
      </c>
      <c r="D1534" t="inlineStr">
        <is>
          <t>Primer Cachos</t>
        </is>
      </c>
      <c r="E1534" t="n">
        <v>1</v>
      </c>
      <c r="F1534" t="inlineStr">
        <is>
          <t>2026-01-21</t>
        </is>
      </c>
      <c r="G1534" t="n">
        <v>164</v>
      </c>
      <c r="H1534" t="inlineStr">
        <is>
          <t>Y</t>
        </is>
      </c>
      <c r="I1534">
        <f>HYPERLINK("https://admin.shopify.com/store/ge-beauty-cosmeticos/customers/10074321191232","abrir")</f>
        <v/>
      </c>
      <c r="J1534">
        <f>HYPERLINK("https://www.gebeauty.com.br/products/primer-cachos-definidos?ref=review","review")</f>
        <v/>
      </c>
      <c r="K1534" t="inlineStr">
        <is>
          <t>SEND</t>
        </is>
      </c>
    </row>
    <row r="1535">
      <c r="A1535" t="inlineStr">
        <is>
          <t>Luciana</t>
        </is>
      </c>
      <c r="B1535" t="inlineStr">
        <is>
          <t>+5511984248768</t>
        </is>
      </c>
      <c r="C1535" t="inlineStr">
        <is>
          <t>Refill</t>
        </is>
      </c>
      <c r="D1535" t="inlineStr">
        <is>
          <t>Primer Cachos</t>
        </is>
      </c>
      <c r="E1535" t="n">
        <v>1</v>
      </c>
      <c r="F1535" t="inlineStr">
        <is>
          <t>2026-01-21</t>
        </is>
      </c>
      <c r="G1535" t="n">
        <v>164</v>
      </c>
      <c r="H1535" t="inlineStr">
        <is>
          <t>Y</t>
        </is>
      </c>
      <c r="I1535">
        <f>HYPERLINK("https://admin.shopify.com/store/ge-beauty-cosmeticos/customers/9898020012352","abrir")</f>
        <v/>
      </c>
      <c r="J1535">
        <f>HYPERLINK("https://www.gebeauty.com.br/products/primer-cachos-definidos?ref=review","review")</f>
        <v/>
      </c>
      <c r="K1535" t="inlineStr">
        <is>
          <t>SEND</t>
        </is>
      </c>
    </row>
    <row r="1536">
      <c r="A1536" t="inlineStr">
        <is>
          <t>Valéria</t>
        </is>
      </c>
      <c r="B1536" t="inlineStr">
        <is>
          <t>+5561981263228</t>
        </is>
      </c>
      <c r="C1536" t="inlineStr">
        <is>
          <t>Refill</t>
        </is>
      </c>
      <c r="D1536" t="inlineStr">
        <is>
          <t>Primer Cachos</t>
        </is>
      </c>
      <c r="E1536" t="n">
        <v>1</v>
      </c>
      <c r="F1536" t="inlineStr">
        <is>
          <t>2026-01-21</t>
        </is>
      </c>
      <c r="G1536" t="n">
        <v>164</v>
      </c>
      <c r="H1536" t="inlineStr">
        <is>
          <t>N</t>
        </is>
      </c>
      <c r="I1536">
        <f>HYPERLINK("https://admin.shopify.com/store/ge-beauty-cosmeticos/customers/7762621792576","abrir")</f>
        <v/>
      </c>
      <c r="J1536">
        <f>HYPERLINK("https://www.gebeauty.com.br/products/primer-cachos-definidos?ref=review","review")</f>
        <v/>
      </c>
      <c r="K1536" t="inlineStr">
        <is>
          <t>SEND</t>
        </is>
      </c>
    </row>
    <row r="1537">
      <c r="A1537" t="inlineStr">
        <is>
          <t>Joyce</t>
        </is>
      </c>
      <c r="B1537" t="inlineStr">
        <is>
          <t>+5511982736342</t>
        </is>
      </c>
      <c r="C1537" t="inlineStr">
        <is>
          <t>Refill</t>
        </is>
      </c>
      <c r="D1537" t="inlineStr">
        <is>
          <t>Primer Cachos</t>
        </is>
      </c>
      <c r="E1537" t="n">
        <v>1</v>
      </c>
      <c r="F1537" t="inlineStr">
        <is>
          <t>2026-01-21</t>
        </is>
      </c>
      <c r="G1537" t="n">
        <v>164</v>
      </c>
      <c r="H1537" t="inlineStr">
        <is>
          <t>Y</t>
        </is>
      </c>
      <c r="I1537">
        <f>HYPERLINK("https://admin.shopify.com/store/ge-beauty-cosmeticos/customers/10074320372032","abrir")</f>
        <v/>
      </c>
      <c r="J1537">
        <f>HYPERLINK("https://www.gebeauty.com.br/products/primer-cachos-definidos?ref=review","review")</f>
        <v/>
      </c>
      <c r="K1537" t="inlineStr">
        <is>
          <t>SEND</t>
        </is>
      </c>
    </row>
    <row r="1538">
      <c r="A1538" t="inlineStr">
        <is>
          <t>Simone</t>
        </is>
      </c>
      <c r="B1538" t="inlineStr">
        <is>
          <t>+5512981211702</t>
        </is>
      </c>
      <c r="C1538" t="inlineStr">
        <is>
          <t>Refill</t>
        </is>
      </c>
      <c r="D1538" t="inlineStr">
        <is>
          <t>Primer Cachos</t>
        </is>
      </c>
      <c r="E1538" t="n">
        <v>1</v>
      </c>
      <c r="F1538" t="inlineStr">
        <is>
          <t>2026-01-21</t>
        </is>
      </c>
      <c r="G1538" t="n">
        <v>164</v>
      </c>
      <c r="H1538" t="inlineStr">
        <is>
          <t>Y</t>
        </is>
      </c>
      <c r="I1538">
        <f>HYPERLINK("https://admin.shopify.com/store/ge-beauty-cosmeticos/customers/10074316800320","abrir")</f>
        <v/>
      </c>
      <c r="J1538">
        <f>HYPERLINK("https://www.gebeauty.com.br/products/primer-cachos-definidos?ref=review","review")</f>
        <v/>
      </c>
      <c r="K1538" t="inlineStr">
        <is>
          <t>SEND</t>
        </is>
      </c>
    </row>
    <row r="1539">
      <c r="A1539" t="inlineStr">
        <is>
          <t>Camila</t>
        </is>
      </c>
      <c r="B1539" t="inlineStr">
        <is>
          <t>+5519981285610</t>
        </is>
      </c>
      <c r="C1539" t="inlineStr">
        <is>
          <t>Refill</t>
        </is>
      </c>
      <c r="D1539" t="inlineStr">
        <is>
          <t>Primer Cachos</t>
        </is>
      </c>
      <c r="E1539" t="n">
        <v>1</v>
      </c>
      <c r="F1539" t="inlineStr">
        <is>
          <t>2026-01-21</t>
        </is>
      </c>
      <c r="G1539" t="n">
        <v>164</v>
      </c>
      <c r="H1539" t="inlineStr">
        <is>
          <t>Y</t>
        </is>
      </c>
      <c r="I1539">
        <f>HYPERLINK("https://admin.shopify.com/store/ge-beauty-cosmeticos/customers/10074329153856","abrir")</f>
        <v/>
      </c>
      <c r="J1539">
        <f>HYPERLINK("https://www.gebeauty.com.br/products/primer-cachos-definidos?ref=review","review")</f>
        <v/>
      </c>
      <c r="K1539" t="inlineStr">
        <is>
          <t>HOLDOUT</t>
        </is>
      </c>
    </row>
    <row r="1540">
      <c r="A1540" t="inlineStr">
        <is>
          <t>Camila</t>
        </is>
      </c>
      <c r="B1540" t="inlineStr">
        <is>
          <t>+5551995784037</t>
        </is>
      </c>
      <c r="C1540" t="inlineStr">
        <is>
          <t>Refill</t>
        </is>
      </c>
      <c r="D1540" t="inlineStr">
        <is>
          <t>Primer Cachos</t>
        </is>
      </c>
      <c r="E1540" t="n">
        <v>1</v>
      </c>
      <c r="F1540" t="inlineStr">
        <is>
          <t>2026-01-21</t>
        </is>
      </c>
      <c r="G1540" t="n">
        <v>164</v>
      </c>
      <c r="H1540" t="inlineStr">
        <is>
          <t>Y</t>
        </is>
      </c>
      <c r="I1540">
        <f>HYPERLINK("https://admin.shopify.com/store/ge-beauty-cosmeticos/customers/9485167788352","abrir")</f>
        <v/>
      </c>
      <c r="J1540">
        <f>HYPERLINK("https://www.gebeauty.com.br/products/primer-cachos-definidos?ref=review","review")</f>
        <v/>
      </c>
      <c r="K1540" t="inlineStr">
        <is>
          <t>SEND</t>
        </is>
      </c>
    </row>
    <row r="1541">
      <c r="A1541" t="inlineStr">
        <is>
          <t>Alessandra</t>
        </is>
      </c>
      <c r="B1541" t="inlineStr">
        <is>
          <t>+5511996301823</t>
        </is>
      </c>
      <c r="C1541" t="inlineStr">
        <is>
          <t>Refill</t>
        </is>
      </c>
      <c r="D1541" t="inlineStr">
        <is>
          <t>Primer Cachos</t>
        </is>
      </c>
      <c r="E1541" t="n">
        <v>1</v>
      </c>
      <c r="F1541" t="inlineStr">
        <is>
          <t>2026-01-21</t>
        </is>
      </c>
      <c r="G1541" t="n">
        <v>164</v>
      </c>
      <c r="H1541" t="inlineStr">
        <is>
          <t>Y</t>
        </is>
      </c>
      <c r="I1541">
        <f>HYPERLINK("https://admin.shopify.com/store/ge-beauty-cosmeticos/customers/9865559179584","abrir")</f>
        <v/>
      </c>
      <c r="J1541">
        <f>HYPERLINK("https://www.gebeauty.com.br/products/primer-cachos-definidos?ref=review","review")</f>
        <v/>
      </c>
      <c r="K1541" t="inlineStr">
        <is>
          <t>SEND</t>
        </is>
      </c>
    </row>
    <row r="1542">
      <c r="A1542" t="inlineStr">
        <is>
          <t>Patricia</t>
        </is>
      </c>
      <c r="B1542" t="inlineStr">
        <is>
          <t>+5511983832216</t>
        </is>
      </c>
      <c r="C1542" t="inlineStr">
        <is>
          <t>Refill</t>
        </is>
      </c>
      <c r="D1542" t="inlineStr">
        <is>
          <t>Primer Cachos</t>
        </is>
      </c>
      <c r="E1542" t="n">
        <v>1</v>
      </c>
      <c r="F1542" t="inlineStr">
        <is>
          <t>2026-01-21</t>
        </is>
      </c>
      <c r="G1542" t="n">
        <v>164</v>
      </c>
      <c r="H1542" t="inlineStr">
        <is>
          <t>Y</t>
        </is>
      </c>
      <c r="I1542">
        <f>HYPERLINK("https://admin.shopify.com/store/ge-beauty-cosmeticos/customers/10074332823872","abrir")</f>
        <v/>
      </c>
      <c r="J1542">
        <f>HYPERLINK("https://www.gebeauty.com.br/products/primer-cachos-definidos?ref=review","review")</f>
        <v/>
      </c>
      <c r="K1542" t="inlineStr">
        <is>
          <t>SEND</t>
        </is>
      </c>
    </row>
    <row r="1543">
      <c r="A1543" t="inlineStr">
        <is>
          <t>Cristiane</t>
        </is>
      </c>
      <c r="B1543" t="inlineStr">
        <is>
          <t>+5585999036660</t>
        </is>
      </c>
      <c r="C1543" t="inlineStr">
        <is>
          <t>Refill</t>
        </is>
      </c>
      <c r="D1543" t="inlineStr">
        <is>
          <t>Primer Cachos</t>
        </is>
      </c>
      <c r="E1543" t="n">
        <v>1</v>
      </c>
      <c r="F1543" t="inlineStr">
        <is>
          <t>2026-01-21</t>
        </is>
      </c>
      <c r="G1543" t="n">
        <v>164</v>
      </c>
      <c r="H1543" t="inlineStr">
        <is>
          <t>Y</t>
        </is>
      </c>
      <c r="I1543">
        <f>HYPERLINK("https://admin.shopify.com/store/ge-beauty-cosmeticos/customers/10074330693952","abrir")</f>
        <v/>
      </c>
      <c r="J1543">
        <f>HYPERLINK("https://www.gebeauty.com.br/products/primer-cachos-definidos?ref=review","review")</f>
        <v/>
      </c>
      <c r="K1543" t="inlineStr">
        <is>
          <t>SEND</t>
        </is>
      </c>
    </row>
    <row r="1544">
      <c r="A1544" t="inlineStr">
        <is>
          <t>Camila</t>
        </is>
      </c>
      <c r="B1544" t="inlineStr">
        <is>
          <t>+5591981297691</t>
        </is>
      </c>
      <c r="C1544" t="inlineStr">
        <is>
          <t>Refill</t>
        </is>
      </c>
      <c r="D1544" t="inlineStr">
        <is>
          <t>Primer Cachos</t>
        </is>
      </c>
      <c r="E1544" t="n">
        <v>1</v>
      </c>
      <c r="F1544" t="inlineStr">
        <is>
          <t>2026-01-21</t>
        </is>
      </c>
      <c r="G1544" t="n">
        <v>164</v>
      </c>
      <c r="H1544" t="inlineStr">
        <is>
          <t>Y</t>
        </is>
      </c>
      <c r="I1544">
        <f>HYPERLINK("https://admin.shopify.com/store/ge-beauty-cosmeticos/customers/10074341245248","abrir")</f>
        <v/>
      </c>
      <c r="J1544">
        <f>HYPERLINK("https://www.gebeauty.com.br/products/primer-cachos-definidos?ref=review","review")</f>
        <v/>
      </c>
      <c r="K1544" t="inlineStr">
        <is>
          <t>SEND</t>
        </is>
      </c>
    </row>
    <row r="1545">
      <c r="A1545" t="inlineStr">
        <is>
          <t>Tatiane</t>
        </is>
      </c>
      <c r="B1545" t="inlineStr">
        <is>
          <t>+5517981129423</t>
        </is>
      </c>
      <c r="C1545" t="inlineStr">
        <is>
          <t>Refill</t>
        </is>
      </c>
      <c r="D1545" t="inlineStr">
        <is>
          <t>Primer Cachos</t>
        </is>
      </c>
      <c r="E1545" t="n">
        <v>1</v>
      </c>
      <c r="F1545" t="inlineStr">
        <is>
          <t>2026-01-21</t>
        </is>
      </c>
      <c r="G1545" t="n">
        <v>164</v>
      </c>
      <c r="H1545" t="inlineStr">
        <is>
          <t>Y</t>
        </is>
      </c>
      <c r="I1545">
        <f>HYPERLINK("https://admin.shopify.com/store/ge-beauty-cosmeticos/customers/10074329809216","abrir")</f>
        <v/>
      </c>
      <c r="J1545">
        <f>HYPERLINK("https://www.gebeauty.com.br/products/primer-cachos-definidos?ref=review","review")</f>
        <v/>
      </c>
      <c r="K1545" t="inlineStr">
        <is>
          <t>SEND</t>
        </is>
      </c>
    </row>
    <row r="1546">
      <c r="A1546" t="inlineStr">
        <is>
          <t>Tatiana</t>
        </is>
      </c>
      <c r="B1546" t="inlineStr">
        <is>
          <t>+5511943245819</t>
        </is>
      </c>
      <c r="C1546" t="inlineStr">
        <is>
          <t>Refill</t>
        </is>
      </c>
      <c r="D1546" t="inlineStr">
        <is>
          <t>Primer Cachos</t>
        </is>
      </c>
      <c r="E1546" t="n">
        <v>1</v>
      </c>
      <c r="F1546" t="inlineStr">
        <is>
          <t>2026-01-21</t>
        </is>
      </c>
      <c r="G1546" t="n">
        <v>164</v>
      </c>
      <c r="H1546" t="inlineStr">
        <is>
          <t>Y</t>
        </is>
      </c>
      <c r="I1546">
        <f>HYPERLINK("https://admin.shopify.com/store/ge-beauty-cosmeticos/customers/9484957548864","abrir")</f>
        <v/>
      </c>
      <c r="J1546">
        <f>HYPERLINK("https://www.gebeauty.com.br/products/primer-cachos-definidos?ref=review","review")</f>
        <v/>
      </c>
      <c r="K1546" t="inlineStr">
        <is>
          <t>SEND</t>
        </is>
      </c>
    </row>
    <row r="1547">
      <c r="A1547" t="inlineStr">
        <is>
          <t>Vanessa</t>
        </is>
      </c>
      <c r="B1547" t="inlineStr">
        <is>
          <t>+5521982401585</t>
        </is>
      </c>
      <c r="C1547" t="inlineStr">
        <is>
          <t>Refill</t>
        </is>
      </c>
      <c r="D1547" t="inlineStr">
        <is>
          <t>Primer Cachos</t>
        </is>
      </c>
      <c r="E1547" t="n">
        <v>1</v>
      </c>
      <c r="F1547" t="inlineStr">
        <is>
          <t>2026-01-21</t>
        </is>
      </c>
      <c r="G1547" t="n">
        <v>164</v>
      </c>
      <c r="H1547" t="inlineStr">
        <is>
          <t>Y</t>
        </is>
      </c>
      <c r="I1547">
        <f>HYPERLINK("https://admin.shopify.com/store/ge-beauty-cosmeticos/customers/10074337378624","abrir")</f>
        <v/>
      </c>
      <c r="J1547">
        <f>HYPERLINK("https://www.gebeauty.com.br/products/primer-cachos-definidos?ref=review","review")</f>
        <v/>
      </c>
      <c r="K1547" t="inlineStr">
        <is>
          <t>HOLDOUT</t>
        </is>
      </c>
    </row>
    <row r="1548">
      <c r="A1548" t="inlineStr">
        <is>
          <t>Carla</t>
        </is>
      </c>
      <c r="B1548" t="inlineStr">
        <is>
          <t>+5521998620909</t>
        </is>
      </c>
      <c r="C1548" t="inlineStr">
        <is>
          <t>Refill</t>
        </is>
      </c>
      <c r="D1548" t="inlineStr">
        <is>
          <t>Primer Cachos</t>
        </is>
      </c>
      <c r="E1548" t="n">
        <v>1</v>
      </c>
      <c r="F1548" t="inlineStr">
        <is>
          <t>2026-01-21</t>
        </is>
      </c>
      <c r="G1548" t="n">
        <v>164</v>
      </c>
      <c r="H1548" t="inlineStr">
        <is>
          <t>Y</t>
        </is>
      </c>
      <c r="I1548">
        <f>HYPERLINK("https://admin.shopify.com/store/ge-beauty-cosmeticos/customers/10074347995456","abrir")</f>
        <v/>
      </c>
      <c r="J1548">
        <f>HYPERLINK("https://www.gebeauty.com.br/products/primer-cachos-definidos?ref=review","review")</f>
        <v/>
      </c>
      <c r="K1548" t="inlineStr">
        <is>
          <t>SEND</t>
        </is>
      </c>
    </row>
    <row r="1549">
      <c r="A1549" t="inlineStr">
        <is>
          <t>Cynthia</t>
        </is>
      </c>
      <c r="B1549" t="inlineStr">
        <is>
          <t>+5584988981413</t>
        </is>
      </c>
      <c r="C1549" t="inlineStr">
        <is>
          <t>Refill</t>
        </is>
      </c>
      <c r="D1549" t="inlineStr">
        <is>
          <t>Primer Cachos</t>
        </is>
      </c>
      <c r="E1549" t="n">
        <v>1</v>
      </c>
      <c r="F1549" t="inlineStr">
        <is>
          <t>2026-01-21</t>
        </is>
      </c>
      <c r="G1549" t="n">
        <v>164</v>
      </c>
      <c r="H1549" t="inlineStr">
        <is>
          <t>Y</t>
        </is>
      </c>
      <c r="I1549">
        <f>HYPERLINK("https://admin.shopify.com/store/ge-beauty-cosmeticos/customers/10074338492736","abrir")</f>
        <v/>
      </c>
      <c r="J1549">
        <f>HYPERLINK("https://www.gebeauty.com.br/products/primer-cachos-definidos?ref=review","review")</f>
        <v/>
      </c>
      <c r="K1549" t="inlineStr">
        <is>
          <t>SEND</t>
        </is>
      </c>
    </row>
    <row r="1550">
      <c r="A1550" t="inlineStr">
        <is>
          <t>Karina</t>
        </is>
      </c>
      <c r="B1550" t="inlineStr">
        <is>
          <t>+5534999277066</t>
        </is>
      </c>
      <c r="C1550" t="inlineStr">
        <is>
          <t>Refill</t>
        </is>
      </c>
      <c r="D1550" t="inlineStr">
        <is>
          <t>Primer Cachos</t>
        </is>
      </c>
      <c r="E1550" t="n">
        <v>1</v>
      </c>
      <c r="F1550" t="inlineStr">
        <is>
          <t>2026-01-21</t>
        </is>
      </c>
      <c r="G1550" t="n">
        <v>164</v>
      </c>
      <c r="H1550" t="inlineStr">
        <is>
          <t>Y</t>
        </is>
      </c>
      <c r="I1550">
        <f>HYPERLINK("https://admin.shopify.com/store/ge-beauty-cosmeticos/customers/10074345963840","abrir")</f>
        <v/>
      </c>
      <c r="J1550">
        <f>HYPERLINK("https://www.gebeauty.com.br/products/primer-cachos-definidos?ref=review","review")</f>
        <v/>
      </c>
      <c r="K1550" t="inlineStr">
        <is>
          <t>SEND</t>
        </is>
      </c>
    </row>
    <row r="1551">
      <c r="A1551" t="inlineStr">
        <is>
          <t>Lais</t>
        </is>
      </c>
      <c r="B1551" t="inlineStr">
        <is>
          <t>+5511965661001</t>
        </is>
      </c>
      <c r="C1551" t="inlineStr">
        <is>
          <t>Refill</t>
        </is>
      </c>
      <c r="D1551" t="inlineStr">
        <is>
          <t>Primer Cachos</t>
        </is>
      </c>
      <c r="E1551" t="n">
        <v>1</v>
      </c>
      <c r="F1551" t="inlineStr">
        <is>
          <t>2026-01-21</t>
        </is>
      </c>
      <c r="G1551" t="n">
        <v>164</v>
      </c>
      <c r="H1551" t="inlineStr">
        <is>
          <t>Y</t>
        </is>
      </c>
      <c r="I1551">
        <f>HYPERLINK("https://admin.shopify.com/store/ge-beauty-cosmeticos/customers/10074362020160","abrir")</f>
        <v/>
      </c>
      <c r="J1551">
        <f>HYPERLINK("https://www.gebeauty.com.br/products/primer-cachos-definidos?ref=review","review")</f>
        <v/>
      </c>
      <c r="K1551" t="inlineStr">
        <is>
          <t>SEND</t>
        </is>
      </c>
    </row>
    <row r="1552">
      <c r="A1552" t="inlineStr">
        <is>
          <t>Liliane</t>
        </is>
      </c>
      <c r="B1552" t="inlineStr">
        <is>
          <t>+5532988335477</t>
        </is>
      </c>
      <c r="C1552" t="inlineStr">
        <is>
          <t>Refill</t>
        </is>
      </c>
      <c r="D1552" t="inlineStr">
        <is>
          <t>Primer Cachos</t>
        </is>
      </c>
      <c r="E1552" t="n">
        <v>1</v>
      </c>
      <c r="F1552" t="inlineStr">
        <is>
          <t>2026-01-21</t>
        </is>
      </c>
      <c r="G1552" t="n">
        <v>164</v>
      </c>
      <c r="H1552" t="inlineStr">
        <is>
          <t>Y</t>
        </is>
      </c>
      <c r="I1552">
        <f>HYPERLINK("https://admin.shopify.com/store/ge-beauty-cosmeticos/customers/10074358055232","abrir")</f>
        <v/>
      </c>
      <c r="J1552">
        <f>HYPERLINK("https://www.gebeauty.com.br/products/primer-cachos-definidos?ref=review","review")</f>
        <v/>
      </c>
      <c r="K1552" t="inlineStr">
        <is>
          <t>SEND</t>
        </is>
      </c>
    </row>
    <row r="1553">
      <c r="A1553" t="inlineStr">
        <is>
          <t>Elaine</t>
        </is>
      </c>
      <c r="B1553" t="inlineStr">
        <is>
          <t>+5511996371116</t>
        </is>
      </c>
      <c r="C1553" t="inlineStr">
        <is>
          <t>Refill</t>
        </is>
      </c>
      <c r="D1553" t="inlineStr">
        <is>
          <t>Primer Cachos</t>
        </is>
      </c>
      <c r="E1553" t="n">
        <v>1</v>
      </c>
      <c r="F1553" t="inlineStr">
        <is>
          <t>2026-01-21</t>
        </is>
      </c>
      <c r="G1553" t="n">
        <v>164</v>
      </c>
      <c r="H1553" t="inlineStr">
        <is>
          <t>Y</t>
        </is>
      </c>
      <c r="I1553">
        <f>HYPERLINK("https://admin.shopify.com/store/ge-beauty-cosmeticos/customers/10074358481216","abrir")</f>
        <v/>
      </c>
      <c r="J1553">
        <f>HYPERLINK("https://www.gebeauty.com.br/products/primer-cachos-definidos?ref=review","review")</f>
        <v/>
      </c>
      <c r="K1553" t="inlineStr">
        <is>
          <t>SEND</t>
        </is>
      </c>
    </row>
    <row r="1554">
      <c r="A1554" t="inlineStr">
        <is>
          <t>Angelita</t>
        </is>
      </c>
      <c r="B1554" t="inlineStr">
        <is>
          <t>+5551992541524</t>
        </is>
      </c>
      <c r="C1554" t="inlineStr">
        <is>
          <t>Refill</t>
        </is>
      </c>
      <c r="D1554" t="inlineStr">
        <is>
          <t>Primer Cachos</t>
        </is>
      </c>
      <c r="E1554" t="n">
        <v>1</v>
      </c>
      <c r="F1554" t="inlineStr">
        <is>
          <t>2026-01-21</t>
        </is>
      </c>
      <c r="G1554" t="n">
        <v>164</v>
      </c>
      <c r="H1554" t="inlineStr">
        <is>
          <t>Y</t>
        </is>
      </c>
      <c r="I1554">
        <f>HYPERLINK("https://admin.shopify.com/store/ge-beauty-cosmeticos/customers/10074359464256","abrir")</f>
        <v/>
      </c>
      <c r="J1554">
        <f>HYPERLINK("https://www.gebeauty.com.br/products/primer-cachos-definidos?ref=review","review")</f>
        <v/>
      </c>
      <c r="K1554" t="inlineStr">
        <is>
          <t>SEND</t>
        </is>
      </c>
    </row>
    <row r="1555">
      <c r="A1555" t="inlineStr">
        <is>
          <t>Andreia</t>
        </is>
      </c>
      <c r="B1555" t="inlineStr">
        <is>
          <t>+5549998233371</t>
        </is>
      </c>
      <c r="C1555" t="inlineStr">
        <is>
          <t>Refill</t>
        </is>
      </c>
      <c r="D1555" t="inlineStr">
        <is>
          <t>Primer Cachos</t>
        </is>
      </c>
      <c r="E1555" t="n">
        <v>1</v>
      </c>
      <c r="F1555" t="inlineStr">
        <is>
          <t>2026-01-21</t>
        </is>
      </c>
      <c r="G1555" t="n">
        <v>164</v>
      </c>
      <c r="H1555" t="inlineStr">
        <is>
          <t>Y</t>
        </is>
      </c>
      <c r="I1555">
        <f>HYPERLINK("https://admin.shopify.com/store/ge-beauty-cosmeticos/customers/10074351862080","abrir")</f>
        <v/>
      </c>
      <c r="J1555">
        <f>HYPERLINK("https://www.gebeauty.com.br/products/primer-cachos-definidos?ref=review","review")</f>
        <v/>
      </c>
      <c r="K1555" t="inlineStr">
        <is>
          <t>HOLDOUT</t>
        </is>
      </c>
    </row>
    <row r="1556">
      <c r="A1556" t="inlineStr">
        <is>
          <t>Renata</t>
        </is>
      </c>
      <c r="B1556" t="inlineStr">
        <is>
          <t>+5511996462188</t>
        </is>
      </c>
      <c r="C1556" t="inlineStr">
        <is>
          <t>Refill</t>
        </is>
      </c>
      <c r="D1556" t="inlineStr">
        <is>
          <t>Primer Cachos</t>
        </is>
      </c>
      <c r="E1556" t="n">
        <v>1</v>
      </c>
      <c r="F1556" t="inlineStr">
        <is>
          <t>2026-01-21</t>
        </is>
      </c>
      <c r="G1556" t="n">
        <v>164</v>
      </c>
      <c r="H1556" t="inlineStr">
        <is>
          <t>Y</t>
        </is>
      </c>
      <c r="I1556">
        <f>HYPERLINK("https://admin.shopify.com/store/ge-beauty-cosmeticos/customers/10074347045184","abrir")</f>
        <v/>
      </c>
      <c r="J1556">
        <f>HYPERLINK("https://www.gebeauty.com.br/products/primer-cachos-definidos?ref=review","review")</f>
        <v/>
      </c>
      <c r="K1556" t="inlineStr">
        <is>
          <t>SEND</t>
        </is>
      </c>
    </row>
    <row r="1557">
      <c r="A1557" t="inlineStr">
        <is>
          <t>Ariane</t>
        </is>
      </c>
      <c r="B1557" t="inlineStr">
        <is>
          <t>+5541996081469</t>
        </is>
      </c>
      <c r="C1557" t="inlineStr">
        <is>
          <t>Refill</t>
        </is>
      </c>
      <c r="D1557" t="inlineStr">
        <is>
          <t>Primer Cachos</t>
        </is>
      </c>
      <c r="E1557" t="n">
        <v>1</v>
      </c>
      <c r="F1557" t="inlineStr">
        <is>
          <t>2026-01-21</t>
        </is>
      </c>
      <c r="G1557" t="n">
        <v>164</v>
      </c>
      <c r="H1557" t="inlineStr">
        <is>
          <t>Y</t>
        </is>
      </c>
      <c r="I1557">
        <f>HYPERLINK("https://admin.shopify.com/store/ge-beauty-cosmeticos/customers/10031705325888","abrir")</f>
        <v/>
      </c>
      <c r="J1557">
        <f>HYPERLINK("https://www.gebeauty.com.br/products/primer-cachos-definidos?ref=review","review")</f>
        <v/>
      </c>
      <c r="K1557" t="inlineStr">
        <is>
          <t>SEND</t>
        </is>
      </c>
    </row>
    <row r="1558">
      <c r="A1558" t="inlineStr">
        <is>
          <t>Juliana</t>
        </is>
      </c>
      <c r="B1558" t="inlineStr">
        <is>
          <t>+5547991664055</t>
        </is>
      </c>
      <c r="C1558" t="inlineStr">
        <is>
          <t>Refill</t>
        </is>
      </c>
      <c r="D1558" t="inlineStr">
        <is>
          <t>Primer Cachos</t>
        </is>
      </c>
      <c r="E1558" t="n">
        <v>1</v>
      </c>
      <c r="F1558" t="inlineStr">
        <is>
          <t>2026-01-21</t>
        </is>
      </c>
      <c r="G1558" t="n">
        <v>164</v>
      </c>
      <c r="H1558" t="inlineStr">
        <is>
          <t>Y</t>
        </is>
      </c>
      <c r="I1558">
        <f>HYPERLINK("https://admin.shopify.com/store/ge-beauty-cosmeticos/customers/10074368278848","abrir")</f>
        <v/>
      </c>
      <c r="J1558">
        <f>HYPERLINK("https://www.gebeauty.com.br/products/primer-cachos-definidos?ref=review","review")</f>
        <v/>
      </c>
      <c r="K1558" t="inlineStr">
        <is>
          <t>SEND</t>
        </is>
      </c>
    </row>
    <row r="1559">
      <c r="A1559" t="inlineStr">
        <is>
          <t>Leticia</t>
        </is>
      </c>
      <c r="B1559" t="inlineStr">
        <is>
          <t>+5514996015678</t>
        </is>
      </c>
      <c r="C1559" t="inlineStr">
        <is>
          <t>Refill</t>
        </is>
      </c>
      <c r="D1559" t="inlineStr">
        <is>
          <t>Primer Cachos</t>
        </is>
      </c>
      <c r="E1559" t="n">
        <v>1</v>
      </c>
      <c r="F1559" t="inlineStr">
        <is>
          <t>2026-01-21</t>
        </is>
      </c>
      <c r="G1559" t="n">
        <v>164</v>
      </c>
      <c r="H1559" t="inlineStr">
        <is>
          <t>Y</t>
        </is>
      </c>
      <c r="I1559">
        <f>HYPERLINK("https://admin.shopify.com/store/ge-beauty-cosmeticos/customers/10074375946560","abrir")</f>
        <v/>
      </c>
      <c r="J1559">
        <f>HYPERLINK("https://www.gebeauty.com.br/products/primer-cachos-definidos?ref=review","review")</f>
        <v/>
      </c>
      <c r="K1559" t="inlineStr">
        <is>
          <t>SEND</t>
        </is>
      </c>
    </row>
    <row r="1560">
      <c r="A1560" t="inlineStr">
        <is>
          <t>Viviane</t>
        </is>
      </c>
      <c r="B1560" t="inlineStr">
        <is>
          <t>+5511984964530</t>
        </is>
      </c>
      <c r="C1560" t="inlineStr">
        <is>
          <t>Refill</t>
        </is>
      </c>
      <c r="D1560" t="inlineStr">
        <is>
          <t>Primer Cachos</t>
        </is>
      </c>
      <c r="E1560" t="n">
        <v>1</v>
      </c>
      <c r="F1560" t="inlineStr">
        <is>
          <t>2026-01-21</t>
        </is>
      </c>
      <c r="G1560" t="n">
        <v>164</v>
      </c>
      <c r="H1560" t="inlineStr">
        <is>
          <t>Y</t>
        </is>
      </c>
      <c r="I1560">
        <f>HYPERLINK("https://admin.shopify.com/store/ge-beauty-cosmeticos/customers/10074373259584","abrir")</f>
        <v/>
      </c>
      <c r="J1560">
        <f>HYPERLINK("https://www.gebeauty.com.br/products/primer-cachos-definidos?ref=review","review")</f>
        <v/>
      </c>
      <c r="K1560" t="inlineStr">
        <is>
          <t>SEND</t>
        </is>
      </c>
    </row>
    <row r="1561">
      <c r="A1561" t="inlineStr">
        <is>
          <t>Viviam</t>
        </is>
      </c>
      <c r="B1561" t="inlineStr">
        <is>
          <t>+5575999773202</t>
        </is>
      </c>
      <c r="C1561" t="inlineStr">
        <is>
          <t>Refill</t>
        </is>
      </c>
      <c r="D1561" t="inlineStr">
        <is>
          <t>Primer Cachos</t>
        </is>
      </c>
      <c r="E1561" t="n">
        <v>1</v>
      </c>
      <c r="F1561" t="inlineStr">
        <is>
          <t>2026-01-21</t>
        </is>
      </c>
      <c r="G1561" t="n">
        <v>164</v>
      </c>
      <c r="H1561" t="inlineStr">
        <is>
          <t>Y</t>
        </is>
      </c>
      <c r="I1561">
        <f>HYPERLINK("https://admin.shopify.com/store/ge-beauty-cosmeticos/customers/10074379387200","abrir")</f>
        <v/>
      </c>
      <c r="J1561">
        <f>HYPERLINK("https://www.gebeauty.com.br/products/primer-cachos-definidos?ref=review","review")</f>
        <v/>
      </c>
      <c r="K1561" t="inlineStr">
        <is>
          <t>SEND</t>
        </is>
      </c>
    </row>
    <row r="1562">
      <c r="A1562" t="inlineStr">
        <is>
          <t>Lauren</t>
        </is>
      </c>
      <c r="B1562" t="inlineStr">
        <is>
          <t>+5511998142756</t>
        </is>
      </c>
      <c r="C1562" t="inlineStr">
        <is>
          <t>Refill</t>
        </is>
      </c>
      <c r="D1562" t="inlineStr">
        <is>
          <t>Primer Cachos</t>
        </is>
      </c>
      <c r="E1562" t="n">
        <v>1</v>
      </c>
      <c r="F1562" t="inlineStr">
        <is>
          <t>2026-01-21</t>
        </is>
      </c>
      <c r="G1562" t="n">
        <v>164</v>
      </c>
      <c r="H1562" t="inlineStr">
        <is>
          <t>Y</t>
        </is>
      </c>
      <c r="I1562">
        <f>HYPERLINK("https://admin.shopify.com/store/ge-beauty-cosmeticos/customers/10074381254976","abrir")</f>
        <v/>
      </c>
      <c r="J1562">
        <f>HYPERLINK("https://www.gebeauty.com.br/products/primer-cachos-definidos?ref=review","review")</f>
        <v/>
      </c>
      <c r="K1562" t="inlineStr">
        <is>
          <t>SEND</t>
        </is>
      </c>
    </row>
    <row r="1563">
      <c r="A1563" t="inlineStr">
        <is>
          <t>Hellen</t>
        </is>
      </c>
      <c r="B1563" t="inlineStr">
        <is>
          <t>+5591982564120</t>
        </is>
      </c>
      <c r="C1563" t="inlineStr">
        <is>
          <t>Refill</t>
        </is>
      </c>
      <c r="D1563" t="inlineStr">
        <is>
          <t>Primer Cachos</t>
        </is>
      </c>
      <c r="E1563" t="n">
        <v>1</v>
      </c>
      <c r="F1563" t="inlineStr">
        <is>
          <t>2026-01-21</t>
        </is>
      </c>
      <c r="G1563" t="n">
        <v>164</v>
      </c>
      <c r="H1563" t="inlineStr">
        <is>
          <t>Y</t>
        </is>
      </c>
      <c r="I1563">
        <f>HYPERLINK("https://admin.shopify.com/store/ge-beauty-cosmeticos/customers/10074382401856","abrir")</f>
        <v/>
      </c>
      <c r="J1563">
        <f>HYPERLINK("https://www.gebeauty.com.br/products/primer-cachos-definidos?ref=review","review")</f>
        <v/>
      </c>
      <c r="K1563" t="inlineStr">
        <is>
          <t>SEND</t>
        </is>
      </c>
    </row>
    <row r="1564">
      <c r="A1564" t="inlineStr">
        <is>
          <t>Helena de Fátima</t>
        </is>
      </c>
      <c r="B1564" t="inlineStr">
        <is>
          <t>+5531992568771</t>
        </is>
      </c>
      <c r="C1564" t="inlineStr">
        <is>
          <t>Refill</t>
        </is>
      </c>
      <c r="D1564" t="inlineStr">
        <is>
          <t>Primer Cachos</t>
        </is>
      </c>
      <c r="E1564" t="n">
        <v>1</v>
      </c>
      <c r="F1564" t="inlineStr">
        <is>
          <t>2026-01-21</t>
        </is>
      </c>
      <c r="G1564" t="n">
        <v>164</v>
      </c>
      <c r="H1564" t="inlineStr">
        <is>
          <t>Y</t>
        </is>
      </c>
      <c r="I1564">
        <f>HYPERLINK("https://admin.shopify.com/store/ge-beauty-cosmeticos/customers/10074377290048","abrir")</f>
        <v/>
      </c>
      <c r="J1564">
        <f>HYPERLINK("https://www.gebeauty.com.br/products/primer-cachos-definidos?ref=review","review")</f>
        <v/>
      </c>
      <c r="K1564" t="inlineStr">
        <is>
          <t>SEND</t>
        </is>
      </c>
    </row>
    <row r="1565">
      <c r="A1565" t="inlineStr">
        <is>
          <t>Liliann</t>
        </is>
      </c>
      <c r="B1565" t="inlineStr">
        <is>
          <t>+5562981719945</t>
        </is>
      </c>
      <c r="C1565" t="inlineStr">
        <is>
          <t>Refill</t>
        </is>
      </c>
      <c r="D1565" t="inlineStr">
        <is>
          <t>Primer Cachos</t>
        </is>
      </c>
      <c r="E1565" t="n">
        <v>1</v>
      </c>
      <c r="F1565" t="inlineStr">
        <is>
          <t>2026-01-21</t>
        </is>
      </c>
      <c r="G1565" t="n">
        <v>164</v>
      </c>
      <c r="H1565" t="inlineStr">
        <is>
          <t>Y</t>
        </is>
      </c>
      <c r="I1565">
        <f>HYPERLINK("https://admin.shopify.com/store/ge-beauty-cosmeticos/customers/10074388595008","abrir")</f>
        <v/>
      </c>
      <c r="J1565">
        <f>HYPERLINK("https://www.gebeauty.com.br/products/primer-cachos-definidos?ref=review","review")</f>
        <v/>
      </c>
      <c r="K1565" t="inlineStr">
        <is>
          <t>SEND</t>
        </is>
      </c>
    </row>
    <row r="1566">
      <c r="A1566" t="inlineStr">
        <is>
          <t>Jamile</t>
        </is>
      </c>
      <c r="B1566" t="inlineStr">
        <is>
          <t>+5571999126356</t>
        </is>
      </c>
      <c r="C1566" t="inlineStr">
        <is>
          <t>Refill</t>
        </is>
      </c>
      <c r="D1566" t="inlineStr">
        <is>
          <t>Primer Cachos</t>
        </is>
      </c>
      <c r="E1566" t="n">
        <v>1</v>
      </c>
      <c r="F1566" t="inlineStr">
        <is>
          <t>2026-01-21</t>
        </is>
      </c>
      <c r="G1566" t="n">
        <v>164</v>
      </c>
      <c r="H1566" t="inlineStr">
        <is>
          <t>Y</t>
        </is>
      </c>
      <c r="I1566">
        <f>HYPERLINK("https://admin.shopify.com/store/ge-beauty-cosmeticos/customers/10074380796224","abrir")</f>
        <v/>
      </c>
      <c r="J1566">
        <f>HYPERLINK("https://www.gebeauty.com.br/products/primer-cachos-definidos?ref=review","review")</f>
        <v/>
      </c>
      <c r="K1566" t="inlineStr">
        <is>
          <t>SEND</t>
        </is>
      </c>
    </row>
    <row r="1567">
      <c r="A1567" t="inlineStr">
        <is>
          <t>Pamella</t>
        </is>
      </c>
      <c r="B1567" t="inlineStr">
        <is>
          <t>+5517991450820</t>
        </is>
      </c>
      <c r="C1567" t="inlineStr">
        <is>
          <t>Refill</t>
        </is>
      </c>
      <c r="D1567" t="inlineStr">
        <is>
          <t>Primer Cachos</t>
        </is>
      </c>
      <c r="E1567" t="n">
        <v>1</v>
      </c>
      <c r="F1567" t="inlineStr">
        <is>
          <t>2026-01-21</t>
        </is>
      </c>
      <c r="G1567" t="n">
        <v>164</v>
      </c>
      <c r="H1567" t="inlineStr">
        <is>
          <t>Y</t>
        </is>
      </c>
      <c r="I1567">
        <f>HYPERLINK("https://admin.shopify.com/store/ge-beauty-cosmeticos/customers/10074396033344","abrir")</f>
        <v/>
      </c>
      <c r="J1567">
        <f>HYPERLINK("https://www.gebeauty.com.br/products/primer-cachos-definidos?ref=review","review")</f>
        <v/>
      </c>
      <c r="K1567" t="inlineStr">
        <is>
          <t>SEND</t>
        </is>
      </c>
    </row>
    <row r="1568">
      <c r="A1568" t="inlineStr">
        <is>
          <t>Gabriela</t>
        </is>
      </c>
      <c r="B1568" t="inlineStr">
        <is>
          <t>+5511986998881</t>
        </is>
      </c>
      <c r="C1568" t="inlineStr">
        <is>
          <t>Refill</t>
        </is>
      </c>
      <c r="D1568" t="inlineStr">
        <is>
          <t>Primer Cachos</t>
        </is>
      </c>
      <c r="E1568" t="n">
        <v>1</v>
      </c>
      <c r="F1568" t="inlineStr">
        <is>
          <t>2026-01-21</t>
        </is>
      </c>
      <c r="G1568" t="n">
        <v>164</v>
      </c>
      <c r="H1568" t="inlineStr">
        <is>
          <t>Y</t>
        </is>
      </c>
      <c r="I1568">
        <f>HYPERLINK("https://admin.shopify.com/store/ge-beauty-cosmeticos/customers/10031614820672","abrir")</f>
        <v/>
      </c>
      <c r="J1568">
        <f>HYPERLINK("https://www.gebeauty.com.br/products/primer-cachos-definidos?ref=review","review")</f>
        <v/>
      </c>
      <c r="K1568" t="inlineStr">
        <is>
          <t>SEND</t>
        </is>
      </c>
    </row>
    <row r="1569">
      <c r="A1569" t="inlineStr">
        <is>
          <t>Naura Aparecida</t>
        </is>
      </c>
      <c r="B1569" t="inlineStr">
        <is>
          <t>+5521998740444</t>
        </is>
      </c>
      <c r="C1569" t="inlineStr">
        <is>
          <t>Refill</t>
        </is>
      </c>
      <c r="D1569" t="inlineStr">
        <is>
          <t>Primer Cachos</t>
        </is>
      </c>
      <c r="E1569" t="n">
        <v>1</v>
      </c>
      <c r="F1569" t="inlineStr">
        <is>
          <t>2026-01-21</t>
        </is>
      </c>
      <c r="G1569" t="n">
        <v>164</v>
      </c>
      <c r="H1569" t="inlineStr">
        <is>
          <t>Y</t>
        </is>
      </c>
      <c r="I1569">
        <f>HYPERLINK("https://admin.shopify.com/store/ge-beauty-cosmeticos/customers/10074385908032","abrir")</f>
        <v/>
      </c>
      <c r="J1569">
        <f>HYPERLINK("https://www.gebeauty.com.br/products/primer-cachos-definidos?ref=review","review")</f>
        <v/>
      </c>
      <c r="K1569" t="inlineStr">
        <is>
          <t>SEND</t>
        </is>
      </c>
    </row>
    <row r="1570">
      <c r="A1570" t="inlineStr">
        <is>
          <t>Paula Cristina</t>
        </is>
      </c>
      <c r="B1570" t="inlineStr">
        <is>
          <t>+5544999762122</t>
        </is>
      </c>
      <c r="C1570" t="inlineStr">
        <is>
          <t>Refill</t>
        </is>
      </c>
      <c r="D1570" t="inlineStr">
        <is>
          <t>Primer Cachos</t>
        </is>
      </c>
      <c r="E1570" t="n">
        <v>1</v>
      </c>
      <c r="F1570" t="inlineStr">
        <is>
          <t>2026-01-21</t>
        </is>
      </c>
      <c r="G1570" t="n">
        <v>164</v>
      </c>
      <c r="H1570" t="inlineStr">
        <is>
          <t>Y</t>
        </is>
      </c>
      <c r="I1570">
        <f>HYPERLINK("https://admin.shopify.com/store/ge-beauty-cosmeticos/customers/10074402357568","abrir")</f>
        <v/>
      </c>
      <c r="J1570">
        <f>HYPERLINK("https://www.gebeauty.com.br/products/primer-cachos-definidos?ref=review","review")</f>
        <v/>
      </c>
      <c r="K1570" t="inlineStr">
        <is>
          <t>SEND</t>
        </is>
      </c>
    </row>
    <row r="1571">
      <c r="A1571" t="inlineStr">
        <is>
          <t>Ivana</t>
        </is>
      </c>
      <c r="B1571" t="inlineStr">
        <is>
          <t>+5531999927570</t>
        </is>
      </c>
      <c r="C1571" t="inlineStr">
        <is>
          <t>Refill</t>
        </is>
      </c>
      <c r="D1571" t="inlineStr">
        <is>
          <t>Primer Cachos</t>
        </is>
      </c>
      <c r="E1571" t="n">
        <v>1</v>
      </c>
      <c r="F1571" t="inlineStr">
        <is>
          <t>2026-01-21</t>
        </is>
      </c>
      <c r="G1571" t="n">
        <v>164</v>
      </c>
      <c r="H1571" t="inlineStr">
        <is>
          <t>Y</t>
        </is>
      </c>
      <c r="I1571">
        <f>HYPERLINK("https://admin.shopify.com/store/ge-beauty-cosmeticos/customers/10074401210688","abrir")</f>
        <v/>
      </c>
      <c r="J1571">
        <f>HYPERLINK("https://www.gebeauty.com.br/products/primer-cachos-definidos?ref=review","review")</f>
        <v/>
      </c>
      <c r="K1571" t="inlineStr">
        <is>
          <t>SEND</t>
        </is>
      </c>
    </row>
    <row r="1572">
      <c r="A1572" t="inlineStr">
        <is>
          <t>Ligia</t>
        </is>
      </c>
      <c r="B1572" t="inlineStr">
        <is>
          <t>+554199561761</t>
        </is>
      </c>
      <c r="C1572" t="inlineStr">
        <is>
          <t>Refill</t>
        </is>
      </c>
      <c r="D1572" t="inlineStr">
        <is>
          <t>Primer Cachos</t>
        </is>
      </c>
      <c r="E1572" t="n">
        <v>1</v>
      </c>
      <c r="F1572" t="inlineStr">
        <is>
          <t>2026-01-21</t>
        </is>
      </c>
      <c r="G1572" t="n">
        <v>164</v>
      </c>
      <c r="H1572" t="inlineStr">
        <is>
          <t>Y</t>
        </is>
      </c>
      <c r="I1572">
        <f>HYPERLINK("https://admin.shopify.com/store/ge-beauty-cosmeticos/customers/10074410254656","abrir")</f>
        <v/>
      </c>
      <c r="J1572">
        <f>HYPERLINK("https://www.gebeauty.com.br/products/primer-cachos-definidos?ref=review","review")</f>
        <v/>
      </c>
      <c r="K1572" t="inlineStr">
        <is>
          <t>SEND</t>
        </is>
      </c>
    </row>
    <row r="1573">
      <c r="A1573" t="inlineStr">
        <is>
          <t>Joelma</t>
        </is>
      </c>
      <c r="B1573" t="inlineStr">
        <is>
          <t>+5522997424233</t>
        </is>
      </c>
      <c r="C1573" t="inlineStr">
        <is>
          <t>Refill</t>
        </is>
      </c>
      <c r="D1573" t="inlineStr">
        <is>
          <t>Primer Cachos</t>
        </is>
      </c>
      <c r="E1573" t="n">
        <v>1</v>
      </c>
      <c r="F1573" t="inlineStr">
        <is>
          <t>2026-01-21</t>
        </is>
      </c>
      <c r="G1573" t="n">
        <v>164</v>
      </c>
      <c r="H1573" t="inlineStr">
        <is>
          <t>Y</t>
        </is>
      </c>
      <c r="I1573">
        <f>HYPERLINK("https://admin.shopify.com/store/ge-beauty-cosmeticos/customers/10074413629760","abrir")</f>
        <v/>
      </c>
      <c r="J1573">
        <f>HYPERLINK("https://www.gebeauty.com.br/products/primer-cachos-definidos?ref=review","review")</f>
        <v/>
      </c>
      <c r="K1573" t="inlineStr">
        <is>
          <t>SEND</t>
        </is>
      </c>
    </row>
    <row r="1574">
      <c r="A1574" t="inlineStr">
        <is>
          <t>Rosemeire</t>
        </is>
      </c>
      <c r="B1574" t="inlineStr">
        <is>
          <t>+5512997737518</t>
        </is>
      </c>
      <c r="C1574" t="inlineStr">
        <is>
          <t>Refill</t>
        </is>
      </c>
      <c r="D1574" t="inlineStr">
        <is>
          <t>Primer Cachos</t>
        </is>
      </c>
      <c r="E1574" t="n">
        <v>1</v>
      </c>
      <c r="F1574" t="inlineStr">
        <is>
          <t>2026-01-21</t>
        </is>
      </c>
      <c r="G1574" t="n">
        <v>164</v>
      </c>
      <c r="H1574" t="inlineStr">
        <is>
          <t>Y</t>
        </is>
      </c>
      <c r="I1574">
        <f>HYPERLINK("https://admin.shopify.com/store/ge-beauty-cosmeticos/customers/10074405372224","abrir")</f>
        <v/>
      </c>
      <c r="J1574">
        <f>HYPERLINK("https://www.gebeauty.com.br/products/primer-cachos-definidos?ref=review","review")</f>
        <v/>
      </c>
      <c r="K1574" t="inlineStr">
        <is>
          <t>SEND</t>
        </is>
      </c>
    </row>
    <row r="1575">
      <c r="A1575" t="inlineStr">
        <is>
          <t>Andrea</t>
        </is>
      </c>
      <c r="B1575" t="inlineStr">
        <is>
          <t>+5519988011890</t>
        </is>
      </c>
      <c r="C1575" t="inlineStr">
        <is>
          <t>Refill</t>
        </is>
      </c>
      <c r="D1575" t="inlineStr">
        <is>
          <t>Primer Cachos</t>
        </is>
      </c>
      <c r="E1575" t="n">
        <v>1</v>
      </c>
      <c r="F1575" t="inlineStr">
        <is>
          <t>2026-01-21</t>
        </is>
      </c>
      <c r="G1575" t="n">
        <v>164</v>
      </c>
      <c r="H1575" t="inlineStr">
        <is>
          <t>Y</t>
        </is>
      </c>
      <c r="I1575">
        <f>HYPERLINK("https://admin.shopify.com/store/ge-beauty-cosmeticos/customers/10072754356544","abrir")</f>
        <v/>
      </c>
      <c r="J1575">
        <f>HYPERLINK("https://www.gebeauty.com.br/products/primer-cachos-definidos?ref=review","review")</f>
        <v/>
      </c>
      <c r="K1575" t="inlineStr">
        <is>
          <t>SEND</t>
        </is>
      </c>
    </row>
    <row r="1576">
      <c r="A1576" t="inlineStr">
        <is>
          <t>Andresa</t>
        </is>
      </c>
      <c r="B1576" t="inlineStr">
        <is>
          <t>+5511947637552</t>
        </is>
      </c>
      <c r="C1576" t="inlineStr">
        <is>
          <t>Refill</t>
        </is>
      </c>
      <c r="D1576" t="inlineStr">
        <is>
          <t>Primer Cachos</t>
        </is>
      </c>
      <c r="E1576" t="n">
        <v>1</v>
      </c>
      <c r="F1576" t="inlineStr">
        <is>
          <t>2026-01-21</t>
        </is>
      </c>
      <c r="G1576" t="n">
        <v>164</v>
      </c>
      <c r="H1576" t="inlineStr">
        <is>
          <t>Y</t>
        </is>
      </c>
      <c r="I1576">
        <f>HYPERLINK("https://admin.shopify.com/store/ge-beauty-cosmeticos/customers/10074411172160","abrir")</f>
        <v/>
      </c>
      <c r="J1576">
        <f>HYPERLINK("https://www.gebeauty.com.br/products/primer-cachos-definidos?ref=review","review")</f>
        <v/>
      </c>
      <c r="K1576" t="inlineStr">
        <is>
          <t>SEND</t>
        </is>
      </c>
    </row>
    <row r="1577">
      <c r="A1577" t="inlineStr">
        <is>
          <t>Vanessa</t>
        </is>
      </c>
      <c r="B1577" t="inlineStr">
        <is>
          <t>+5511960541442</t>
        </is>
      </c>
      <c r="C1577" t="inlineStr">
        <is>
          <t>Refill</t>
        </is>
      </c>
      <c r="D1577" t="inlineStr">
        <is>
          <t>Primer Cachos</t>
        </is>
      </c>
      <c r="E1577" t="n">
        <v>1</v>
      </c>
      <c r="F1577" t="inlineStr">
        <is>
          <t>2026-01-21</t>
        </is>
      </c>
      <c r="G1577" t="n">
        <v>164</v>
      </c>
      <c r="H1577" t="inlineStr">
        <is>
          <t>Y</t>
        </is>
      </c>
      <c r="I1577">
        <f>HYPERLINK("https://admin.shopify.com/store/ge-beauty-cosmeticos/customers/10074404159808","abrir")</f>
        <v/>
      </c>
      <c r="J1577">
        <f>HYPERLINK("https://www.gebeauty.com.br/products/primer-cachos-definidos?ref=review","review")</f>
        <v/>
      </c>
      <c r="K1577" t="inlineStr">
        <is>
          <t>HOLDOUT</t>
        </is>
      </c>
    </row>
    <row r="1578">
      <c r="A1578" t="inlineStr">
        <is>
          <t>Marina</t>
        </is>
      </c>
      <c r="B1578" t="inlineStr">
        <is>
          <t>+5567992461876</t>
        </is>
      </c>
      <c r="C1578" t="inlineStr">
        <is>
          <t>Refill</t>
        </is>
      </c>
      <c r="D1578" t="inlineStr">
        <is>
          <t>Primer Cachos</t>
        </is>
      </c>
      <c r="E1578" t="n">
        <v>1</v>
      </c>
      <c r="F1578" t="inlineStr">
        <is>
          <t>2026-01-21</t>
        </is>
      </c>
      <c r="G1578" t="n">
        <v>164</v>
      </c>
      <c r="H1578" t="inlineStr">
        <is>
          <t>Y</t>
        </is>
      </c>
      <c r="I1578">
        <f>HYPERLINK("https://admin.shopify.com/store/ge-beauty-cosmeticos/customers/10074419036480","abrir")</f>
        <v/>
      </c>
      <c r="J1578">
        <f>HYPERLINK("https://www.gebeauty.com.br/products/primer-cachos-definidos?ref=review","review")</f>
        <v/>
      </c>
      <c r="K1578" t="inlineStr">
        <is>
          <t>SEND</t>
        </is>
      </c>
    </row>
    <row r="1579">
      <c r="A1579" t="inlineStr">
        <is>
          <t>Luciana</t>
        </is>
      </c>
      <c r="B1579" t="inlineStr">
        <is>
          <t>+5541985376500</t>
        </is>
      </c>
      <c r="C1579" t="inlineStr">
        <is>
          <t>Refill</t>
        </is>
      </c>
      <c r="D1579" t="inlineStr">
        <is>
          <t>Primer Cachos</t>
        </is>
      </c>
      <c r="E1579" t="n">
        <v>1</v>
      </c>
      <c r="F1579" t="inlineStr">
        <is>
          <t>2026-01-21</t>
        </is>
      </c>
      <c r="G1579" t="n">
        <v>164</v>
      </c>
      <c r="H1579" t="inlineStr">
        <is>
          <t>Y</t>
        </is>
      </c>
      <c r="I1579">
        <f>HYPERLINK("https://admin.shopify.com/store/ge-beauty-cosmeticos/customers/10074412024128","abrir")</f>
        <v/>
      </c>
      <c r="J1579">
        <f>HYPERLINK("https://www.gebeauty.com.br/products/primer-cachos-definidos?ref=review","review")</f>
        <v/>
      </c>
      <c r="K1579" t="inlineStr">
        <is>
          <t>SEND</t>
        </is>
      </c>
    </row>
    <row r="1580">
      <c r="A1580" t="inlineStr">
        <is>
          <t>Clareana</t>
        </is>
      </c>
      <c r="B1580" t="inlineStr">
        <is>
          <t>+5535991931218</t>
        </is>
      </c>
      <c r="C1580" t="inlineStr">
        <is>
          <t>Refill</t>
        </is>
      </c>
      <c r="D1580" t="inlineStr">
        <is>
          <t>Primer Cachos</t>
        </is>
      </c>
      <c r="E1580" t="n">
        <v>1</v>
      </c>
      <c r="F1580" t="inlineStr">
        <is>
          <t>2026-01-21</t>
        </is>
      </c>
      <c r="G1580" t="n">
        <v>164</v>
      </c>
      <c r="H1580" t="inlineStr">
        <is>
          <t>Y</t>
        </is>
      </c>
      <c r="I1580">
        <f>HYPERLINK("https://admin.shopify.com/store/ge-beauty-cosmeticos/customers/10074423198016","abrir")</f>
        <v/>
      </c>
      <c r="J1580">
        <f>HYPERLINK("https://www.gebeauty.com.br/products/primer-cachos-definidos?ref=review","review")</f>
        <v/>
      </c>
      <c r="K1580" t="inlineStr">
        <is>
          <t>SEND</t>
        </is>
      </c>
    </row>
    <row r="1581">
      <c r="A1581" t="inlineStr">
        <is>
          <t>Ana</t>
        </is>
      </c>
      <c r="B1581" t="inlineStr">
        <is>
          <t>+5564999511907</t>
        </is>
      </c>
      <c r="C1581" t="inlineStr">
        <is>
          <t>Refill</t>
        </is>
      </c>
      <c r="D1581" t="inlineStr">
        <is>
          <t>Primer Cachos</t>
        </is>
      </c>
      <c r="E1581" t="n">
        <v>1</v>
      </c>
      <c r="F1581" t="inlineStr">
        <is>
          <t>2026-01-21</t>
        </is>
      </c>
      <c r="G1581" t="n">
        <v>164</v>
      </c>
      <c r="H1581" t="inlineStr">
        <is>
          <t>Y</t>
        </is>
      </c>
      <c r="I1581">
        <f>HYPERLINK("https://admin.shopify.com/store/ge-beauty-cosmeticos/customers/10074417889600","abrir")</f>
        <v/>
      </c>
      <c r="J1581">
        <f>HYPERLINK("https://www.gebeauty.com.br/products/primer-cachos-definidos?ref=review","review")</f>
        <v/>
      </c>
      <c r="K1581" t="inlineStr">
        <is>
          <t>SEND</t>
        </is>
      </c>
    </row>
    <row r="1582">
      <c r="A1582" t="inlineStr">
        <is>
          <t>Giovanna</t>
        </is>
      </c>
      <c r="B1582" t="inlineStr">
        <is>
          <t>+5531992721924</t>
        </is>
      </c>
      <c r="C1582" t="inlineStr">
        <is>
          <t>Refill</t>
        </is>
      </c>
      <c r="D1582" t="inlineStr">
        <is>
          <t>Primer Cachos</t>
        </is>
      </c>
      <c r="E1582" t="n">
        <v>1</v>
      </c>
      <c r="F1582" t="inlineStr">
        <is>
          <t>2026-01-21</t>
        </is>
      </c>
      <c r="G1582" t="n">
        <v>164</v>
      </c>
      <c r="H1582" t="inlineStr">
        <is>
          <t>Y</t>
        </is>
      </c>
      <c r="I1582">
        <f>HYPERLINK("https://admin.shopify.com/store/ge-beauty-cosmeticos/customers/10074427621696","abrir")</f>
        <v/>
      </c>
      <c r="J1582">
        <f>HYPERLINK("https://www.gebeauty.com.br/products/primer-cachos-definidos?ref=review","review")</f>
        <v/>
      </c>
      <c r="K1582" t="inlineStr">
        <is>
          <t>SEND</t>
        </is>
      </c>
    </row>
    <row r="1583">
      <c r="A1583" t="inlineStr">
        <is>
          <t>Izabela</t>
        </is>
      </c>
      <c r="B1583" t="inlineStr">
        <is>
          <t>+5555999830491</t>
        </is>
      </c>
      <c r="C1583" t="inlineStr">
        <is>
          <t>Refill</t>
        </is>
      </c>
      <c r="D1583" t="inlineStr">
        <is>
          <t>Primer Cachos</t>
        </is>
      </c>
      <c r="E1583" t="n">
        <v>1</v>
      </c>
      <c r="F1583" t="inlineStr">
        <is>
          <t>2026-01-21</t>
        </is>
      </c>
      <c r="G1583" t="n">
        <v>164</v>
      </c>
      <c r="H1583" t="inlineStr">
        <is>
          <t>Y</t>
        </is>
      </c>
      <c r="I1583">
        <f>HYPERLINK("https://admin.shopify.com/store/ge-beauty-cosmeticos/customers/10074403537216","abrir")</f>
        <v/>
      </c>
      <c r="J1583">
        <f>HYPERLINK("https://www.gebeauty.com.br/products/primer-cachos-definidos?ref=review","review")</f>
        <v/>
      </c>
      <c r="K1583" t="inlineStr">
        <is>
          <t>SEND</t>
        </is>
      </c>
    </row>
    <row r="1584">
      <c r="A1584" t="inlineStr">
        <is>
          <t>Mickahella</t>
        </is>
      </c>
      <c r="B1584" t="inlineStr">
        <is>
          <t>+5527999041356</t>
        </is>
      </c>
      <c r="C1584" t="inlineStr">
        <is>
          <t>Refill</t>
        </is>
      </c>
      <c r="D1584" t="inlineStr">
        <is>
          <t>Primer Cachos</t>
        </is>
      </c>
      <c r="E1584" t="n">
        <v>1</v>
      </c>
      <c r="F1584" t="inlineStr">
        <is>
          <t>2026-01-21</t>
        </is>
      </c>
      <c r="G1584" t="n">
        <v>164</v>
      </c>
      <c r="H1584" t="inlineStr">
        <is>
          <t>Y</t>
        </is>
      </c>
      <c r="I1584">
        <f>HYPERLINK("https://admin.shopify.com/store/ge-beauty-cosmeticos/customers/10074429980992","abrir")</f>
        <v/>
      </c>
      <c r="J1584">
        <f>HYPERLINK("https://www.gebeauty.com.br/products/primer-cachos-definidos?ref=review","review")</f>
        <v/>
      </c>
      <c r="K1584" t="inlineStr">
        <is>
          <t>SEND</t>
        </is>
      </c>
    </row>
    <row r="1585">
      <c r="A1585" t="inlineStr">
        <is>
          <t>Silvia</t>
        </is>
      </c>
      <c r="B1585" t="inlineStr">
        <is>
          <t>+5511984575485</t>
        </is>
      </c>
      <c r="C1585" t="inlineStr">
        <is>
          <t>Refill</t>
        </is>
      </c>
      <c r="D1585" t="inlineStr">
        <is>
          <t>Primer Cachos</t>
        </is>
      </c>
      <c r="E1585" t="n">
        <v>1</v>
      </c>
      <c r="F1585" t="inlineStr">
        <is>
          <t>2026-01-21</t>
        </is>
      </c>
      <c r="G1585" t="n">
        <v>164</v>
      </c>
      <c r="H1585" t="inlineStr">
        <is>
          <t>Y</t>
        </is>
      </c>
      <c r="I1585">
        <f>HYPERLINK("https://admin.shopify.com/store/ge-beauty-cosmeticos/customers/10074425033024","abrir")</f>
        <v/>
      </c>
      <c r="J1585">
        <f>HYPERLINK("https://www.gebeauty.com.br/products/primer-cachos-definidos?ref=review","review")</f>
        <v/>
      </c>
      <c r="K1585" t="inlineStr">
        <is>
          <t>HOLDOUT</t>
        </is>
      </c>
    </row>
    <row r="1586">
      <c r="A1586" t="inlineStr">
        <is>
          <t>Clélia</t>
        </is>
      </c>
      <c r="B1586" t="inlineStr">
        <is>
          <t>+5517996360503</t>
        </is>
      </c>
      <c r="C1586" t="inlineStr">
        <is>
          <t>Refill</t>
        </is>
      </c>
      <c r="D1586" t="inlineStr">
        <is>
          <t>Primer Cachos</t>
        </is>
      </c>
      <c r="E1586" t="n">
        <v>1</v>
      </c>
      <c r="F1586" t="inlineStr">
        <is>
          <t>2026-01-21</t>
        </is>
      </c>
      <c r="G1586" t="n">
        <v>164</v>
      </c>
      <c r="H1586" t="inlineStr">
        <is>
          <t>Y</t>
        </is>
      </c>
      <c r="I1586">
        <f>HYPERLINK("https://admin.shopify.com/store/ge-beauty-cosmeticos/customers/10074433323328","abrir")</f>
        <v/>
      </c>
      <c r="J1586">
        <f>HYPERLINK("https://www.gebeauty.com.br/products/primer-cachos-definidos?ref=review","review")</f>
        <v/>
      </c>
      <c r="K1586" t="inlineStr">
        <is>
          <t>SEND</t>
        </is>
      </c>
    </row>
    <row r="1587">
      <c r="A1587" t="inlineStr">
        <is>
          <t>Renata</t>
        </is>
      </c>
      <c r="B1587" t="inlineStr">
        <is>
          <t>+5511999986071</t>
        </is>
      </c>
      <c r="C1587" t="inlineStr">
        <is>
          <t>Refill</t>
        </is>
      </c>
      <c r="D1587" t="inlineStr">
        <is>
          <t>Primer Cachos</t>
        </is>
      </c>
      <c r="E1587" t="n">
        <v>1</v>
      </c>
      <c r="F1587" t="inlineStr">
        <is>
          <t>2026-01-21</t>
        </is>
      </c>
      <c r="G1587" t="n">
        <v>164</v>
      </c>
      <c r="H1587" t="inlineStr">
        <is>
          <t>Y</t>
        </is>
      </c>
      <c r="I1587">
        <f>HYPERLINK("https://admin.shopify.com/store/ge-beauty-cosmeticos/customers/10074432733504","abrir")</f>
        <v/>
      </c>
      <c r="J1587">
        <f>HYPERLINK("https://www.gebeauty.com.br/products/primer-cachos-definidos?ref=review","review")</f>
        <v/>
      </c>
      <c r="K1587" t="inlineStr">
        <is>
          <t>SEND</t>
        </is>
      </c>
    </row>
    <row r="1588">
      <c r="A1588" t="inlineStr">
        <is>
          <t>Maria Alice</t>
        </is>
      </c>
      <c r="B1588" t="inlineStr">
        <is>
          <t>+5512991872280</t>
        </is>
      </c>
      <c r="C1588" t="inlineStr">
        <is>
          <t>Refill</t>
        </is>
      </c>
      <c r="D1588" t="inlineStr">
        <is>
          <t>Primer Cachos</t>
        </is>
      </c>
      <c r="E1588" t="n">
        <v>1</v>
      </c>
      <c r="F1588" t="inlineStr">
        <is>
          <t>2026-01-21</t>
        </is>
      </c>
      <c r="G1588" t="n">
        <v>164</v>
      </c>
      <c r="H1588" t="inlineStr">
        <is>
          <t>Y</t>
        </is>
      </c>
      <c r="I1588">
        <f>HYPERLINK("https://admin.shopify.com/store/ge-beauty-cosmeticos/customers/10074410090816","abrir")</f>
        <v/>
      </c>
      <c r="J1588">
        <f>HYPERLINK("https://www.gebeauty.com.br/products/primer-cachos-definidos?ref=review","review")</f>
        <v/>
      </c>
      <c r="K1588" t="inlineStr">
        <is>
          <t>SEND</t>
        </is>
      </c>
    </row>
    <row r="1589">
      <c r="A1589" t="inlineStr">
        <is>
          <t>Antonia Cristiane</t>
        </is>
      </c>
      <c r="B1589" t="inlineStr">
        <is>
          <t>+5581981098553</t>
        </is>
      </c>
      <c r="C1589" t="inlineStr">
        <is>
          <t>Refill</t>
        </is>
      </c>
      <c r="D1589" t="inlineStr">
        <is>
          <t>Primer Cachos</t>
        </is>
      </c>
      <c r="E1589" t="n">
        <v>1</v>
      </c>
      <c r="F1589" t="inlineStr">
        <is>
          <t>2026-01-21</t>
        </is>
      </c>
      <c r="G1589" t="n">
        <v>164</v>
      </c>
      <c r="H1589" t="inlineStr">
        <is>
          <t>Y</t>
        </is>
      </c>
      <c r="I1589">
        <f>HYPERLINK("https://admin.shopify.com/store/ge-beauty-cosmeticos/customers/10074427883840","abrir")</f>
        <v/>
      </c>
      <c r="J1589">
        <f>HYPERLINK("https://www.gebeauty.com.br/products/primer-cachos-definidos?ref=review","review")</f>
        <v/>
      </c>
      <c r="K1589" t="inlineStr">
        <is>
          <t>SEND</t>
        </is>
      </c>
    </row>
    <row r="1590">
      <c r="A1590" t="inlineStr">
        <is>
          <t>Andresa</t>
        </is>
      </c>
      <c r="B1590" t="inlineStr">
        <is>
          <t>+5511985089194</t>
        </is>
      </c>
      <c r="C1590" t="inlineStr">
        <is>
          <t>Refill</t>
        </is>
      </c>
      <c r="D1590" t="inlineStr">
        <is>
          <t>Primer Cachos</t>
        </is>
      </c>
      <c r="E1590" t="n">
        <v>1</v>
      </c>
      <c r="F1590" t="inlineStr">
        <is>
          <t>2026-01-21</t>
        </is>
      </c>
      <c r="G1590" t="n">
        <v>164</v>
      </c>
      <c r="H1590" t="inlineStr">
        <is>
          <t>Y</t>
        </is>
      </c>
      <c r="I1590">
        <f>HYPERLINK("https://admin.shopify.com/store/ge-beauty-cosmeticos/customers/10074437157184","abrir")</f>
        <v/>
      </c>
      <c r="J1590">
        <f>HYPERLINK("https://www.gebeauty.com.br/products/primer-cachos-definidos?ref=review","review")</f>
        <v/>
      </c>
      <c r="K1590" t="inlineStr">
        <is>
          <t>SEND</t>
        </is>
      </c>
    </row>
    <row r="1591">
      <c r="A1591" t="inlineStr">
        <is>
          <t>Elaine</t>
        </is>
      </c>
      <c r="B1591" t="inlineStr">
        <is>
          <t>+5511992860296</t>
        </is>
      </c>
      <c r="C1591" t="inlineStr">
        <is>
          <t>Refill</t>
        </is>
      </c>
      <c r="D1591" t="inlineStr">
        <is>
          <t>Primer Cachos</t>
        </is>
      </c>
      <c r="E1591" t="n">
        <v>1</v>
      </c>
      <c r="F1591" t="inlineStr">
        <is>
          <t>2026-01-21</t>
        </is>
      </c>
      <c r="G1591" t="n">
        <v>164</v>
      </c>
      <c r="H1591" t="inlineStr">
        <is>
          <t>Y</t>
        </is>
      </c>
      <c r="I1591">
        <f>HYPERLINK("https://admin.shopify.com/store/ge-beauty-cosmeticos/customers/10074443612480","abrir")</f>
        <v/>
      </c>
      <c r="J1591">
        <f>HYPERLINK("https://www.gebeauty.com.br/products/primer-cachos-definidos?ref=review","review")</f>
        <v/>
      </c>
      <c r="K1591" t="inlineStr">
        <is>
          <t>SEND</t>
        </is>
      </c>
    </row>
    <row r="1592">
      <c r="A1592" t="inlineStr">
        <is>
          <t>Renata</t>
        </is>
      </c>
      <c r="B1592" t="inlineStr">
        <is>
          <t>+5521997243333</t>
        </is>
      </c>
      <c r="C1592" t="inlineStr">
        <is>
          <t>Refill</t>
        </is>
      </c>
      <c r="D1592" t="inlineStr">
        <is>
          <t>Primer Cachos</t>
        </is>
      </c>
      <c r="E1592" t="n">
        <v>1</v>
      </c>
      <c r="F1592" t="inlineStr">
        <is>
          <t>2026-01-21</t>
        </is>
      </c>
      <c r="G1592" t="n">
        <v>164</v>
      </c>
      <c r="H1592" t="inlineStr">
        <is>
          <t>Y</t>
        </is>
      </c>
      <c r="I1592">
        <f>HYPERLINK("https://admin.shopify.com/store/ge-beauty-cosmeticos/customers/10074449150272","abrir")</f>
        <v/>
      </c>
      <c r="J1592">
        <f>HYPERLINK("https://www.gebeauty.com.br/products/primer-cachos-definidos?ref=review","review")</f>
        <v/>
      </c>
      <c r="K1592" t="inlineStr">
        <is>
          <t>SEND</t>
        </is>
      </c>
    </row>
    <row r="1593">
      <c r="A1593" t="inlineStr">
        <is>
          <t>Anna</t>
        </is>
      </c>
      <c r="B1593" t="inlineStr">
        <is>
          <t>+5511983340033</t>
        </is>
      </c>
      <c r="C1593" t="inlineStr">
        <is>
          <t>Refill</t>
        </is>
      </c>
      <c r="D1593" t="inlineStr">
        <is>
          <t>Primer Cachos</t>
        </is>
      </c>
      <c r="E1593" t="n">
        <v>1</v>
      </c>
      <c r="F1593" t="inlineStr">
        <is>
          <t>2026-01-21</t>
        </is>
      </c>
      <c r="G1593" t="n">
        <v>164</v>
      </c>
      <c r="H1593" t="inlineStr">
        <is>
          <t>Y</t>
        </is>
      </c>
      <c r="I1593">
        <f>HYPERLINK("https://admin.shopify.com/store/ge-beauty-cosmeticos/customers/10074458554688","abrir")</f>
        <v/>
      </c>
      <c r="J1593">
        <f>HYPERLINK("https://www.gebeauty.com.br/products/primer-cachos-definidos?ref=review","review")</f>
        <v/>
      </c>
      <c r="K1593" t="inlineStr">
        <is>
          <t>SEND</t>
        </is>
      </c>
    </row>
    <row r="1594">
      <c r="A1594" t="inlineStr">
        <is>
          <t>Maureen</t>
        </is>
      </c>
      <c r="B1594" t="inlineStr">
        <is>
          <t>+5511974126970</t>
        </is>
      </c>
      <c r="C1594" t="inlineStr">
        <is>
          <t>Refill</t>
        </is>
      </c>
      <c r="D1594" t="inlineStr">
        <is>
          <t>Primer Cachos</t>
        </is>
      </c>
      <c r="E1594" t="n">
        <v>1</v>
      </c>
      <c r="F1594" t="inlineStr">
        <is>
          <t>2026-01-21</t>
        </is>
      </c>
      <c r="G1594" t="n">
        <v>164</v>
      </c>
      <c r="H1594" t="inlineStr">
        <is>
          <t>N</t>
        </is>
      </c>
      <c r="I1594">
        <f>HYPERLINK("https://admin.shopify.com/store/ge-beauty-cosmeticos/customers/10074454851904","abrir")</f>
        <v/>
      </c>
      <c r="J1594">
        <f>HYPERLINK("https://www.gebeauty.com.br/products/primer-cachos-definidos?ref=review","review")</f>
        <v/>
      </c>
      <c r="K1594" t="inlineStr">
        <is>
          <t>SEND</t>
        </is>
      </c>
    </row>
    <row r="1595">
      <c r="A1595" t="inlineStr">
        <is>
          <t>Maria</t>
        </is>
      </c>
      <c r="B1595" t="inlineStr">
        <is>
          <t>+5521987540556</t>
        </is>
      </c>
      <c r="C1595" t="inlineStr">
        <is>
          <t>Refill</t>
        </is>
      </c>
      <c r="D1595" t="inlineStr">
        <is>
          <t>Primer Cachos</t>
        </is>
      </c>
      <c r="E1595" t="n">
        <v>1</v>
      </c>
      <c r="F1595" t="inlineStr">
        <is>
          <t>2026-01-21</t>
        </is>
      </c>
      <c r="G1595" t="n">
        <v>164</v>
      </c>
      <c r="H1595" t="inlineStr">
        <is>
          <t>Y</t>
        </is>
      </c>
      <c r="I1595">
        <f>HYPERLINK("https://admin.shopify.com/store/ge-beauty-cosmeticos/customers/10074462814528","abrir")</f>
        <v/>
      </c>
      <c r="J1595">
        <f>HYPERLINK("https://www.gebeauty.com.br/products/primer-cachos-definidos?ref=review","review")</f>
        <v/>
      </c>
      <c r="K1595" t="inlineStr">
        <is>
          <t>SEND</t>
        </is>
      </c>
    </row>
    <row r="1596">
      <c r="A1596" t="inlineStr">
        <is>
          <t>Camila</t>
        </is>
      </c>
      <c r="B1596" t="inlineStr">
        <is>
          <t>+5531992616179</t>
        </is>
      </c>
      <c r="C1596" t="inlineStr">
        <is>
          <t>Refill</t>
        </is>
      </c>
      <c r="D1596" t="inlineStr">
        <is>
          <t>Primer Cachos</t>
        </is>
      </c>
      <c r="E1596" t="n">
        <v>1</v>
      </c>
      <c r="F1596" t="inlineStr">
        <is>
          <t>2026-01-21</t>
        </is>
      </c>
      <c r="G1596" t="n">
        <v>164</v>
      </c>
      <c r="H1596" t="inlineStr">
        <is>
          <t>Y</t>
        </is>
      </c>
      <c r="I1596">
        <f>HYPERLINK("https://admin.shopify.com/store/ge-beauty-cosmeticos/customers/10074456195392","abrir")</f>
        <v/>
      </c>
      <c r="J1596">
        <f>HYPERLINK("https://www.gebeauty.com.br/products/primer-cachos-definidos?ref=review","review")</f>
        <v/>
      </c>
      <c r="K1596" t="inlineStr">
        <is>
          <t>HOLDOUT</t>
        </is>
      </c>
    </row>
    <row r="1597">
      <c r="A1597" t="inlineStr">
        <is>
          <t>Sheila</t>
        </is>
      </c>
      <c r="B1597" t="inlineStr">
        <is>
          <t>+5561991676925</t>
        </is>
      </c>
      <c r="C1597" t="inlineStr">
        <is>
          <t>Refill</t>
        </is>
      </c>
      <c r="D1597" t="inlineStr">
        <is>
          <t>Primer Cachos</t>
        </is>
      </c>
      <c r="E1597" t="n">
        <v>1</v>
      </c>
      <c r="F1597" t="inlineStr">
        <is>
          <t>2026-01-21</t>
        </is>
      </c>
      <c r="G1597" t="n">
        <v>164</v>
      </c>
      <c r="H1597" t="inlineStr">
        <is>
          <t>Y</t>
        </is>
      </c>
      <c r="I1597">
        <f>HYPERLINK("https://admin.shopify.com/store/ge-beauty-cosmeticos/customers/10074457047360","abrir")</f>
        <v/>
      </c>
      <c r="J1597">
        <f>HYPERLINK("https://www.gebeauty.com.br/products/primer-cachos-definidos?ref=review","review")</f>
        <v/>
      </c>
      <c r="K1597" t="inlineStr">
        <is>
          <t>SEND</t>
        </is>
      </c>
    </row>
    <row r="1598">
      <c r="A1598" t="inlineStr">
        <is>
          <t>Simone</t>
        </is>
      </c>
      <c r="B1598" t="inlineStr">
        <is>
          <t>+5511991392662</t>
        </is>
      </c>
      <c r="C1598" t="inlineStr">
        <is>
          <t>Refill</t>
        </is>
      </c>
      <c r="D1598" t="inlineStr">
        <is>
          <t>Primer Cachos</t>
        </is>
      </c>
      <c r="E1598" t="n">
        <v>1</v>
      </c>
      <c r="F1598" t="inlineStr">
        <is>
          <t>2026-01-21</t>
        </is>
      </c>
      <c r="G1598" t="n">
        <v>164</v>
      </c>
      <c r="H1598" t="inlineStr">
        <is>
          <t>Y</t>
        </is>
      </c>
      <c r="I1598">
        <f>HYPERLINK("https://admin.shopify.com/store/ge-beauty-cosmeticos/customers/10074475757888","abrir")</f>
        <v/>
      </c>
      <c r="J1598">
        <f>HYPERLINK("https://www.gebeauty.com.br/products/primer-cachos-definidos?ref=review","review")</f>
        <v/>
      </c>
      <c r="K1598" t="inlineStr">
        <is>
          <t>SEND</t>
        </is>
      </c>
    </row>
    <row r="1599">
      <c r="A1599" t="inlineStr">
        <is>
          <t>Vilaneide</t>
        </is>
      </c>
      <c r="B1599" t="inlineStr">
        <is>
          <t>+5585991794561</t>
        </is>
      </c>
      <c r="C1599" t="inlineStr">
        <is>
          <t>Refill</t>
        </is>
      </c>
      <c r="D1599" t="inlineStr">
        <is>
          <t>Primer Cachos</t>
        </is>
      </c>
      <c r="E1599" t="n">
        <v>1</v>
      </c>
      <c r="F1599" t="inlineStr">
        <is>
          <t>2026-01-21</t>
        </is>
      </c>
      <c r="G1599" t="n">
        <v>164</v>
      </c>
      <c r="H1599" t="inlineStr">
        <is>
          <t>Y</t>
        </is>
      </c>
      <c r="I1599">
        <f>HYPERLINK("https://admin.shopify.com/store/ge-beauty-cosmeticos/customers/10074480410944","abrir")</f>
        <v/>
      </c>
      <c r="J1599">
        <f>HYPERLINK("https://www.gebeauty.com.br/products/primer-cachos-definidos?ref=review","review")</f>
        <v/>
      </c>
      <c r="K1599" t="inlineStr">
        <is>
          <t>SEND</t>
        </is>
      </c>
    </row>
    <row r="1600">
      <c r="A1600" t="inlineStr">
        <is>
          <t>Norma</t>
        </is>
      </c>
      <c r="B1600" t="inlineStr">
        <is>
          <t>+5511981880299</t>
        </is>
      </c>
      <c r="C1600" t="inlineStr">
        <is>
          <t>Refill</t>
        </is>
      </c>
      <c r="D1600" t="inlineStr">
        <is>
          <t>Primer Cachos</t>
        </is>
      </c>
      <c r="E1600" t="n">
        <v>1</v>
      </c>
      <c r="F1600" t="inlineStr">
        <is>
          <t>2026-01-21</t>
        </is>
      </c>
      <c r="G1600" t="n">
        <v>164</v>
      </c>
      <c r="H1600" t="inlineStr">
        <is>
          <t>Y</t>
        </is>
      </c>
      <c r="I1600">
        <f>HYPERLINK("https://admin.shopify.com/store/ge-beauty-cosmeticos/customers/10074481230144","abrir")</f>
        <v/>
      </c>
      <c r="J1600">
        <f>HYPERLINK("https://www.gebeauty.com.br/products/primer-cachos-definidos?ref=review","review")</f>
        <v/>
      </c>
      <c r="K1600" t="inlineStr">
        <is>
          <t>SEND</t>
        </is>
      </c>
    </row>
    <row r="1601">
      <c r="A1601" t="inlineStr">
        <is>
          <t>Andrea</t>
        </is>
      </c>
      <c r="B1601" t="inlineStr">
        <is>
          <t>+5521981220405</t>
        </is>
      </c>
      <c r="C1601" t="inlineStr">
        <is>
          <t>Refill</t>
        </is>
      </c>
      <c r="D1601" t="inlineStr">
        <is>
          <t>Primer Cachos</t>
        </is>
      </c>
      <c r="E1601" t="n">
        <v>1</v>
      </c>
      <c r="F1601" t="inlineStr">
        <is>
          <t>2026-01-21</t>
        </is>
      </c>
      <c r="G1601" t="n">
        <v>164</v>
      </c>
      <c r="H1601" t="inlineStr">
        <is>
          <t>Y</t>
        </is>
      </c>
      <c r="I1601">
        <f>HYPERLINK("https://admin.shopify.com/store/ge-beauty-cosmeticos/customers/10074478379328","abrir")</f>
        <v/>
      </c>
      <c r="J1601">
        <f>HYPERLINK("https://www.gebeauty.com.br/products/primer-cachos-definidos?ref=review","review")</f>
        <v/>
      </c>
      <c r="K1601" t="inlineStr">
        <is>
          <t>SEND</t>
        </is>
      </c>
    </row>
    <row r="1602">
      <c r="A1602" t="inlineStr">
        <is>
          <t>Jeane</t>
        </is>
      </c>
      <c r="B1602" t="inlineStr">
        <is>
          <t>+5521980309229</t>
        </is>
      </c>
      <c r="C1602" t="inlineStr">
        <is>
          <t>Refill</t>
        </is>
      </c>
      <c r="D1602" t="inlineStr">
        <is>
          <t>Primer Cachos</t>
        </is>
      </c>
      <c r="E1602" t="n">
        <v>1</v>
      </c>
      <c r="F1602" t="inlineStr">
        <is>
          <t>2026-01-21</t>
        </is>
      </c>
      <c r="G1602" t="n">
        <v>164</v>
      </c>
      <c r="H1602" t="inlineStr">
        <is>
          <t>Y</t>
        </is>
      </c>
      <c r="I1602">
        <f>HYPERLINK("https://admin.shopify.com/store/ge-beauty-cosmeticos/customers/10074491158848","abrir")</f>
        <v/>
      </c>
      <c r="J1602">
        <f>HYPERLINK("https://www.gebeauty.com.br/products/primer-cachos-definidos?ref=review","review")</f>
        <v/>
      </c>
      <c r="K1602" t="inlineStr">
        <is>
          <t>SEND</t>
        </is>
      </c>
    </row>
    <row r="1603">
      <c r="A1603" t="inlineStr">
        <is>
          <t>Tamires</t>
        </is>
      </c>
      <c r="B1603" t="inlineStr">
        <is>
          <t>+5518996808530</t>
        </is>
      </c>
      <c r="C1603" t="inlineStr">
        <is>
          <t>Refill</t>
        </is>
      </c>
      <c r="D1603" t="inlineStr">
        <is>
          <t>Primer Cachos</t>
        </is>
      </c>
      <c r="E1603" t="n">
        <v>1</v>
      </c>
      <c r="F1603" t="inlineStr">
        <is>
          <t>2026-01-21</t>
        </is>
      </c>
      <c r="G1603" t="n">
        <v>164</v>
      </c>
      <c r="H1603" t="inlineStr">
        <is>
          <t>Y</t>
        </is>
      </c>
      <c r="I1603">
        <f>HYPERLINK("https://admin.shopify.com/store/ge-beauty-cosmeticos/customers/10074506658112","abrir")</f>
        <v/>
      </c>
      <c r="J1603">
        <f>HYPERLINK("https://www.gebeauty.com.br/products/primer-cachos-definidos?ref=review","review")</f>
        <v/>
      </c>
      <c r="K1603" t="inlineStr">
        <is>
          <t>SEND</t>
        </is>
      </c>
    </row>
    <row r="1604">
      <c r="A1604" t="inlineStr">
        <is>
          <t>Mara</t>
        </is>
      </c>
      <c r="B1604" t="inlineStr">
        <is>
          <t>+5511963189339</t>
        </is>
      </c>
      <c r="C1604" t="inlineStr">
        <is>
          <t>Refill</t>
        </is>
      </c>
      <c r="D1604" t="inlineStr">
        <is>
          <t>Primer Cachos</t>
        </is>
      </c>
      <c r="E1604" t="n">
        <v>1</v>
      </c>
      <c r="F1604" t="inlineStr">
        <is>
          <t>2026-01-21</t>
        </is>
      </c>
      <c r="G1604" t="n">
        <v>164</v>
      </c>
      <c r="H1604" t="inlineStr">
        <is>
          <t>Y</t>
        </is>
      </c>
      <c r="I1604">
        <f>HYPERLINK("https://admin.shopify.com/store/ge-beauty-cosmeticos/customers/10074506527040","abrir")</f>
        <v/>
      </c>
      <c r="J1604">
        <f>HYPERLINK("https://www.gebeauty.com.br/products/primer-cachos-definidos?ref=review","review")</f>
        <v/>
      </c>
      <c r="K1604" t="inlineStr">
        <is>
          <t>SEND</t>
        </is>
      </c>
    </row>
    <row r="1605">
      <c r="A1605" t="inlineStr">
        <is>
          <t>Debora</t>
        </is>
      </c>
      <c r="B1605" t="inlineStr">
        <is>
          <t>+5511996122044</t>
        </is>
      </c>
      <c r="C1605" t="inlineStr">
        <is>
          <t>Refill</t>
        </is>
      </c>
      <c r="D1605" t="inlineStr">
        <is>
          <t>Primer Cachos</t>
        </is>
      </c>
      <c r="E1605" t="n">
        <v>1</v>
      </c>
      <c r="F1605" t="inlineStr">
        <is>
          <t>2026-01-21</t>
        </is>
      </c>
      <c r="G1605" t="n">
        <v>164</v>
      </c>
      <c r="H1605" t="inlineStr">
        <is>
          <t>Y</t>
        </is>
      </c>
      <c r="I1605">
        <f>HYPERLINK("https://admin.shopify.com/store/ge-beauty-cosmeticos/customers/10074525991232","abrir")</f>
        <v/>
      </c>
      <c r="J1605">
        <f>HYPERLINK("https://www.gebeauty.com.br/products/primer-cachos-definidos?ref=review","review")</f>
        <v/>
      </c>
      <c r="K1605" t="inlineStr">
        <is>
          <t>SEND</t>
        </is>
      </c>
    </row>
    <row r="1606">
      <c r="A1606" t="inlineStr">
        <is>
          <t>Danielle</t>
        </is>
      </c>
      <c r="B1606" t="inlineStr">
        <is>
          <t>+5511987876944</t>
        </is>
      </c>
      <c r="C1606" t="inlineStr">
        <is>
          <t>Refill</t>
        </is>
      </c>
      <c r="D1606" t="inlineStr">
        <is>
          <t>Primer Cachos</t>
        </is>
      </c>
      <c r="E1606" t="n">
        <v>1</v>
      </c>
      <c r="F1606" t="inlineStr">
        <is>
          <t>2026-01-21</t>
        </is>
      </c>
      <c r="G1606" t="n">
        <v>164</v>
      </c>
      <c r="H1606" t="inlineStr">
        <is>
          <t>Y</t>
        </is>
      </c>
      <c r="I1606">
        <f>HYPERLINK("https://admin.shopify.com/store/ge-beauty-cosmeticos/customers/10074514194752","abrir")</f>
        <v/>
      </c>
      <c r="J1606">
        <f>HYPERLINK("https://www.gebeauty.com.br/products/primer-cachos-definidos?ref=review","review")</f>
        <v/>
      </c>
      <c r="K1606" t="inlineStr">
        <is>
          <t>SEND</t>
        </is>
      </c>
    </row>
    <row r="1607">
      <c r="A1607" t="inlineStr">
        <is>
          <t>Poliana</t>
        </is>
      </c>
      <c r="B1607" t="inlineStr">
        <is>
          <t>+5513997212804</t>
        </is>
      </c>
      <c r="C1607" t="inlineStr">
        <is>
          <t>Refill</t>
        </is>
      </c>
      <c r="D1607" t="inlineStr">
        <is>
          <t>Primer Cachos</t>
        </is>
      </c>
      <c r="E1607" t="n">
        <v>1</v>
      </c>
      <c r="F1607" t="inlineStr">
        <is>
          <t>2026-01-21</t>
        </is>
      </c>
      <c r="G1607" t="n">
        <v>164</v>
      </c>
      <c r="H1607" t="inlineStr">
        <is>
          <t>Y</t>
        </is>
      </c>
      <c r="I1607">
        <f>HYPERLINK("https://admin.shopify.com/store/ge-beauty-cosmeticos/customers/10074517668160","abrir")</f>
        <v/>
      </c>
      <c r="J1607">
        <f>HYPERLINK("https://www.gebeauty.com.br/products/primer-cachos-definidos?ref=review","review")</f>
        <v/>
      </c>
      <c r="K1607" t="inlineStr">
        <is>
          <t>SEND</t>
        </is>
      </c>
    </row>
    <row r="1608">
      <c r="A1608" t="inlineStr">
        <is>
          <t>Kauana</t>
        </is>
      </c>
      <c r="B1608" t="inlineStr">
        <is>
          <t>+5545998547491</t>
        </is>
      </c>
      <c r="C1608" t="inlineStr">
        <is>
          <t>Refill</t>
        </is>
      </c>
      <c r="D1608" t="inlineStr">
        <is>
          <t>Primer Cachos</t>
        </is>
      </c>
      <c r="E1608" t="n">
        <v>1</v>
      </c>
      <c r="F1608" t="inlineStr">
        <is>
          <t>2026-01-21</t>
        </is>
      </c>
      <c r="G1608" t="n">
        <v>164</v>
      </c>
      <c r="H1608" t="inlineStr">
        <is>
          <t>Y</t>
        </is>
      </c>
      <c r="I1608">
        <f>HYPERLINK("https://admin.shopify.com/store/ge-beauty-cosmeticos/customers/10074519503168","abrir")</f>
        <v/>
      </c>
      <c r="J1608">
        <f>HYPERLINK("https://www.gebeauty.com.br/products/primer-cachos-definidos?ref=review","review")</f>
        <v/>
      </c>
      <c r="K1608" t="inlineStr">
        <is>
          <t>SEND</t>
        </is>
      </c>
    </row>
    <row r="1609">
      <c r="A1609" t="inlineStr">
        <is>
          <t>Ana Carolina</t>
        </is>
      </c>
      <c r="B1609" t="inlineStr">
        <is>
          <t>+5554996560101</t>
        </is>
      </c>
      <c r="C1609" t="inlineStr">
        <is>
          <t>Refill</t>
        </is>
      </c>
      <c r="D1609" t="inlineStr">
        <is>
          <t>Primer Cachos</t>
        </is>
      </c>
      <c r="E1609" t="n">
        <v>1</v>
      </c>
      <c r="F1609" t="inlineStr">
        <is>
          <t>2026-01-21</t>
        </is>
      </c>
      <c r="G1609" t="n">
        <v>164</v>
      </c>
      <c r="H1609" t="inlineStr">
        <is>
          <t>Y</t>
        </is>
      </c>
      <c r="I1609">
        <f>HYPERLINK("https://admin.shopify.com/store/ge-beauty-cosmeticos/customers/10074533953856","abrir")</f>
        <v/>
      </c>
      <c r="J1609">
        <f>HYPERLINK("https://www.gebeauty.com.br/products/primer-cachos-definidos?ref=review","review")</f>
        <v/>
      </c>
      <c r="K1609" t="inlineStr">
        <is>
          <t>HOLDOUT</t>
        </is>
      </c>
    </row>
    <row r="1610">
      <c r="A1610" t="inlineStr">
        <is>
          <t>Sharon</t>
        </is>
      </c>
      <c r="B1610" t="inlineStr">
        <is>
          <t>+5519981945406</t>
        </is>
      </c>
      <c r="C1610" t="inlineStr">
        <is>
          <t>Refill</t>
        </is>
      </c>
      <c r="D1610" t="inlineStr">
        <is>
          <t>Primer Cachos</t>
        </is>
      </c>
      <c r="E1610" t="n">
        <v>1</v>
      </c>
      <c r="F1610" t="inlineStr">
        <is>
          <t>2026-01-21</t>
        </is>
      </c>
      <c r="G1610" t="n">
        <v>164</v>
      </c>
      <c r="H1610" t="inlineStr">
        <is>
          <t>Y</t>
        </is>
      </c>
      <c r="I1610">
        <f>HYPERLINK("https://admin.shopify.com/store/ge-beauty-cosmeticos/customers/10074544406848","abrir")</f>
        <v/>
      </c>
      <c r="J1610">
        <f>HYPERLINK("https://www.gebeauty.com.br/products/primer-cachos-definidos?ref=review","review")</f>
        <v/>
      </c>
      <c r="K1610" t="inlineStr">
        <is>
          <t>SEND</t>
        </is>
      </c>
    </row>
    <row r="1611">
      <c r="A1611" t="inlineStr">
        <is>
          <t>Lidia</t>
        </is>
      </c>
      <c r="B1611" t="inlineStr">
        <is>
          <t>+5511997416263</t>
        </is>
      </c>
      <c r="C1611" t="inlineStr">
        <is>
          <t>Refill</t>
        </is>
      </c>
      <c r="D1611" t="inlineStr">
        <is>
          <t>Primer Cachos</t>
        </is>
      </c>
      <c r="E1611" t="n">
        <v>1</v>
      </c>
      <c r="F1611" t="inlineStr">
        <is>
          <t>2026-01-21</t>
        </is>
      </c>
      <c r="G1611" t="n">
        <v>164</v>
      </c>
      <c r="H1611" t="inlineStr">
        <is>
          <t>Y</t>
        </is>
      </c>
      <c r="I1611">
        <f>HYPERLINK("https://admin.shopify.com/store/ge-beauty-cosmeticos/customers/8162269921600","abrir")</f>
        <v/>
      </c>
      <c r="J1611">
        <f>HYPERLINK("https://www.gebeauty.com.br/products/primer-cachos-definidos?ref=review","review")</f>
        <v/>
      </c>
      <c r="K1611" t="inlineStr">
        <is>
          <t>SEND</t>
        </is>
      </c>
    </row>
    <row r="1612">
      <c r="A1612" t="inlineStr">
        <is>
          <t>Adriana</t>
        </is>
      </c>
      <c r="B1612" t="inlineStr">
        <is>
          <t>+5511986016864</t>
        </is>
      </c>
      <c r="C1612" t="inlineStr">
        <is>
          <t>Refill</t>
        </is>
      </c>
      <c r="D1612" t="inlineStr">
        <is>
          <t>Primer Cachos</t>
        </is>
      </c>
      <c r="E1612" t="n">
        <v>1</v>
      </c>
      <c r="F1612" t="inlineStr">
        <is>
          <t>2026-01-21</t>
        </is>
      </c>
      <c r="G1612" t="n">
        <v>164</v>
      </c>
      <c r="H1612" t="inlineStr">
        <is>
          <t>Y</t>
        </is>
      </c>
      <c r="I1612">
        <f>HYPERLINK("https://admin.shopify.com/store/ge-beauty-cosmeticos/customers/10074506101056","abrir")</f>
        <v/>
      </c>
      <c r="J1612">
        <f>HYPERLINK("https://www.gebeauty.com.br/products/primer-cachos-definidos?ref=review","review")</f>
        <v/>
      </c>
      <c r="K1612" t="inlineStr">
        <is>
          <t>SEND</t>
        </is>
      </c>
    </row>
    <row r="1613">
      <c r="A1613" t="inlineStr">
        <is>
          <t>Thamiris</t>
        </is>
      </c>
      <c r="B1613" t="inlineStr">
        <is>
          <t>+5548988080823</t>
        </is>
      </c>
      <c r="C1613" t="inlineStr">
        <is>
          <t>Refill</t>
        </is>
      </c>
      <c r="D1613" t="inlineStr">
        <is>
          <t>Primer Cachos</t>
        </is>
      </c>
      <c r="E1613" t="n">
        <v>1</v>
      </c>
      <c r="F1613" t="inlineStr">
        <is>
          <t>2026-01-21</t>
        </is>
      </c>
      <c r="G1613" t="n">
        <v>164</v>
      </c>
      <c r="H1613" t="inlineStr">
        <is>
          <t>Y</t>
        </is>
      </c>
      <c r="I1613">
        <f>HYPERLINK("https://admin.shopify.com/store/ge-beauty-cosmeticos/customers/10074547880256","abrir")</f>
        <v/>
      </c>
      <c r="J1613">
        <f>HYPERLINK("https://www.gebeauty.com.br/products/primer-cachos-definidos?ref=review","review")</f>
        <v/>
      </c>
      <c r="K1613" t="inlineStr">
        <is>
          <t>SEND</t>
        </is>
      </c>
    </row>
    <row r="1614">
      <c r="A1614" t="inlineStr">
        <is>
          <t>Ingrid</t>
        </is>
      </c>
      <c r="B1614" t="inlineStr">
        <is>
          <t>+5511987143705</t>
        </is>
      </c>
      <c r="C1614" t="inlineStr">
        <is>
          <t>Refill</t>
        </is>
      </c>
      <c r="D1614" t="inlineStr">
        <is>
          <t>Primer Cachos</t>
        </is>
      </c>
      <c r="E1614" t="n">
        <v>1</v>
      </c>
      <c r="F1614" t="inlineStr">
        <is>
          <t>2026-01-21</t>
        </is>
      </c>
      <c r="G1614" t="n">
        <v>164</v>
      </c>
      <c r="H1614" t="inlineStr">
        <is>
          <t>Y</t>
        </is>
      </c>
      <c r="I1614">
        <f>HYPERLINK("https://admin.shopify.com/store/ge-beauty-cosmeticos/customers/10074547224896","abrir")</f>
        <v/>
      </c>
      <c r="J1614">
        <f>HYPERLINK("https://www.gebeauty.com.br/products/primer-cachos-definidos?ref=review","review")</f>
        <v/>
      </c>
      <c r="K1614" t="inlineStr">
        <is>
          <t>HOLDOUT</t>
        </is>
      </c>
    </row>
    <row r="1615">
      <c r="A1615" t="inlineStr">
        <is>
          <t>Cleide</t>
        </is>
      </c>
      <c r="B1615" t="inlineStr">
        <is>
          <t>+5511963607974</t>
        </is>
      </c>
      <c r="C1615" t="inlineStr">
        <is>
          <t>Refill</t>
        </is>
      </c>
      <c r="D1615" t="inlineStr">
        <is>
          <t>Primer Cachos</t>
        </is>
      </c>
      <c r="E1615" t="n">
        <v>1</v>
      </c>
      <c r="F1615" t="inlineStr">
        <is>
          <t>2026-01-21</t>
        </is>
      </c>
      <c r="G1615" t="n">
        <v>164</v>
      </c>
      <c r="H1615" t="inlineStr">
        <is>
          <t>Y</t>
        </is>
      </c>
      <c r="I1615">
        <f>HYPERLINK("https://admin.shopify.com/store/ge-beauty-cosmeticos/customers/10074570326336","abrir")</f>
        <v/>
      </c>
      <c r="J1615">
        <f>HYPERLINK("https://www.gebeauty.com.br/products/primer-cachos-definidos?ref=review","review")</f>
        <v/>
      </c>
      <c r="K1615" t="inlineStr">
        <is>
          <t>SEND</t>
        </is>
      </c>
    </row>
    <row r="1616">
      <c r="A1616" t="inlineStr">
        <is>
          <t>Vanessa</t>
        </is>
      </c>
      <c r="B1616" t="inlineStr">
        <is>
          <t>+5543998037099</t>
        </is>
      </c>
      <c r="C1616" t="inlineStr">
        <is>
          <t>Refill</t>
        </is>
      </c>
      <c r="D1616" t="inlineStr">
        <is>
          <t>Primer Cachos</t>
        </is>
      </c>
      <c r="E1616" t="n">
        <v>1</v>
      </c>
      <c r="F1616" t="inlineStr">
        <is>
          <t>2026-01-21</t>
        </is>
      </c>
      <c r="G1616" t="n">
        <v>164</v>
      </c>
      <c r="H1616" t="inlineStr">
        <is>
          <t>Y</t>
        </is>
      </c>
      <c r="I1616">
        <f>HYPERLINK("https://admin.shopify.com/store/ge-beauty-cosmeticos/customers/10074584777024","abrir")</f>
        <v/>
      </c>
      <c r="J1616">
        <f>HYPERLINK("https://www.gebeauty.com.br/products/primer-cachos-definidos?ref=review","review")</f>
        <v/>
      </c>
      <c r="K1616" t="inlineStr">
        <is>
          <t>SEND</t>
        </is>
      </c>
    </row>
    <row r="1617">
      <c r="A1617" t="inlineStr">
        <is>
          <t>Mayara</t>
        </is>
      </c>
      <c r="B1617" t="inlineStr">
        <is>
          <t>+5511974679531</t>
        </is>
      </c>
      <c r="C1617" t="inlineStr">
        <is>
          <t>Refill</t>
        </is>
      </c>
      <c r="D1617" t="inlineStr">
        <is>
          <t>Primer Cachos</t>
        </is>
      </c>
      <c r="E1617" t="n">
        <v>1</v>
      </c>
      <c r="F1617" t="inlineStr">
        <is>
          <t>2026-01-21</t>
        </is>
      </c>
      <c r="G1617" t="n">
        <v>164</v>
      </c>
      <c r="H1617" t="inlineStr">
        <is>
          <t>Y</t>
        </is>
      </c>
      <c r="I1617">
        <f>HYPERLINK("https://admin.shopify.com/store/ge-beauty-cosmeticos/customers/10074600538432","abrir")</f>
        <v/>
      </c>
      <c r="J1617">
        <f>HYPERLINK("https://www.gebeauty.com.br/products/primer-cachos-definidos?ref=review","review")</f>
        <v/>
      </c>
      <c r="K1617" t="inlineStr">
        <is>
          <t>SEND</t>
        </is>
      </c>
    </row>
    <row r="1618">
      <c r="A1618" t="inlineStr">
        <is>
          <t>Célia Regina</t>
        </is>
      </c>
      <c r="B1618" t="inlineStr">
        <is>
          <t>+5511949144063</t>
        </is>
      </c>
      <c r="C1618" t="inlineStr">
        <is>
          <t>Refill</t>
        </is>
      </c>
      <c r="D1618" t="inlineStr">
        <is>
          <t>Primer Cachos</t>
        </is>
      </c>
      <c r="E1618" t="n">
        <v>1</v>
      </c>
      <c r="F1618" t="inlineStr">
        <is>
          <t>2026-01-21</t>
        </is>
      </c>
      <c r="G1618" t="n">
        <v>164</v>
      </c>
      <c r="H1618" t="inlineStr">
        <is>
          <t>Y</t>
        </is>
      </c>
      <c r="I1618">
        <f>HYPERLINK("https://admin.shopify.com/store/ge-beauty-cosmeticos/customers/10074613416256","abrir")</f>
        <v/>
      </c>
      <c r="J1618">
        <f>HYPERLINK("https://www.gebeauty.com.br/products/primer-cachos-definidos?ref=review","review")</f>
        <v/>
      </c>
      <c r="K1618" t="inlineStr">
        <is>
          <t>HOLDOUT</t>
        </is>
      </c>
    </row>
    <row r="1619">
      <c r="A1619" t="inlineStr">
        <is>
          <t>Amanda</t>
        </is>
      </c>
      <c r="B1619" t="inlineStr">
        <is>
          <t>+5583999306617</t>
        </is>
      </c>
      <c r="C1619" t="inlineStr">
        <is>
          <t>Refill</t>
        </is>
      </c>
      <c r="D1619" t="inlineStr">
        <is>
          <t>Primer Cachos</t>
        </is>
      </c>
      <c r="E1619" t="n">
        <v>1</v>
      </c>
      <c r="F1619" t="inlineStr">
        <is>
          <t>2026-01-21</t>
        </is>
      </c>
      <c r="G1619" t="n">
        <v>164</v>
      </c>
      <c r="H1619" t="inlineStr">
        <is>
          <t>Y</t>
        </is>
      </c>
      <c r="I1619">
        <f>HYPERLINK("https://admin.shopify.com/store/ge-beauty-cosmeticos/customers/10074628424000","abrir")</f>
        <v/>
      </c>
      <c r="J1619">
        <f>HYPERLINK("https://www.gebeauty.com.br/products/primer-cachos-definidos?ref=review","review")</f>
        <v/>
      </c>
      <c r="K1619" t="inlineStr">
        <is>
          <t>HOLDOUT</t>
        </is>
      </c>
    </row>
    <row r="1620">
      <c r="A1620" t="inlineStr">
        <is>
          <t>Debora</t>
        </is>
      </c>
      <c r="B1620" t="inlineStr">
        <is>
          <t>+5511998095979</t>
        </is>
      </c>
      <c r="C1620" t="inlineStr">
        <is>
          <t>Refill</t>
        </is>
      </c>
      <c r="D1620" t="inlineStr">
        <is>
          <t>Primer Cachos</t>
        </is>
      </c>
      <c r="E1620" t="n">
        <v>1</v>
      </c>
      <c r="F1620" t="inlineStr">
        <is>
          <t>2026-01-21</t>
        </is>
      </c>
      <c r="G1620" t="n">
        <v>164</v>
      </c>
      <c r="H1620" t="inlineStr">
        <is>
          <t>Y</t>
        </is>
      </c>
      <c r="I1620">
        <f>HYPERLINK("https://admin.shopify.com/store/ge-beauty-cosmeticos/customers/10074617807168","abrir")</f>
        <v/>
      </c>
      <c r="J1620">
        <f>HYPERLINK("https://www.gebeauty.com.br/products/primer-cachos-definidos?ref=review","review")</f>
        <v/>
      </c>
      <c r="K1620" t="inlineStr">
        <is>
          <t>HOLDOUT</t>
        </is>
      </c>
    </row>
    <row r="1621">
      <c r="A1621" t="inlineStr">
        <is>
          <t>Nathallia</t>
        </is>
      </c>
      <c r="B1621" t="inlineStr">
        <is>
          <t>+5511982642974</t>
        </is>
      </c>
      <c r="C1621" t="inlineStr">
        <is>
          <t>Refill</t>
        </is>
      </c>
      <c r="D1621" t="inlineStr">
        <is>
          <t>Primer Cachos</t>
        </is>
      </c>
      <c r="E1621" t="n">
        <v>1</v>
      </c>
      <c r="F1621" t="inlineStr">
        <is>
          <t>2026-01-21</t>
        </is>
      </c>
      <c r="G1621" t="n">
        <v>164</v>
      </c>
      <c r="H1621" t="inlineStr">
        <is>
          <t>Y</t>
        </is>
      </c>
      <c r="I1621">
        <f>HYPERLINK("https://admin.shopify.com/store/ge-beauty-cosmeticos/customers/10074628620608","abrir")</f>
        <v/>
      </c>
      <c r="J1621">
        <f>HYPERLINK("https://www.gebeauty.com.br/products/primer-cachos-definidos?ref=review","review")</f>
        <v/>
      </c>
      <c r="K1621" t="inlineStr">
        <is>
          <t>SEND</t>
        </is>
      </c>
    </row>
    <row r="1622">
      <c r="A1622" t="inlineStr">
        <is>
          <t>Marcia</t>
        </is>
      </c>
      <c r="B1622" t="inlineStr">
        <is>
          <t>+5521996109053</t>
        </is>
      </c>
      <c r="C1622" t="inlineStr">
        <is>
          <t>Refill</t>
        </is>
      </c>
      <c r="D1622" t="inlineStr">
        <is>
          <t>Primer Cachos</t>
        </is>
      </c>
      <c r="E1622" t="n">
        <v>1</v>
      </c>
      <c r="F1622" t="inlineStr">
        <is>
          <t>2026-01-21</t>
        </is>
      </c>
      <c r="G1622" t="n">
        <v>164</v>
      </c>
      <c r="H1622" t="inlineStr">
        <is>
          <t>Y</t>
        </is>
      </c>
      <c r="I1622">
        <f>HYPERLINK("https://admin.shopify.com/store/ge-beauty-cosmeticos/customers/10074798784832","abrir")</f>
        <v/>
      </c>
      <c r="J1622">
        <f>HYPERLINK("https://www.gebeauty.com.br/products/primer-cachos-definidos?ref=review","review")</f>
        <v/>
      </c>
      <c r="K1622" t="inlineStr">
        <is>
          <t>HOLDOUT</t>
        </is>
      </c>
    </row>
    <row r="1623">
      <c r="A1623" t="inlineStr">
        <is>
          <t>Bruna</t>
        </is>
      </c>
      <c r="B1623" t="inlineStr">
        <is>
          <t>+5517991741850</t>
        </is>
      </c>
      <c r="C1623" t="inlineStr">
        <is>
          <t>Refill</t>
        </is>
      </c>
      <c r="D1623" t="inlineStr">
        <is>
          <t>Primer Cachos</t>
        </is>
      </c>
      <c r="E1623" t="n">
        <v>1</v>
      </c>
      <c r="F1623" t="inlineStr">
        <is>
          <t>2026-01-21</t>
        </is>
      </c>
      <c r="G1623" t="n">
        <v>164</v>
      </c>
      <c r="H1623" t="inlineStr">
        <is>
          <t>Y</t>
        </is>
      </c>
      <c r="I1623">
        <f>HYPERLINK("https://admin.shopify.com/store/ge-beauty-cosmeticos/customers/10074862059840","abrir")</f>
        <v/>
      </c>
      <c r="J1623">
        <f>HYPERLINK("https://www.gebeauty.com.br/products/primer-cachos-definidos?ref=review","review")</f>
        <v/>
      </c>
      <c r="K1623" t="inlineStr">
        <is>
          <t>SEND</t>
        </is>
      </c>
    </row>
    <row r="1624">
      <c r="A1624" t="inlineStr">
        <is>
          <t>Maria</t>
        </is>
      </c>
      <c r="B1624" t="inlineStr">
        <is>
          <t>+5551981353114</t>
        </is>
      </c>
      <c r="C1624" t="inlineStr">
        <is>
          <t>Refill</t>
        </is>
      </c>
      <c r="D1624" t="inlineStr">
        <is>
          <t>Primer Cachos</t>
        </is>
      </c>
      <c r="E1624" t="n">
        <v>1</v>
      </c>
      <c r="F1624" t="inlineStr">
        <is>
          <t>2026-01-21</t>
        </is>
      </c>
      <c r="G1624" t="n">
        <v>164</v>
      </c>
      <c r="H1624" t="inlineStr">
        <is>
          <t>Y</t>
        </is>
      </c>
      <c r="I1624">
        <f>HYPERLINK("https://admin.shopify.com/store/ge-beauty-cosmeticos/customers/10074887061824","abrir")</f>
        <v/>
      </c>
      <c r="J1624">
        <f>HYPERLINK("https://www.gebeauty.com.br/products/primer-cachos-definidos?ref=review","review")</f>
        <v/>
      </c>
      <c r="K1624" t="inlineStr">
        <is>
          <t>SEND</t>
        </is>
      </c>
    </row>
    <row r="1625">
      <c r="A1625" t="inlineStr">
        <is>
          <t>Fran</t>
        </is>
      </c>
      <c r="B1625" t="inlineStr">
        <is>
          <t>+5531992578234</t>
        </is>
      </c>
      <c r="C1625" t="inlineStr">
        <is>
          <t>Refill</t>
        </is>
      </c>
      <c r="D1625" t="inlineStr">
        <is>
          <t>Primer Cachos</t>
        </is>
      </c>
      <c r="E1625" t="n">
        <v>1</v>
      </c>
      <c r="F1625" t="inlineStr">
        <is>
          <t>2026-01-21</t>
        </is>
      </c>
      <c r="G1625" t="n">
        <v>164</v>
      </c>
      <c r="H1625" t="inlineStr">
        <is>
          <t>Y</t>
        </is>
      </c>
      <c r="I1625">
        <f>HYPERLINK("https://admin.shopify.com/store/ge-beauty-cosmeticos/customers/10074888307008","abrir")</f>
        <v/>
      </c>
      <c r="J1625">
        <f>HYPERLINK("https://www.gebeauty.com.br/products/primer-cachos-definidos?ref=review","review")</f>
        <v/>
      </c>
      <c r="K1625" t="inlineStr">
        <is>
          <t>SEND</t>
        </is>
      </c>
    </row>
    <row r="1626">
      <c r="A1626" t="inlineStr">
        <is>
          <t>Cristiane Maria</t>
        </is>
      </c>
      <c r="B1626" t="inlineStr">
        <is>
          <t>+5519994561129</t>
        </is>
      </c>
      <c r="C1626" t="inlineStr">
        <is>
          <t>Refill</t>
        </is>
      </c>
      <c r="D1626" t="inlineStr">
        <is>
          <t>Primer Cachos</t>
        </is>
      </c>
      <c r="E1626" t="n">
        <v>1</v>
      </c>
      <c r="F1626" t="inlineStr">
        <is>
          <t>2026-01-21</t>
        </is>
      </c>
      <c r="G1626" t="n">
        <v>164</v>
      </c>
      <c r="H1626" t="inlineStr">
        <is>
          <t>Y</t>
        </is>
      </c>
      <c r="I1626">
        <f>HYPERLINK("https://admin.shopify.com/store/ge-beauty-cosmeticos/customers/10074892173632","abrir")</f>
        <v/>
      </c>
      <c r="J1626">
        <f>HYPERLINK("https://www.gebeauty.com.br/products/primer-cachos-definidos?ref=review","review")</f>
        <v/>
      </c>
      <c r="K1626" t="inlineStr">
        <is>
          <t>HOLDOUT</t>
        </is>
      </c>
    </row>
    <row r="1627">
      <c r="A1627" t="inlineStr">
        <is>
          <t>Ana Beatriz</t>
        </is>
      </c>
      <c r="B1627" t="inlineStr">
        <is>
          <t>+5547996987906</t>
        </is>
      </c>
      <c r="C1627" t="inlineStr">
        <is>
          <t>Refill</t>
        </is>
      </c>
      <c r="D1627" t="inlineStr">
        <is>
          <t>Primer Cachos</t>
        </is>
      </c>
      <c r="E1627" t="n">
        <v>1</v>
      </c>
      <c r="F1627" t="inlineStr">
        <is>
          <t>2026-01-21</t>
        </is>
      </c>
      <c r="G1627" t="n">
        <v>164</v>
      </c>
      <c r="H1627" t="inlineStr">
        <is>
          <t>Y</t>
        </is>
      </c>
      <c r="I1627">
        <f>HYPERLINK("https://admin.shopify.com/store/ge-beauty-cosmeticos/customers/10074907771200","abrir")</f>
        <v/>
      </c>
      <c r="J1627">
        <f>HYPERLINK("https://www.gebeauty.com.br/products/primer-cachos-definidos?ref=review","review")</f>
        <v/>
      </c>
      <c r="K1627" t="inlineStr">
        <is>
          <t>SEND</t>
        </is>
      </c>
    </row>
    <row r="1628">
      <c r="A1628" t="inlineStr">
        <is>
          <t>Roberta</t>
        </is>
      </c>
      <c r="B1628" t="inlineStr">
        <is>
          <t>+5511934357330</t>
        </is>
      </c>
      <c r="C1628" t="inlineStr">
        <is>
          <t>Refill</t>
        </is>
      </c>
      <c r="D1628" t="inlineStr">
        <is>
          <t>Primer Cachos</t>
        </is>
      </c>
      <c r="E1628" t="n">
        <v>1</v>
      </c>
      <c r="F1628" t="inlineStr">
        <is>
          <t>2026-01-21</t>
        </is>
      </c>
      <c r="G1628" t="n">
        <v>164</v>
      </c>
      <c r="H1628" t="inlineStr">
        <is>
          <t>Y</t>
        </is>
      </c>
      <c r="I1628">
        <f>HYPERLINK("https://admin.shopify.com/store/ge-beauty-cosmeticos/customers/10074915438912","abrir")</f>
        <v/>
      </c>
      <c r="J1628">
        <f>HYPERLINK("https://www.gebeauty.com.br/products/primer-cachos-definidos?ref=review","review")</f>
        <v/>
      </c>
      <c r="K1628" t="inlineStr">
        <is>
          <t>SEND</t>
        </is>
      </c>
    </row>
    <row r="1629">
      <c r="A1629" t="inlineStr">
        <is>
          <t>Fernanda Letícia</t>
        </is>
      </c>
      <c r="B1629" t="inlineStr">
        <is>
          <t>+5524999436232</t>
        </is>
      </c>
      <c r="C1629" t="inlineStr">
        <is>
          <t>Refill</t>
        </is>
      </c>
      <c r="D1629" t="inlineStr">
        <is>
          <t>Primer Cachos</t>
        </is>
      </c>
      <c r="E1629" t="n">
        <v>1</v>
      </c>
      <c r="F1629" t="inlineStr">
        <is>
          <t>2026-01-21</t>
        </is>
      </c>
      <c r="G1629" t="n">
        <v>164</v>
      </c>
      <c r="H1629" t="inlineStr">
        <is>
          <t>Y</t>
        </is>
      </c>
      <c r="I1629">
        <f>HYPERLINK("https://admin.shopify.com/store/ge-beauty-cosmeticos/customers/10074918682944","abrir")</f>
        <v/>
      </c>
      <c r="J1629">
        <f>HYPERLINK("https://www.gebeauty.com.br/products/primer-cachos-definidos?ref=review","review")</f>
        <v/>
      </c>
      <c r="K1629" t="inlineStr">
        <is>
          <t>SEND</t>
        </is>
      </c>
    </row>
    <row r="1630">
      <c r="A1630" t="inlineStr">
        <is>
          <t>Beatriz</t>
        </is>
      </c>
      <c r="B1630" t="inlineStr">
        <is>
          <t>+5511965606633</t>
        </is>
      </c>
      <c r="C1630" t="inlineStr">
        <is>
          <t>Refill</t>
        </is>
      </c>
      <c r="D1630" t="inlineStr">
        <is>
          <t>Primer Cachos</t>
        </is>
      </c>
      <c r="E1630" t="n">
        <v>1</v>
      </c>
      <c r="F1630" t="inlineStr">
        <is>
          <t>2026-01-21</t>
        </is>
      </c>
      <c r="G1630" t="n">
        <v>164</v>
      </c>
      <c r="H1630" t="inlineStr">
        <is>
          <t>Y</t>
        </is>
      </c>
      <c r="I1630">
        <f>HYPERLINK("https://admin.shopify.com/store/ge-beauty-cosmeticos/customers/10074926219584","abrir")</f>
        <v/>
      </c>
      <c r="J1630">
        <f>HYPERLINK("https://www.gebeauty.com.br/products/primer-cachos-definidos?ref=review","review")</f>
        <v/>
      </c>
      <c r="K1630" t="inlineStr">
        <is>
          <t>SEND</t>
        </is>
      </c>
    </row>
    <row r="1631">
      <c r="A1631" t="inlineStr">
        <is>
          <t>Simone</t>
        </is>
      </c>
      <c r="B1631" t="inlineStr">
        <is>
          <t>+5555996117097</t>
        </is>
      </c>
      <c r="C1631" t="inlineStr">
        <is>
          <t>Refill</t>
        </is>
      </c>
      <c r="D1631" t="inlineStr">
        <is>
          <t>Primer Cachos</t>
        </is>
      </c>
      <c r="E1631" t="n">
        <v>1</v>
      </c>
      <c r="F1631" t="inlineStr">
        <is>
          <t>2026-01-21</t>
        </is>
      </c>
      <c r="G1631" t="n">
        <v>164</v>
      </c>
      <c r="H1631" t="inlineStr">
        <is>
          <t>Y</t>
        </is>
      </c>
      <c r="I1631">
        <f>HYPERLINK("https://admin.shopify.com/store/ge-beauty-cosmeticos/customers/10074929103168","abrir")</f>
        <v/>
      </c>
      <c r="J1631">
        <f>HYPERLINK("https://www.gebeauty.com.br/products/primer-cachos-definidos?ref=review","review")</f>
        <v/>
      </c>
      <c r="K1631" t="inlineStr">
        <is>
          <t>SEND</t>
        </is>
      </c>
    </row>
    <row r="1632">
      <c r="A1632" t="inlineStr">
        <is>
          <t>Lidiane</t>
        </is>
      </c>
      <c r="B1632" t="inlineStr">
        <is>
          <t>+5511975547340</t>
        </is>
      </c>
      <c r="C1632" t="inlineStr">
        <is>
          <t>Refill</t>
        </is>
      </c>
      <c r="D1632" t="inlineStr">
        <is>
          <t>Primer Cachos</t>
        </is>
      </c>
      <c r="E1632" t="n">
        <v>1</v>
      </c>
      <c r="F1632" t="inlineStr">
        <is>
          <t>2026-01-21</t>
        </is>
      </c>
      <c r="G1632" t="n">
        <v>164</v>
      </c>
      <c r="H1632" t="inlineStr">
        <is>
          <t>Y</t>
        </is>
      </c>
      <c r="I1632">
        <f>HYPERLINK("https://admin.shopify.com/store/ge-beauty-cosmeticos/customers/10074932576576","abrir")</f>
        <v/>
      </c>
      <c r="J1632">
        <f>HYPERLINK("https://www.gebeauty.com.br/products/primer-cachos-definidos?ref=review","review")</f>
        <v/>
      </c>
      <c r="K1632" t="inlineStr">
        <is>
          <t>SEND</t>
        </is>
      </c>
    </row>
    <row r="1633">
      <c r="A1633" t="inlineStr">
        <is>
          <t>Sonia</t>
        </is>
      </c>
      <c r="B1633" t="inlineStr">
        <is>
          <t>+5561981275500</t>
        </is>
      </c>
      <c r="C1633" t="inlineStr">
        <is>
          <t>Refill</t>
        </is>
      </c>
      <c r="D1633" t="inlineStr">
        <is>
          <t>Primer Cachos</t>
        </is>
      </c>
      <c r="E1633" t="n">
        <v>1</v>
      </c>
      <c r="F1633" t="inlineStr">
        <is>
          <t>2026-01-21</t>
        </is>
      </c>
      <c r="G1633" t="n">
        <v>164</v>
      </c>
      <c r="H1633" t="inlineStr">
        <is>
          <t>Y</t>
        </is>
      </c>
      <c r="I1633">
        <f>HYPERLINK("https://admin.shopify.com/store/ge-beauty-cosmeticos/customers/10074934640960","abrir")</f>
        <v/>
      </c>
      <c r="J1633">
        <f>HYPERLINK("https://www.gebeauty.com.br/products/primer-cachos-definidos?ref=review","review")</f>
        <v/>
      </c>
      <c r="K1633" t="inlineStr">
        <is>
          <t>SEND</t>
        </is>
      </c>
    </row>
    <row r="1634">
      <c r="A1634" t="inlineStr">
        <is>
          <t>Maria Cristina</t>
        </is>
      </c>
      <c r="B1634" t="inlineStr">
        <is>
          <t>+5516991675664</t>
        </is>
      </c>
      <c r="C1634" t="inlineStr">
        <is>
          <t>Refill</t>
        </is>
      </c>
      <c r="D1634" t="inlineStr">
        <is>
          <t>Primer Cachos</t>
        </is>
      </c>
      <c r="E1634" t="n">
        <v>1</v>
      </c>
      <c r="F1634" t="inlineStr">
        <is>
          <t>2026-01-21</t>
        </is>
      </c>
      <c r="G1634" t="n">
        <v>164</v>
      </c>
      <c r="H1634" t="inlineStr">
        <is>
          <t>Y</t>
        </is>
      </c>
      <c r="I1634">
        <f>HYPERLINK("https://admin.shopify.com/store/ge-beauty-cosmeticos/customers/10074957807936","abrir")</f>
        <v/>
      </c>
      <c r="J1634">
        <f>HYPERLINK("https://www.gebeauty.com.br/products/primer-cachos-definidos?ref=review","review")</f>
        <v/>
      </c>
      <c r="K1634" t="inlineStr">
        <is>
          <t>SEND</t>
        </is>
      </c>
    </row>
    <row r="1635">
      <c r="A1635" t="inlineStr">
        <is>
          <t>Carla</t>
        </is>
      </c>
      <c r="B1635" t="inlineStr">
        <is>
          <t>+5511942491200</t>
        </is>
      </c>
      <c r="C1635" t="inlineStr">
        <is>
          <t>Refill</t>
        </is>
      </c>
      <c r="D1635" t="inlineStr">
        <is>
          <t>Primer Cachos</t>
        </is>
      </c>
      <c r="E1635" t="n">
        <v>1</v>
      </c>
      <c r="F1635" t="inlineStr">
        <is>
          <t>2026-01-21</t>
        </is>
      </c>
      <c r="G1635" t="n">
        <v>164</v>
      </c>
      <c r="H1635" t="inlineStr">
        <is>
          <t>Y</t>
        </is>
      </c>
      <c r="I1635">
        <f>HYPERLINK("https://admin.shopify.com/store/ge-beauty-cosmeticos/customers/10074953515328","abrir")</f>
        <v/>
      </c>
      <c r="J1635">
        <f>HYPERLINK("https://www.gebeauty.com.br/products/primer-cachos-definidos?ref=review","review")</f>
        <v/>
      </c>
      <c r="K1635" t="inlineStr">
        <is>
          <t>SEND</t>
        </is>
      </c>
    </row>
    <row r="1636">
      <c r="A1636" t="inlineStr">
        <is>
          <t>Jéssica</t>
        </is>
      </c>
      <c r="B1636" t="inlineStr">
        <is>
          <t>+5519995523627</t>
        </is>
      </c>
      <c r="C1636" t="inlineStr">
        <is>
          <t>Refill</t>
        </is>
      </c>
      <c r="D1636" t="inlineStr">
        <is>
          <t>Primer Cachos</t>
        </is>
      </c>
      <c r="E1636" t="n">
        <v>1</v>
      </c>
      <c r="F1636" t="inlineStr">
        <is>
          <t>2026-01-21</t>
        </is>
      </c>
      <c r="G1636" t="n">
        <v>164</v>
      </c>
      <c r="H1636" t="inlineStr">
        <is>
          <t>Y</t>
        </is>
      </c>
      <c r="I1636">
        <f>HYPERLINK("https://admin.shopify.com/store/ge-beauty-cosmeticos/customers/10074958725440","abrir")</f>
        <v/>
      </c>
      <c r="J1636">
        <f>HYPERLINK("https://www.gebeauty.com.br/products/primer-cachos-definidos?ref=review","review")</f>
        <v/>
      </c>
      <c r="K1636" t="inlineStr">
        <is>
          <t>SEND</t>
        </is>
      </c>
    </row>
    <row r="1637">
      <c r="A1637" t="inlineStr">
        <is>
          <t>Maria</t>
        </is>
      </c>
      <c r="B1637" t="inlineStr">
        <is>
          <t>+5511982158040</t>
        </is>
      </c>
      <c r="C1637" t="inlineStr">
        <is>
          <t>Refill</t>
        </is>
      </c>
      <c r="D1637" t="inlineStr">
        <is>
          <t>Primer Cachos</t>
        </is>
      </c>
      <c r="E1637" t="n">
        <v>1</v>
      </c>
      <c r="F1637" t="inlineStr">
        <is>
          <t>2026-01-21</t>
        </is>
      </c>
      <c r="G1637" t="n">
        <v>164</v>
      </c>
      <c r="H1637" t="inlineStr">
        <is>
          <t>Y</t>
        </is>
      </c>
      <c r="I1637">
        <f>HYPERLINK("https://admin.shopify.com/store/ge-beauty-cosmeticos/customers/10074949386560","abrir")</f>
        <v/>
      </c>
      <c r="J1637">
        <f>HYPERLINK("https://www.gebeauty.com.br/products/primer-cachos-definidos?ref=review","review")</f>
        <v/>
      </c>
      <c r="K1637" t="inlineStr">
        <is>
          <t>SEND</t>
        </is>
      </c>
    </row>
    <row r="1638">
      <c r="A1638" t="inlineStr">
        <is>
          <t>Adriana</t>
        </is>
      </c>
      <c r="B1638" t="inlineStr">
        <is>
          <t>+5511998889734</t>
        </is>
      </c>
      <c r="C1638" t="inlineStr">
        <is>
          <t>Refill</t>
        </is>
      </c>
      <c r="D1638" t="inlineStr">
        <is>
          <t>Primer Cachos</t>
        </is>
      </c>
      <c r="E1638" t="n">
        <v>1</v>
      </c>
      <c r="F1638" t="inlineStr">
        <is>
          <t>2026-01-21</t>
        </is>
      </c>
      <c r="G1638" t="n">
        <v>164</v>
      </c>
      <c r="H1638" t="inlineStr">
        <is>
          <t>Y</t>
        </is>
      </c>
      <c r="I1638">
        <f>HYPERLINK("https://admin.shopify.com/store/ge-beauty-cosmeticos/customers/10074981826880","abrir")</f>
        <v/>
      </c>
      <c r="J1638">
        <f>HYPERLINK("https://www.gebeauty.com.br/products/primer-cachos-definidos?ref=review","review")</f>
        <v/>
      </c>
      <c r="K1638" t="inlineStr">
        <is>
          <t>SEND</t>
        </is>
      </c>
    </row>
    <row r="1639">
      <c r="A1639" t="inlineStr">
        <is>
          <t>Gislaine</t>
        </is>
      </c>
      <c r="B1639" t="inlineStr">
        <is>
          <t>+5561981538050</t>
        </is>
      </c>
      <c r="C1639" t="inlineStr">
        <is>
          <t>Refill</t>
        </is>
      </c>
      <c r="D1639" t="inlineStr">
        <is>
          <t>Primer Cachos</t>
        </is>
      </c>
      <c r="E1639" t="n">
        <v>1</v>
      </c>
      <c r="F1639" t="inlineStr">
        <is>
          <t>2026-01-21</t>
        </is>
      </c>
      <c r="G1639" t="n">
        <v>164</v>
      </c>
      <c r="H1639" t="inlineStr">
        <is>
          <t>Y</t>
        </is>
      </c>
      <c r="I1639">
        <f>HYPERLINK("https://admin.shopify.com/store/ge-beauty-cosmeticos/customers/10074975502656","abrir")</f>
        <v/>
      </c>
      <c r="J1639">
        <f>HYPERLINK("https://www.gebeauty.com.br/products/primer-cachos-definidos?ref=review","review")</f>
        <v/>
      </c>
      <c r="K1639" t="inlineStr">
        <is>
          <t>SEND</t>
        </is>
      </c>
    </row>
    <row r="1640">
      <c r="A1640" t="inlineStr">
        <is>
          <t>Bianca</t>
        </is>
      </c>
      <c r="B1640" t="inlineStr">
        <is>
          <t>+5511953830097</t>
        </is>
      </c>
      <c r="C1640" t="inlineStr">
        <is>
          <t>Refill</t>
        </is>
      </c>
      <c r="D1640" t="inlineStr">
        <is>
          <t>Primer Cachos</t>
        </is>
      </c>
      <c r="E1640" t="n">
        <v>1</v>
      </c>
      <c r="F1640" t="inlineStr">
        <is>
          <t>2026-01-21</t>
        </is>
      </c>
      <c r="G1640" t="n">
        <v>164</v>
      </c>
      <c r="H1640" t="inlineStr">
        <is>
          <t>Y</t>
        </is>
      </c>
      <c r="I1640">
        <f>HYPERLINK("https://admin.shopify.com/store/ge-beauty-cosmeticos/customers/10074984874304","abrir")</f>
        <v/>
      </c>
      <c r="J1640">
        <f>HYPERLINK("https://www.gebeauty.com.br/products/primer-cachos-definidos?ref=review","review")</f>
        <v/>
      </c>
      <c r="K1640" t="inlineStr">
        <is>
          <t>HOLDOUT</t>
        </is>
      </c>
    </row>
    <row r="1641">
      <c r="A1641" t="inlineStr">
        <is>
          <t>Liliane</t>
        </is>
      </c>
      <c r="B1641" t="inlineStr">
        <is>
          <t>+5543996421732</t>
        </is>
      </c>
      <c r="C1641" t="inlineStr">
        <is>
          <t>Refill</t>
        </is>
      </c>
      <c r="D1641" t="inlineStr">
        <is>
          <t>Primer Cachos</t>
        </is>
      </c>
      <c r="E1641" t="n">
        <v>1</v>
      </c>
      <c r="F1641" t="inlineStr">
        <is>
          <t>2026-01-21</t>
        </is>
      </c>
      <c r="G1641" t="n">
        <v>164</v>
      </c>
      <c r="H1641" t="inlineStr">
        <is>
          <t>Y</t>
        </is>
      </c>
      <c r="I1641">
        <f>HYPERLINK("https://admin.shopify.com/store/ge-beauty-cosmeticos/customers/10074958397760","abrir")</f>
        <v/>
      </c>
      <c r="J1641">
        <f>HYPERLINK("https://www.gebeauty.com.br/products/primer-cachos-definidos?ref=review","review")</f>
        <v/>
      </c>
      <c r="K1641" t="inlineStr">
        <is>
          <t>SEND</t>
        </is>
      </c>
    </row>
    <row r="1642">
      <c r="A1642" t="inlineStr">
        <is>
          <t>Carina</t>
        </is>
      </c>
      <c r="B1642" t="inlineStr">
        <is>
          <t>+5548999213155</t>
        </is>
      </c>
      <c r="C1642" t="inlineStr">
        <is>
          <t>Refill</t>
        </is>
      </c>
      <c r="D1642" t="inlineStr">
        <is>
          <t>Primer Cachos</t>
        </is>
      </c>
      <c r="E1642" t="n">
        <v>1</v>
      </c>
      <c r="F1642" t="inlineStr">
        <is>
          <t>2026-01-21</t>
        </is>
      </c>
      <c r="G1642" t="n">
        <v>164</v>
      </c>
      <c r="H1642" t="inlineStr">
        <is>
          <t>Y</t>
        </is>
      </c>
      <c r="I1642">
        <f>HYPERLINK("https://admin.shopify.com/store/ge-beauty-cosmeticos/customers/10074977567040","abrir")</f>
        <v/>
      </c>
      <c r="J1642">
        <f>HYPERLINK("https://www.gebeauty.com.br/products/primer-cachos-definidos?ref=review","review")</f>
        <v/>
      </c>
      <c r="K1642" t="inlineStr">
        <is>
          <t>SEND</t>
        </is>
      </c>
    </row>
    <row r="1643">
      <c r="A1643" t="inlineStr">
        <is>
          <t>Ana</t>
        </is>
      </c>
      <c r="B1643" t="inlineStr">
        <is>
          <t>+5512997122027</t>
        </is>
      </c>
      <c r="C1643" t="inlineStr">
        <is>
          <t>Refill</t>
        </is>
      </c>
      <c r="D1643" t="inlineStr">
        <is>
          <t>Primer Cachos</t>
        </is>
      </c>
      <c r="E1643" t="n">
        <v>1</v>
      </c>
      <c r="F1643" t="inlineStr">
        <is>
          <t>2026-01-21</t>
        </is>
      </c>
      <c r="G1643" t="n">
        <v>164</v>
      </c>
      <c r="H1643" t="inlineStr">
        <is>
          <t>Y</t>
        </is>
      </c>
      <c r="I1643">
        <f>HYPERLINK("https://admin.shopify.com/store/ge-beauty-cosmeticos/customers/10074944012608","abrir")</f>
        <v/>
      </c>
      <c r="J1643">
        <f>HYPERLINK("https://www.gebeauty.com.br/products/primer-cachos-definidos?ref=review","review")</f>
        <v/>
      </c>
      <c r="K1643" t="inlineStr">
        <is>
          <t>SEND</t>
        </is>
      </c>
    </row>
    <row r="1644">
      <c r="A1644" t="inlineStr">
        <is>
          <t>Pamela</t>
        </is>
      </c>
      <c r="B1644" t="inlineStr">
        <is>
          <t>+5562983128251</t>
        </is>
      </c>
      <c r="C1644" t="inlineStr">
        <is>
          <t>Refill</t>
        </is>
      </c>
      <c r="D1644" t="inlineStr">
        <is>
          <t>Primer Cachos</t>
        </is>
      </c>
      <c r="E1644" t="n">
        <v>1</v>
      </c>
      <c r="F1644" t="inlineStr">
        <is>
          <t>2026-01-21</t>
        </is>
      </c>
      <c r="G1644" t="n">
        <v>164</v>
      </c>
      <c r="H1644" t="inlineStr">
        <is>
          <t>Y</t>
        </is>
      </c>
      <c r="I1644">
        <f>HYPERLINK("https://admin.shopify.com/store/ge-beauty-cosmeticos/customers/10074988478784","abrir")</f>
        <v/>
      </c>
      <c r="J1644">
        <f>HYPERLINK("https://www.gebeauty.com.br/products/primer-cachos-definidos?ref=review","review")</f>
        <v/>
      </c>
      <c r="K1644" t="inlineStr">
        <is>
          <t>SEND</t>
        </is>
      </c>
    </row>
    <row r="1645">
      <c r="A1645" t="inlineStr">
        <is>
          <t>Angelica</t>
        </is>
      </c>
      <c r="B1645" t="inlineStr">
        <is>
          <t>+5511941464568</t>
        </is>
      </c>
      <c r="C1645" t="inlineStr">
        <is>
          <t>Refill</t>
        </is>
      </c>
      <c r="D1645" t="inlineStr">
        <is>
          <t>Primer Cachos</t>
        </is>
      </c>
      <c r="E1645" t="n">
        <v>1</v>
      </c>
      <c r="F1645" t="inlineStr">
        <is>
          <t>2026-01-21</t>
        </is>
      </c>
      <c r="G1645" t="n">
        <v>164</v>
      </c>
      <c r="H1645" t="inlineStr">
        <is>
          <t>Y</t>
        </is>
      </c>
      <c r="I1645">
        <f>HYPERLINK("https://admin.shopify.com/store/ge-beauty-cosmeticos/customers/10074993262912","abrir")</f>
        <v/>
      </c>
      <c r="J1645">
        <f>HYPERLINK("https://www.gebeauty.com.br/products/primer-cachos-definidos?ref=review","review")</f>
        <v/>
      </c>
      <c r="K1645" t="inlineStr">
        <is>
          <t>SEND</t>
        </is>
      </c>
    </row>
    <row r="1646">
      <c r="A1646" t="inlineStr">
        <is>
          <t>Cinthia</t>
        </is>
      </c>
      <c r="B1646" t="inlineStr">
        <is>
          <t>+5511997237078</t>
        </is>
      </c>
      <c r="C1646" t="inlineStr">
        <is>
          <t>Refill</t>
        </is>
      </c>
      <c r="D1646" t="inlineStr">
        <is>
          <t>Primer Cachos</t>
        </is>
      </c>
      <c r="E1646" t="n">
        <v>1</v>
      </c>
      <c r="F1646" t="inlineStr">
        <is>
          <t>2026-01-21</t>
        </is>
      </c>
      <c r="G1646" t="n">
        <v>164</v>
      </c>
      <c r="H1646" t="inlineStr">
        <is>
          <t>Y</t>
        </is>
      </c>
      <c r="I1646">
        <f>HYPERLINK("https://admin.shopify.com/store/ge-beauty-cosmeticos/customers/10075000406336","abrir")</f>
        <v/>
      </c>
      <c r="J1646">
        <f>HYPERLINK("https://www.gebeauty.com.br/products/primer-cachos-definidos?ref=review","review")</f>
        <v/>
      </c>
      <c r="K1646" t="inlineStr">
        <is>
          <t>SEND</t>
        </is>
      </c>
    </row>
    <row r="1647">
      <c r="A1647" t="inlineStr">
        <is>
          <t>Jessica</t>
        </is>
      </c>
      <c r="B1647" t="inlineStr">
        <is>
          <t>+5511970385252</t>
        </is>
      </c>
      <c r="C1647" t="inlineStr">
        <is>
          <t>Refill</t>
        </is>
      </c>
      <c r="D1647" t="inlineStr">
        <is>
          <t>Primer Cachos</t>
        </is>
      </c>
      <c r="E1647" t="n">
        <v>1</v>
      </c>
      <c r="F1647" t="inlineStr">
        <is>
          <t>2026-01-21</t>
        </is>
      </c>
      <c r="G1647" t="n">
        <v>164</v>
      </c>
      <c r="H1647" t="inlineStr">
        <is>
          <t>Y</t>
        </is>
      </c>
      <c r="I1647">
        <f>HYPERLINK("https://admin.shopify.com/store/ge-beauty-cosmeticos/customers/10074993295680","abrir")</f>
        <v/>
      </c>
      <c r="J1647">
        <f>HYPERLINK("https://www.gebeauty.com.br/products/primer-cachos-definidos?ref=review","review")</f>
        <v/>
      </c>
      <c r="K1647" t="inlineStr">
        <is>
          <t>SEND</t>
        </is>
      </c>
    </row>
    <row r="1648">
      <c r="A1648" t="inlineStr">
        <is>
          <t>Alinne</t>
        </is>
      </c>
      <c r="B1648" t="inlineStr">
        <is>
          <t>+5543991055752</t>
        </is>
      </c>
      <c r="C1648" t="inlineStr">
        <is>
          <t>Refill</t>
        </is>
      </c>
      <c r="D1648" t="inlineStr">
        <is>
          <t>Primer Cachos</t>
        </is>
      </c>
      <c r="E1648" t="n">
        <v>1</v>
      </c>
      <c r="F1648" t="inlineStr">
        <is>
          <t>2026-01-21</t>
        </is>
      </c>
      <c r="G1648" t="n">
        <v>164</v>
      </c>
      <c r="H1648" t="inlineStr">
        <is>
          <t>Y</t>
        </is>
      </c>
      <c r="I1648">
        <f>HYPERLINK("https://admin.shopify.com/store/ge-beauty-cosmeticos/customers/10075005092160","abrir")</f>
        <v/>
      </c>
      <c r="J1648">
        <f>HYPERLINK("https://www.gebeauty.com.br/products/primer-cachos-definidos?ref=review","review")</f>
        <v/>
      </c>
      <c r="K1648" t="inlineStr">
        <is>
          <t>SEND</t>
        </is>
      </c>
    </row>
    <row r="1649">
      <c r="A1649" t="inlineStr">
        <is>
          <t>Lara</t>
        </is>
      </c>
      <c r="B1649" t="inlineStr">
        <is>
          <t>+5548996340296</t>
        </is>
      </c>
      <c r="C1649" t="inlineStr">
        <is>
          <t>Refill</t>
        </is>
      </c>
      <c r="D1649" t="inlineStr">
        <is>
          <t>Primer Cachos</t>
        </is>
      </c>
      <c r="E1649" t="n">
        <v>1</v>
      </c>
      <c r="F1649" t="inlineStr">
        <is>
          <t>2026-01-21</t>
        </is>
      </c>
      <c r="G1649" t="n">
        <v>164</v>
      </c>
      <c r="H1649" t="inlineStr">
        <is>
          <t>Y</t>
        </is>
      </c>
      <c r="I1649">
        <f>HYPERLINK("https://admin.shopify.com/store/ge-beauty-cosmeticos/customers/10075006042432","abrir")</f>
        <v/>
      </c>
      <c r="J1649">
        <f>HYPERLINK("https://www.gebeauty.com.br/products/primer-cachos-definidos?ref=review","review")</f>
        <v/>
      </c>
      <c r="K1649" t="inlineStr">
        <is>
          <t>SEND</t>
        </is>
      </c>
    </row>
    <row r="1650">
      <c r="A1650" t="inlineStr">
        <is>
          <t>Tricia</t>
        </is>
      </c>
      <c r="B1650" t="inlineStr">
        <is>
          <t>+5584999914828</t>
        </is>
      </c>
      <c r="C1650" t="inlineStr">
        <is>
          <t>Refill</t>
        </is>
      </c>
      <c r="D1650" t="inlineStr">
        <is>
          <t>Primer Cachos</t>
        </is>
      </c>
      <c r="E1650" t="n">
        <v>1</v>
      </c>
      <c r="F1650" t="inlineStr">
        <is>
          <t>2026-01-21</t>
        </is>
      </c>
      <c r="G1650" t="n">
        <v>164</v>
      </c>
      <c r="H1650" t="inlineStr">
        <is>
          <t>Y</t>
        </is>
      </c>
      <c r="I1650">
        <f>HYPERLINK("https://admin.shopify.com/store/ge-beauty-cosmeticos/customers/9099181785408","abrir")</f>
        <v/>
      </c>
      <c r="J1650">
        <f>HYPERLINK("https://www.gebeauty.com.br/products/primer-cachos-definidos?ref=review","review")</f>
        <v/>
      </c>
      <c r="K1650" t="inlineStr">
        <is>
          <t>SEND</t>
        </is>
      </c>
    </row>
    <row r="1651">
      <c r="A1651" t="inlineStr">
        <is>
          <t>Eliette</t>
        </is>
      </c>
      <c r="B1651" t="inlineStr">
        <is>
          <t>+5521996946204</t>
        </is>
      </c>
      <c r="C1651" t="inlineStr">
        <is>
          <t>Refill</t>
        </is>
      </c>
      <c r="D1651" t="inlineStr">
        <is>
          <t>Primer Cachos</t>
        </is>
      </c>
      <c r="E1651" t="n">
        <v>1</v>
      </c>
      <c r="F1651" t="inlineStr">
        <is>
          <t>2026-01-21</t>
        </is>
      </c>
      <c r="G1651" t="n">
        <v>164</v>
      </c>
      <c r="H1651" t="inlineStr">
        <is>
          <t>Y</t>
        </is>
      </c>
      <c r="I1651">
        <f>HYPERLINK("https://admin.shopify.com/store/ge-beauty-cosmeticos/customers/10075008434496","abrir")</f>
        <v/>
      </c>
      <c r="J1651">
        <f>HYPERLINK("https://www.gebeauty.com.br/products/primer-cachos-definidos?ref=review","review")</f>
        <v/>
      </c>
      <c r="K1651" t="inlineStr">
        <is>
          <t>HOLDOUT</t>
        </is>
      </c>
    </row>
    <row r="1652">
      <c r="A1652" t="inlineStr">
        <is>
          <t>Aline</t>
        </is>
      </c>
      <c r="B1652" t="inlineStr">
        <is>
          <t>+5555981315280</t>
        </is>
      </c>
      <c r="C1652" t="inlineStr">
        <is>
          <t>Refill</t>
        </is>
      </c>
      <c r="D1652" t="inlineStr">
        <is>
          <t>Primer Cachos</t>
        </is>
      </c>
      <c r="E1652" t="n">
        <v>1</v>
      </c>
      <c r="F1652" t="inlineStr">
        <is>
          <t>2026-01-21</t>
        </is>
      </c>
      <c r="G1652" t="n">
        <v>164</v>
      </c>
      <c r="H1652" t="inlineStr">
        <is>
          <t>Y</t>
        </is>
      </c>
      <c r="I1652">
        <f>HYPERLINK("https://admin.shopify.com/store/ge-beauty-cosmeticos/customers/10075012038976","abrir")</f>
        <v/>
      </c>
      <c r="J1652">
        <f>HYPERLINK("https://www.gebeauty.com.br/products/primer-cachos-definidos?ref=review","review")</f>
        <v/>
      </c>
      <c r="K1652" t="inlineStr">
        <is>
          <t>SEND</t>
        </is>
      </c>
    </row>
    <row r="1653">
      <c r="A1653" t="inlineStr">
        <is>
          <t>Renata</t>
        </is>
      </c>
      <c r="B1653" t="inlineStr">
        <is>
          <t>+5511987480110</t>
        </is>
      </c>
      <c r="C1653" t="inlineStr">
        <is>
          <t>Refill</t>
        </is>
      </c>
      <c r="D1653" t="inlineStr">
        <is>
          <t>Primer Cachos</t>
        </is>
      </c>
      <c r="E1653" t="n">
        <v>1</v>
      </c>
      <c r="F1653" t="inlineStr">
        <is>
          <t>2026-01-21</t>
        </is>
      </c>
      <c r="G1653" t="n">
        <v>164</v>
      </c>
      <c r="H1653" t="inlineStr">
        <is>
          <t>Y</t>
        </is>
      </c>
      <c r="I1653">
        <f>HYPERLINK("https://admin.shopify.com/store/ge-beauty-cosmeticos/customers/10075011973440","abrir")</f>
        <v/>
      </c>
      <c r="J1653">
        <f>HYPERLINK("https://www.gebeauty.com.br/products/primer-cachos-definidos?ref=review","review")</f>
        <v/>
      </c>
      <c r="K1653" t="inlineStr">
        <is>
          <t>SEND</t>
        </is>
      </c>
    </row>
    <row r="1654">
      <c r="A1654" t="inlineStr">
        <is>
          <t>Eliana</t>
        </is>
      </c>
      <c r="B1654" t="inlineStr">
        <is>
          <t>+5511992951329</t>
        </is>
      </c>
      <c r="C1654" t="inlineStr">
        <is>
          <t>Refill</t>
        </is>
      </c>
      <c r="D1654" t="inlineStr">
        <is>
          <t>Primer Cachos</t>
        </is>
      </c>
      <c r="E1654" t="n">
        <v>1</v>
      </c>
      <c r="F1654" t="inlineStr">
        <is>
          <t>2026-01-21</t>
        </is>
      </c>
      <c r="G1654" t="n">
        <v>164</v>
      </c>
      <c r="H1654" t="inlineStr">
        <is>
          <t>Y</t>
        </is>
      </c>
      <c r="I1654">
        <f>HYPERLINK("https://admin.shopify.com/store/ge-beauty-cosmeticos/customers/10075017969984","abrir")</f>
        <v/>
      </c>
      <c r="J1654">
        <f>HYPERLINK("https://www.gebeauty.com.br/products/primer-cachos-definidos?ref=review","review")</f>
        <v/>
      </c>
      <c r="K1654" t="inlineStr">
        <is>
          <t>SEND</t>
        </is>
      </c>
    </row>
    <row r="1655">
      <c r="A1655" t="inlineStr">
        <is>
          <t>Maria Luiza</t>
        </is>
      </c>
      <c r="B1655" t="inlineStr">
        <is>
          <t>+5517992010514</t>
        </is>
      </c>
      <c r="C1655" t="inlineStr">
        <is>
          <t>Refill</t>
        </is>
      </c>
      <c r="D1655" t="inlineStr">
        <is>
          <t>Primer Cachos</t>
        </is>
      </c>
      <c r="E1655" t="n">
        <v>1</v>
      </c>
      <c r="F1655" t="inlineStr">
        <is>
          <t>2026-01-21</t>
        </is>
      </c>
      <c r="G1655" t="n">
        <v>164</v>
      </c>
      <c r="H1655" t="inlineStr">
        <is>
          <t>Y</t>
        </is>
      </c>
      <c r="I1655">
        <f>HYPERLINK("https://admin.shopify.com/store/ge-beauty-cosmeticos/customers/10075032322368","abrir")</f>
        <v/>
      </c>
      <c r="J1655">
        <f>HYPERLINK("https://www.gebeauty.com.br/products/primer-cachos-definidos?ref=review","review")</f>
        <v/>
      </c>
      <c r="K1655" t="inlineStr">
        <is>
          <t>SEND</t>
        </is>
      </c>
    </row>
    <row r="1656">
      <c r="A1656" t="inlineStr">
        <is>
          <t>Giuliana</t>
        </is>
      </c>
      <c r="B1656" t="inlineStr">
        <is>
          <t>+5511983009033</t>
        </is>
      </c>
      <c r="C1656" t="inlineStr">
        <is>
          <t>Refill</t>
        </is>
      </c>
      <c r="D1656" t="inlineStr">
        <is>
          <t>Primer Cachos</t>
        </is>
      </c>
      <c r="E1656" t="n">
        <v>1</v>
      </c>
      <c r="F1656" t="inlineStr">
        <is>
          <t>2026-01-21</t>
        </is>
      </c>
      <c r="G1656" t="n">
        <v>164</v>
      </c>
      <c r="H1656" t="inlineStr">
        <is>
          <t>Y</t>
        </is>
      </c>
      <c r="I1656">
        <f>HYPERLINK("https://admin.shopify.com/store/ge-beauty-cosmeticos/customers/10073204392256","abrir")</f>
        <v/>
      </c>
      <c r="J1656">
        <f>HYPERLINK("https://www.gebeauty.com.br/products/primer-cachos-definidos?ref=review","review")</f>
        <v/>
      </c>
      <c r="K1656" t="inlineStr">
        <is>
          <t>SEND</t>
        </is>
      </c>
    </row>
    <row r="1657">
      <c r="A1657" t="inlineStr">
        <is>
          <t>Telma</t>
        </is>
      </c>
      <c r="B1657" t="inlineStr">
        <is>
          <t>+5534991056402</t>
        </is>
      </c>
      <c r="C1657" t="inlineStr">
        <is>
          <t>Refill</t>
        </is>
      </c>
      <c r="D1657" t="inlineStr">
        <is>
          <t>Primer Cachos</t>
        </is>
      </c>
      <c r="E1657" t="n">
        <v>1</v>
      </c>
      <c r="F1657" t="inlineStr">
        <is>
          <t>2026-01-21</t>
        </is>
      </c>
      <c r="G1657" t="n">
        <v>164</v>
      </c>
      <c r="H1657" t="inlineStr">
        <is>
          <t>Y</t>
        </is>
      </c>
      <c r="I1657">
        <f>HYPERLINK("https://admin.shopify.com/store/ge-beauty-cosmeticos/customers/10075033633088","abrir")</f>
        <v/>
      </c>
      <c r="J1657">
        <f>HYPERLINK("https://www.gebeauty.com.br/products/primer-cachos-definidos?ref=review","review")</f>
        <v/>
      </c>
      <c r="K1657" t="inlineStr">
        <is>
          <t>SEND</t>
        </is>
      </c>
    </row>
    <row r="1658">
      <c r="A1658" t="inlineStr">
        <is>
          <t>Cristiane</t>
        </is>
      </c>
      <c r="B1658" t="inlineStr">
        <is>
          <t>+5511954325400</t>
        </is>
      </c>
      <c r="C1658" t="inlineStr">
        <is>
          <t>Refill</t>
        </is>
      </c>
      <c r="D1658" t="inlineStr">
        <is>
          <t>Primer Cachos</t>
        </is>
      </c>
      <c r="E1658" t="n">
        <v>1</v>
      </c>
      <c r="F1658" t="inlineStr">
        <is>
          <t>2026-01-21</t>
        </is>
      </c>
      <c r="G1658" t="n">
        <v>164</v>
      </c>
      <c r="H1658" t="inlineStr">
        <is>
          <t>Y</t>
        </is>
      </c>
      <c r="I1658">
        <f>HYPERLINK("https://admin.shopify.com/store/ge-beauty-cosmeticos/customers/10075031241024","abrir")</f>
        <v/>
      </c>
      <c r="J1658">
        <f>HYPERLINK("https://www.gebeauty.com.br/products/primer-cachos-definidos?ref=review","review")</f>
        <v/>
      </c>
      <c r="K1658" t="inlineStr">
        <is>
          <t>SEND</t>
        </is>
      </c>
    </row>
    <row r="1659">
      <c r="A1659" t="inlineStr">
        <is>
          <t>Aline</t>
        </is>
      </c>
      <c r="B1659" t="inlineStr">
        <is>
          <t>+5511966516240</t>
        </is>
      </c>
      <c r="C1659" t="inlineStr">
        <is>
          <t>Refill</t>
        </is>
      </c>
      <c r="D1659" t="inlineStr">
        <is>
          <t>Primer Cachos</t>
        </is>
      </c>
      <c r="E1659" t="n">
        <v>1</v>
      </c>
      <c r="F1659" t="inlineStr">
        <is>
          <t>2026-01-21</t>
        </is>
      </c>
      <c r="G1659" t="n">
        <v>164</v>
      </c>
      <c r="H1659" t="inlineStr">
        <is>
          <t>Y</t>
        </is>
      </c>
      <c r="I1659">
        <f>HYPERLINK("https://admin.shopify.com/store/ge-beauty-cosmeticos/customers/10075034812736","abrir")</f>
        <v/>
      </c>
      <c r="J1659">
        <f>HYPERLINK("https://www.gebeauty.com.br/products/primer-cachos-definidos?ref=review","review")</f>
        <v/>
      </c>
      <c r="K1659" t="inlineStr">
        <is>
          <t>SEND</t>
        </is>
      </c>
    </row>
    <row r="1660">
      <c r="A1660" t="inlineStr">
        <is>
          <t>Hellen</t>
        </is>
      </c>
      <c r="B1660" t="inlineStr">
        <is>
          <t>+5531971607767</t>
        </is>
      </c>
      <c r="C1660" t="inlineStr">
        <is>
          <t>Refill</t>
        </is>
      </c>
      <c r="D1660" t="inlineStr">
        <is>
          <t>Primer Cachos</t>
        </is>
      </c>
      <c r="E1660" t="n">
        <v>1</v>
      </c>
      <c r="F1660" t="inlineStr">
        <is>
          <t>2026-01-21</t>
        </is>
      </c>
      <c r="G1660" t="n">
        <v>164</v>
      </c>
      <c r="H1660" t="inlineStr">
        <is>
          <t>Y</t>
        </is>
      </c>
      <c r="I1660">
        <f>HYPERLINK("https://admin.shopify.com/store/ge-beauty-cosmeticos/customers/10075039236416","abrir")</f>
        <v/>
      </c>
      <c r="J1660">
        <f>HYPERLINK("https://www.gebeauty.com.br/products/primer-cachos-definidos?ref=review","review")</f>
        <v/>
      </c>
      <c r="K1660" t="inlineStr">
        <is>
          <t>SEND</t>
        </is>
      </c>
    </row>
    <row r="1661">
      <c r="A1661" t="inlineStr">
        <is>
          <t>Carla</t>
        </is>
      </c>
      <c r="B1661" t="inlineStr">
        <is>
          <t>+5521971555577</t>
        </is>
      </c>
      <c r="C1661" t="inlineStr">
        <is>
          <t>Refill</t>
        </is>
      </c>
      <c r="D1661" t="inlineStr">
        <is>
          <t>Primer Cachos</t>
        </is>
      </c>
      <c r="E1661" t="n">
        <v>1</v>
      </c>
      <c r="F1661" t="inlineStr">
        <is>
          <t>2026-01-21</t>
        </is>
      </c>
      <c r="G1661" t="n">
        <v>164</v>
      </c>
      <c r="H1661" t="inlineStr">
        <is>
          <t>Y</t>
        </is>
      </c>
      <c r="I1661">
        <f>HYPERLINK("https://admin.shopify.com/store/ge-beauty-cosmeticos/customers/10075037827392","abrir")</f>
        <v/>
      </c>
      <c r="J1661">
        <f>HYPERLINK("https://www.gebeauty.com.br/products/primer-cachos-definidos?ref=review","review")</f>
        <v/>
      </c>
      <c r="K1661" t="inlineStr">
        <is>
          <t>SEND</t>
        </is>
      </c>
    </row>
    <row r="1662">
      <c r="A1662" t="inlineStr">
        <is>
          <t>Lissandra</t>
        </is>
      </c>
      <c r="B1662" t="inlineStr">
        <is>
          <t>+5511947142054</t>
        </is>
      </c>
      <c r="C1662" t="inlineStr">
        <is>
          <t>Refill</t>
        </is>
      </c>
      <c r="D1662" t="inlineStr">
        <is>
          <t>Primer Cachos</t>
        </is>
      </c>
      <c r="E1662" t="n">
        <v>1</v>
      </c>
      <c r="F1662" t="inlineStr">
        <is>
          <t>2026-01-21</t>
        </is>
      </c>
      <c r="G1662" t="n">
        <v>164</v>
      </c>
      <c r="H1662" t="inlineStr">
        <is>
          <t>Y</t>
        </is>
      </c>
      <c r="I1662">
        <f>HYPERLINK("https://admin.shopify.com/store/ge-beauty-cosmeticos/customers/10075042316608","abrir")</f>
        <v/>
      </c>
      <c r="J1662">
        <f>HYPERLINK("https://www.gebeauty.com.br/products/primer-cachos-definidos?ref=review","review")</f>
        <v/>
      </c>
      <c r="K1662" t="inlineStr">
        <is>
          <t>SEND</t>
        </is>
      </c>
    </row>
    <row r="1663">
      <c r="A1663" t="inlineStr">
        <is>
          <t>Elizangela</t>
        </is>
      </c>
      <c r="B1663" t="inlineStr">
        <is>
          <t>+5563992382756</t>
        </is>
      </c>
      <c r="C1663" t="inlineStr">
        <is>
          <t>Refill</t>
        </is>
      </c>
      <c r="D1663" t="inlineStr">
        <is>
          <t>Primer Cachos</t>
        </is>
      </c>
      <c r="E1663" t="n">
        <v>1</v>
      </c>
      <c r="F1663" t="inlineStr">
        <is>
          <t>2026-01-21</t>
        </is>
      </c>
      <c r="G1663" t="n">
        <v>164</v>
      </c>
      <c r="H1663" t="inlineStr">
        <is>
          <t>Y</t>
        </is>
      </c>
      <c r="I1663">
        <f>HYPERLINK("https://admin.shopify.com/store/ge-beauty-cosmeticos/customers/10075052343616","abrir")</f>
        <v/>
      </c>
      <c r="J1663">
        <f>HYPERLINK("https://www.gebeauty.com.br/products/primer-cachos-definidos?ref=review","review")</f>
        <v/>
      </c>
      <c r="K1663" t="inlineStr">
        <is>
          <t>SEND</t>
        </is>
      </c>
    </row>
    <row r="1664">
      <c r="A1664" t="inlineStr">
        <is>
          <t>Raissa</t>
        </is>
      </c>
      <c r="B1664" t="inlineStr">
        <is>
          <t>+5521998219891</t>
        </is>
      </c>
      <c r="C1664" t="inlineStr">
        <is>
          <t>Refill</t>
        </is>
      </c>
      <c r="D1664" t="inlineStr">
        <is>
          <t>Primer Cachos</t>
        </is>
      </c>
      <c r="E1664" t="n">
        <v>1</v>
      </c>
      <c r="F1664" t="inlineStr">
        <is>
          <t>2026-01-21</t>
        </is>
      </c>
      <c r="G1664" t="n">
        <v>164</v>
      </c>
      <c r="H1664" t="inlineStr">
        <is>
          <t>Y</t>
        </is>
      </c>
      <c r="I1664">
        <f>HYPERLINK("https://admin.shopify.com/store/ge-beauty-cosmeticos/customers/10075051852096","abrir")</f>
        <v/>
      </c>
      <c r="J1664">
        <f>HYPERLINK("https://www.gebeauty.com.br/products/primer-cachos-definidos?ref=review","review")</f>
        <v/>
      </c>
      <c r="K1664" t="inlineStr">
        <is>
          <t>SEND</t>
        </is>
      </c>
    </row>
    <row r="1665">
      <c r="A1665" t="inlineStr">
        <is>
          <t>Ana</t>
        </is>
      </c>
      <c r="B1665" t="inlineStr">
        <is>
          <t>+5511984067820</t>
        </is>
      </c>
      <c r="C1665" t="inlineStr">
        <is>
          <t>Refill</t>
        </is>
      </c>
      <c r="D1665" t="inlineStr">
        <is>
          <t>Primer Cachos</t>
        </is>
      </c>
      <c r="E1665" t="n">
        <v>1</v>
      </c>
      <c r="F1665" t="inlineStr">
        <is>
          <t>2026-01-21</t>
        </is>
      </c>
      <c r="G1665" t="n">
        <v>164</v>
      </c>
      <c r="H1665" t="inlineStr">
        <is>
          <t>Y</t>
        </is>
      </c>
      <c r="I1665">
        <f>HYPERLINK("https://admin.shopify.com/store/ge-beauty-cosmeticos/customers/10075057815872","abrir")</f>
        <v/>
      </c>
      <c r="J1665">
        <f>HYPERLINK("https://www.gebeauty.com.br/products/primer-cachos-definidos?ref=review","review")</f>
        <v/>
      </c>
      <c r="K1665" t="inlineStr">
        <is>
          <t>SEND</t>
        </is>
      </c>
    </row>
    <row r="1666">
      <c r="A1666" t="inlineStr">
        <is>
          <t>Cristina</t>
        </is>
      </c>
      <c r="B1666" t="inlineStr">
        <is>
          <t>+5511997850594</t>
        </is>
      </c>
      <c r="C1666" t="inlineStr">
        <is>
          <t>Refill</t>
        </is>
      </c>
      <c r="D1666" t="inlineStr">
        <is>
          <t>Primer Cachos</t>
        </is>
      </c>
      <c r="E1666" t="n">
        <v>1</v>
      </c>
      <c r="F1666" t="inlineStr">
        <is>
          <t>2026-01-21</t>
        </is>
      </c>
      <c r="G1666" t="n">
        <v>164</v>
      </c>
      <c r="H1666" t="inlineStr">
        <is>
          <t>Y</t>
        </is>
      </c>
      <c r="I1666">
        <f>HYPERLINK("https://admin.shopify.com/store/ge-beauty-cosmeticos/customers/10075046740288","abrir")</f>
        <v/>
      </c>
      <c r="J1666">
        <f>HYPERLINK("https://www.gebeauty.com.br/products/primer-cachos-definidos?ref=review","review")</f>
        <v/>
      </c>
      <c r="K1666" t="inlineStr">
        <is>
          <t>SEND</t>
        </is>
      </c>
    </row>
    <row r="1667">
      <c r="A1667" t="inlineStr">
        <is>
          <t>Heloane</t>
        </is>
      </c>
      <c r="B1667" t="inlineStr">
        <is>
          <t>+5545998173100</t>
        </is>
      </c>
      <c r="C1667" t="inlineStr">
        <is>
          <t>Refill</t>
        </is>
      </c>
      <c r="D1667" t="inlineStr">
        <is>
          <t>Primer Cachos</t>
        </is>
      </c>
      <c r="E1667" t="n">
        <v>1</v>
      </c>
      <c r="F1667" t="inlineStr">
        <is>
          <t>2026-01-21</t>
        </is>
      </c>
      <c r="G1667" t="n">
        <v>164</v>
      </c>
      <c r="H1667" t="inlineStr">
        <is>
          <t>Y</t>
        </is>
      </c>
      <c r="I1667">
        <f>HYPERLINK("https://admin.shopify.com/store/ge-beauty-cosmeticos/customers/10075058569536","abrir")</f>
        <v/>
      </c>
      <c r="J1667">
        <f>HYPERLINK("https://www.gebeauty.com.br/products/primer-cachos-definidos?ref=review","review")</f>
        <v/>
      </c>
      <c r="K1667" t="inlineStr">
        <is>
          <t>SEND</t>
        </is>
      </c>
    </row>
    <row r="1668">
      <c r="A1668" t="inlineStr">
        <is>
          <t>Priscila</t>
        </is>
      </c>
      <c r="B1668" t="inlineStr">
        <is>
          <t>+5541998184474</t>
        </is>
      </c>
      <c r="C1668" t="inlineStr">
        <is>
          <t>Refill</t>
        </is>
      </c>
      <c r="D1668" t="inlineStr">
        <is>
          <t>Primer Cachos</t>
        </is>
      </c>
      <c r="E1668" t="n">
        <v>1</v>
      </c>
      <c r="F1668" t="inlineStr">
        <is>
          <t>2026-01-21</t>
        </is>
      </c>
      <c r="G1668" t="n">
        <v>164</v>
      </c>
      <c r="H1668" t="inlineStr">
        <is>
          <t>Y</t>
        </is>
      </c>
      <c r="I1668">
        <f>HYPERLINK("https://admin.shopify.com/store/ge-beauty-cosmeticos/customers/10075062567232","abrir")</f>
        <v/>
      </c>
      <c r="J1668">
        <f>HYPERLINK("https://www.gebeauty.com.br/products/primer-cachos-definidos?ref=review","review")</f>
        <v/>
      </c>
      <c r="K1668" t="inlineStr">
        <is>
          <t>SEND</t>
        </is>
      </c>
    </row>
    <row r="1669">
      <c r="A1669" t="inlineStr">
        <is>
          <t>Kesia</t>
        </is>
      </c>
      <c r="B1669" t="inlineStr">
        <is>
          <t>+5514981163194</t>
        </is>
      </c>
      <c r="C1669" t="inlineStr">
        <is>
          <t>Refill</t>
        </is>
      </c>
      <c r="D1669" t="inlineStr">
        <is>
          <t>Primer Cachos</t>
        </is>
      </c>
      <c r="E1669" t="n">
        <v>1</v>
      </c>
      <c r="F1669" t="inlineStr">
        <is>
          <t>2026-01-21</t>
        </is>
      </c>
      <c r="G1669" t="n">
        <v>164</v>
      </c>
      <c r="H1669" t="inlineStr">
        <is>
          <t>Y</t>
        </is>
      </c>
      <c r="I1669">
        <f>HYPERLINK("https://admin.shopify.com/store/ge-beauty-cosmeticos/customers/10075053687104","abrir")</f>
        <v/>
      </c>
      <c r="J1669">
        <f>HYPERLINK("https://www.gebeauty.com.br/products/primer-cachos-definidos?ref=review","review")</f>
        <v/>
      </c>
      <c r="K1669" t="inlineStr">
        <is>
          <t>HOLDOUT</t>
        </is>
      </c>
    </row>
    <row r="1670">
      <c r="A1670" t="inlineStr">
        <is>
          <t>Lenita</t>
        </is>
      </c>
      <c r="B1670" t="inlineStr">
        <is>
          <t>+5511976445118</t>
        </is>
      </c>
      <c r="C1670" t="inlineStr">
        <is>
          <t>Refill</t>
        </is>
      </c>
      <c r="D1670" t="inlineStr">
        <is>
          <t>Primer Cachos</t>
        </is>
      </c>
      <c r="E1670" t="n">
        <v>1</v>
      </c>
      <c r="F1670" t="inlineStr">
        <is>
          <t>2026-01-21</t>
        </is>
      </c>
      <c r="G1670" t="n">
        <v>164</v>
      </c>
      <c r="H1670" t="inlineStr">
        <is>
          <t>Y</t>
        </is>
      </c>
      <c r="I1670">
        <f>HYPERLINK("https://admin.shopify.com/store/ge-beauty-cosmeticos/customers/10075068891456","abrir")</f>
        <v/>
      </c>
      <c r="J1670">
        <f>HYPERLINK("https://www.gebeauty.com.br/products/primer-cachos-definidos?ref=review","review")</f>
        <v/>
      </c>
      <c r="K1670" t="inlineStr">
        <is>
          <t>SEND</t>
        </is>
      </c>
    </row>
    <row r="1671">
      <c r="A1671" t="inlineStr">
        <is>
          <t>Eliane</t>
        </is>
      </c>
      <c r="B1671" t="inlineStr">
        <is>
          <t>+5531984283006</t>
        </is>
      </c>
      <c r="C1671" t="inlineStr">
        <is>
          <t>Refill</t>
        </is>
      </c>
      <c r="D1671" t="inlineStr">
        <is>
          <t>Primer Cachos</t>
        </is>
      </c>
      <c r="E1671" t="n">
        <v>1</v>
      </c>
      <c r="F1671" t="inlineStr">
        <is>
          <t>2026-01-21</t>
        </is>
      </c>
      <c r="G1671" t="n">
        <v>164</v>
      </c>
      <c r="H1671" t="inlineStr">
        <is>
          <t>Y</t>
        </is>
      </c>
      <c r="I1671">
        <f>HYPERLINK("https://admin.shopify.com/store/ge-beauty-cosmeticos/customers/10075045364032","abrir")</f>
        <v/>
      </c>
      <c r="J1671">
        <f>HYPERLINK("https://www.gebeauty.com.br/products/primer-cachos-definidos?ref=review","review")</f>
        <v/>
      </c>
      <c r="K1671" t="inlineStr">
        <is>
          <t>SEND</t>
        </is>
      </c>
    </row>
    <row r="1672">
      <c r="A1672" t="inlineStr">
        <is>
          <t>Andrea</t>
        </is>
      </c>
      <c r="B1672" t="inlineStr">
        <is>
          <t>+5511972328510</t>
        </is>
      </c>
      <c r="C1672" t="inlineStr">
        <is>
          <t>Refill</t>
        </is>
      </c>
      <c r="D1672" t="inlineStr">
        <is>
          <t>Primer Cachos</t>
        </is>
      </c>
      <c r="E1672" t="n">
        <v>1</v>
      </c>
      <c r="F1672" t="inlineStr">
        <is>
          <t>2026-01-21</t>
        </is>
      </c>
      <c r="G1672" t="n">
        <v>164</v>
      </c>
      <c r="H1672" t="inlineStr">
        <is>
          <t>Y</t>
        </is>
      </c>
      <c r="I1672">
        <f>HYPERLINK("https://admin.shopify.com/store/ge-beauty-cosmeticos/customers/10075078328640","abrir")</f>
        <v/>
      </c>
      <c r="J1672">
        <f>HYPERLINK("https://www.gebeauty.com.br/products/primer-cachos-definidos?ref=review","review")</f>
        <v/>
      </c>
      <c r="K1672" t="inlineStr">
        <is>
          <t>SEND</t>
        </is>
      </c>
    </row>
    <row r="1673">
      <c r="A1673" t="inlineStr">
        <is>
          <t>Carol</t>
        </is>
      </c>
      <c r="B1673" t="inlineStr">
        <is>
          <t>+5571991637204</t>
        </is>
      </c>
      <c r="C1673" t="inlineStr">
        <is>
          <t>Refill</t>
        </is>
      </c>
      <c r="D1673" t="inlineStr">
        <is>
          <t>Primer Cachos</t>
        </is>
      </c>
      <c r="E1673" t="n">
        <v>1</v>
      </c>
      <c r="F1673" t="inlineStr">
        <is>
          <t>2026-01-21</t>
        </is>
      </c>
      <c r="G1673" t="n">
        <v>164</v>
      </c>
      <c r="H1673" t="inlineStr">
        <is>
          <t>Y</t>
        </is>
      </c>
      <c r="I1673">
        <f>HYPERLINK("https://admin.shopify.com/store/ge-beauty-cosmeticos/customers/10075065516352","abrir")</f>
        <v/>
      </c>
      <c r="J1673">
        <f>HYPERLINK("https://www.gebeauty.com.br/products/primer-cachos-definidos?ref=review","review")</f>
        <v/>
      </c>
      <c r="K1673" t="inlineStr">
        <is>
          <t>SEND</t>
        </is>
      </c>
    </row>
    <row r="1674">
      <c r="A1674" t="inlineStr">
        <is>
          <t>Sonia</t>
        </is>
      </c>
      <c r="B1674" t="inlineStr">
        <is>
          <t>+5511996477890</t>
        </is>
      </c>
      <c r="C1674" t="inlineStr">
        <is>
          <t>Refill</t>
        </is>
      </c>
      <c r="D1674" t="inlineStr">
        <is>
          <t>Primer Cachos</t>
        </is>
      </c>
      <c r="E1674" t="n">
        <v>1</v>
      </c>
      <c r="F1674" t="inlineStr">
        <is>
          <t>2026-01-21</t>
        </is>
      </c>
      <c r="G1674" t="n">
        <v>164</v>
      </c>
      <c r="H1674" t="inlineStr">
        <is>
          <t>Y</t>
        </is>
      </c>
      <c r="I1674">
        <f>HYPERLINK("https://admin.shopify.com/store/ge-beauty-cosmeticos/customers/10075088224576","abrir")</f>
        <v/>
      </c>
      <c r="J1674">
        <f>HYPERLINK("https://www.gebeauty.com.br/products/primer-cachos-definidos?ref=review","review")</f>
        <v/>
      </c>
      <c r="K1674" t="inlineStr">
        <is>
          <t>HOLDOUT</t>
        </is>
      </c>
    </row>
    <row r="1675">
      <c r="A1675" t="inlineStr">
        <is>
          <t>Marcela</t>
        </is>
      </c>
      <c r="B1675" t="inlineStr">
        <is>
          <t>+5516991651212</t>
        </is>
      </c>
      <c r="C1675" t="inlineStr">
        <is>
          <t>Refill</t>
        </is>
      </c>
      <c r="D1675" t="inlineStr">
        <is>
          <t>Primer Cachos</t>
        </is>
      </c>
      <c r="E1675" t="n">
        <v>1</v>
      </c>
      <c r="F1675" t="inlineStr">
        <is>
          <t>2026-01-21</t>
        </is>
      </c>
      <c r="G1675" t="n">
        <v>164</v>
      </c>
      <c r="H1675" t="inlineStr">
        <is>
          <t>Y</t>
        </is>
      </c>
      <c r="I1675">
        <f>HYPERLINK("https://admin.shopify.com/store/ge-beauty-cosmeticos/customers/10075072495936","abrir")</f>
        <v/>
      </c>
      <c r="J1675">
        <f>HYPERLINK("https://www.gebeauty.com.br/products/primer-cachos-definidos?ref=review","review")</f>
        <v/>
      </c>
      <c r="K1675" t="inlineStr">
        <is>
          <t>SEND</t>
        </is>
      </c>
    </row>
    <row r="1676">
      <c r="A1676" t="inlineStr">
        <is>
          <t>Adriana</t>
        </is>
      </c>
      <c r="B1676" t="inlineStr">
        <is>
          <t>+5544999119394</t>
        </is>
      </c>
      <c r="C1676" t="inlineStr">
        <is>
          <t>Refill</t>
        </is>
      </c>
      <c r="D1676" t="inlineStr">
        <is>
          <t>Primer Cachos</t>
        </is>
      </c>
      <c r="E1676" t="n">
        <v>1</v>
      </c>
      <c r="F1676" t="inlineStr">
        <is>
          <t>2026-01-21</t>
        </is>
      </c>
      <c r="G1676" t="n">
        <v>164</v>
      </c>
      <c r="H1676" t="inlineStr">
        <is>
          <t>Y</t>
        </is>
      </c>
      <c r="I1676">
        <f>HYPERLINK("https://admin.shopify.com/store/ge-beauty-cosmeticos/customers/10075091108160","abrir")</f>
        <v/>
      </c>
      <c r="J1676">
        <f>HYPERLINK("https://www.gebeauty.com.br/products/primer-cachos-definidos?ref=review","review")</f>
        <v/>
      </c>
      <c r="K1676" t="inlineStr">
        <is>
          <t>HOLDOUT</t>
        </is>
      </c>
    </row>
    <row r="1677">
      <c r="A1677" t="inlineStr">
        <is>
          <t>Juliana</t>
        </is>
      </c>
      <c r="B1677" t="inlineStr">
        <is>
          <t>+5511947286410</t>
        </is>
      </c>
      <c r="C1677" t="inlineStr">
        <is>
          <t>Refill</t>
        </is>
      </c>
      <c r="D1677" t="inlineStr">
        <is>
          <t>Primer Cachos</t>
        </is>
      </c>
      <c r="E1677" t="n">
        <v>1</v>
      </c>
      <c r="F1677" t="inlineStr">
        <is>
          <t>2026-01-21</t>
        </is>
      </c>
      <c r="G1677" t="n">
        <v>164</v>
      </c>
      <c r="H1677" t="inlineStr">
        <is>
          <t>Y</t>
        </is>
      </c>
      <c r="I1677">
        <f>HYPERLINK("https://admin.shopify.com/store/ge-beauty-cosmeticos/customers/10075059519808","abrir")</f>
        <v/>
      </c>
      <c r="J1677">
        <f>HYPERLINK("https://www.gebeauty.com.br/products/primer-cachos-definidos?ref=review","review")</f>
        <v/>
      </c>
      <c r="K1677" t="inlineStr">
        <is>
          <t>SEND</t>
        </is>
      </c>
    </row>
    <row r="1678">
      <c r="A1678" t="inlineStr">
        <is>
          <t>Cristina</t>
        </is>
      </c>
      <c r="B1678" t="inlineStr">
        <is>
          <t>+5524992851991</t>
        </is>
      </c>
      <c r="C1678" t="inlineStr">
        <is>
          <t>Refill</t>
        </is>
      </c>
      <c r="D1678" t="inlineStr">
        <is>
          <t>Primer Cachos</t>
        </is>
      </c>
      <c r="E1678" t="n">
        <v>1</v>
      </c>
      <c r="F1678" t="inlineStr">
        <is>
          <t>2026-01-21</t>
        </is>
      </c>
      <c r="G1678" t="n">
        <v>164</v>
      </c>
      <c r="H1678" t="inlineStr">
        <is>
          <t>Y</t>
        </is>
      </c>
      <c r="I1678">
        <f>HYPERLINK("https://admin.shopify.com/store/ge-beauty-cosmeticos/customers/10075060175168","abrir")</f>
        <v/>
      </c>
      <c r="J1678">
        <f>HYPERLINK("https://www.gebeauty.com.br/products/primer-cachos-definidos?ref=review","review")</f>
        <v/>
      </c>
      <c r="K1678" t="inlineStr">
        <is>
          <t>SEND</t>
        </is>
      </c>
    </row>
    <row r="1679">
      <c r="A1679" t="inlineStr">
        <is>
          <t>Karina</t>
        </is>
      </c>
      <c r="B1679" t="inlineStr">
        <is>
          <t>+5514981391069</t>
        </is>
      </c>
      <c r="C1679" t="inlineStr">
        <is>
          <t>Refill</t>
        </is>
      </c>
      <c r="D1679" t="inlineStr">
        <is>
          <t>Primer Cachos</t>
        </is>
      </c>
      <c r="E1679" t="n">
        <v>1</v>
      </c>
      <c r="F1679" t="inlineStr">
        <is>
          <t>2026-01-21</t>
        </is>
      </c>
      <c r="G1679" t="n">
        <v>164</v>
      </c>
      <c r="H1679" t="inlineStr">
        <is>
          <t>Y</t>
        </is>
      </c>
      <c r="I1679">
        <f>HYPERLINK("https://admin.shopify.com/store/ge-beauty-cosmeticos/customers/10075043397952","abrir")</f>
        <v/>
      </c>
      <c r="J1679">
        <f>HYPERLINK("https://www.gebeauty.com.br/products/primer-cachos-definidos?ref=review","review")</f>
        <v/>
      </c>
      <c r="K1679" t="inlineStr">
        <is>
          <t>SEND</t>
        </is>
      </c>
    </row>
    <row r="1680">
      <c r="A1680" t="inlineStr">
        <is>
          <t>Thais</t>
        </is>
      </c>
      <c r="B1680" t="inlineStr">
        <is>
          <t>+5511992690118</t>
        </is>
      </c>
      <c r="C1680" t="inlineStr">
        <is>
          <t>Refill</t>
        </is>
      </c>
      <c r="D1680" t="inlineStr">
        <is>
          <t>Primer Cachos</t>
        </is>
      </c>
      <c r="E1680" t="n">
        <v>1</v>
      </c>
      <c r="F1680" t="inlineStr">
        <is>
          <t>2026-01-21</t>
        </is>
      </c>
      <c r="G1680" t="n">
        <v>164</v>
      </c>
      <c r="H1680" t="inlineStr">
        <is>
          <t>Y</t>
        </is>
      </c>
      <c r="I1680">
        <f>HYPERLINK("https://admin.shopify.com/store/ge-beauty-cosmeticos/customers/10075088159040","abrir")</f>
        <v/>
      </c>
      <c r="J1680">
        <f>HYPERLINK("https://www.gebeauty.com.br/products/primer-cachos-definidos?ref=review","review")</f>
        <v/>
      </c>
      <c r="K1680" t="inlineStr">
        <is>
          <t>SEND</t>
        </is>
      </c>
    </row>
    <row r="1681">
      <c r="A1681" t="inlineStr">
        <is>
          <t>Daniela</t>
        </is>
      </c>
      <c r="B1681" t="inlineStr">
        <is>
          <t>+5551991953747</t>
        </is>
      </c>
      <c r="C1681" t="inlineStr">
        <is>
          <t>Refill</t>
        </is>
      </c>
      <c r="D1681" t="inlineStr">
        <is>
          <t>Primer Cachos</t>
        </is>
      </c>
      <c r="E1681" t="n">
        <v>1</v>
      </c>
      <c r="F1681" t="inlineStr">
        <is>
          <t>2026-01-21</t>
        </is>
      </c>
      <c r="G1681" t="n">
        <v>164</v>
      </c>
      <c r="H1681" t="inlineStr">
        <is>
          <t>Y</t>
        </is>
      </c>
      <c r="I1681">
        <f>HYPERLINK("https://admin.shopify.com/store/ge-beauty-cosmeticos/customers/10075100479808","abrir")</f>
        <v/>
      </c>
      <c r="J1681">
        <f>HYPERLINK("https://www.gebeauty.com.br/products/primer-cachos-definidos?ref=review","review")</f>
        <v/>
      </c>
      <c r="K1681" t="inlineStr">
        <is>
          <t>SEND</t>
        </is>
      </c>
    </row>
    <row r="1682">
      <c r="A1682" t="inlineStr">
        <is>
          <t>Carolina</t>
        </is>
      </c>
      <c r="B1682" t="inlineStr">
        <is>
          <t>+5521989365274</t>
        </is>
      </c>
      <c r="C1682" t="inlineStr">
        <is>
          <t>Refill</t>
        </is>
      </c>
      <c r="D1682" t="inlineStr">
        <is>
          <t>Primer Cachos</t>
        </is>
      </c>
      <c r="E1682" t="n">
        <v>1</v>
      </c>
      <c r="F1682" t="inlineStr">
        <is>
          <t>2026-01-21</t>
        </is>
      </c>
      <c r="G1682" t="n">
        <v>164</v>
      </c>
      <c r="H1682" t="inlineStr">
        <is>
          <t>Y</t>
        </is>
      </c>
      <c r="I1682">
        <f>HYPERLINK("https://admin.shopify.com/store/ge-beauty-cosmeticos/customers/10075094679872","abrir")</f>
        <v/>
      </c>
      <c r="J1682">
        <f>HYPERLINK("https://www.gebeauty.com.br/products/primer-cachos-definidos?ref=review","review")</f>
        <v/>
      </c>
      <c r="K1682" t="inlineStr">
        <is>
          <t>SEND</t>
        </is>
      </c>
    </row>
    <row r="1683">
      <c r="A1683" t="inlineStr">
        <is>
          <t>Nytza</t>
        </is>
      </c>
      <c r="B1683" t="inlineStr">
        <is>
          <t>+5554999770853</t>
        </is>
      </c>
      <c r="C1683" t="inlineStr">
        <is>
          <t>Refill</t>
        </is>
      </c>
      <c r="D1683" t="inlineStr">
        <is>
          <t>Primer Cachos</t>
        </is>
      </c>
      <c r="E1683" t="n">
        <v>1</v>
      </c>
      <c r="F1683" t="inlineStr">
        <is>
          <t>2026-01-21</t>
        </is>
      </c>
      <c r="G1683" t="n">
        <v>164</v>
      </c>
      <c r="H1683" t="inlineStr">
        <is>
          <t>Y</t>
        </is>
      </c>
      <c r="I1683">
        <f>HYPERLINK("https://admin.shopify.com/store/ge-beauty-cosmeticos/customers/10075100119360","abrir")</f>
        <v/>
      </c>
      <c r="J1683">
        <f>HYPERLINK("https://www.gebeauty.com.br/products/primer-cachos-definidos?ref=review","review")</f>
        <v/>
      </c>
      <c r="K1683" t="inlineStr">
        <is>
          <t>SEND</t>
        </is>
      </c>
    </row>
    <row r="1684">
      <c r="A1684" t="inlineStr">
        <is>
          <t>Belkis</t>
        </is>
      </c>
      <c r="B1684" t="inlineStr">
        <is>
          <t>+5511995425226</t>
        </is>
      </c>
      <c r="C1684" t="inlineStr">
        <is>
          <t>Refill</t>
        </is>
      </c>
      <c r="D1684" t="inlineStr">
        <is>
          <t>Primer Cachos</t>
        </is>
      </c>
      <c r="E1684" t="n">
        <v>1</v>
      </c>
      <c r="F1684" t="inlineStr">
        <is>
          <t>2026-01-21</t>
        </is>
      </c>
      <c r="G1684" t="n">
        <v>164</v>
      </c>
      <c r="H1684" t="inlineStr">
        <is>
          <t>Y</t>
        </is>
      </c>
      <c r="I1684">
        <f>HYPERLINK("https://admin.shopify.com/store/ge-beauty-cosmeticos/customers/10075103297856","abrir")</f>
        <v/>
      </c>
      <c r="J1684">
        <f>HYPERLINK("https://www.gebeauty.com.br/products/primer-cachos-definidos?ref=review","review")</f>
        <v/>
      </c>
      <c r="K1684" t="inlineStr">
        <is>
          <t>SEND</t>
        </is>
      </c>
    </row>
    <row r="1685">
      <c r="A1685" t="inlineStr">
        <is>
          <t>Lucilene</t>
        </is>
      </c>
      <c r="B1685" t="inlineStr">
        <is>
          <t>+5548988542206</t>
        </is>
      </c>
      <c r="C1685" t="inlineStr">
        <is>
          <t>Refill</t>
        </is>
      </c>
      <c r="D1685" t="inlineStr">
        <is>
          <t>Primer Cachos</t>
        </is>
      </c>
      <c r="E1685" t="n">
        <v>1</v>
      </c>
      <c r="F1685" t="inlineStr">
        <is>
          <t>2026-01-21</t>
        </is>
      </c>
      <c r="G1685" t="n">
        <v>164</v>
      </c>
      <c r="H1685" t="inlineStr">
        <is>
          <t>Y</t>
        </is>
      </c>
      <c r="I1685">
        <f>HYPERLINK("https://admin.shopify.com/store/ge-beauty-cosmeticos/customers/10075072102720","abrir")</f>
        <v/>
      </c>
      <c r="J1685">
        <f>HYPERLINK("https://www.gebeauty.com.br/products/primer-cachos-definidos?ref=review","review")</f>
        <v/>
      </c>
      <c r="K1685" t="inlineStr">
        <is>
          <t>SEND</t>
        </is>
      </c>
    </row>
    <row r="1686">
      <c r="A1686" t="inlineStr">
        <is>
          <t>Larissa</t>
        </is>
      </c>
      <c r="B1686" t="inlineStr">
        <is>
          <t>+5519988016132</t>
        </is>
      </c>
      <c r="C1686" t="inlineStr">
        <is>
          <t>Refill</t>
        </is>
      </c>
      <c r="D1686" t="inlineStr">
        <is>
          <t>Primer Cachos</t>
        </is>
      </c>
      <c r="E1686" t="n">
        <v>1</v>
      </c>
      <c r="F1686" t="inlineStr">
        <is>
          <t>2026-01-21</t>
        </is>
      </c>
      <c r="G1686" t="n">
        <v>164</v>
      </c>
      <c r="H1686" t="inlineStr">
        <is>
          <t>Y</t>
        </is>
      </c>
      <c r="I1686">
        <f>HYPERLINK("https://admin.shopify.com/store/ge-beauty-cosmeticos/customers/10075110277440","abrir")</f>
        <v/>
      </c>
      <c r="J1686">
        <f>HYPERLINK("https://www.gebeauty.com.br/products/primer-cachos-definidos?ref=review","review")</f>
        <v/>
      </c>
      <c r="K1686" t="inlineStr">
        <is>
          <t>SEND</t>
        </is>
      </c>
    </row>
    <row r="1687">
      <c r="A1687" t="inlineStr">
        <is>
          <t>Luzinete</t>
        </is>
      </c>
      <c r="B1687" t="inlineStr">
        <is>
          <t>+5583988316610</t>
        </is>
      </c>
      <c r="C1687" t="inlineStr">
        <is>
          <t>Refill</t>
        </is>
      </c>
      <c r="D1687" t="inlineStr">
        <is>
          <t>Primer Cachos</t>
        </is>
      </c>
      <c r="E1687" t="n">
        <v>1</v>
      </c>
      <c r="F1687" t="inlineStr">
        <is>
          <t>2026-01-21</t>
        </is>
      </c>
      <c r="G1687" t="n">
        <v>164</v>
      </c>
      <c r="H1687" t="inlineStr">
        <is>
          <t>Y</t>
        </is>
      </c>
      <c r="I1687">
        <f>HYPERLINK("https://admin.shopify.com/store/ge-beauty-cosmeticos/customers/10075106312512","abrir")</f>
        <v/>
      </c>
      <c r="J1687">
        <f>HYPERLINK("https://www.gebeauty.com.br/products/primer-cachos-definidos?ref=review","review")</f>
        <v/>
      </c>
      <c r="K1687" t="inlineStr">
        <is>
          <t>SEND</t>
        </is>
      </c>
    </row>
    <row r="1688">
      <c r="A1688" t="inlineStr">
        <is>
          <t>Silvia</t>
        </is>
      </c>
      <c r="B1688" t="inlineStr">
        <is>
          <t>+5515997660948</t>
        </is>
      </c>
      <c r="C1688" t="inlineStr">
        <is>
          <t>Refill</t>
        </is>
      </c>
      <c r="D1688" t="inlineStr">
        <is>
          <t>Primer Cachos</t>
        </is>
      </c>
      <c r="E1688" t="n">
        <v>1</v>
      </c>
      <c r="F1688" t="inlineStr">
        <is>
          <t>2026-01-21</t>
        </is>
      </c>
      <c r="G1688" t="n">
        <v>164</v>
      </c>
      <c r="H1688" t="inlineStr">
        <is>
          <t>Y</t>
        </is>
      </c>
      <c r="I1688">
        <f>HYPERLINK("https://admin.shopify.com/store/ge-beauty-cosmeticos/customers/10075125875008","abrir")</f>
        <v/>
      </c>
      <c r="J1688">
        <f>HYPERLINK("https://www.gebeauty.com.br/products/primer-cachos-definidos?ref=review","review")</f>
        <v/>
      </c>
      <c r="K1688" t="inlineStr">
        <is>
          <t>SEND</t>
        </is>
      </c>
    </row>
    <row r="1689">
      <c r="A1689" t="inlineStr">
        <is>
          <t>Lara</t>
        </is>
      </c>
      <c r="B1689" t="inlineStr">
        <is>
          <t>+5514996285643</t>
        </is>
      </c>
      <c r="C1689" t="inlineStr">
        <is>
          <t>Refill</t>
        </is>
      </c>
      <c r="D1689" t="inlineStr">
        <is>
          <t>Primer Cachos</t>
        </is>
      </c>
      <c r="E1689" t="n">
        <v>1</v>
      </c>
      <c r="F1689" t="inlineStr">
        <is>
          <t>2026-01-21</t>
        </is>
      </c>
      <c r="G1689" t="n">
        <v>164</v>
      </c>
      <c r="H1689" t="inlineStr">
        <is>
          <t>Y</t>
        </is>
      </c>
      <c r="I1689">
        <f>HYPERLINK("https://admin.shopify.com/store/ge-beauty-cosmeticos/customers/10075117715776","abrir")</f>
        <v/>
      </c>
      <c r="J1689">
        <f>HYPERLINK("https://www.gebeauty.com.br/products/primer-cachos-definidos?ref=review","review")</f>
        <v/>
      </c>
      <c r="K1689" t="inlineStr">
        <is>
          <t>SEND</t>
        </is>
      </c>
    </row>
    <row r="1690">
      <c r="A1690" t="inlineStr">
        <is>
          <t>Milena</t>
        </is>
      </c>
      <c r="B1690" t="inlineStr">
        <is>
          <t>+5511910171982</t>
        </is>
      </c>
      <c r="C1690" t="inlineStr">
        <is>
          <t>Refill</t>
        </is>
      </c>
      <c r="D1690" t="inlineStr">
        <is>
          <t>Primer Cachos</t>
        </is>
      </c>
      <c r="E1690" t="n">
        <v>1</v>
      </c>
      <c r="F1690" t="inlineStr">
        <is>
          <t>2026-01-21</t>
        </is>
      </c>
      <c r="G1690" t="n">
        <v>164</v>
      </c>
      <c r="H1690" t="inlineStr">
        <is>
          <t>Y</t>
        </is>
      </c>
      <c r="I1690">
        <f>HYPERLINK("https://admin.shopify.com/store/ge-beauty-cosmeticos/customers/8111416934720","abrir")</f>
        <v/>
      </c>
      <c r="J1690">
        <f>HYPERLINK("https://www.gebeauty.com.br/products/primer-cachos-definidos?ref=review","review")</f>
        <v/>
      </c>
      <c r="K1690" t="inlineStr">
        <is>
          <t>SEND</t>
        </is>
      </c>
    </row>
    <row r="1691">
      <c r="A1691" t="inlineStr">
        <is>
          <t>Laís</t>
        </is>
      </c>
      <c r="B1691" t="inlineStr">
        <is>
          <t>+5512981270844</t>
        </is>
      </c>
      <c r="C1691" t="inlineStr">
        <is>
          <t>Refill</t>
        </is>
      </c>
      <c r="D1691" t="inlineStr">
        <is>
          <t>Primer Cachos</t>
        </is>
      </c>
      <c r="E1691" t="n">
        <v>1</v>
      </c>
      <c r="F1691" t="inlineStr">
        <is>
          <t>2026-01-21</t>
        </is>
      </c>
      <c r="G1691" t="n">
        <v>164</v>
      </c>
      <c r="H1691" t="inlineStr">
        <is>
          <t>Y</t>
        </is>
      </c>
      <c r="I1691">
        <f>HYPERLINK("https://admin.shopify.com/store/ge-beauty-cosmeticos/customers/10075119321408","abrir")</f>
        <v/>
      </c>
      <c r="J1691">
        <f>HYPERLINK("https://www.gebeauty.com.br/products/primer-cachos-definidos?ref=review","review")</f>
        <v/>
      </c>
      <c r="K1691" t="inlineStr">
        <is>
          <t>SEND</t>
        </is>
      </c>
    </row>
    <row r="1692">
      <c r="A1692" t="inlineStr">
        <is>
          <t>Michele</t>
        </is>
      </c>
      <c r="B1692" t="inlineStr">
        <is>
          <t>+5521988517117</t>
        </is>
      </c>
      <c r="C1692" t="inlineStr">
        <is>
          <t>Refill</t>
        </is>
      </c>
      <c r="D1692" t="inlineStr">
        <is>
          <t>Primer Cachos</t>
        </is>
      </c>
      <c r="E1692" t="n">
        <v>1</v>
      </c>
      <c r="F1692" t="inlineStr">
        <is>
          <t>2026-01-21</t>
        </is>
      </c>
      <c r="G1692" t="n">
        <v>164</v>
      </c>
      <c r="H1692" t="inlineStr">
        <is>
          <t>Y</t>
        </is>
      </c>
      <c r="I1692">
        <f>HYPERLINK("https://admin.shopify.com/store/ge-beauty-cosmeticos/customers/10075131412800","abrir")</f>
        <v/>
      </c>
      <c r="J1692">
        <f>HYPERLINK("https://www.gebeauty.com.br/products/primer-cachos-definidos?ref=review","review")</f>
        <v/>
      </c>
      <c r="K1692" t="inlineStr">
        <is>
          <t>SEND</t>
        </is>
      </c>
    </row>
    <row r="1693">
      <c r="A1693" t="inlineStr">
        <is>
          <t>Luciana</t>
        </is>
      </c>
      <c r="B1693" t="inlineStr">
        <is>
          <t>+5514991737504</t>
        </is>
      </c>
      <c r="C1693" t="inlineStr">
        <is>
          <t>Refill</t>
        </is>
      </c>
      <c r="D1693" t="inlineStr">
        <is>
          <t>Primer Cachos</t>
        </is>
      </c>
      <c r="E1693" t="n">
        <v>1</v>
      </c>
      <c r="F1693" t="inlineStr">
        <is>
          <t>2026-01-21</t>
        </is>
      </c>
      <c r="G1693" t="n">
        <v>164</v>
      </c>
      <c r="H1693" t="inlineStr">
        <is>
          <t>Y</t>
        </is>
      </c>
      <c r="I1693">
        <f>HYPERLINK("https://admin.shopify.com/store/ge-beauty-cosmeticos/customers/10075132363072","abrir")</f>
        <v/>
      </c>
      <c r="J1693">
        <f>HYPERLINK("https://www.gebeauty.com.br/products/primer-cachos-definidos?ref=review","review")</f>
        <v/>
      </c>
      <c r="K1693" t="inlineStr">
        <is>
          <t>SEND</t>
        </is>
      </c>
    </row>
    <row r="1694">
      <c r="A1694" t="inlineStr">
        <is>
          <t>Bianca</t>
        </is>
      </c>
      <c r="B1694" t="inlineStr">
        <is>
          <t>+5548999008785</t>
        </is>
      </c>
      <c r="C1694" t="inlineStr">
        <is>
          <t>Refill</t>
        </is>
      </c>
      <c r="D1694" t="inlineStr">
        <is>
          <t>Primer Cachos</t>
        </is>
      </c>
      <c r="E1694" t="n">
        <v>1</v>
      </c>
      <c r="F1694" t="inlineStr">
        <is>
          <t>2026-01-21</t>
        </is>
      </c>
      <c r="G1694" t="n">
        <v>164</v>
      </c>
      <c r="H1694" t="inlineStr">
        <is>
          <t>Y</t>
        </is>
      </c>
      <c r="I1694">
        <f>HYPERLINK("https://admin.shopify.com/store/ge-beauty-cosmeticos/customers/10075131478336","abrir")</f>
        <v/>
      </c>
      <c r="J1694">
        <f>HYPERLINK("https://www.gebeauty.com.br/products/primer-cachos-definidos?ref=review","review")</f>
        <v/>
      </c>
      <c r="K1694" t="inlineStr">
        <is>
          <t>SEND</t>
        </is>
      </c>
    </row>
    <row r="1695">
      <c r="A1695" t="inlineStr">
        <is>
          <t>Delmara</t>
        </is>
      </c>
      <c r="B1695" t="inlineStr">
        <is>
          <t>+5531992044840</t>
        </is>
      </c>
      <c r="C1695" t="inlineStr">
        <is>
          <t>Refill</t>
        </is>
      </c>
      <c r="D1695" t="inlineStr">
        <is>
          <t>Primer Cachos</t>
        </is>
      </c>
      <c r="E1695" t="n">
        <v>1</v>
      </c>
      <c r="F1695" t="inlineStr">
        <is>
          <t>2026-01-21</t>
        </is>
      </c>
      <c r="G1695" t="n">
        <v>164</v>
      </c>
      <c r="H1695" t="inlineStr">
        <is>
          <t>Y</t>
        </is>
      </c>
      <c r="I1695">
        <f>HYPERLINK("https://admin.shopify.com/store/ge-beauty-cosmeticos/customers/10075099791680","abrir")</f>
        <v/>
      </c>
      <c r="J1695">
        <f>HYPERLINK("https://www.gebeauty.com.br/products/primer-cachos-definidos?ref=review","review")</f>
        <v/>
      </c>
      <c r="K1695" t="inlineStr">
        <is>
          <t>SEND</t>
        </is>
      </c>
    </row>
    <row r="1696">
      <c r="A1696" t="inlineStr">
        <is>
          <t>Leticia</t>
        </is>
      </c>
      <c r="B1696" t="inlineStr">
        <is>
          <t>+5511964807630</t>
        </is>
      </c>
      <c r="C1696" t="inlineStr">
        <is>
          <t>Refill</t>
        </is>
      </c>
      <c r="D1696" t="inlineStr">
        <is>
          <t>Primer Cachos</t>
        </is>
      </c>
      <c r="E1696" t="n">
        <v>1</v>
      </c>
      <c r="F1696" t="inlineStr">
        <is>
          <t>2026-01-21</t>
        </is>
      </c>
      <c r="G1696" t="n">
        <v>164</v>
      </c>
      <c r="H1696" t="inlineStr">
        <is>
          <t>Y</t>
        </is>
      </c>
      <c r="I1696">
        <f>HYPERLINK("https://admin.shopify.com/store/ge-beauty-cosmeticos/customers/9486030045504","abrir")</f>
        <v/>
      </c>
      <c r="J1696">
        <f>HYPERLINK("https://www.gebeauty.com.br/products/primer-cachos-definidos?ref=review","review")</f>
        <v/>
      </c>
      <c r="K1696" t="inlineStr">
        <is>
          <t>SEND</t>
        </is>
      </c>
    </row>
    <row r="1697">
      <c r="A1697" t="inlineStr">
        <is>
          <t>Paul</t>
        </is>
      </c>
      <c r="B1697" t="inlineStr">
        <is>
          <t>+5521993192112</t>
        </is>
      </c>
      <c r="C1697" t="inlineStr">
        <is>
          <t>Refill</t>
        </is>
      </c>
      <c r="D1697" t="inlineStr">
        <is>
          <t>Primer Cachos</t>
        </is>
      </c>
      <c r="E1697" t="n">
        <v>1</v>
      </c>
      <c r="F1697" t="inlineStr">
        <is>
          <t>2026-01-21</t>
        </is>
      </c>
      <c r="G1697" t="n">
        <v>164</v>
      </c>
      <c r="H1697" t="inlineStr">
        <is>
          <t>Y</t>
        </is>
      </c>
      <c r="I1697">
        <f>HYPERLINK("https://admin.shopify.com/store/ge-beauty-cosmeticos/customers/10075133411648","abrir")</f>
        <v/>
      </c>
      <c r="J1697">
        <f>HYPERLINK("https://www.gebeauty.com.br/products/primer-cachos-definidos?ref=review","review")</f>
        <v/>
      </c>
      <c r="K1697" t="inlineStr">
        <is>
          <t>SEND</t>
        </is>
      </c>
    </row>
    <row r="1698">
      <c r="A1698" t="inlineStr">
        <is>
          <t>Daniele</t>
        </is>
      </c>
      <c r="B1698" t="inlineStr">
        <is>
          <t>+5521983083480</t>
        </is>
      </c>
      <c r="C1698" t="inlineStr">
        <is>
          <t>Refill</t>
        </is>
      </c>
      <c r="D1698" t="inlineStr">
        <is>
          <t>Primer Cachos</t>
        </is>
      </c>
      <c r="E1698" t="n">
        <v>1</v>
      </c>
      <c r="F1698" t="inlineStr">
        <is>
          <t>2026-01-21</t>
        </is>
      </c>
      <c r="G1698" t="n">
        <v>164</v>
      </c>
      <c r="H1698" t="inlineStr">
        <is>
          <t>Y</t>
        </is>
      </c>
      <c r="I1698">
        <f>HYPERLINK("https://admin.shopify.com/store/ge-beauty-cosmeticos/customers/10075139211584","abrir")</f>
        <v/>
      </c>
      <c r="J1698">
        <f>HYPERLINK("https://www.gebeauty.com.br/products/primer-cachos-definidos?ref=review","review")</f>
        <v/>
      </c>
      <c r="K1698" t="inlineStr">
        <is>
          <t>SEND</t>
        </is>
      </c>
    </row>
    <row r="1699">
      <c r="A1699" t="inlineStr">
        <is>
          <t>Taís</t>
        </is>
      </c>
      <c r="B1699" t="inlineStr">
        <is>
          <t>+5571981569950</t>
        </is>
      </c>
      <c r="C1699" t="inlineStr">
        <is>
          <t>Refill</t>
        </is>
      </c>
      <c r="D1699" t="inlineStr">
        <is>
          <t>Primer Cachos</t>
        </is>
      </c>
      <c r="E1699" t="n">
        <v>1</v>
      </c>
      <c r="F1699" t="inlineStr">
        <is>
          <t>2026-01-21</t>
        </is>
      </c>
      <c r="G1699" t="n">
        <v>164</v>
      </c>
      <c r="H1699" t="inlineStr">
        <is>
          <t>Y</t>
        </is>
      </c>
      <c r="I1699">
        <f>HYPERLINK("https://admin.shopify.com/store/ge-beauty-cosmeticos/customers/10074268074304","abrir")</f>
        <v/>
      </c>
      <c r="J1699">
        <f>HYPERLINK("https://www.gebeauty.com.br/products/primer-cachos-definidos?ref=review","review")</f>
        <v/>
      </c>
      <c r="K1699" t="inlineStr">
        <is>
          <t>SEND</t>
        </is>
      </c>
    </row>
    <row r="1700">
      <c r="A1700" t="inlineStr">
        <is>
          <t>Clarisse</t>
        </is>
      </c>
      <c r="B1700" t="inlineStr">
        <is>
          <t>+5541988443392</t>
        </is>
      </c>
      <c r="C1700" t="inlineStr">
        <is>
          <t>Refill</t>
        </is>
      </c>
      <c r="D1700" t="inlineStr">
        <is>
          <t>Primer Cachos</t>
        </is>
      </c>
      <c r="E1700" t="n">
        <v>1</v>
      </c>
      <c r="F1700" t="inlineStr">
        <is>
          <t>2026-01-21</t>
        </is>
      </c>
      <c r="G1700" t="n">
        <v>164</v>
      </c>
      <c r="H1700" t="inlineStr">
        <is>
          <t>Y</t>
        </is>
      </c>
      <c r="I1700">
        <f>HYPERLINK("https://admin.shopify.com/store/ge-beauty-cosmeticos/customers/10075145404736","abrir")</f>
        <v/>
      </c>
      <c r="J1700">
        <f>HYPERLINK("https://www.gebeauty.com.br/products/primer-cachos-definidos?ref=review","review")</f>
        <v/>
      </c>
      <c r="K1700" t="inlineStr">
        <is>
          <t>SEND</t>
        </is>
      </c>
    </row>
    <row r="1701">
      <c r="A1701" t="inlineStr">
        <is>
          <t>Priscila</t>
        </is>
      </c>
      <c r="B1701" t="inlineStr">
        <is>
          <t>+5535991752997</t>
        </is>
      </c>
      <c r="C1701" t="inlineStr">
        <is>
          <t>Refill</t>
        </is>
      </c>
      <c r="D1701" t="inlineStr">
        <is>
          <t>Primer Cachos</t>
        </is>
      </c>
      <c r="E1701" t="n">
        <v>1</v>
      </c>
      <c r="F1701" t="inlineStr">
        <is>
          <t>2026-01-21</t>
        </is>
      </c>
      <c r="G1701" t="n">
        <v>164</v>
      </c>
      <c r="H1701" t="inlineStr">
        <is>
          <t>Y</t>
        </is>
      </c>
      <c r="I1701">
        <f>HYPERLINK("https://admin.shopify.com/store/ge-beauty-cosmeticos/customers/10075119878464","abrir")</f>
        <v/>
      </c>
      <c r="J1701">
        <f>HYPERLINK("https://www.gebeauty.com.br/products/primer-cachos-definidos?ref=review","review")</f>
        <v/>
      </c>
      <c r="K1701" t="inlineStr">
        <is>
          <t>SEND</t>
        </is>
      </c>
    </row>
    <row r="1702">
      <c r="A1702" t="inlineStr">
        <is>
          <t>Luciana</t>
        </is>
      </c>
      <c r="B1702" t="inlineStr">
        <is>
          <t>+5531998092804</t>
        </is>
      </c>
      <c r="C1702" t="inlineStr">
        <is>
          <t>Refill</t>
        </is>
      </c>
      <c r="D1702" t="inlineStr">
        <is>
          <t>Primer Cachos</t>
        </is>
      </c>
      <c r="E1702" t="n">
        <v>1</v>
      </c>
      <c r="F1702" t="inlineStr">
        <is>
          <t>2026-01-21</t>
        </is>
      </c>
      <c r="G1702" t="n">
        <v>164</v>
      </c>
      <c r="H1702" t="inlineStr">
        <is>
          <t>Y</t>
        </is>
      </c>
      <c r="I1702">
        <f>HYPERLINK("https://admin.shopify.com/store/ge-beauty-cosmeticos/customers/10075050410304","abrir")</f>
        <v/>
      </c>
      <c r="J1702">
        <f>HYPERLINK("https://www.gebeauty.com.br/products/primer-cachos-definidos?ref=review","review")</f>
        <v/>
      </c>
      <c r="K1702" t="inlineStr">
        <is>
          <t>SEND</t>
        </is>
      </c>
    </row>
    <row r="1703">
      <c r="A1703" t="inlineStr">
        <is>
          <t>Valeria</t>
        </is>
      </c>
      <c r="B1703" t="inlineStr">
        <is>
          <t>+5571991050553</t>
        </is>
      </c>
      <c r="C1703" t="inlineStr">
        <is>
          <t>Refill</t>
        </is>
      </c>
      <c r="D1703" t="inlineStr">
        <is>
          <t>Primer Cachos</t>
        </is>
      </c>
      <c r="E1703" t="n">
        <v>1</v>
      </c>
      <c r="F1703" t="inlineStr">
        <is>
          <t>2026-01-21</t>
        </is>
      </c>
      <c r="G1703" t="n">
        <v>164</v>
      </c>
      <c r="H1703" t="inlineStr">
        <is>
          <t>Y</t>
        </is>
      </c>
      <c r="I1703">
        <f>HYPERLINK("https://admin.shopify.com/store/ge-beauty-cosmeticos/customers/9486516650304","abrir")</f>
        <v/>
      </c>
      <c r="J1703">
        <f>HYPERLINK("https://www.gebeauty.com.br/products/primer-cachos-definidos?ref=review","review")</f>
        <v/>
      </c>
      <c r="K1703" t="inlineStr">
        <is>
          <t>SEND</t>
        </is>
      </c>
    </row>
    <row r="1704">
      <c r="A1704" t="inlineStr">
        <is>
          <t>Débora</t>
        </is>
      </c>
      <c r="B1704" t="inlineStr">
        <is>
          <t>+5521984402422</t>
        </is>
      </c>
      <c r="C1704" t="inlineStr">
        <is>
          <t>Refill</t>
        </is>
      </c>
      <c r="D1704" t="inlineStr">
        <is>
          <t>Primer Cachos</t>
        </is>
      </c>
      <c r="E1704" t="n">
        <v>1</v>
      </c>
      <c r="F1704" t="inlineStr">
        <is>
          <t>2026-01-21</t>
        </is>
      </c>
      <c r="G1704" t="n">
        <v>164</v>
      </c>
      <c r="H1704" t="inlineStr">
        <is>
          <t>Y</t>
        </is>
      </c>
      <c r="I1704">
        <f>HYPERLINK("https://admin.shopify.com/store/ge-beauty-cosmeticos/customers/10075138818368","abrir")</f>
        <v/>
      </c>
      <c r="J1704">
        <f>HYPERLINK("https://www.gebeauty.com.br/products/primer-cachos-definidos?ref=review","review")</f>
        <v/>
      </c>
      <c r="K1704" t="inlineStr">
        <is>
          <t>SEND</t>
        </is>
      </c>
    </row>
    <row r="1705">
      <c r="A1705" t="inlineStr">
        <is>
          <t>Nathalia</t>
        </is>
      </c>
      <c r="B1705" t="inlineStr">
        <is>
          <t>+5511947804251</t>
        </is>
      </c>
      <c r="C1705" t="inlineStr">
        <is>
          <t>Refill</t>
        </is>
      </c>
      <c r="D1705" t="inlineStr">
        <is>
          <t>Primer Cachos</t>
        </is>
      </c>
      <c r="E1705" t="n">
        <v>1</v>
      </c>
      <c r="F1705" t="inlineStr">
        <is>
          <t>2026-01-21</t>
        </is>
      </c>
      <c r="G1705" t="n">
        <v>164</v>
      </c>
      <c r="H1705" t="inlineStr">
        <is>
          <t>Y</t>
        </is>
      </c>
      <c r="I1705">
        <f>HYPERLINK("https://admin.shopify.com/store/ge-beauty-cosmeticos/customers/10075158708544","abrir")</f>
        <v/>
      </c>
      <c r="J1705">
        <f>HYPERLINK("https://www.gebeauty.com.br/products/primer-cachos-definidos?ref=review","review")</f>
        <v/>
      </c>
      <c r="K1705" t="inlineStr">
        <is>
          <t>SEND</t>
        </is>
      </c>
    </row>
    <row r="1706">
      <c r="A1706" t="inlineStr">
        <is>
          <t>Ana Carolina</t>
        </is>
      </c>
      <c r="B1706" t="inlineStr">
        <is>
          <t>+5563992514909</t>
        </is>
      </c>
      <c r="C1706" t="inlineStr">
        <is>
          <t>Refill</t>
        </is>
      </c>
      <c r="D1706" t="inlineStr">
        <is>
          <t>Primer Cachos</t>
        </is>
      </c>
      <c r="E1706" t="n">
        <v>1</v>
      </c>
      <c r="F1706" t="inlineStr">
        <is>
          <t>2026-01-21</t>
        </is>
      </c>
      <c r="G1706" t="n">
        <v>164</v>
      </c>
      <c r="H1706" t="inlineStr">
        <is>
          <t>Y</t>
        </is>
      </c>
      <c r="I1706">
        <f>HYPERLINK("https://admin.shopify.com/store/ge-beauty-cosmeticos/customers/10074933920064","abrir")</f>
        <v/>
      </c>
      <c r="J1706">
        <f>HYPERLINK("https://www.gebeauty.com.br/products/primer-cachos-definidos?ref=review","review")</f>
        <v/>
      </c>
      <c r="K1706" t="inlineStr">
        <is>
          <t>SEND</t>
        </is>
      </c>
    </row>
    <row r="1707">
      <c r="A1707" t="inlineStr">
        <is>
          <t>Ana Paula</t>
        </is>
      </c>
      <c r="B1707" t="inlineStr">
        <is>
          <t>+5515997868607</t>
        </is>
      </c>
      <c r="C1707" t="inlineStr">
        <is>
          <t>Refill</t>
        </is>
      </c>
      <c r="D1707" t="inlineStr">
        <is>
          <t>Primer Cachos</t>
        </is>
      </c>
      <c r="E1707" t="n">
        <v>1</v>
      </c>
      <c r="F1707" t="inlineStr">
        <is>
          <t>2026-01-21</t>
        </is>
      </c>
      <c r="G1707" t="n">
        <v>164</v>
      </c>
      <c r="H1707" t="inlineStr">
        <is>
          <t>Y</t>
        </is>
      </c>
      <c r="I1707">
        <f>HYPERLINK("https://admin.shopify.com/store/ge-beauty-cosmeticos/customers/10075149664576","abrir")</f>
        <v/>
      </c>
      <c r="J1707">
        <f>HYPERLINK("https://www.gebeauty.com.br/products/primer-cachos-definidos?ref=review","review")</f>
        <v/>
      </c>
      <c r="K1707" t="inlineStr">
        <is>
          <t>SEND</t>
        </is>
      </c>
    </row>
    <row r="1708">
      <c r="A1708" t="inlineStr">
        <is>
          <t>Vanessa</t>
        </is>
      </c>
      <c r="B1708" t="inlineStr">
        <is>
          <t>+5548999927646</t>
        </is>
      </c>
      <c r="C1708" t="inlineStr">
        <is>
          <t>Refill</t>
        </is>
      </c>
      <c r="D1708" t="inlineStr">
        <is>
          <t>Primer Cachos</t>
        </is>
      </c>
      <c r="E1708" t="n">
        <v>1</v>
      </c>
      <c r="F1708" t="inlineStr">
        <is>
          <t>2026-01-21</t>
        </is>
      </c>
      <c r="G1708" t="n">
        <v>164</v>
      </c>
      <c r="H1708" t="inlineStr">
        <is>
          <t>Y</t>
        </is>
      </c>
      <c r="I1708">
        <f>HYPERLINK("https://admin.shopify.com/store/ge-beauty-cosmeticos/customers/10075169980736","abrir")</f>
        <v/>
      </c>
      <c r="J1708">
        <f>HYPERLINK("https://www.gebeauty.com.br/products/primer-cachos-definidos?ref=review","review")</f>
        <v/>
      </c>
      <c r="K1708" t="inlineStr">
        <is>
          <t>SEND</t>
        </is>
      </c>
    </row>
    <row r="1709">
      <c r="A1709" t="inlineStr">
        <is>
          <t>Solange</t>
        </is>
      </c>
      <c r="B1709" t="inlineStr">
        <is>
          <t>+557930230333</t>
        </is>
      </c>
      <c r="C1709" t="inlineStr">
        <is>
          <t>Refill</t>
        </is>
      </c>
      <c r="D1709" t="inlineStr">
        <is>
          <t>Primer Cachos</t>
        </is>
      </c>
      <c r="E1709" t="n">
        <v>1</v>
      </c>
      <c r="F1709" t="inlineStr">
        <is>
          <t>2026-01-21</t>
        </is>
      </c>
      <c r="G1709" t="n">
        <v>164</v>
      </c>
      <c r="H1709" t="inlineStr">
        <is>
          <t>Y</t>
        </is>
      </c>
      <c r="I1709">
        <f>HYPERLINK("https://admin.shopify.com/store/ge-beauty-cosmeticos/customers/8406054273344","abrir")</f>
        <v/>
      </c>
      <c r="J1709">
        <f>HYPERLINK("https://www.gebeauty.com.br/products/primer-cachos-definidos?ref=review","review")</f>
        <v/>
      </c>
      <c r="K1709" t="inlineStr">
        <is>
          <t>SEND</t>
        </is>
      </c>
    </row>
    <row r="1710">
      <c r="A1710" t="inlineStr">
        <is>
          <t>Luciana</t>
        </is>
      </c>
      <c r="B1710" t="inlineStr">
        <is>
          <t>+5511996019644</t>
        </is>
      </c>
      <c r="C1710" t="inlineStr">
        <is>
          <t>Refill</t>
        </is>
      </c>
      <c r="D1710" t="inlineStr">
        <is>
          <t>Primer Cachos</t>
        </is>
      </c>
      <c r="E1710" t="n">
        <v>1</v>
      </c>
      <c r="F1710" t="inlineStr">
        <is>
          <t>2026-01-21</t>
        </is>
      </c>
      <c r="G1710" t="n">
        <v>164</v>
      </c>
      <c r="H1710" t="inlineStr">
        <is>
          <t>Y</t>
        </is>
      </c>
      <c r="I1710">
        <f>HYPERLINK("https://admin.shopify.com/store/ge-beauty-cosmeticos/customers/10075172667712","abrir")</f>
        <v/>
      </c>
      <c r="J1710">
        <f>HYPERLINK("https://www.gebeauty.com.br/products/primer-cachos-definidos?ref=review","review")</f>
        <v/>
      </c>
      <c r="K1710" t="inlineStr">
        <is>
          <t>SEND</t>
        </is>
      </c>
    </row>
    <row r="1711">
      <c r="A1711" t="inlineStr">
        <is>
          <t>Fabiola</t>
        </is>
      </c>
      <c r="B1711" t="inlineStr">
        <is>
          <t>+5548984017171</t>
        </is>
      </c>
      <c r="C1711" t="inlineStr">
        <is>
          <t>Refill</t>
        </is>
      </c>
      <c r="D1711" t="inlineStr">
        <is>
          <t>Primer Cachos</t>
        </is>
      </c>
      <c r="E1711" t="n">
        <v>1</v>
      </c>
      <c r="F1711" t="inlineStr">
        <is>
          <t>2026-01-21</t>
        </is>
      </c>
      <c r="G1711" t="n">
        <v>164</v>
      </c>
      <c r="H1711" t="inlineStr">
        <is>
          <t>Y</t>
        </is>
      </c>
      <c r="I1711">
        <f>HYPERLINK("https://admin.shopify.com/store/ge-beauty-cosmeticos/customers/10075171258688","abrir")</f>
        <v/>
      </c>
      <c r="J1711">
        <f>HYPERLINK("https://www.gebeauty.com.br/products/primer-cachos-definidos?ref=review","review")</f>
        <v/>
      </c>
      <c r="K1711" t="inlineStr">
        <is>
          <t>SEND</t>
        </is>
      </c>
    </row>
    <row r="1712">
      <c r="A1712" t="inlineStr">
        <is>
          <t>Andrea</t>
        </is>
      </c>
      <c r="B1712" t="inlineStr">
        <is>
          <t>+5521988199342</t>
        </is>
      </c>
      <c r="C1712" t="inlineStr">
        <is>
          <t>Refill</t>
        </is>
      </c>
      <c r="D1712" t="inlineStr">
        <is>
          <t>Primer Cachos</t>
        </is>
      </c>
      <c r="E1712" t="n">
        <v>1</v>
      </c>
      <c r="F1712" t="inlineStr">
        <is>
          <t>2026-01-21</t>
        </is>
      </c>
      <c r="G1712" t="n">
        <v>164</v>
      </c>
      <c r="H1712" t="inlineStr">
        <is>
          <t>Y</t>
        </is>
      </c>
      <c r="I1712">
        <f>HYPERLINK("https://admin.shopify.com/store/ge-beauty-cosmeticos/customers/10074453475648","abrir")</f>
        <v/>
      </c>
      <c r="J1712">
        <f>HYPERLINK("https://www.gebeauty.com.br/products/primer-cachos-definidos?ref=review","review")</f>
        <v/>
      </c>
      <c r="K1712" t="inlineStr">
        <is>
          <t>SEND</t>
        </is>
      </c>
    </row>
    <row r="1713">
      <c r="A1713" t="inlineStr">
        <is>
          <t>Maria</t>
        </is>
      </c>
      <c r="B1713" t="inlineStr">
        <is>
          <t>+5521986966110</t>
        </is>
      </c>
      <c r="C1713" t="inlineStr">
        <is>
          <t>Refill</t>
        </is>
      </c>
      <c r="D1713" t="inlineStr">
        <is>
          <t>Primer Cachos</t>
        </is>
      </c>
      <c r="E1713" t="n">
        <v>1</v>
      </c>
      <c r="F1713" t="inlineStr">
        <is>
          <t>2026-01-21</t>
        </is>
      </c>
      <c r="G1713" t="n">
        <v>164</v>
      </c>
      <c r="H1713" t="inlineStr">
        <is>
          <t>Y</t>
        </is>
      </c>
      <c r="I1713">
        <f>HYPERLINK("https://admin.shopify.com/store/ge-beauty-cosmeticos/customers/10075180630336","abrir")</f>
        <v/>
      </c>
      <c r="J1713">
        <f>HYPERLINK("https://www.gebeauty.com.br/products/primer-cachos-definidos?ref=review","review")</f>
        <v/>
      </c>
      <c r="K1713" t="inlineStr">
        <is>
          <t>SEND</t>
        </is>
      </c>
    </row>
    <row r="1714">
      <c r="A1714" t="inlineStr">
        <is>
          <t>Giovanna</t>
        </is>
      </c>
      <c r="B1714" t="inlineStr">
        <is>
          <t>+5511985737967</t>
        </is>
      </c>
      <c r="C1714" t="inlineStr">
        <is>
          <t>Refill</t>
        </is>
      </c>
      <c r="D1714" t="inlineStr">
        <is>
          <t>Primer Cachos</t>
        </is>
      </c>
      <c r="E1714" t="n">
        <v>1</v>
      </c>
      <c r="F1714" t="inlineStr">
        <is>
          <t>2026-01-21</t>
        </is>
      </c>
      <c r="G1714" t="n">
        <v>164</v>
      </c>
      <c r="H1714" t="inlineStr">
        <is>
          <t>Y</t>
        </is>
      </c>
      <c r="I1714">
        <f>HYPERLINK("https://admin.shopify.com/store/ge-beauty-cosmeticos/customers/10075133739328","abrir")</f>
        <v/>
      </c>
      <c r="J1714">
        <f>HYPERLINK("https://www.gebeauty.com.br/products/primer-cachos-definidos?ref=review","review")</f>
        <v/>
      </c>
      <c r="K1714" t="inlineStr">
        <is>
          <t>HOLDOUT</t>
        </is>
      </c>
    </row>
    <row r="1715">
      <c r="A1715" t="inlineStr">
        <is>
          <t>Elizabeth</t>
        </is>
      </c>
      <c r="B1715" t="inlineStr">
        <is>
          <t>+5511994175854</t>
        </is>
      </c>
      <c r="C1715" t="inlineStr">
        <is>
          <t>Refill</t>
        </is>
      </c>
      <c r="D1715" t="inlineStr">
        <is>
          <t>Primer Cachos</t>
        </is>
      </c>
      <c r="E1715" t="n">
        <v>1</v>
      </c>
      <c r="F1715" t="inlineStr">
        <is>
          <t>2026-01-21</t>
        </is>
      </c>
      <c r="G1715" t="n">
        <v>164</v>
      </c>
      <c r="H1715" t="inlineStr">
        <is>
          <t>Y</t>
        </is>
      </c>
      <c r="I1715">
        <f>HYPERLINK("https://admin.shopify.com/store/ge-beauty-cosmeticos/customers/10075188396352","abrir")</f>
        <v/>
      </c>
      <c r="J1715">
        <f>HYPERLINK("https://www.gebeauty.com.br/products/primer-cachos-definidos?ref=review","review")</f>
        <v/>
      </c>
      <c r="K1715" t="inlineStr">
        <is>
          <t>SEND</t>
        </is>
      </c>
    </row>
    <row r="1716">
      <c r="A1716" t="inlineStr">
        <is>
          <t>Karolyne</t>
        </is>
      </c>
      <c r="B1716" t="inlineStr">
        <is>
          <t>+5581996631599</t>
        </is>
      </c>
      <c r="C1716" t="inlineStr">
        <is>
          <t>Refill</t>
        </is>
      </c>
      <c r="D1716" t="inlineStr">
        <is>
          <t>Primer Cachos</t>
        </is>
      </c>
      <c r="E1716" t="n">
        <v>1</v>
      </c>
      <c r="F1716" t="inlineStr">
        <is>
          <t>2026-01-21</t>
        </is>
      </c>
      <c r="G1716" t="n">
        <v>164</v>
      </c>
      <c r="H1716" t="inlineStr">
        <is>
          <t>Y</t>
        </is>
      </c>
      <c r="I1716">
        <f>HYPERLINK("https://admin.shopify.com/store/ge-beauty-cosmeticos/customers/9485179355456","abrir")</f>
        <v/>
      </c>
      <c r="J1716">
        <f>HYPERLINK("https://www.gebeauty.com.br/products/primer-cachos-definidos?ref=review","review")</f>
        <v/>
      </c>
      <c r="K1716" t="inlineStr">
        <is>
          <t>SEND</t>
        </is>
      </c>
    </row>
    <row r="1717">
      <c r="A1717" t="inlineStr">
        <is>
          <t>Viviane</t>
        </is>
      </c>
      <c r="B1717" t="inlineStr">
        <is>
          <t>+5555991699072</t>
        </is>
      </c>
      <c r="C1717" t="inlineStr">
        <is>
          <t>Refill</t>
        </is>
      </c>
      <c r="D1717" t="inlineStr">
        <is>
          <t>Primer Cachos</t>
        </is>
      </c>
      <c r="E1717" t="n">
        <v>1</v>
      </c>
      <c r="F1717" t="inlineStr">
        <is>
          <t>2026-01-21</t>
        </is>
      </c>
      <c r="G1717" t="n">
        <v>164</v>
      </c>
      <c r="H1717" t="inlineStr">
        <is>
          <t>Y</t>
        </is>
      </c>
      <c r="I1717">
        <f>HYPERLINK("https://admin.shopify.com/store/ge-beauty-cosmeticos/customers/10075187511616","abrir")</f>
        <v/>
      </c>
      <c r="J1717">
        <f>HYPERLINK("https://www.gebeauty.com.br/products/primer-cachos-definidos?ref=review","review")</f>
        <v/>
      </c>
      <c r="K1717" t="inlineStr">
        <is>
          <t>SEND</t>
        </is>
      </c>
    </row>
    <row r="1718">
      <c r="A1718" t="inlineStr">
        <is>
          <t>Agnes</t>
        </is>
      </c>
      <c r="B1718" t="inlineStr">
        <is>
          <t>+5511999911969</t>
        </is>
      </c>
      <c r="C1718" t="inlineStr">
        <is>
          <t>Refill</t>
        </is>
      </c>
      <c r="D1718" t="inlineStr">
        <is>
          <t>Primer Cachos</t>
        </is>
      </c>
      <c r="E1718" t="n">
        <v>1</v>
      </c>
      <c r="F1718" t="inlineStr">
        <is>
          <t>2026-01-21</t>
        </is>
      </c>
      <c r="G1718" t="n">
        <v>164</v>
      </c>
      <c r="H1718" t="inlineStr">
        <is>
          <t>Y</t>
        </is>
      </c>
      <c r="I1718">
        <f>HYPERLINK("https://admin.shopify.com/store/ge-beauty-cosmeticos/customers/10075198357824","abrir")</f>
        <v/>
      </c>
      <c r="J1718">
        <f>HYPERLINK("https://www.gebeauty.com.br/products/primer-cachos-definidos?ref=review","review")</f>
        <v/>
      </c>
      <c r="K1718" t="inlineStr">
        <is>
          <t>SEND</t>
        </is>
      </c>
    </row>
    <row r="1719">
      <c r="A1719" t="inlineStr">
        <is>
          <t>Suzy</t>
        </is>
      </c>
      <c r="B1719" t="inlineStr">
        <is>
          <t>+5519989357514</t>
        </is>
      </c>
      <c r="C1719" t="inlineStr">
        <is>
          <t>Refill</t>
        </is>
      </c>
      <c r="D1719" t="inlineStr">
        <is>
          <t>Primer Cachos</t>
        </is>
      </c>
      <c r="E1719" t="n">
        <v>1</v>
      </c>
      <c r="F1719" t="inlineStr">
        <is>
          <t>2026-01-21</t>
        </is>
      </c>
      <c r="G1719" t="n">
        <v>164</v>
      </c>
      <c r="H1719" t="inlineStr">
        <is>
          <t>Y</t>
        </is>
      </c>
      <c r="I1719">
        <f>HYPERLINK("https://admin.shopify.com/store/ge-beauty-cosmeticos/customers/10071672717632","abrir")</f>
        <v/>
      </c>
      <c r="J1719">
        <f>HYPERLINK("https://www.gebeauty.com.br/products/primer-cachos-definidos?ref=review","review")</f>
        <v/>
      </c>
      <c r="K1719" t="inlineStr">
        <is>
          <t>HOLDOUT</t>
        </is>
      </c>
    </row>
    <row r="1720">
      <c r="A1720" t="inlineStr">
        <is>
          <t>Anna</t>
        </is>
      </c>
      <c r="B1720" t="inlineStr">
        <is>
          <t>+5548991153510</t>
        </is>
      </c>
      <c r="C1720" t="inlineStr">
        <is>
          <t>Refill</t>
        </is>
      </c>
      <c r="D1720" t="inlineStr">
        <is>
          <t>Primer Cachos</t>
        </is>
      </c>
      <c r="E1720" t="n">
        <v>1</v>
      </c>
      <c r="F1720" t="inlineStr">
        <is>
          <t>2026-01-21</t>
        </is>
      </c>
      <c r="G1720" t="n">
        <v>164</v>
      </c>
      <c r="H1720" t="inlineStr">
        <is>
          <t>Y</t>
        </is>
      </c>
      <c r="I1720">
        <f>HYPERLINK("https://admin.shopify.com/store/ge-beauty-cosmeticos/customers/10075200782656","abrir")</f>
        <v/>
      </c>
      <c r="J1720">
        <f>HYPERLINK("https://www.gebeauty.com.br/products/primer-cachos-definidos?ref=review","review")</f>
        <v/>
      </c>
      <c r="K1720" t="inlineStr">
        <is>
          <t>SEND</t>
        </is>
      </c>
    </row>
    <row r="1721">
      <c r="A1721" t="inlineStr">
        <is>
          <t>Lilian</t>
        </is>
      </c>
      <c r="B1721" t="inlineStr">
        <is>
          <t>+5514997570579</t>
        </is>
      </c>
      <c r="C1721" t="inlineStr">
        <is>
          <t>Refill</t>
        </is>
      </c>
      <c r="D1721" t="inlineStr">
        <is>
          <t>Primer Cachos</t>
        </is>
      </c>
      <c r="E1721" t="n">
        <v>1</v>
      </c>
      <c r="F1721" t="inlineStr">
        <is>
          <t>2026-01-21</t>
        </is>
      </c>
      <c r="G1721" t="n">
        <v>164</v>
      </c>
      <c r="H1721" t="inlineStr">
        <is>
          <t>Y</t>
        </is>
      </c>
      <c r="I1721">
        <f>HYPERLINK("https://admin.shopify.com/store/ge-beauty-cosmeticos/customers/10074596901184","abrir")</f>
        <v/>
      </c>
      <c r="J1721">
        <f>HYPERLINK("https://www.gebeauty.com.br/products/primer-cachos-definidos?ref=review","review")</f>
        <v/>
      </c>
      <c r="K1721" t="inlineStr">
        <is>
          <t>SEND</t>
        </is>
      </c>
    </row>
    <row r="1722">
      <c r="A1722" t="inlineStr">
        <is>
          <t>Damyeska</t>
        </is>
      </c>
      <c r="B1722" t="inlineStr">
        <is>
          <t>+5582999936688</t>
        </is>
      </c>
      <c r="C1722" t="inlineStr">
        <is>
          <t>Refill</t>
        </is>
      </c>
      <c r="D1722" t="inlineStr">
        <is>
          <t>Primer Cachos</t>
        </is>
      </c>
      <c r="E1722" t="n">
        <v>1</v>
      </c>
      <c r="F1722" t="inlineStr">
        <is>
          <t>2026-01-21</t>
        </is>
      </c>
      <c r="G1722" t="n">
        <v>164</v>
      </c>
      <c r="H1722" t="inlineStr">
        <is>
          <t>Y</t>
        </is>
      </c>
      <c r="I1722">
        <f>HYPERLINK("https://admin.shopify.com/store/ge-beauty-cosmeticos/customers/10075204616512","abrir")</f>
        <v/>
      </c>
      <c r="J1722">
        <f>HYPERLINK("https://www.gebeauty.com.br/products/primer-cachos-definidos?ref=review","review")</f>
        <v/>
      </c>
      <c r="K1722" t="inlineStr">
        <is>
          <t>SEND</t>
        </is>
      </c>
    </row>
    <row r="1723">
      <c r="A1723" t="inlineStr">
        <is>
          <t>Marinalda</t>
        </is>
      </c>
      <c r="B1723" t="inlineStr">
        <is>
          <t>+5546999364390</t>
        </is>
      </c>
      <c r="C1723" t="inlineStr">
        <is>
          <t>Refill</t>
        </is>
      </c>
      <c r="D1723" t="inlineStr">
        <is>
          <t>Primer Cachos</t>
        </is>
      </c>
      <c r="E1723" t="n">
        <v>1</v>
      </c>
      <c r="F1723" t="inlineStr">
        <is>
          <t>2026-01-21</t>
        </is>
      </c>
      <c r="G1723" t="n">
        <v>164</v>
      </c>
      <c r="H1723" t="inlineStr">
        <is>
          <t>Y</t>
        </is>
      </c>
      <c r="I1723">
        <f>HYPERLINK("https://admin.shopify.com/store/ge-beauty-cosmeticos/customers/10075204845888","abrir")</f>
        <v/>
      </c>
      <c r="J1723">
        <f>HYPERLINK("https://www.gebeauty.com.br/products/primer-cachos-definidos?ref=review","review")</f>
        <v/>
      </c>
      <c r="K1723" t="inlineStr">
        <is>
          <t>SEND</t>
        </is>
      </c>
    </row>
    <row r="1724">
      <c r="A1724" t="inlineStr">
        <is>
          <t>Karolina</t>
        </is>
      </c>
      <c r="B1724" t="inlineStr">
        <is>
          <t>+5524999086013</t>
        </is>
      </c>
      <c r="C1724" t="inlineStr">
        <is>
          <t>Refill</t>
        </is>
      </c>
      <c r="D1724" t="inlineStr">
        <is>
          <t>Primer Cachos</t>
        </is>
      </c>
      <c r="E1724" t="n">
        <v>1</v>
      </c>
      <c r="F1724" t="inlineStr">
        <is>
          <t>2026-01-21</t>
        </is>
      </c>
      <c r="G1724" t="n">
        <v>164</v>
      </c>
      <c r="H1724" t="inlineStr">
        <is>
          <t>Y</t>
        </is>
      </c>
      <c r="I1724">
        <f>HYPERLINK("https://admin.shopify.com/store/ge-beauty-cosmeticos/customers/10074019070272","abrir")</f>
        <v/>
      </c>
      <c r="J1724">
        <f>HYPERLINK("https://www.gebeauty.com.br/products/primer-cachos-definidos?ref=review","review")</f>
        <v/>
      </c>
      <c r="K1724" t="inlineStr">
        <is>
          <t>SEND</t>
        </is>
      </c>
    </row>
    <row r="1725">
      <c r="A1725" t="inlineStr">
        <is>
          <t>Danielle</t>
        </is>
      </c>
      <c r="B1725" t="inlineStr">
        <is>
          <t>+5521971127228</t>
        </is>
      </c>
      <c r="C1725" t="inlineStr">
        <is>
          <t>Refill</t>
        </is>
      </c>
      <c r="D1725" t="inlineStr">
        <is>
          <t>Primer Cachos</t>
        </is>
      </c>
      <c r="E1725" t="n">
        <v>1</v>
      </c>
      <c r="F1725" t="inlineStr">
        <is>
          <t>2026-01-21</t>
        </is>
      </c>
      <c r="G1725" t="n">
        <v>164</v>
      </c>
      <c r="H1725" t="inlineStr">
        <is>
          <t>Y</t>
        </is>
      </c>
      <c r="I1725">
        <f>HYPERLINK("https://admin.shopify.com/store/ge-beauty-cosmeticos/customers/10074417332544","abrir")</f>
        <v/>
      </c>
      <c r="J1725">
        <f>HYPERLINK("https://www.gebeauty.com.br/products/primer-cachos-definidos?ref=review","review")</f>
        <v/>
      </c>
      <c r="K1725" t="inlineStr">
        <is>
          <t>SEND</t>
        </is>
      </c>
    </row>
    <row r="1726">
      <c r="A1726" t="inlineStr">
        <is>
          <t>Claudia</t>
        </is>
      </c>
      <c r="B1726" t="inlineStr">
        <is>
          <t>+5511952228851</t>
        </is>
      </c>
      <c r="C1726" t="inlineStr">
        <is>
          <t>Refill</t>
        </is>
      </c>
      <c r="D1726" t="inlineStr">
        <is>
          <t>Primer Cachos</t>
        </is>
      </c>
      <c r="E1726" t="n">
        <v>1</v>
      </c>
      <c r="F1726" t="inlineStr">
        <is>
          <t>2026-01-21</t>
        </is>
      </c>
      <c r="G1726" t="n">
        <v>164</v>
      </c>
      <c r="H1726" t="inlineStr">
        <is>
          <t>Y</t>
        </is>
      </c>
      <c r="I1726">
        <f>HYPERLINK("https://admin.shopify.com/store/ge-beauty-cosmeticos/customers/10075202519360","abrir")</f>
        <v/>
      </c>
      <c r="J1726">
        <f>HYPERLINK("https://www.gebeauty.com.br/products/primer-cachos-definidos?ref=review","review")</f>
        <v/>
      </c>
      <c r="K1726" t="inlineStr">
        <is>
          <t>SEND</t>
        </is>
      </c>
    </row>
    <row r="1727">
      <c r="A1727" t="inlineStr">
        <is>
          <t>Irani</t>
        </is>
      </c>
      <c r="B1727" t="inlineStr">
        <is>
          <t>+5511972030624</t>
        </is>
      </c>
      <c r="C1727" t="inlineStr">
        <is>
          <t>Refill</t>
        </is>
      </c>
      <c r="D1727" t="inlineStr">
        <is>
          <t>Primer Cachos</t>
        </is>
      </c>
      <c r="E1727" t="n">
        <v>1</v>
      </c>
      <c r="F1727" t="inlineStr">
        <is>
          <t>2026-01-21</t>
        </is>
      </c>
      <c r="G1727" t="n">
        <v>164</v>
      </c>
      <c r="H1727" t="inlineStr">
        <is>
          <t>Y</t>
        </is>
      </c>
      <c r="I1727">
        <f>HYPERLINK("https://admin.shopify.com/store/ge-beauty-cosmeticos/customers/10075222311232","abrir")</f>
        <v/>
      </c>
      <c r="J1727">
        <f>HYPERLINK("https://www.gebeauty.com.br/products/primer-cachos-definidos?ref=review","review")</f>
        <v/>
      </c>
      <c r="K1727" t="inlineStr">
        <is>
          <t>SEND</t>
        </is>
      </c>
    </row>
    <row r="1728">
      <c r="A1728" t="inlineStr">
        <is>
          <t>Claudia</t>
        </is>
      </c>
      <c r="B1728" t="inlineStr">
        <is>
          <t>+5511995871007</t>
        </is>
      </c>
      <c r="C1728" t="inlineStr">
        <is>
          <t>Refill</t>
        </is>
      </c>
      <c r="D1728" t="inlineStr">
        <is>
          <t>Primer Cachos</t>
        </is>
      </c>
      <c r="E1728" t="n">
        <v>1</v>
      </c>
      <c r="F1728" t="inlineStr">
        <is>
          <t>2026-01-21</t>
        </is>
      </c>
      <c r="G1728" t="n">
        <v>164</v>
      </c>
      <c r="H1728" t="inlineStr">
        <is>
          <t>Y</t>
        </is>
      </c>
      <c r="I1728">
        <f>HYPERLINK("https://admin.shopify.com/store/ge-beauty-cosmeticos/customers/10075226210624","abrir")</f>
        <v/>
      </c>
      <c r="J1728">
        <f>HYPERLINK("https://www.gebeauty.com.br/products/primer-cachos-definidos?ref=review","review")</f>
        <v/>
      </c>
      <c r="K1728" t="inlineStr">
        <is>
          <t>SEND</t>
        </is>
      </c>
    </row>
    <row r="1729">
      <c r="A1729" t="inlineStr">
        <is>
          <t>Marina</t>
        </is>
      </c>
      <c r="B1729" t="inlineStr">
        <is>
          <t>+5548991026532</t>
        </is>
      </c>
      <c r="C1729" t="inlineStr">
        <is>
          <t>Refill</t>
        </is>
      </c>
      <c r="D1729" t="inlineStr">
        <is>
          <t>Primer Cachos</t>
        </is>
      </c>
      <c r="E1729" t="n">
        <v>1</v>
      </c>
      <c r="F1729" t="inlineStr">
        <is>
          <t>2026-01-21</t>
        </is>
      </c>
      <c r="G1729" t="n">
        <v>164</v>
      </c>
      <c r="H1729" t="inlineStr">
        <is>
          <t>Y</t>
        </is>
      </c>
      <c r="I1729">
        <f>HYPERLINK("https://admin.shopify.com/store/ge-beauty-cosmeticos/customers/10075217985856","abrir")</f>
        <v/>
      </c>
      <c r="J1729">
        <f>HYPERLINK("https://www.gebeauty.com.br/products/primer-cachos-definidos?ref=review","review")</f>
        <v/>
      </c>
      <c r="K1729" t="inlineStr">
        <is>
          <t>SEND</t>
        </is>
      </c>
    </row>
    <row r="1730">
      <c r="A1730" t="inlineStr">
        <is>
          <t>Lisete</t>
        </is>
      </c>
      <c r="B1730" t="inlineStr">
        <is>
          <t>+5511997816263</t>
        </is>
      </c>
      <c r="C1730" t="inlineStr">
        <is>
          <t>Refill</t>
        </is>
      </c>
      <c r="D1730" t="inlineStr">
        <is>
          <t>Primer Cachos</t>
        </is>
      </c>
      <c r="E1730" t="n">
        <v>1</v>
      </c>
      <c r="F1730" t="inlineStr">
        <is>
          <t>2026-01-21</t>
        </is>
      </c>
      <c r="G1730" t="n">
        <v>164</v>
      </c>
      <c r="H1730" t="inlineStr">
        <is>
          <t>Y</t>
        </is>
      </c>
      <c r="I1730">
        <f>HYPERLINK("https://admin.shopify.com/store/ge-beauty-cosmeticos/customers/10074353664320","abrir")</f>
        <v/>
      </c>
      <c r="J1730">
        <f>HYPERLINK("https://www.gebeauty.com.br/products/primer-cachos-definidos?ref=review","review")</f>
        <v/>
      </c>
      <c r="K1730" t="inlineStr">
        <is>
          <t>SEND</t>
        </is>
      </c>
    </row>
    <row r="1731">
      <c r="A1731" t="inlineStr">
        <is>
          <t>Carla</t>
        </is>
      </c>
      <c r="B1731" t="inlineStr">
        <is>
          <t>+5561981340427</t>
        </is>
      </c>
      <c r="C1731" t="inlineStr">
        <is>
          <t>Refill</t>
        </is>
      </c>
      <c r="D1731" t="inlineStr">
        <is>
          <t>Primer Cachos</t>
        </is>
      </c>
      <c r="E1731" t="n">
        <v>1</v>
      </c>
      <c r="F1731" t="inlineStr">
        <is>
          <t>2026-01-21</t>
        </is>
      </c>
      <c r="G1731" t="n">
        <v>164</v>
      </c>
      <c r="H1731" t="inlineStr">
        <is>
          <t>Y</t>
        </is>
      </c>
      <c r="I1731">
        <f>HYPERLINK("https://admin.shopify.com/store/ge-beauty-cosmeticos/customers/10075228504384","abrir")</f>
        <v/>
      </c>
      <c r="J1731">
        <f>HYPERLINK("https://www.gebeauty.com.br/products/primer-cachos-definidos?ref=review","review")</f>
        <v/>
      </c>
      <c r="K1731" t="inlineStr">
        <is>
          <t>SEND</t>
        </is>
      </c>
    </row>
    <row r="1732">
      <c r="A1732" t="inlineStr">
        <is>
          <t>Cristiane</t>
        </is>
      </c>
      <c r="B1732" t="inlineStr">
        <is>
          <t>+5573999817184</t>
        </is>
      </c>
      <c r="C1732" t="inlineStr">
        <is>
          <t>Refill</t>
        </is>
      </c>
      <c r="D1732" t="inlineStr">
        <is>
          <t>Primer Cachos</t>
        </is>
      </c>
      <c r="E1732" t="n">
        <v>1</v>
      </c>
      <c r="F1732" t="inlineStr">
        <is>
          <t>2026-01-21</t>
        </is>
      </c>
      <c r="G1732" t="n">
        <v>164</v>
      </c>
      <c r="H1732" t="inlineStr">
        <is>
          <t>Y</t>
        </is>
      </c>
      <c r="I1732">
        <f>HYPERLINK("https://admin.shopify.com/store/ge-beauty-cosmeticos/customers/10075226276160","abrir")</f>
        <v/>
      </c>
      <c r="J1732">
        <f>HYPERLINK("https://www.gebeauty.com.br/products/primer-cachos-definidos?ref=review","review")</f>
        <v/>
      </c>
      <c r="K1732" t="inlineStr">
        <is>
          <t>SEND</t>
        </is>
      </c>
    </row>
    <row r="1733">
      <c r="A1733" t="inlineStr">
        <is>
          <t>Samara</t>
        </is>
      </c>
      <c r="B1733" t="inlineStr">
        <is>
          <t>+5531992288528</t>
        </is>
      </c>
      <c r="C1733" t="inlineStr">
        <is>
          <t>Refill</t>
        </is>
      </c>
      <c r="D1733" t="inlineStr">
        <is>
          <t>Primer Cachos</t>
        </is>
      </c>
      <c r="E1733" t="n">
        <v>1</v>
      </c>
      <c r="F1733" t="inlineStr">
        <is>
          <t>2026-01-21</t>
        </is>
      </c>
      <c r="G1733" t="n">
        <v>164</v>
      </c>
      <c r="H1733" t="inlineStr">
        <is>
          <t>Y</t>
        </is>
      </c>
      <c r="I1733">
        <f>HYPERLINK("https://admin.shopify.com/store/ge-beauty-cosmeticos/customers/10075224441152","abrir")</f>
        <v/>
      </c>
      <c r="J1733">
        <f>HYPERLINK("https://www.gebeauty.com.br/products/primer-cachos-definidos?ref=review","review")</f>
        <v/>
      </c>
      <c r="K1733" t="inlineStr">
        <is>
          <t>HOLDOUT</t>
        </is>
      </c>
    </row>
    <row r="1734">
      <c r="A1734" t="inlineStr">
        <is>
          <t>Natalia</t>
        </is>
      </c>
      <c r="B1734" t="inlineStr">
        <is>
          <t>+5511994614572</t>
        </is>
      </c>
      <c r="C1734" t="inlineStr">
        <is>
          <t>Refill</t>
        </is>
      </c>
      <c r="D1734" t="inlineStr">
        <is>
          <t>Primer Cachos</t>
        </is>
      </c>
      <c r="E1734" t="n">
        <v>1</v>
      </c>
      <c r="F1734" t="inlineStr">
        <is>
          <t>2026-01-21</t>
        </is>
      </c>
      <c r="G1734" t="n">
        <v>164</v>
      </c>
      <c r="H1734" t="inlineStr">
        <is>
          <t>Y</t>
        </is>
      </c>
      <c r="I1734">
        <f>HYPERLINK("https://admin.shopify.com/store/ge-beauty-cosmeticos/customers/10075224506688","abrir")</f>
        <v/>
      </c>
      <c r="J1734">
        <f>HYPERLINK("https://www.gebeauty.com.br/products/primer-cachos-definidos?ref=review","review")</f>
        <v/>
      </c>
      <c r="K1734" t="inlineStr">
        <is>
          <t>SEND</t>
        </is>
      </c>
    </row>
    <row r="1735">
      <c r="A1735" t="inlineStr">
        <is>
          <t>Fábio</t>
        </is>
      </c>
      <c r="B1735" t="inlineStr">
        <is>
          <t>+5511989455445</t>
        </is>
      </c>
      <c r="C1735" t="inlineStr">
        <is>
          <t>Refill</t>
        </is>
      </c>
      <c r="D1735" t="inlineStr">
        <is>
          <t>Primer Cachos</t>
        </is>
      </c>
      <c r="E1735" t="n">
        <v>1</v>
      </c>
      <c r="F1735" t="inlineStr">
        <is>
          <t>2026-01-21</t>
        </is>
      </c>
      <c r="G1735" t="n">
        <v>164</v>
      </c>
      <c r="H1735" t="inlineStr">
        <is>
          <t>Y</t>
        </is>
      </c>
      <c r="I1735">
        <f>HYPERLINK("https://admin.shopify.com/store/ge-beauty-cosmeticos/customers/10075229520192","abrir")</f>
        <v/>
      </c>
      <c r="J1735">
        <f>HYPERLINK("https://www.gebeauty.com.br/products/primer-cachos-definidos?ref=review","review")</f>
        <v/>
      </c>
      <c r="K1735" t="inlineStr">
        <is>
          <t>SEND</t>
        </is>
      </c>
    </row>
    <row r="1736">
      <c r="A1736" t="inlineStr">
        <is>
          <t>Rita</t>
        </is>
      </c>
      <c r="B1736" t="inlineStr">
        <is>
          <t>+5511985119410</t>
        </is>
      </c>
      <c r="C1736" t="inlineStr">
        <is>
          <t>Refill</t>
        </is>
      </c>
      <c r="D1736" t="inlineStr">
        <is>
          <t>Primer Cachos</t>
        </is>
      </c>
      <c r="E1736" t="n">
        <v>1</v>
      </c>
      <c r="F1736" t="inlineStr">
        <is>
          <t>2026-01-21</t>
        </is>
      </c>
      <c r="G1736" t="n">
        <v>164</v>
      </c>
      <c r="H1736" t="inlineStr">
        <is>
          <t>Y</t>
        </is>
      </c>
      <c r="I1736">
        <f>HYPERLINK("https://admin.shopify.com/store/ge-beauty-cosmeticos/customers/10075245871424","abrir")</f>
        <v/>
      </c>
      <c r="J1736">
        <f>HYPERLINK("https://www.gebeauty.com.br/products/primer-cachos-definidos?ref=review","review")</f>
        <v/>
      </c>
      <c r="K1736" t="inlineStr">
        <is>
          <t>SEND</t>
        </is>
      </c>
    </row>
    <row r="1737">
      <c r="A1737" t="inlineStr">
        <is>
          <t>Erika</t>
        </is>
      </c>
      <c r="B1737" t="inlineStr">
        <is>
          <t>+5519992798697</t>
        </is>
      </c>
      <c r="C1737" t="inlineStr">
        <is>
          <t>Refill</t>
        </is>
      </c>
      <c r="D1737" t="inlineStr">
        <is>
          <t>Primer Cachos</t>
        </is>
      </c>
      <c r="E1737" t="n">
        <v>1</v>
      </c>
      <c r="F1737" t="inlineStr">
        <is>
          <t>2026-01-21</t>
        </is>
      </c>
      <c r="G1737" t="n">
        <v>164</v>
      </c>
      <c r="H1737" t="inlineStr">
        <is>
          <t>Y</t>
        </is>
      </c>
      <c r="I1737">
        <f>HYPERLINK("https://admin.shopify.com/store/ge-beauty-cosmeticos/customers/10074071630144","abrir")</f>
        <v/>
      </c>
      <c r="J1737">
        <f>HYPERLINK("https://www.gebeauty.com.br/products/primer-cachos-definidos?ref=review","review")</f>
        <v/>
      </c>
      <c r="K1737" t="inlineStr">
        <is>
          <t>SEND</t>
        </is>
      </c>
    </row>
    <row r="1738">
      <c r="A1738" t="inlineStr">
        <is>
          <t>Simone</t>
        </is>
      </c>
      <c r="B1738" t="inlineStr">
        <is>
          <t>+5519994424552</t>
        </is>
      </c>
      <c r="C1738" t="inlineStr">
        <is>
          <t>Refill</t>
        </is>
      </c>
      <c r="D1738" t="inlineStr">
        <is>
          <t>Primer Cachos</t>
        </is>
      </c>
      <c r="E1738" t="n">
        <v>1</v>
      </c>
      <c r="F1738" t="inlineStr">
        <is>
          <t>2026-01-21</t>
        </is>
      </c>
      <c r="G1738" t="n">
        <v>164</v>
      </c>
      <c r="H1738" t="inlineStr">
        <is>
          <t>Y</t>
        </is>
      </c>
      <c r="I1738">
        <f>HYPERLINK("https://admin.shopify.com/store/ge-beauty-cosmeticos/customers/10075234271552","abrir")</f>
        <v/>
      </c>
      <c r="J1738">
        <f>HYPERLINK("https://www.gebeauty.com.br/products/primer-cachos-definidos?ref=review","review")</f>
        <v/>
      </c>
      <c r="K1738" t="inlineStr">
        <is>
          <t>SEND</t>
        </is>
      </c>
    </row>
    <row r="1739">
      <c r="A1739" t="inlineStr">
        <is>
          <t>Flaviana</t>
        </is>
      </c>
      <c r="B1739" t="inlineStr">
        <is>
          <t>+5511965261954</t>
        </is>
      </c>
      <c r="C1739" t="inlineStr">
        <is>
          <t>Refill</t>
        </is>
      </c>
      <c r="D1739" t="inlineStr">
        <is>
          <t>Primer Cachos</t>
        </is>
      </c>
      <c r="E1739" t="n">
        <v>1</v>
      </c>
      <c r="F1739" t="inlineStr">
        <is>
          <t>2026-01-21</t>
        </is>
      </c>
      <c r="G1739" t="n">
        <v>164</v>
      </c>
      <c r="H1739" t="inlineStr">
        <is>
          <t>Y</t>
        </is>
      </c>
      <c r="I1739">
        <f>HYPERLINK("https://admin.shopify.com/store/ge-beauty-cosmeticos/customers/10075248394560","abrir")</f>
        <v/>
      </c>
      <c r="J1739">
        <f>HYPERLINK("https://www.gebeauty.com.br/products/primer-cachos-definidos?ref=review","review")</f>
        <v/>
      </c>
      <c r="K1739" t="inlineStr">
        <is>
          <t>SEND</t>
        </is>
      </c>
    </row>
    <row r="1740">
      <c r="A1740" t="inlineStr">
        <is>
          <t>Ligia</t>
        </is>
      </c>
      <c r="B1740" t="inlineStr">
        <is>
          <t>+5511971313469</t>
        </is>
      </c>
      <c r="C1740" t="inlineStr">
        <is>
          <t>Refill</t>
        </is>
      </c>
      <c r="D1740" t="inlineStr">
        <is>
          <t>Primer Cachos</t>
        </is>
      </c>
      <c r="E1740" t="n">
        <v>1</v>
      </c>
      <c r="F1740" t="inlineStr">
        <is>
          <t>2026-01-21</t>
        </is>
      </c>
      <c r="G1740" t="n">
        <v>164</v>
      </c>
      <c r="H1740" t="inlineStr">
        <is>
          <t>Y</t>
        </is>
      </c>
      <c r="I1740">
        <f>HYPERLINK("https://admin.shopify.com/store/ge-beauty-cosmeticos/customers/10073204523328","abrir")</f>
        <v/>
      </c>
      <c r="J1740">
        <f>HYPERLINK("https://www.gebeauty.com.br/products/primer-cachos-definidos?ref=review","review")</f>
        <v/>
      </c>
      <c r="K1740" t="inlineStr">
        <is>
          <t>SEND</t>
        </is>
      </c>
    </row>
    <row r="1741">
      <c r="A1741" t="inlineStr">
        <is>
          <t>Priscila</t>
        </is>
      </c>
      <c r="B1741" t="inlineStr">
        <is>
          <t>+5571992746572</t>
        </is>
      </c>
      <c r="C1741" t="inlineStr">
        <is>
          <t>Refill</t>
        </is>
      </c>
      <c r="D1741" t="inlineStr">
        <is>
          <t>Primer Cachos</t>
        </is>
      </c>
      <c r="E1741" t="n">
        <v>1</v>
      </c>
      <c r="F1741" t="inlineStr">
        <is>
          <t>2026-01-21</t>
        </is>
      </c>
      <c r="G1741" t="n">
        <v>164</v>
      </c>
      <c r="H1741" t="inlineStr">
        <is>
          <t>Y</t>
        </is>
      </c>
      <c r="I1741">
        <f>HYPERLINK("https://admin.shopify.com/store/ge-beauty-cosmeticos/customers/10075246723392","abrir")</f>
        <v/>
      </c>
      <c r="J1741">
        <f>HYPERLINK("https://www.gebeauty.com.br/products/primer-cachos-definidos?ref=review","review")</f>
        <v/>
      </c>
      <c r="K1741" t="inlineStr">
        <is>
          <t>SEND</t>
        </is>
      </c>
    </row>
    <row r="1742">
      <c r="A1742" t="inlineStr">
        <is>
          <t>Debora</t>
        </is>
      </c>
      <c r="B1742" t="inlineStr">
        <is>
          <t>+5551985502106</t>
        </is>
      </c>
      <c r="C1742" t="inlineStr">
        <is>
          <t>Refill</t>
        </is>
      </c>
      <c r="D1742" t="inlineStr">
        <is>
          <t>Primer Cachos</t>
        </is>
      </c>
      <c r="E1742" t="n">
        <v>1</v>
      </c>
      <c r="F1742" t="inlineStr">
        <is>
          <t>2026-01-21</t>
        </is>
      </c>
      <c r="G1742" t="n">
        <v>164</v>
      </c>
      <c r="H1742" t="inlineStr">
        <is>
          <t>Y</t>
        </is>
      </c>
      <c r="I1742">
        <f>HYPERLINK("https://admin.shopify.com/store/ge-beauty-cosmeticos/customers/10075261665600","abrir")</f>
        <v/>
      </c>
      <c r="J1742">
        <f>HYPERLINK("https://www.gebeauty.com.br/products/primer-cachos-definidos?ref=review","review")</f>
        <v/>
      </c>
      <c r="K1742" t="inlineStr">
        <is>
          <t>SEND</t>
        </is>
      </c>
    </row>
    <row r="1743">
      <c r="A1743" t="inlineStr">
        <is>
          <t>Raquel</t>
        </is>
      </c>
      <c r="B1743" t="inlineStr">
        <is>
          <t>+5521992757866</t>
        </is>
      </c>
      <c r="C1743" t="inlineStr">
        <is>
          <t>Refill</t>
        </is>
      </c>
      <c r="D1743" t="inlineStr">
        <is>
          <t>Primer Cachos</t>
        </is>
      </c>
      <c r="E1743" t="n">
        <v>1</v>
      </c>
      <c r="F1743" t="inlineStr">
        <is>
          <t>2026-01-21</t>
        </is>
      </c>
      <c r="G1743" t="n">
        <v>164</v>
      </c>
      <c r="H1743" t="inlineStr">
        <is>
          <t>Y</t>
        </is>
      </c>
      <c r="I1743">
        <f>HYPERLINK("https://admin.shopify.com/store/ge-beauty-cosmeticos/customers/10075263107392","abrir")</f>
        <v/>
      </c>
      <c r="J1743">
        <f>HYPERLINK("https://www.gebeauty.com.br/products/primer-cachos-definidos?ref=review","review")</f>
        <v/>
      </c>
      <c r="K1743" t="inlineStr">
        <is>
          <t>SEND</t>
        </is>
      </c>
    </row>
    <row r="1744">
      <c r="A1744" t="inlineStr">
        <is>
          <t>Bárbara</t>
        </is>
      </c>
      <c r="B1744" t="inlineStr">
        <is>
          <t>+5531995663397</t>
        </is>
      </c>
      <c r="C1744" t="inlineStr">
        <is>
          <t>Refill</t>
        </is>
      </c>
      <c r="D1744" t="inlineStr">
        <is>
          <t>Primer Cachos</t>
        </is>
      </c>
      <c r="E1744" t="n">
        <v>1</v>
      </c>
      <c r="F1744" t="inlineStr">
        <is>
          <t>2026-01-21</t>
        </is>
      </c>
      <c r="G1744" t="n">
        <v>164</v>
      </c>
      <c r="H1744" t="inlineStr">
        <is>
          <t>Y</t>
        </is>
      </c>
      <c r="I1744">
        <f>HYPERLINK("https://admin.shopify.com/store/ge-beauty-cosmeticos/customers/10075246920000","abrir")</f>
        <v/>
      </c>
      <c r="J1744">
        <f>HYPERLINK("https://www.gebeauty.com.br/products/primer-cachos-definidos?ref=review","review")</f>
        <v/>
      </c>
      <c r="K1744" t="inlineStr">
        <is>
          <t>SEND</t>
        </is>
      </c>
    </row>
    <row r="1745">
      <c r="A1745" t="inlineStr">
        <is>
          <t>Sonia</t>
        </is>
      </c>
      <c r="B1745" t="inlineStr">
        <is>
          <t>+5511999002311</t>
        </is>
      </c>
      <c r="C1745" t="inlineStr">
        <is>
          <t>Refill</t>
        </is>
      </c>
      <c r="D1745" t="inlineStr">
        <is>
          <t>Primer Cachos</t>
        </is>
      </c>
      <c r="E1745" t="n">
        <v>1</v>
      </c>
      <c r="F1745" t="inlineStr">
        <is>
          <t>2026-01-21</t>
        </is>
      </c>
      <c r="G1745" t="n">
        <v>164</v>
      </c>
      <c r="H1745" t="inlineStr">
        <is>
          <t>Y</t>
        </is>
      </c>
      <c r="I1745">
        <f>HYPERLINK("https://admin.shopify.com/store/ge-beauty-cosmeticos/customers/10075277132096","abrir")</f>
        <v/>
      </c>
      <c r="J1745">
        <f>HYPERLINK("https://www.gebeauty.com.br/products/primer-cachos-definidos?ref=review","review")</f>
        <v/>
      </c>
      <c r="K1745" t="inlineStr">
        <is>
          <t>SEND</t>
        </is>
      </c>
    </row>
    <row r="1746">
      <c r="A1746" t="inlineStr">
        <is>
          <t>Roberta</t>
        </is>
      </c>
      <c r="B1746" t="inlineStr">
        <is>
          <t>+5562981616466</t>
        </is>
      </c>
      <c r="C1746" t="inlineStr">
        <is>
          <t>Refill</t>
        </is>
      </c>
      <c r="D1746" t="inlineStr">
        <is>
          <t>Primer Cachos</t>
        </is>
      </c>
      <c r="E1746" t="n">
        <v>1</v>
      </c>
      <c r="F1746" t="inlineStr">
        <is>
          <t>2026-01-21</t>
        </is>
      </c>
      <c r="G1746" t="n">
        <v>164</v>
      </c>
      <c r="H1746" t="inlineStr">
        <is>
          <t>Y</t>
        </is>
      </c>
      <c r="I1746">
        <f>HYPERLINK("https://admin.shopify.com/store/ge-beauty-cosmeticos/customers/10075274707264","abrir")</f>
        <v/>
      </c>
      <c r="J1746">
        <f>HYPERLINK("https://www.gebeauty.com.br/products/primer-cachos-definidos?ref=review","review")</f>
        <v/>
      </c>
      <c r="K1746" t="inlineStr">
        <is>
          <t>SEND</t>
        </is>
      </c>
    </row>
    <row r="1747">
      <c r="A1747" t="inlineStr">
        <is>
          <t>Linda</t>
        </is>
      </c>
      <c r="B1747" t="inlineStr">
        <is>
          <t>+5511991314209</t>
        </is>
      </c>
      <c r="C1747" t="inlineStr">
        <is>
          <t>Refill</t>
        </is>
      </c>
      <c r="D1747" t="inlineStr">
        <is>
          <t>Primer Cachos</t>
        </is>
      </c>
      <c r="E1747" t="n">
        <v>1</v>
      </c>
      <c r="F1747" t="inlineStr">
        <is>
          <t>2026-01-21</t>
        </is>
      </c>
      <c r="G1747" t="n">
        <v>164</v>
      </c>
      <c r="H1747" t="inlineStr">
        <is>
          <t>Y</t>
        </is>
      </c>
      <c r="I1747">
        <f>HYPERLINK("https://admin.shopify.com/store/ge-beauty-cosmeticos/customers/10075270709568","abrir")</f>
        <v/>
      </c>
      <c r="J1747">
        <f>HYPERLINK("https://www.gebeauty.com.br/products/primer-cachos-definidos?ref=review","review")</f>
        <v/>
      </c>
      <c r="K1747" t="inlineStr">
        <is>
          <t>SEND</t>
        </is>
      </c>
    </row>
    <row r="1748">
      <c r="A1748" t="inlineStr">
        <is>
          <t>Thalita</t>
        </is>
      </c>
      <c r="B1748" t="inlineStr">
        <is>
          <t>+5521979588584</t>
        </is>
      </c>
      <c r="C1748" t="inlineStr">
        <is>
          <t>Refill</t>
        </is>
      </c>
      <c r="D1748" t="inlineStr">
        <is>
          <t>Primer Cachos</t>
        </is>
      </c>
      <c r="E1748" t="n">
        <v>1</v>
      </c>
      <c r="F1748" t="inlineStr">
        <is>
          <t>2026-01-21</t>
        </is>
      </c>
      <c r="G1748" t="n">
        <v>164</v>
      </c>
      <c r="H1748" t="inlineStr">
        <is>
          <t>Y</t>
        </is>
      </c>
      <c r="I1748">
        <f>HYPERLINK("https://admin.shopify.com/store/ge-beauty-cosmeticos/customers/9323423891776","abrir")</f>
        <v/>
      </c>
      <c r="J1748">
        <f>HYPERLINK("https://www.gebeauty.com.br/products/primer-cachos-definidos?ref=review","review")</f>
        <v/>
      </c>
      <c r="K1748" t="inlineStr">
        <is>
          <t>SEND</t>
        </is>
      </c>
    </row>
    <row r="1749">
      <c r="A1749" t="inlineStr">
        <is>
          <t>Júnia</t>
        </is>
      </c>
      <c r="B1749" t="inlineStr">
        <is>
          <t>+5511991482326</t>
        </is>
      </c>
      <c r="C1749" t="inlineStr">
        <is>
          <t>Refill</t>
        </is>
      </c>
      <c r="D1749" t="inlineStr">
        <is>
          <t>Primer Cachos</t>
        </is>
      </c>
      <c r="E1749" t="n">
        <v>1</v>
      </c>
      <c r="F1749" t="inlineStr">
        <is>
          <t>2026-01-21</t>
        </is>
      </c>
      <c r="G1749" t="n">
        <v>164</v>
      </c>
      <c r="H1749" t="inlineStr">
        <is>
          <t>Y</t>
        </is>
      </c>
      <c r="I1749">
        <f>HYPERLINK("https://admin.shopify.com/store/ge-beauty-cosmeticos/customers/10075295318336","abrir")</f>
        <v/>
      </c>
      <c r="J1749">
        <f>HYPERLINK("https://www.gebeauty.com.br/products/primer-cachos-definidos?ref=review","review")</f>
        <v/>
      </c>
      <c r="K1749" t="inlineStr">
        <is>
          <t>SEND</t>
        </is>
      </c>
    </row>
    <row r="1750">
      <c r="A1750" t="inlineStr">
        <is>
          <t>Fabiana</t>
        </is>
      </c>
      <c r="B1750" t="inlineStr">
        <is>
          <t>+5535999662693</t>
        </is>
      </c>
      <c r="C1750" t="inlineStr">
        <is>
          <t>Refill</t>
        </is>
      </c>
      <c r="D1750" t="inlineStr">
        <is>
          <t>Primer Cachos</t>
        </is>
      </c>
      <c r="E1750" t="n">
        <v>1</v>
      </c>
      <c r="F1750" t="inlineStr">
        <is>
          <t>2026-01-21</t>
        </is>
      </c>
      <c r="G1750" t="n">
        <v>164</v>
      </c>
      <c r="H1750" t="inlineStr">
        <is>
          <t>Y</t>
        </is>
      </c>
      <c r="I1750">
        <f>HYPERLINK("https://admin.shopify.com/store/ge-beauty-cosmeticos/customers/10075291386176","abrir")</f>
        <v/>
      </c>
      <c r="J1750">
        <f>HYPERLINK("https://www.gebeauty.com.br/products/primer-cachos-definidos?ref=review","review")</f>
        <v/>
      </c>
      <c r="K1750" t="inlineStr">
        <is>
          <t>SEND</t>
        </is>
      </c>
    </row>
    <row r="1751">
      <c r="A1751" t="inlineStr">
        <is>
          <t>Anastasia</t>
        </is>
      </c>
      <c r="B1751" t="inlineStr">
        <is>
          <t>+5561998004500</t>
        </is>
      </c>
      <c r="C1751" t="inlineStr">
        <is>
          <t>Refill</t>
        </is>
      </c>
      <c r="D1751" t="inlineStr">
        <is>
          <t>Primer Cachos</t>
        </is>
      </c>
      <c r="E1751" t="n">
        <v>1</v>
      </c>
      <c r="F1751" t="inlineStr">
        <is>
          <t>2026-01-21</t>
        </is>
      </c>
      <c r="G1751" t="n">
        <v>164</v>
      </c>
      <c r="H1751" t="inlineStr">
        <is>
          <t>Y</t>
        </is>
      </c>
      <c r="I1751">
        <f>HYPERLINK("https://admin.shopify.com/store/ge-beauty-cosmeticos/customers/10075179647296","abrir")</f>
        <v/>
      </c>
      <c r="J1751">
        <f>HYPERLINK("https://www.gebeauty.com.br/products/primer-cachos-definidos?ref=review","review")</f>
        <v/>
      </c>
      <c r="K1751" t="inlineStr">
        <is>
          <t>SEND</t>
        </is>
      </c>
    </row>
    <row r="1752">
      <c r="A1752" t="inlineStr">
        <is>
          <t>Sonia</t>
        </is>
      </c>
      <c r="B1752" t="inlineStr">
        <is>
          <t>+5521964380254</t>
        </is>
      </c>
      <c r="C1752" t="inlineStr">
        <is>
          <t>Refill</t>
        </is>
      </c>
      <c r="D1752" t="inlineStr">
        <is>
          <t>Primer Cachos</t>
        </is>
      </c>
      <c r="E1752" t="n">
        <v>1</v>
      </c>
      <c r="F1752" t="inlineStr">
        <is>
          <t>2026-01-21</t>
        </is>
      </c>
      <c r="G1752" t="n">
        <v>164</v>
      </c>
      <c r="H1752" t="inlineStr">
        <is>
          <t>Y</t>
        </is>
      </c>
      <c r="I1752">
        <f>HYPERLINK("https://admin.shopify.com/store/ge-beauty-cosmeticos/customers/10074494730560","abrir")</f>
        <v/>
      </c>
      <c r="J1752">
        <f>HYPERLINK("https://www.gebeauty.com.br/products/primer-cachos-definidos?ref=review","review")</f>
        <v/>
      </c>
      <c r="K1752" t="inlineStr">
        <is>
          <t>SEND</t>
        </is>
      </c>
    </row>
    <row r="1753">
      <c r="A1753" t="inlineStr">
        <is>
          <t>Maria Claudia</t>
        </is>
      </c>
      <c r="B1753" t="inlineStr">
        <is>
          <t>+5522996015820</t>
        </is>
      </c>
      <c r="C1753" t="inlineStr">
        <is>
          <t>Refill</t>
        </is>
      </c>
      <c r="D1753" t="inlineStr">
        <is>
          <t>Primer Cachos</t>
        </is>
      </c>
      <c r="E1753" t="n">
        <v>1</v>
      </c>
      <c r="F1753" t="inlineStr">
        <is>
          <t>2026-01-21</t>
        </is>
      </c>
      <c r="G1753" t="n">
        <v>164</v>
      </c>
      <c r="H1753" t="inlineStr">
        <is>
          <t>Y</t>
        </is>
      </c>
      <c r="I1753">
        <f>HYPERLINK("https://admin.shopify.com/store/ge-beauty-cosmeticos/customers/10072873566528","abrir")</f>
        <v/>
      </c>
      <c r="J1753">
        <f>HYPERLINK("https://www.gebeauty.com.br/products/primer-cachos-definidos?ref=review","review")</f>
        <v/>
      </c>
      <c r="K1753" t="inlineStr">
        <is>
          <t>SEND</t>
        </is>
      </c>
    </row>
    <row r="1754">
      <c r="A1754" t="inlineStr">
        <is>
          <t>Isabela</t>
        </is>
      </c>
      <c r="B1754" t="inlineStr">
        <is>
          <t>+5531993660010</t>
        </is>
      </c>
      <c r="C1754" t="inlineStr">
        <is>
          <t>Refill</t>
        </is>
      </c>
      <c r="D1754" t="inlineStr">
        <is>
          <t>Primer Cachos</t>
        </is>
      </c>
      <c r="E1754" t="n">
        <v>1</v>
      </c>
      <c r="F1754" t="inlineStr">
        <is>
          <t>2026-01-21</t>
        </is>
      </c>
      <c r="G1754" t="n">
        <v>164</v>
      </c>
      <c r="H1754" t="inlineStr">
        <is>
          <t>Y</t>
        </is>
      </c>
      <c r="I1754">
        <f>HYPERLINK("https://admin.shopify.com/store/ge-beauty-cosmeticos/customers/10074923270464","abrir")</f>
        <v/>
      </c>
      <c r="J1754">
        <f>HYPERLINK("https://www.gebeauty.com.br/products/primer-cachos-definidos?ref=review","review")</f>
        <v/>
      </c>
      <c r="K1754" t="inlineStr">
        <is>
          <t>SEND</t>
        </is>
      </c>
    </row>
    <row r="1755">
      <c r="A1755" t="inlineStr">
        <is>
          <t>Vivian</t>
        </is>
      </c>
      <c r="B1755" t="inlineStr">
        <is>
          <t>+5517992748242</t>
        </is>
      </c>
      <c r="C1755" t="inlineStr">
        <is>
          <t>Refill</t>
        </is>
      </c>
      <c r="D1755" t="inlineStr">
        <is>
          <t>Primer Cachos</t>
        </is>
      </c>
      <c r="E1755" t="n">
        <v>1</v>
      </c>
      <c r="F1755" t="inlineStr">
        <is>
          <t>2026-01-21</t>
        </is>
      </c>
      <c r="G1755" t="n">
        <v>164</v>
      </c>
      <c r="H1755" t="inlineStr">
        <is>
          <t>Y</t>
        </is>
      </c>
      <c r="I1755">
        <f>HYPERLINK("https://admin.shopify.com/store/ge-beauty-cosmeticos/customers/10075293778240","abrir")</f>
        <v/>
      </c>
      <c r="J1755">
        <f>HYPERLINK("https://www.gebeauty.com.br/products/primer-cachos-definidos?ref=review","review")</f>
        <v/>
      </c>
      <c r="K1755" t="inlineStr">
        <is>
          <t>SEND</t>
        </is>
      </c>
    </row>
    <row r="1756">
      <c r="A1756" t="inlineStr">
        <is>
          <t>Ana</t>
        </is>
      </c>
      <c r="B1756" t="inlineStr">
        <is>
          <t>+5581988091943</t>
        </is>
      </c>
      <c r="C1756" t="inlineStr">
        <is>
          <t>Refill</t>
        </is>
      </c>
      <c r="D1756" t="inlineStr">
        <is>
          <t>Primer Cachos</t>
        </is>
      </c>
      <c r="E1756" t="n">
        <v>1</v>
      </c>
      <c r="F1756" t="inlineStr">
        <is>
          <t>2026-01-21</t>
        </is>
      </c>
      <c r="G1756" t="n">
        <v>164</v>
      </c>
      <c r="H1756" t="inlineStr">
        <is>
          <t>Y</t>
        </is>
      </c>
      <c r="I1756">
        <f>HYPERLINK("https://admin.shopify.com/store/ge-beauty-cosmeticos/customers/10075324678464","abrir")</f>
        <v/>
      </c>
      <c r="J1756">
        <f>HYPERLINK("https://www.gebeauty.com.br/products/primer-cachos-definidos?ref=review","review")</f>
        <v/>
      </c>
      <c r="K1756" t="inlineStr">
        <is>
          <t>HOLDOUT</t>
        </is>
      </c>
    </row>
    <row r="1757">
      <c r="A1757" t="inlineStr">
        <is>
          <t>Maria Cecilia</t>
        </is>
      </c>
      <c r="B1757" t="inlineStr">
        <is>
          <t>+5511999837942</t>
        </is>
      </c>
      <c r="C1757" t="inlineStr">
        <is>
          <t>Refill</t>
        </is>
      </c>
      <c r="D1757" t="inlineStr">
        <is>
          <t>Primer Cachos</t>
        </is>
      </c>
      <c r="E1757" t="n">
        <v>1</v>
      </c>
      <c r="F1757" t="inlineStr">
        <is>
          <t>2026-01-21</t>
        </is>
      </c>
      <c r="G1757" t="n">
        <v>164</v>
      </c>
      <c r="H1757" t="inlineStr">
        <is>
          <t>Y</t>
        </is>
      </c>
      <c r="I1757">
        <f>HYPERLINK("https://admin.shopify.com/store/ge-beauty-cosmeticos/customers/9486306083136","abrir")</f>
        <v/>
      </c>
      <c r="J1757">
        <f>HYPERLINK("https://www.gebeauty.com.br/products/primer-cachos-definidos?ref=review","review")</f>
        <v/>
      </c>
      <c r="K1757" t="inlineStr">
        <is>
          <t>SEND</t>
        </is>
      </c>
    </row>
    <row r="1758">
      <c r="A1758" t="inlineStr">
        <is>
          <t>Ana Lúcia</t>
        </is>
      </c>
      <c r="B1758" t="inlineStr">
        <is>
          <t>+5528999239767</t>
        </is>
      </c>
      <c r="C1758" t="inlineStr">
        <is>
          <t>Refill</t>
        </is>
      </c>
      <c r="D1758" t="inlineStr">
        <is>
          <t>Primer Cachos</t>
        </is>
      </c>
      <c r="E1758" t="n">
        <v>1</v>
      </c>
      <c r="F1758" t="inlineStr">
        <is>
          <t>2026-01-21</t>
        </is>
      </c>
      <c r="G1758" t="n">
        <v>164</v>
      </c>
      <c r="H1758" t="inlineStr">
        <is>
          <t>Y</t>
        </is>
      </c>
      <c r="I1758">
        <f>HYPERLINK("https://admin.shopify.com/store/ge-beauty-cosmeticos/customers/10075342340416","abrir")</f>
        <v/>
      </c>
      <c r="J1758">
        <f>HYPERLINK("https://www.gebeauty.com.br/products/primer-cachos-definidos?ref=review","review")</f>
        <v/>
      </c>
      <c r="K1758" t="inlineStr">
        <is>
          <t>SEND</t>
        </is>
      </c>
    </row>
    <row r="1759">
      <c r="A1759" t="inlineStr">
        <is>
          <t>Pricila</t>
        </is>
      </c>
      <c r="B1759" t="inlineStr">
        <is>
          <t>+5561981659000</t>
        </is>
      </c>
      <c r="C1759" t="inlineStr">
        <is>
          <t>Refill</t>
        </is>
      </c>
      <c r="D1759" t="inlineStr">
        <is>
          <t>Primer Cachos</t>
        </is>
      </c>
      <c r="E1759" t="n">
        <v>1</v>
      </c>
      <c r="F1759" t="inlineStr">
        <is>
          <t>2026-01-21</t>
        </is>
      </c>
      <c r="G1759" t="n">
        <v>164</v>
      </c>
      <c r="H1759" t="inlineStr">
        <is>
          <t>Y</t>
        </is>
      </c>
      <c r="I1759">
        <f>HYPERLINK("https://admin.shopify.com/store/ge-beauty-cosmeticos/customers/9784426234176","abrir")</f>
        <v/>
      </c>
      <c r="J1759">
        <f>HYPERLINK("https://www.gebeauty.com.br/products/primer-cachos-definidos?ref=review","review")</f>
        <v/>
      </c>
      <c r="K1759" t="inlineStr">
        <is>
          <t>SEND</t>
        </is>
      </c>
    </row>
    <row r="1760">
      <c r="A1760" t="inlineStr">
        <is>
          <t>Caroline</t>
        </is>
      </c>
      <c r="B1760" t="inlineStr">
        <is>
          <t>+5518981818807</t>
        </is>
      </c>
      <c r="C1760" t="inlineStr">
        <is>
          <t>Refill</t>
        </is>
      </c>
      <c r="D1760" t="inlineStr">
        <is>
          <t>Primer Cachos</t>
        </is>
      </c>
      <c r="E1760" t="n">
        <v>1</v>
      </c>
      <c r="F1760" t="inlineStr">
        <is>
          <t>2026-01-21</t>
        </is>
      </c>
      <c r="G1760" t="n">
        <v>164</v>
      </c>
      <c r="H1760" t="inlineStr">
        <is>
          <t>Y</t>
        </is>
      </c>
      <c r="I1760">
        <f>HYPERLINK("https://admin.shopify.com/store/ge-beauty-cosmeticos/customers/10075359183168","abrir")</f>
        <v/>
      </c>
      <c r="J1760">
        <f>HYPERLINK("https://www.gebeauty.com.br/products/primer-cachos-definidos?ref=review","review")</f>
        <v/>
      </c>
      <c r="K1760" t="inlineStr">
        <is>
          <t>SEND</t>
        </is>
      </c>
    </row>
    <row r="1761">
      <c r="A1761" t="inlineStr">
        <is>
          <t>Isadora</t>
        </is>
      </c>
      <c r="B1761" t="inlineStr">
        <is>
          <t>+5534991934592</t>
        </is>
      </c>
      <c r="C1761" t="inlineStr">
        <is>
          <t>Refill</t>
        </is>
      </c>
      <c r="D1761" t="inlineStr">
        <is>
          <t>Primer Cachos</t>
        </is>
      </c>
      <c r="E1761" t="n">
        <v>1</v>
      </c>
      <c r="F1761" t="inlineStr">
        <is>
          <t>2026-01-21</t>
        </is>
      </c>
      <c r="G1761" t="n">
        <v>164</v>
      </c>
      <c r="H1761" t="inlineStr">
        <is>
          <t>Y</t>
        </is>
      </c>
      <c r="I1761">
        <f>HYPERLINK("https://admin.shopify.com/store/ge-beauty-cosmeticos/customers/10075333591360","abrir")</f>
        <v/>
      </c>
      <c r="J1761">
        <f>HYPERLINK("https://www.gebeauty.com.br/products/primer-cachos-definidos?ref=review","review")</f>
        <v/>
      </c>
      <c r="K1761" t="inlineStr">
        <is>
          <t>SEND</t>
        </is>
      </c>
    </row>
    <row r="1762">
      <c r="A1762" t="inlineStr">
        <is>
          <t>Priscila</t>
        </is>
      </c>
      <c r="B1762" t="inlineStr">
        <is>
          <t>+5511999349296</t>
        </is>
      </c>
      <c r="C1762" t="inlineStr">
        <is>
          <t>Refill</t>
        </is>
      </c>
      <c r="D1762" t="inlineStr">
        <is>
          <t>Primer Cachos</t>
        </is>
      </c>
      <c r="E1762" t="n">
        <v>1</v>
      </c>
      <c r="F1762" t="inlineStr">
        <is>
          <t>2026-01-21</t>
        </is>
      </c>
      <c r="G1762" t="n">
        <v>164</v>
      </c>
      <c r="H1762" t="inlineStr">
        <is>
          <t>Y</t>
        </is>
      </c>
      <c r="I1762">
        <f>HYPERLINK("https://admin.shopify.com/store/ge-beauty-cosmeticos/customers/10075377828160","abrir")</f>
        <v/>
      </c>
      <c r="J1762">
        <f>HYPERLINK("https://www.gebeauty.com.br/products/primer-cachos-definidos?ref=review","review")</f>
        <v/>
      </c>
      <c r="K1762" t="inlineStr">
        <is>
          <t>SEND</t>
        </is>
      </c>
    </row>
    <row r="1763">
      <c r="A1763" t="inlineStr">
        <is>
          <t>Adriana</t>
        </is>
      </c>
      <c r="B1763" t="inlineStr">
        <is>
          <t>+5519997452701</t>
        </is>
      </c>
      <c r="C1763" t="inlineStr">
        <is>
          <t>Refill</t>
        </is>
      </c>
      <c r="D1763" t="inlineStr">
        <is>
          <t>Primer Cachos</t>
        </is>
      </c>
      <c r="E1763" t="n">
        <v>1</v>
      </c>
      <c r="F1763" t="inlineStr">
        <is>
          <t>2026-01-21</t>
        </is>
      </c>
      <c r="G1763" t="n">
        <v>164</v>
      </c>
      <c r="H1763" t="inlineStr">
        <is>
          <t>Y</t>
        </is>
      </c>
      <c r="I1763">
        <f>HYPERLINK("https://admin.shopify.com/store/ge-beauty-cosmeticos/customers/10075379597632","abrir")</f>
        <v/>
      </c>
      <c r="J1763">
        <f>HYPERLINK("https://www.gebeauty.com.br/products/primer-cachos-definidos?ref=review","review")</f>
        <v/>
      </c>
      <c r="K1763" t="inlineStr">
        <is>
          <t>HOLDOUT</t>
        </is>
      </c>
    </row>
    <row r="1764">
      <c r="A1764" t="inlineStr">
        <is>
          <t>Camila</t>
        </is>
      </c>
      <c r="B1764" t="inlineStr">
        <is>
          <t>+5548991452775</t>
        </is>
      </c>
      <c r="C1764" t="inlineStr">
        <is>
          <t>Refill</t>
        </is>
      </c>
      <c r="D1764" t="inlineStr">
        <is>
          <t>Primer Cachos</t>
        </is>
      </c>
      <c r="E1764" t="n">
        <v>1</v>
      </c>
      <c r="F1764" t="inlineStr">
        <is>
          <t>2026-01-21</t>
        </is>
      </c>
      <c r="G1764" t="n">
        <v>164</v>
      </c>
      <c r="H1764" t="inlineStr">
        <is>
          <t>Y</t>
        </is>
      </c>
      <c r="I1764">
        <f>HYPERLINK("https://admin.shopify.com/store/ge-beauty-cosmeticos/customers/10075380941120","abrir")</f>
        <v/>
      </c>
      <c r="J1764">
        <f>HYPERLINK("https://www.gebeauty.com.br/products/primer-cachos-definidos?ref=review","review")</f>
        <v/>
      </c>
      <c r="K1764" t="inlineStr">
        <is>
          <t>SEND</t>
        </is>
      </c>
    </row>
    <row r="1765">
      <c r="A1765" t="inlineStr">
        <is>
          <t>Desirée</t>
        </is>
      </c>
      <c r="B1765" t="inlineStr">
        <is>
          <t>+5521999526747</t>
        </is>
      </c>
      <c r="C1765" t="inlineStr">
        <is>
          <t>Refill</t>
        </is>
      </c>
      <c r="D1765" t="inlineStr">
        <is>
          <t>Primer Cachos</t>
        </is>
      </c>
      <c r="E1765" t="n">
        <v>1</v>
      </c>
      <c r="F1765" t="inlineStr">
        <is>
          <t>2026-01-21</t>
        </is>
      </c>
      <c r="G1765" t="n">
        <v>164</v>
      </c>
      <c r="H1765" t="inlineStr">
        <is>
          <t>Y</t>
        </is>
      </c>
      <c r="I1765">
        <f>HYPERLINK("https://admin.shopify.com/store/ge-beauty-cosmeticos/customers/10075376222528","abrir")</f>
        <v/>
      </c>
      <c r="J1765">
        <f>HYPERLINK("https://www.gebeauty.com.br/products/primer-cachos-definidos?ref=review","review")</f>
        <v/>
      </c>
      <c r="K1765" t="inlineStr">
        <is>
          <t>SEND</t>
        </is>
      </c>
    </row>
    <row r="1766">
      <c r="A1766" t="inlineStr">
        <is>
          <t>Julia</t>
        </is>
      </c>
      <c r="B1766" t="inlineStr">
        <is>
          <t>+5516991311172</t>
        </is>
      </c>
      <c r="C1766" t="inlineStr">
        <is>
          <t>Refill</t>
        </is>
      </c>
      <c r="D1766" t="inlineStr">
        <is>
          <t>Primer Cachos</t>
        </is>
      </c>
      <c r="E1766" t="n">
        <v>1</v>
      </c>
      <c r="F1766" t="inlineStr">
        <is>
          <t>2026-01-21</t>
        </is>
      </c>
      <c r="G1766" t="n">
        <v>164</v>
      </c>
      <c r="H1766" t="inlineStr">
        <is>
          <t>Y</t>
        </is>
      </c>
      <c r="I1766">
        <f>HYPERLINK("https://admin.shopify.com/store/ge-beauty-cosmeticos/customers/10075386904896","abrir")</f>
        <v/>
      </c>
      <c r="J1766">
        <f>HYPERLINK("https://www.gebeauty.com.br/products/primer-cachos-definidos?ref=review","review")</f>
        <v/>
      </c>
      <c r="K1766" t="inlineStr">
        <is>
          <t>SEND</t>
        </is>
      </c>
    </row>
    <row r="1767">
      <c r="A1767" t="inlineStr">
        <is>
          <t>Ana</t>
        </is>
      </c>
      <c r="B1767" t="inlineStr">
        <is>
          <t>+5585987551054</t>
        </is>
      </c>
      <c r="C1767" t="inlineStr">
        <is>
          <t>Refill</t>
        </is>
      </c>
      <c r="D1767" t="inlineStr">
        <is>
          <t>Primer Cachos</t>
        </is>
      </c>
      <c r="E1767" t="n">
        <v>1</v>
      </c>
      <c r="F1767" t="inlineStr">
        <is>
          <t>2026-01-21</t>
        </is>
      </c>
      <c r="G1767" t="n">
        <v>164</v>
      </c>
      <c r="H1767" t="inlineStr">
        <is>
          <t>Y</t>
        </is>
      </c>
      <c r="I1767">
        <f>HYPERLINK("https://admin.shopify.com/store/ge-beauty-cosmeticos/customers/10075401716032","abrir")</f>
        <v/>
      </c>
      <c r="J1767">
        <f>HYPERLINK("https://www.gebeauty.com.br/products/primer-cachos-definidos?ref=review","review")</f>
        <v/>
      </c>
      <c r="K1767" t="inlineStr">
        <is>
          <t>SEND</t>
        </is>
      </c>
    </row>
    <row r="1768">
      <c r="A1768" t="inlineStr">
        <is>
          <t>Andrea</t>
        </is>
      </c>
      <c r="B1768" t="inlineStr">
        <is>
          <t>+5511999152027</t>
        </is>
      </c>
      <c r="C1768" t="inlineStr">
        <is>
          <t>Refill</t>
        </is>
      </c>
      <c r="D1768" t="inlineStr">
        <is>
          <t>Primer Cachos</t>
        </is>
      </c>
      <c r="E1768" t="n">
        <v>1</v>
      </c>
      <c r="F1768" t="inlineStr">
        <is>
          <t>2026-01-21</t>
        </is>
      </c>
      <c r="G1768" t="n">
        <v>164</v>
      </c>
      <c r="H1768" t="inlineStr">
        <is>
          <t>Y</t>
        </is>
      </c>
      <c r="I1768">
        <f>HYPERLINK("https://admin.shopify.com/store/ge-beauty-cosmeticos/customers/10075406664000","abrir")</f>
        <v/>
      </c>
      <c r="J1768">
        <f>HYPERLINK("https://www.gebeauty.com.br/products/primer-cachos-definidos?ref=review","review")</f>
        <v/>
      </c>
      <c r="K1768" t="inlineStr">
        <is>
          <t>SEND</t>
        </is>
      </c>
    </row>
    <row r="1769">
      <c r="A1769" t="inlineStr">
        <is>
          <t>Maíra</t>
        </is>
      </c>
      <c r="B1769" t="inlineStr">
        <is>
          <t>+5511987802222</t>
        </is>
      </c>
      <c r="C1769" t="inlineStr">
        <is>
          <t>Refill</t>
        </is>
      </c>
      <c r="D1769" t="inlineStr">
        <is>
          <t>Primer Cachos</t>
        </is>
      </c>
      <c r="E1769" t="n">
        <v>1</v>
      </c>
      <c r="F1769" t="inlineStr">
        <is>
          <t>2026-01-21</t>
        </is>
      </c>
      <c r="G1769" t="n">
        <v>164</v>
      </c>
      <c r="H1769" t="inlineStr">
        <is>
          <t>N</t>
        </is>
      </c>
      <c r="I1769">
        <f>HYPERLINK("https://admin.shopify.com/store/ge-beauty-cosmeticos/customers/10075402830144","abrir")</f>
        <v/>
      </c>
      <c r="J1769">
        <f>HYPERLINK("https://www.gebeauty.com.br/products/primer-cachos-definidos?ref=review","review")</f>
        <v/>
      </c>
      <c r="K1769" t="inlineStr">
        <is>
          <t>SEND</t>
        </is>
      </c>
    </row>
    <row r="1770">
      <c r="A1770" t="inlineStr">
        <is>
          <t>Patrícia</t>
        </is>
      </c>
      <c r="B1770" t="inlineStr">
        <is>
          <t>+5511976050592</t>
        </is>
      </c>
      <c r="C1770" t="inlineStr">
        <is>
          <t>Refill</t>
        </is>
      </c>
      <c r="D1770" t="inlineStr">
        <is>
          <t>Primer Cachos</t>
        </is>
      </c>
      <c r="E1770" t="n">
        <v>1</v>
      </c>
      <c r="F1770" t="inlineStr">
        <is>
          <t>2026-01-21</t>
        </is>
      </c>
      <c r="G1770" t="n">
        <v>164</v>
      </c>
      <c r="H1770" t="inlineStr">
        <is>
          <t>Y</t>
        </is>
      </c>
      <c r="I1770">
        <f>HYPERLINK("https://admin.shopify.com/store/ge-beauty-cosmeticos/customers/10075402633536","abrir")</f>
        <v/>
      </c>
      <c r="J1770">
        <f>HYPERLINK("https://www.gebeauty.com.br/products/primer-cachos-definidos?ref=review","review")</f>
        <v/>
      </c>
      <c r="K1770" t="inlineStr">
        <is>
          <t>SEND</t>
        </is>
      </c>
    </row>
    <row r="1771">
      <c r="A1771" t="inlineStr">
        <is>
          <t>Olivia</t>
        </is>
      </c>
      <c r="B1771" t="inlineStr">
        <is>
          <t>+5551993199300</t>
        </is>
      </c>
      <c r="C1771" t="inlineStr">
        <is>
          <t>Refill</t>
        </is>
      </c>
      <c r="D1771" t="inlineStr">
        <is>
          <t>Primer Cachos</t>
        </is>
      </c>
      <c r="E1771" t="n">
        <v>1</v>
      </c>
      <c r="F1771" t="inlineStr">
        <is>
          <t>2026-01-21</t>
        </is>
      </c>
      <c r="G1771" t="n">
        <v>164</v>
      </c>
      <c r="H1771" t="inlineStr">
        <is>
          <t>Y</t>
        </is>
      </c>
      <c r="I1771">
        <f>HYPERLINK("https://admin.shopify.com/store/ge-beauty-cosmeticos/customers/10075309211968","abrir")</f>
        <v/>
      </c>
      <c r="J1771">
        <f>HYPERLINK("https://www.gebeauty.com.br/products/primer-cachos-definidos?ref=review","review")</f>
        <v/>
      </c>
      <c r="K1771" t="inlineStr">
        <is>
          <t>SEND</t>
        </is>
      </c>
    </row>
    <row r="1772">
      <c r="A1772" t="inlineStr">
        <is>
          <t>Sarah</t>
        </is>
      </c>
      <c r="B1772" t="inlineStr">
        <is>
          <t>+5513988742012</t>
        </is>
      </c>
      <c r="C1772" t="inlineStr">
        <is>
          <t>Refill</t>
        </is>
      </c>
      <c r="D1772" t="inlineStr">
        <is>
          <t>Primer Cachos</t>
        </is>
      </c>
      <c r="E1772" t="n">
        <v>1</v>
      </c>
      <c r="F1772" t="inlineStr">
        <is>
          <t>2026-01-21</t>
        </is>
      </c>
      <c r="G1772" t="n">
        <v>164</v>
      </c>
      <c r="H1772" t="inlineStr">
        <is>
          <t>Y</t>
        </is>
      </c>
      <c r="I1772">
        <f>HYPERLINK("https://admin.shopify.com/store/ge-beauty-cosmeticos/customers/10075419771200","abrir")</f>
        <v/>
      </c>
      <c r="J1772">
        <f>HYPERLINK("https://www.gebeauty.com.br/products/primer-cachos-definidos?ref=review","review")</f>
        <v/>
      </c>
      <c r="K1772" t="inlineStr">
        <is>
          <t>SEND</t>
        </is>
      </c>
    </row>
    <row r="1773">
      <c r="A1773" t="inlineStr">
        <is>
          <t>Andreia</t>
        </is>
      </c>
      <c r="B1773" t="inlineStr">
        <is>
          <t>+5527999389623</t>
        </is>
      </c>
      <c r="C1773" t="inlineStr">
        <is>
          <t>Refill</t>
        </is>
      </c>
      <c r="D1773" t="inlineStr">
        <is>
          <t>Primer Cachos</t>
        </is>
      </c>
      <c r="E1773" t="n">
        <v>1</v>
      </c>
      <c r="F1773" t="inlineStr">
        <is>
          <t>2026-01-21</t>
        </is>
      </c>
      <c r="G1773" t="n">
        <v>164</v>
      </c>
      <c r="H1773" t="inlineStr">
        <is>
          <t>Y</t>
        </is>
      </c>
      <c r="I1773">
        <f>HYPERLINK("https://admin.shopify.com/store/ge-beauty-cosmeticos/customers/10075423899968","abrir")</f>
        <v/>
      </c>
      <c r="J1773">
        <f>HYPERLINK("https://www.gebeauty.com.br/products/primer-cachos-definidos?ref=review","review")</f>
        <v/>
      </c>
      <c r="K1773" t="inlineStr">
        <is>
          <t>SEND</t>
        </is>
      </c>
    </row>
    <row r="1774">
      <c r="A1774" t="inlineStr">
        <is>
          <t>Deise</t>
        </is>
      </c>
      <c r="B1774" t="inlineStr">
        <is>
          <t>+5571993642162</t>
        </is>
      </c>
      <c r="C1774" t="inlineStr">
        <is>
          <t>Refill</t>
        </is>
      </c>
      <c r="D1774" t="inlineStr">
        <is>
          <t>Primer Cachos</t>
        </is>
      </c>
      <c r="E1774" t="n">
        <v>1</v>
      </c>
      <c r="F1774" t="inlineStr">
        <is>
          <t>2026-01-21</t>
        </is>
      </c>
      <c r="G1774" t="n">
        <v>164</v>
      </c>
      <c r="H1774" t="inlineStr">
        <is>
          <t>Y</t>
        </is>
      </c>
      <c r="I1774">
        <f>HYPERLINK("https://admin.shopify.com/store/ge-beauty-cosmeticos/customers/10075413774656","abrir")</f>
        <v/>
      </c>
      <c r="J1774">
        <f>HYPERLINK("https://www.gebeauty.com.br/products/primer-cachos-definidos?ref=review","review")</f>
        <v/>
      </c>
      <c r="K1774" t="inlineStr">
        <is>
          <t>SEND</t>
        </is>
      </c>
    </row>
    <row r="1775">
      <c r="A1775" t="inlineStr">
        <is>
          <t>Luciana</t>
        </is>
      </c>
      <c r="B1775" t="inlineStr">
        <is>
          <t>+5516993241918</t>
        </is>
      </c>
      <c r="C1775" t="inlineStr">
        <is>
          <t>Refill</t>
        </is>
      </c>
      <c r="D1775" t="inlineStr">
        <is>
          <t>Primer Cachos</t>
        </is>
      </c>
      <c r="E1775" t="n">
        <v>1</v>
      </c>
      <c r="F1775" t="inlineStr">
        <is>
          <t>2026-01-21</t>
        </is>
      </c>
      <c r="G1775" t="n">
        <v>164</v>
      </c>
      <c r="H1775" t="inlineStr">
        <is>
          <t>Y</t>
        </is>
      </c>
      <c r="I1775">
        <f>HYPERLINK("https://admin.shopify.com/store/ge-beauty-cosmeticos/customers/10075410661696","abrir")</f>
        <v/>
      </c>
      <c r="J1775">
        <f>HYPERLINK("https://www.gebeauty.com.br/products/primer-cachos-definidos?ref=review","review")</f>
        <v/>
      </c>
      <c r="K1775" t="inlineStr">
        <is>
          <t>SEND</t>
        </is>
      </c>
    </row>
    <row r="1776">
      <c r="A1776" t="inlineStr">
        <is>
          <t>Frannciele</t>
        </is>
      </c>
      <c r="B1776" t="inlineStr">
        <is>
          <t>+5514998140495</t>
        </is>
      </c>
      <c r="C1776" t="inlineStr">
        <is>
          <t>Refill</t>
        </is>
      </c>
      <c r="D1776" t="inlineStr">
        <is>
          <t>Primer Cachos</t>
        </is>
      </c>
      <c r="E1776" t="n">
        <v>1</v>
      </c>
      <c r="F1776" t="inlineStr">
        <is>
          <t>2026-01-21</t>
        </is>
      </c>
      <c r="G1776" t="n">
        <v>164</v>
      </c>
      <c r="H1776" t="inlineStr">
        <is>
          <t>Y</t>
        </is>
      </c>
      <c r="I1776">
        <f>HYPERLINK("https://admin.shopify.com/store/ge-beauty-cosmeticos/customers/10075425538368","abrir")</f>
        <v/>
      </c>
      <c r="J1776">
        <f>HYPERLINK("https://www.gebeauty.com.br/products/primer-cachos-definidos?ref=review","review")</f>
        <v/>
      </c>
      <c r="K1776" t="inlineStr">
        <is>
          <t>SEND</t>
        </is>
      </c>
    </row>
    <row r="1777">
      <c r="A1777" t="inlineStr">
        <is>
          <t>Thais</t>
        </is>
      </c>
      <c r="B1777" t="inlineStr">
        <is>
          <t>+5514991440904</t>
        </is>
      </c>
      <c r="C1777" t="inlineStr">
        <is>
          <t>Refill</t>
        </is>
      </c>
      <c r="D1777" t="inlineStr">
        <is>
          <t>Primer Cachos</t>
        </is>
      </c>
      <c r="E1777" t="n">
        <v>1</v>
      </c>
      <c r="F1777" t="inlineStr">
        <is>
          <t>2026-01-21</t>
        </is>
      </c>
      <c r="G1777" t="n">
        <v>164</v>
      </c>
      <c r="H1777" t="inlineStr">
        <is>
          <t>Y</t>
        </is>
      </c>
      <c r="I1777">
        <f>HYPERLINK("https://admin.shopify.com/store/ge-beauty-cosmeticos/customers/9670516244800","abrir")</f>
        <v/>
      </c>
      <c r="J1777">
        <f>HYPERLINK("https://www.gebeauty.com.br/products/primer-cachos-definidos?ref=review","review")</f>
        <v/>
      </c>
      <c r="K1777" t="inlineStr">
        <is>
          <t>SEND</t>
        </is>
      </c>
    </row>
    <row r="1778">
      <c r="A1778" t="inlineStr">
        <is>
          <t>Samara</t>
        </is>
      </c>
      <c r="B1778" t="inlineStr">
        <is>
          <t>+5565981499466</t>
        </is>
      </c>
      <c r="C1778" t="inlineStr">
        <is>
          <t>Refill</t>
        </is>
      </c>
      <c r="D1778" t="inlineStr">
        <is>
          <t>Primer Cachos</t>
        </is>
      </c>
      <c r="E1778" t="n">
        <v>1</v>
      </c>
      <c r="F1778" t="inlineStr">
        <is>
          <t>2026-01-21</t>
        </is>
      </c>
      <c r="G1778" t="n">
        <v>164</v>
      </c>
      <c r="H1778" t="inlineStr">
        <is>
          <t>Y</t>
        </is>
      </c>
      <c r="I1778">
        <f>HYPERLINK("https://admin.shopify.com/store/ge-beauty-cosmeticos/customers/10074512064832","abrir")</f>
        <v/>
      </c>
      <c r="J1778">
        <f>HYPERLINK("https://www.gebeauty.com.br/products/primer-cachos-definidos?ref=review","review")</f>
        <v/>
      </c>
      <c r="K1778" t="inlineStr">
        <is>
          <t>SEND</t>
        </is>
      </c>
    </row>
    <row r="1779">
      <c r="A1779" t="inlineStr">
        <is>
          <t>Kamile</t>
        </is>
      </c>
      <c r="B1779" t="inlineStr">
        <is>
          <t>+5541996663999</t>
        </is>
      </c>
      <c r="C1779" t="inlineStr">
        <is>
          <t>Refill</t>
        </is>
      </c>
      <c r="D1779" t="inlineStr">
        <is>
          <t>Primer Cachos</t>
        </is>
      </c>
      <c r="E1779" t="n">
        <v>1</v>
      </c>
      <c r="F1779" t="inlineStr">
        <is>
          <t>2026-01-21</t>
        </is>
      </c>
      <c r="G1779" t="n">
        <v>164</v>
      </c>
      <c r="H1779" t="inlineStr">
        <is>
          <t>Y</t>
        </is>
      </c>
      <c r="I1779">
        <f>HYPERLINK("https://admin.shopify.com/store/ge-beauty-cosmeticos/customers/10075437859136","abrir")</f>
        <v/>
      </c>
      <c r="J1779">
        <f>HYPERLINK("https://www.gebeauty.com.br/products/primer-cachos-definidos?ref=review","review")</f>
        <v/>
      </c>
      <c r="K1779" t="inlineStr">
        <is>
          <t>SEND</t>
        </is>
      </c>
    </row>
    <row r="1780">
      <c r="A1780" t="inlineStr">
        <is>
          <t>Djenane</t>
        </is>
      </c>
      <c r="B1780" t="inlineStr">
        <is>
          <t>+5532999911975</t>
        </is>
      </c>
      <c r="C1780" t="inlineStr">
        <is>
          <t>Refill</t>
        </is>
      </c>
      <c r="D1780" t="inlineStr">
        <is>
          <t>Primer Cachos</t>
        </is>
      </c>
      <c r="E1780" t="n">
        <v>1</v>
      </c>
      <c r="F1780" t="inlineStr">
        <is>
          <t>2026-01-21</t>
        </is>
      </c>
      <c r="G1780" t="n">
        <v>164</v>
      </c>
      <c r="H1780" t="inlineStr">
        <is>
          <t>Y</t>
        </is>
      </c>
      <c r="I1780">
        <f>HYPERLINK("https://admin.shopify.com/store/ge-beauty-cosmeticos/customers/10075434910016","abrir")</f>
        <v/>
      </c>
      <c r="J1780">
        <f>HYPERLINK("https://www.gebeauty.com.br/products/primer-cachos-definidos?ref=review","review")</f>
        <v/>
      </c>
      <c r="K1780" t="inlineStr">
        <is>
          <t>SEND</t>
        </is>
      </c>
    </row>
    <row r="1781">
      <c r="A1781" t="inlineStr">
        <is>
          <t>Elicelia</t>
        </is>
      </c>
      <c r="B1781" t="inlineStr">
        <is>
          <t>+5519996922404</t>
        </is>
      </c>
      <c r="C1781" t="inlineStr">
        <is>
          <t>Refill</t>
        </is>
      </c>
      <c r="D1781" t="inlineStr">
        <is>
          <t>Primer Cachos</t>
        </is>
      </c>
      <c r="E1781" t="n">
        <v>1</v>
      </c>
      <c r="F1781" t="inlineStr">
        <is>
          <t>2026-01-21</t>
        </is>
      </c>
      <c r="G1781" t="n">
        <v>164</v>
      </c>
      <c r="H1781" t="inlineStr">
        <is>
          <t>Y</t>
        </is>
      </c>
      <c r="I1781">
        <f>HYPERLINK("https://admin.shopify.com/store/ge-beauty-cosmeticos/customers/10075434156352","abrir")</f>
        <v/>
      </c>
      <c r="J1781">
        <f>HYPERLINK("https://www.gebeauty.com.br/products/primer-cachos-definidos?ref=review","review")</f>
        <v/>
      </c>
      <c r="K1781" t="inlineStr">
        <is>
          <t>SEND</t>
        </is>
      </c>
    </row>
    <row r="1782">
      <c r="A1782" t="inlineStr">
        <is>
          <t>Veronica</t>
        </is>
      </c>
      <c r="B1782" t="inlineStr">
        <is>
          <t>+5581996020805</t>
        </is>
      </c>
      <c r="C1782" t="inlineStr">
        <is>
          <t>Refill</t>
        </is>
      </c>
      <c r="D1782" t="inlineStr">
        <is>
          <t>Primer Cachos</t>
        </is>
      </c>
      <c r="E1782" t="n">
        <v>1</v>
      </c>
      <c r="F1782" t="inlineStr">
        <is>
          <t>2026-01-21</t>
        </is>
      </c>
      <c r="G1782" t="n">
        <v>164</v>
      </c>
      <c r="H1782" t="inlineStr">
        <is>
          <t>Y</t>
        </is>
      </c>
      <c r="I1782">
        <f>HYPERLINK("https://admin.shopify.com/store/ge-beauty-cosmeticos/customers/10075442381120","abrir")</f>
        <v/>
      </c>
      <c r="J1782">
        <f>HYPERLINK("https://www.gebeauty.com.br/products/primer-cachos-definidos?ref=review","review")</f>
        <v/>
      </c>
      <c r="K1782" t="inlineStr">
        <is>
          <t>HOLDOUT</t>
        </is>
      </c>
    </row>
    <row r="1783">
      <c r="A1783" t="inlineStr">
        <is>
          <t>Michelle</t>
        </is>
      </c>
      <c r="B1783" t="inlineStr">
        <is>
          <t>+5521971179014</t>
        </is>
      </c>
      <c r="C1783" t="inlineStr">
        <is>
          <t>Refill</t>
        </is>
      </c>
      <c r="D1783" t="inlineStr">
        <is>
          <t>Primer Cachos</t>
        </is>
      </c>
      <c r="E1783" t="n">
        <v>1</v>
      </c>
      <c r="F1783" t="inlineStr">
        <is>
          <t>2026-01-21</t>
        </is>
      </c>
      <c r="G1783" t="n">
        <v>164</v>
      </c>
      <c r="H1783" t="inlineStr">
        <is>
          <t>Y</t>
        </is>
      </c>
      <c r="I1783">
        <f>HYPERLINK("https://admin.shopify.com/store/ge-beauty-cosmeticos/customers/10075456602432","abrir")</f>
        <v/>
      </c>
      <c r="J1783">
        <f>HYPERLINK("https://www.gebeauty.com.br/products/primer-cachos-definidos?ref=review","review")</f>
        <v/>
      </c>
      <c r="K1783" t="inlineStr">
        <is>
          <t>SEND</t>
        </is>
      </c>
    </row>
    <row r="1784">
      <c r="A1784" t="inlineStr">
        <is>
          <t>Renata</t>
        </is>
      </c>
      <c r="B1784" t="inlineStr">
        <is>
          <t>+5561999121009</t>
        </is>
      </c>
      <c r="C1784" t="inlineStr">
        <is>
          <t>Refill</t>
        </is>
      </c>
      <c r="D1784" t="inlineStr">
        <is>
          <t>Primer Cachos</t>
        </is>
      </c>
      <c r="E1784" t="n">
        <v>1</v>
      </c>
      <c r="F1784" t="inlineStr">
        <is>
          <t>2026-01-21</t>
        </is>
      </c>
      <c r="G1784" t="n">
        <v>164</v>
      </c>
      <c r="H1784" t="inlineStr">
        <is>
          <t>N</t>
        </is>
      </c>
      <c r="I1784">
        <f>HYPERLINK("https://admin.shopify.com/store/ge-beauty-cosmeticos/customers/10075441430848","abrir")</f>
        <v/>
      </c>
      <c r="J1784">
        <f>HYPERLINK("https://www.gebeauty.com.br/products/primer-cachos-definidos?ref=review","review")</f>
        <v/>
      </c>
      <c r="K1784" t="inlineStr">
        <is>
          <t>SEND</t>
        </is>
      </c>
    </row>
    <row r="1785">
      <c r="A1785" t="inlineStr">
        <is>
          <t>Daiane</t>
        </is>
      </c>
      <c r="B1785" t="inlineStr">
        <is>
          <t>+5577988436009</t>
        </is>
      </c>
      <c r="C1785" t="inlineStr">
        <is>
          <t>Refill</t>
        </is>
      </c>
      <c r="D1785" t="inlineStr">
        <is>
          <t>Primer Cachos</t>
        </is>
      </c>
      <c r="E1785" t="n">
        <v>1</v>
      </c>
      <c r="F1785" t="inlineStr">
        <is>
          <t>2026-01-21</t>
        </is>
      </c>
      <c r="G1785" t="n">
        <v>164</v>
      </c>
      <c r="H1785" t="inlineStr">
        <is>
          <t>Y</t>
        </is>
      </c>
      <c r="I1785">
        <f>HYPERLINK("https://admin.shopify.com/store/ge-beauty-cosmeticos/customers/10075399520576","abrir")</f>
        <v/>
      </c>
      <c r="J1785">
        <f>HYPERLINK("https://www.gebeauty.com.br/products/primer-cachos-definidos?ref=review","review")</f>
        <v/>
      </c>
      <c r="K1785" t="inlineStr">
        <is>
          <t>SEND</t>
        </is>
      </c>
    </row>
    <row r="1786">
      <c r="A1786" t="inlineStr">
        <is>
          <t>Jucielly</t>
        </is>
      </c>
      <c r="B1786" t="inlineStr">
        <is>
          <t>+5599985278689</t>
        </is>
      </c>
      <c r="C1786" t="inlineStr">
        <is>
          <t>Refill</t>
        </is>
      </c>
      <c r="D1786" t="inlineStr">
        <is>
          <t>Primer Cachos</t>
        </is>
      </c>
      <c r="E1786" t="n">
        <v>1</v>
      </c>
      <c r="F1786" t="inlineStr">
        <is>
          <t>2026-01-21</t>
        </is>
      </c>
      <c r="G1786" t="n">
        <v>164</v>
      </c>
      <c r="H1786" t="inlineStr">
        <is>
          <t>Y</t>
        </is>
      </c>
      <c r="I1786">
        <f>HYPERLINK("https://admin.shopify.com/store/ge-beauty-cosmeticos/customers/10075478589760","abrir")</f>
        <v/>
      </c>
      <c r="J1786">
        <f>HYPERLINK("https://www.gebeauty.com.br/products/primer-cachos-definidos?ref=review","review")</f>
        <v/>
      </c>
      <c r="K1786" t="inlineStr">
        <is>
          <t>SEND</t>
        </is>
      </c>
    </row>
    <row r="1787">
      <c r="A1787" t="inlineStr">
        <is>
          <t>Elaine</t>
        </is>
      </c>
      <c r="B1787" t="inlineStr">
        <is>
          <t>+5524999525029</t>
        </is>
      </c>
      <c r="C1787" t="inlineStr">
        <is>
          <t>Refill</t>
        </is>
      </c>
      <c r="D1787" t="inlineStr">
        <is>
          <t>Primer Cachos</t>
        </is>
      </c>
      <c r="E1787" t="n">
        <v>1</v>
      </c>
      <c r="F1787" t="inlineStr">
        <is>
          <t>2026-01-21</t>
        </is>
      </c>
      <c r="G1787" t="n">
        <v>164</v>
      </c>
      <c r="H1787" t="inlineStr">
        <is>
          <t>Y</t>
        </is>
      </c>
      <c r="I1787">
        <f>HYPERLINK("https://admin.shopify.com/store/ge-beauty-cosmeticos/customers/10075473150272","abrir")</f>
        <v/>
      </c>
      <c r="J1787">
        <f>HYPERLINK("https://www.gebeauty.com.br/products/primer-cachos-definidos?ref=review","review")</f>
        <v/>
      </c>
      <c r="K1787" t="inlineStr">
        <is>
          <t>HOLDOUT</t>
        </is>
      </c>
    </row>
    <row r="1788">
      <c r="A1788" t="inlineStr">
        <is>
          <t>Aiessa</t>
        </is>
      </c>
      <c r="B1788" t="inlineStr">
        <is>
          <t>+5517981185870</t>
        </is>
      </c>
      <c r="C1788" t="inlineStr">
        <is>
          <t>Refill</t>
        </is>
      </c>
      <c r="D1788" t="inlineStr">
        <is>
          <t>Primer Cachos</t>
        </is>
      </c>
      <c r="E1788" t="n">
        <v>1</v>
      </c>
      <c r="F1788" t="inlineStr">
        <is>
          <t>2026-01-21</t>
        </is>
      </c>
      <c r="G1788" t="n">
        <v>164</v>
      </c>
      <c r="H1788" t="inlineStr">
        <is>
          <t>Y</t>
        </is>
      </c>
      <c r="I1788">
        <f>HYPERLINK("https://admin.shopify.com/store/ge-beauty-cosmeticos/customers/10072928518464","abrir")</f>
        <v/>
      </c>
      <c r="J1788">
        <f>HYPERLINK("https://www.gebeauty.com.br/products/primer-cachos-definidos?ref=review","review")</f>
        <v/>
      </c>
      <c r="K1788" t="inlineStr">
        <is>
          <t>SEND</t>
        </is>
      </c>
    </row>
    <row r="1789">
      <c r="A1789" t="inlineStr">
        <is>
          <t>Maria</t>
        </is>
      </c>
      <c r="B1789" t="inlineStr">
        <is>
          <t>+5511970401300</t>
        </is>
      </c>
      <c r="C1789" t="inlineStr">
        <is>
          <t>Refill</t>
        </is>
      </c>
      <c r="D1789" t="inlineStr">
        <is>
          <t>Primer Cachos</t>
        </is>
      </c>
      <c r="E1789" t="n">
        <v>1</v>
      </c>
      <c r="F1789" t="inlineStr">
        <is>
          <t>2026-01-21</t>
        </is>
      </c>
      <c r="G1789" t="n">
        <v>164</v>
      </c>
      <c r="H1789" t="inlineStr">
        <is>
          <t>Y</t>
        </is>
      </c>
      <c r="I1789">
        <f>HYPERLINK("https://admin.shopify.com/store/ge-beauty-cosmeticos/customers/10075491664192","abrir")</f>
        <v/>
      </c>
      <c r="J1789">
        <f>HYPERLINK("https://www.gebeauty.com.br/products/primer-cachos-definidos?ref=review","review")</f>
        <v/>
      </c>
      <c r="K1789" t="inlineStr">
        <is>
          <t>HOLDOUT</t>
        </is>
      </c>
    </row>
    <row r="1790">
      <c r="A1790" t="inlineStr">
        <is>
          <t>Sara</t>
        </is>
      </c>
      <c r="B1790" t="inlineStr">
        <is>
          <t>+5534991924365</t>
        </is>
      </c>
      <c r="C1790" t="inlineStr">
        <is>
          <t>Refill</t>
        </is>
      </c>
      <c r="D1790" t="inlineStr">
        <is>
          <t>Primer Cachos</t>
        </is>
      </c>
      <c r="E1790" t="n">
        <v>1</v>
      </c>
      <c r="F1790" t="inlineStr">
        <is>
          <t>2026-01-21</t>
        </is>
      </c>
      <c r="G1790" t="n">
        <v>164</v>
      </c>
      <c r="H1790" t="inlineStr">
        <is>
          <t>Y</t>
        </is>
      </c>
      <c r="I1790">
        <f>HYPERLINK("https://admin.shopify.com/store/ge-beauty-cosmeticos/customers/10075506606400","abrir")</f>
        <v/>
      </c>
      <c r="J1790">
        <f>HYPERLINK("https://www.gebeauty.com.br/products/primer-cachos-definidos?ref=review","review")</f>
        <v/>
      </c>
      <c r="K1790" t="inlineStr">
        <is>
          <t>SEND</t>
        </is>
      </c>
    </row>
    <row r="1791">
      <c r="A1791" t="inlineStr">
        <is>
          <t>Carolina</t>
        </is>
      </c>
      <c r="B1791" t="inlineStr">
        <is>
          <t>+5561981857057</t>
        </is>
      </c>
      <c r="C1791" t="inlineStr">
        <is>
          <t>Refill</t>
        </is>
      </c>
      <c r="D1791" t="inlineStr">
        <is>
          <t>Primer Cachos</t>
        </is>
      </c>
      <c r="E1791" t="n">
        <v>1</v>
      </c>
      <c r="F1791" t="inlineStr">
        <is>
          <t>2026-01-21</t>
        </is>
      </c>
      <c r="G1791" t="n">
        <v>164</v>
      </c>
      <c r="H1791" t="inlineStr">
        <is>
          <t>Y</t>
        </is>
      </c>
      <c r="I1791">
        <f>HYPERLINK("https://admin.shopify.com/store/ge-beauty-cosmeticos/customers/10074385776960","abrir")</f>
        <v/>
      </c>
      <c r="J1791">
        <f>HYPERLINK("https://www.gebeauty.com.br/products/primer-cachos-definidos?ref=review","review")</f>
        <v/>
      </c>
      <c r="K1791" t="inlineStr">
        <is>
          <t>HOLDOUT</t>
        </is>
      </c>
    </row>
    <row r="1792">
      <c r="A1792" t="inlineStr">
        <is>
          <t>Letícia</t>
        </is>
      </c>
      <c r="B1792" t="inlineStr">
        <is>
          <t>+5551992666026</t>
        </is>
      </c>
      <c r="C1792" t="inlineStr">
        <is>
          <t>Refill</t>
        </is>
      </c>
      <c r="D1792" t="inlineStr">
        <is>
          <t>Primer Cachos</t>
        </is>
      </c>
      <c r="E1792" t="n">
        <v>1</v>
      </c>
      <c r="F1792" t="inlineStr">
        <is>
          <t>2026-01-21</t>
        </is>
      </c>
      <c r="G1792" t="n">
        <v>164</v>
      </c>
      <c r="H1792" t="inlineStr">
        <is>
          <t>Y</t>
        </is>
      </c>
      <c r="I1792">
        <f>HYPERLINK("https://admin.shopify.com/store/ge-beauty-cosmeticos/customers/10075514732864","abrir")</f>
        <v/>
      </c>
      <c r="J1792">
        <f>HYPERLINK("https://www.gebeauty.com.br/products/primer-cachos-definidos?ref=review","review")</f>
        <v/>
      </c>
      <c r="K1792" t="inlineStr">
        <is>
          <t>SEND</t>
        </is>
      </c>
    </row>
    <row r="1793">
      <c r="A1793" t="inlineStr">
        <is>
          <t>Fabiana</t>
        </is>
      </c>
      <c r="B1793" t="inlineStr">
        <is>
          <t>+5511961882577</t>
        </is>
      </c>
      <c r="C1793" t="inlineStr">
        <is>
          <t>Refill</t>
        </is>
      </c>
      <c r="D1793" t="inlineStr">
        <is>
          <t>Primer Cachos</t>
        </is>
      </c>
      <c r="E1793" t="n">
        <v>1</v>
      </c>
      <c r="F1793" t="inlineStr">
        <is>
          <t>2026-01-21</t>
        </is>
      </c>
      <c r="G1793" t="n">
        <v>164</v>
      </c>
      <c r="H1793" t="inlineStr">
        <is>
          <t>Y</t>
        </is>
      </c>
      <c r="I1793">
        <f>HYPERLINK("https://admin.shopify.com/store/ge-beauty-cosmeticos/customers/10075518828864","abrir")</f>
        <v/>
      </c>
      <c r="J1793">
        <f>HYPERLINK("https://www.gebeauty.com.br/products/primer-cachos-definidos?ref=review","review")</f>
        <v/>
      </c>
      <c r="K1793" t="inlineStr">
        <is>
          <t>SEND</t>
        </is>
      </c>
    </row>
    <row r="1794">
      <c r="A1794" t="inlineStr">
        <is>
          <t>Dânia</t>
        </is>
      </c>
      <c r="B1794" t="inlineStr">
        <is>
          <t>+5511991316109</t>
        </is>
      </c>
      <c r="C1794" t="inlineStr">
        <is>
          <t>Refill</t>
        </is>
      </c>
      <c r="D1794" t="inlineStr">
        <is>
          <t>Primer Cachos</t>
        </is>
      </c>
      <c r="E1794" t="n">
        <v>1</v>
      </c>
      <c r="F1794" t="inlineStr">
        <is>
          <t>2026-01-21</t>
        </is>
      </c>
      <c r="G1794" t="n">
        <v>164</v>
      </c>
      <c r="H1794" t="inlineStr">
        <is>
          <t>Y</t>
        </is>
      </c>
      <c r="I1794">
        <f>HYPERLINK("https://admin.shopify.com/store/ge-beauty-cosmeticos/customers/10075526627648","abrir")</f>
        <v/>
      </c>
      <c r="J1794">
        <f>HYPERLINK("https://www.gebeauty.com.br/products/primer-cachos-definidos?ref=review","review")</f>
        <v/>
      </c>
      <c r="K1794" t="inlineStr">
        <is>
          <t>SEND</t>
        </is>
      </c>
    </row>
    <row r="1795">
      <c r="A1795" t="inlineStr">
        <is>
          <t>Claudia</t>
        </is>
      </c>
      <c r="B1795" t="inlineStr">
        <is>
          <t>+5521977087684</t>
        </is>
      </c>
      <c r="C1795" t="inlineStr">
        <is>
          <t>Refill</t>
        </is>
      </c>
      <c r="D1795" t="inlineStr">
        <is>
          <t>Primer Cachos</t>
        </is>
      </c>
      <c r="E1795" t="n">
        <v>1</v>
      </c>
      <c r="F1795" t="inlineStr">
        <is>
          <t>2026-01-21</t>
        </is>
      </c>
      <c r="G1795" t="n">
        <v>164</v>
      </c>
      <c r="H1795" t="inlineStr">
        <is>
          <t>Y</t>
        </is>
      </c>
      <c r="I1795">
        <f>HYPERLINK("https://admin.shopify.com/store/ge-beauty-cosmeticos/customers/10075490746688","abrir")</f>
        <v/>
      </c>
      <c r="J1795">
        <f>HYPERLINK("https://www.gebeauty.com.br/products/primer-cachos-definidos?ref=review","review")</f>
        <v/>
      </c>
      <c r="K1795" t="inlineStr">
        <is>
          <t>SEND</t>
        </is>
      </c>
    </row>
    <row r="1796">
      <c r="A1796" t="inlineStr">
        <is>
          <t>Ana</t>
        </is>
      </c>
      <c r="B1796" t="inlineStr">
        <is>
          <t>+5562985250996</t>
        </is>
      </c>
      <c r="C1796" t="inlineStr">
        <is>
          <t>Refill</t>
        </is>
      </c>
      <c r="D1796" t="inlineStr">
        <is>
          <t>Primer Cachos</t>
        </is>
      </c>
      <c r="E1796" t="n">
        <v>1</v>
      </c>
      <c r="F1796" t="inlineStr">
        <is>
          <t>2026-01-21</t>
        </is>
      </c>
      <c r="G1796" t="n">
        <v>164</v>
      </c>
      <c r="H1796" t="inlineStr">
        <is>
          <t>Y</t>
        </is>
      </c>
      <c r="I1796">
        <f>HYPERLINK("https://admin.shopify.com/store/ge-beauty-cosmeticos/customers/10075527577920","abrir")</f>
        <v/>
      </c>
      <c r="J1796">
        <f>HYPERLINK("https://www.gebeauty.com.br/products/primer-cachos-definidos?ref=review","review")</f>
        <v/>
      </c>
      <c r="K1796" t="inlineStr">
        <is>
          <t>SEND</t>
        </is>
      </c>
    </row>
    <row r="1797">
      <c r="A1797" t="inlineStr">
        <is>
          <t>Tatiane</t>
        </is>
      </c>
      <c r="B1797" t="inlineStr">
        <is>
          <t>+5511964334911</t>
        </is>
      </c>
      <c r="C1797" t="inlineStr">
        <is>
          <t>Refill</t>
        </is>
      </c>
      <c r="D1797" t="inlineStr">
        <is>
          <t>Primer Cachos</t>
        </is>
      </c>
      <c r="E1797" t="n">
        <v>1</v>
      </c>
      <c r="F1797" t="inlineStr">
        <is>
          <t>2026-01-21</t>
        </is>
      </c>
      <c r="G1797" t="n">
        <v>164</v>
      </c>
      <c r="H1797" t="inlineStr">
        <is>
          <t>N</t>
        </is>
      </c>
      <c r="I1797">
        <f>HYPERLINK("https://admin.shopify.com/store/ge-beauty-cosmeticos/customers/10075544781120","abrir")</f>
        <v/>
      </c>
      <c r="J1797">
        <f>HYPERLINK("https://www.gebeauty.com.br/products/primer-cachos-definidos?ref=review","review")</f>
        <v/>
      </c>
      <c r="K1797" t="inlineStr">
        <is>
          <t>SEND</t>
        </is>
      </c>
    </row>
    <row r="1798">
      <c r="A1798" t="inlineStr">
        <is>
          <t>Carina</t>
        </is>
      </c>
      <c r="B1798" t="inlineStr">
        <is>
          <t>+5514991615736</t>
        </is>
      </c>
      <c r="C1798" t="inlineStr">
        <is>
          <t>Refill</t>
        </is>
      </c>
      <c r="D1798" t="inlineStr">
        <is>
          <t>Primer Cachos</t>
        </is>
      </c>
      <c r="E1798" t="n">
        <v>1</v>
      </c>
      <c r="F1798" t="inlineStr">
        <is>
          <t>2026-01-21</t>
        </is>
      </c>
      <c r="G1798" t="n">
        <v>164</v>
      </c>
      <c r="H1798" t="inlineStr">
        <is>
          <t>Y</t>
        </is>
      </c>
      <c r="I1798">
        <f>HYPERLINK("https://admin.shopify.com/store/ge-beauty-cosmeticos/customers/10075574108480","abrir")</f>
        <v/>
      </c>
      <c r="J1798">
        <f>HYPERLINK("https://www.gebeauty.com.br/products/primer-cachos-definidos?ref=review","review")</f>
        <v/>
      </c>
      <c r="K1798" t="inlineStr">
        <is>
          <t>SEND</t>
        </is>
      </c>
    </row>
    <row r="1799">
      <c r="A1799" t="inlineStr">
        <is>
          <t>Isis</t>
        </is>
      </c>
      <c r="B1799" t="inlineStr">
        <is>
          <t>+5511985878950</t>
        </is>
      </c>
      <c r="C1799" t="inlineStr">
        <is>
          <t>Refill</t>
        </is>
      </c>
      <c r="D1799" t="inlineStr">
        <is>
          <t>Primer Cachos</t>
        </is>
      </c>
      <c r="E1799" t="n">
        <v>1</v>
      </c>
      <c r="F1799" t="inlineStr">
        <is>
          <t>2026-01-21</t>
        </is>
      </c>
      <c r="G1799" t="n">
        <v>164</v>
      </c>
      <c r="H1799" t="inlineStr">
        <is>
          <t>Y</t>
        </is>
      </c>
      <c r="I1799">
        <f>HYPERLINK("https://admin.shopify.com/store/ge-beauty-cosmeticos/customers/10075571585344","abrir")</f>
        <v/>
      </c>
      <c r="J1799">
        <f>HYPERLINK("https://www.gebeauty.com.br/products/primer-cachos-definidos?ref=review","review")</f>
        <v/>
      </c>
      <c r="K1799" t="inlineStr">
        <is>
          <t>SEND</t>
        </is>
      </c>
    </row>
    <row r="1800">
      <c r="A1800" t="inlineStr">
        <is>
          <t>Erica</t>
        </is>
      </c>
      <c r="B1800" t="inlineStr">
        <is>
          <t>+5521994797449</t>
        </is>
      </c>
      <c r="C1800" t="inlineStr">
        <is>
          <t>Refill</t>
        </is>
      </c>
      <c r="D1800" t="inlineStr">
        <is>
          <t>Primer Cachos</t>
        </is>
      </c>
      <c r="E1800" t="n">
        <v>1</v>
      </c>
      <c r="F1800" t="inlineStr">
        <is>
          <t>2026-01-21</t>
        </is>
      </c>
      <c r="G1800" t="n">
        <v>164</v>
      </c>
      <c r="H1800" t="inlineStr">
        <is>
          <t>Y</t>
        </is>
      </c>
      <c r="I1800">
        <f>HYPERLINK("https://admin.shopify.com/store/ge-beauty-cosmeticos/customers/9214472520000","abrir")</f>
        <v/>
      </c>
      <c r="J1800">
        <f>HYPERLINK("https://www.gebeauty.com.br/products/primer-cachos-definidos?ref=review","review")</f>
        <v/>
      </c>
      <c r="K1800" t="inlineStr">
        <is>
          <t>HOLDOUT</t>
        </is>
      </c>
    </row>
    <row r="1801">
      <c r="A1801" t="inlineStr">
        <is>
          <t>Laura Helena</t>
        </is>
      </c>
      <c r="B1801" t="inlineStr">
        <is>
          <t>+5511958802863</t>
        </is>
      </c>
      <c r="C1801" t="inlineStr">
        <is>
          <t>Refill</t>
        </is>
      </c>
      <c r="D1801" t="inlineStr">
        <is>
          <t>Primer Cachos</t>
        </is>
      </c>
      <c r="E1801" t="n">
        <v>1</v>
      </c>
      <c r="F1801" t="inlineStr">
        <is>
          <t>2026-01-21</t>
        </is>
      </c>
      <c r="G1801" t="n">
        <v>164</v>
      </c>
      <c r="H1801" t="inlineStr">
        <is>
          <t>Y</t>
        </is>
      </c>
      <c r="I1801">
        <f>HYPERLINK("https://admin.shopify.com/store/ge-beauty-cosmeticos/customers/10075574141248","abrir")</f>
        <v/>
      </c>
      <c r="J1801">
        <f>HYPERLINK("https://www.gebeauty.com.br/products/primer-cachos-definidos?ref=review","review")</f>
        <v/>
      </c>
      <c r="K1801" t="inlineStr">
        <is>
          <t>SEND</t>
        </is>
      </c>
    </row>
    <row r="1802">
      <c r="A1802" t="inlineStr">
        <is>
          <t>Lilian</t>
        </is>
      </c>
      <c r="B1802" t="inlineStr">
        <is>
          <t>+5549988293886</t>
        </is>
      </c>
      <c r="C1802" t="inlineStr">
        <is>
          <t>Refill</t>
        </is>
      </c>
      <c r="D1802" t="inlineStr">
        <is>
          <t>Primer Cachos</t>
        </is>
      </c>
      <c r="E1802" t="n">
        <v>1</v>
      </c>
      <c r="F1802" t="inlineStr">
        <is>
          <t>2026-01-21</t>
        </is>
      </c>
      <c r="G1802" t="n">
        <v>164</v>
      </c>
      <c r="H1802" t="inlineStr">
        <is>
          <t>Y</t>
        </is>
      </c>
      <c r="I1802">
        <f>HYPERLINK("https://admin.shopify.com/store/ge-beauty-cosmeticos/customers/10075392278848","abrir")</f>
        <v/>
      </c>
      <c r="J1802">
        <f>HYPERLINK("https://www.gebeauty.com.br/products/primer-cachos-definidos?ref=review","review")</f>
        <v/>
      </c>
      <c r="K1802" t="inlineStr">
        <is>
          <t>SEND</t>
        </is>
      </c>
    </row>
    <row r="1803">
      <c r="A1803" t="inlineStr">
        <is>
          <t>Marcella</t>
        </is>
      </c>
      <c r="B1803" t="inlineStr">
        <is>
          <t>+5581991889264</t>
        </is>
      </c>
      <c r="C1803" t="inlineStr">
        <is>
          <t>Refill</t>
        </is>
      </c>
      <c r="D1803" t="inlineStr">
        <is>
          <t>Primer Cachos</t>
        </is>
      </c>
      <c r="E1803" t="n">
        <v>1</v>
      </c>
      <c r="F1803" t="inlineStr">
        <is>
          <t>2026-01-21</t>
        </is>
      </c>
      <c r="G1803" t="n">
        <v>164</v>
      </c>
      <c r="H1803" t="inlineStr">
        <is>
          <t>Y</t>
        </is>
      </c>
      <c r="I1803">
        <f>HYPERLINK("https://admin.shopify.com/store/ge-beauty-cosmeticos/customers/10075581808960","abrir")</f>
        <v/>
      </c>
      <c r="J1803">
        <f>HYPERLINK("https://www.gebeauty.com.br/products/primer-cachos-definidos?ref=review","review")</f>
        <v/>
      </c>
      <c r="K1803" t="inlineStr">
        <is>
          <t>SEND</t>
        </is>
      </c>
    </row>
    <row r="1804">
      <c r="A1804" t="inlineStr">
        <is>
          <t>Luciana</t>
        </is>
      </c>
      <c r="B1804" t="inlineStr">
        <is>
          <t>+5514997813548</t>
        </is>
      </c>
      <c r="C1804" t="inlineStr">
        <is>
          <t>Refill</t>
        </is>
      </c>
      <c r="D1804" t="inlineStr">
        <is>
          <t>Primer Cachos</t>
        </is>
      </c>
      <c r="E1804" t="n">
        <v>1</v>
      </c>
      <c r="F1804" t="inlineStr">
        <is>
          <t>2026-01-21</t>
        </is>
      </c>
      <c r="G1804" t="n">
        <v>164</v>
      </c>
      <c r="H1804" t="inlineStr">
        <is>
          <t>Y</t>
        </is>
      </c>
      <c r="I1804">
        <f>HYPERLINK("https://admin.shopify.com/store/ge-beauty-cosmeticos/customers/10075598618944","abrir")</f>
        <v/>
      </c>
      <c r="J1804">
        <f>HYPERLINK("https://www.gebeauty.com.br/products/primer-cachos-definidos?ref=review","review")</f>
        <v/>
      </c>
      <c r="K1804" t="inlineStr">
        <is>
          <t>SEND</t>
        </is>
      </c>
    </row>
    <row r="1805">
      <c r="A1805" t="inlineStr">
        <is>
          <t>Manoela</t>
        </is>
      </c>
      <c r="B1805" t="inlineStr">
        <is>
          <t>+5575998011515</t>
        </is>
      </c>
      <c r="C1805" t="inlineStr">
        <is>
          <t>Refill</t>
        </is>
      </c>
      <c r="D1805" t="inlineStr">
        <is>
          <t>Primer Cachos</t>
        </is>
      </c>
      <c r="E1805" t="n">
        <v>1</v>
      </c>
      <c r="F1805" t="inlineStr">
        <is>
          <t>2026-01-21</t>
        </is>
      </c>
      <c r="G1805" t="n">
        <v>164</v>
      </c>
      <c r="H1805" t="inlineStr">
        <is>
          <t>Y</t>
        </is>
      </c>
      <c r="I1805">
        <f>HYPERLINK("https://admin.shopify.com/store/ge-beauty-cosmeticos/customers/10075574993216","abrir")</f>
        <v/>
      </c>
      <c r="J1805">
        <f>HYPERLINK("https://www.gebeauty.com.br/products/primer-cachos-definidos?ref=review","review")</f>
        <v/>
      </c>
      <c r="K1805" t="inlineStr">
        <is>
          <t>SEND</t>
        </is>
      </c>
    </row>
    <row r="1806">
      <c r="A1806" t="inlineStr">
        <is>
          <t>Kassia</t>
        </is>
      </c>
      <c r="B1806" t="inlineStr">
        <is>
          <t>+5547996740440</t>
        </is>
      </c>
      <c r="C1806" t="inlineStr">
        <is>
          <t>Refill</t>
        </is>
      </c>
      <c r="D1806" t="inlineStr">
        <is>
          <t>Primer Cachos</t>
        </is>
      </c>
      <c r="E1806" t="n">
        <v>1</v>
      </c>
      <c r="F1806" t="inlineStr">
        <is>
          <t>2026-01-21</t>
        </is>
      </c>
      <c r="G1806" t="n">
        <v>164</v>
      </c>
      <c r="H1806" t="inlineStr">
        <is>
          <t>N</t>
        </is>
      </c>
      <c r="I1806">
        <f>HYPERLINK("https://admin.shopify.com/store/ge-beauty-cosmeticos/customers/10075583643968","abrir")</f>
        <v/>
      </c>
      <c r="J1806">
        <f>HYPERLINK("https://www.gebeauty.com.br/products/primer-cachos-definidos?ref=review","review")</f>
        <v/>
      </c>
      <c r="K1806" t="inlineStr">
        <is>
          <t>HOLDOUT</t>
        </is>
      </c>
    </row>
    <row r="1807">
      <c r="A1807" t="inlineStr">
        <is>
          <t>Lamone</t>
        </is>
      </c>
      <c r="B1807" t="inlineStr">
        <is>
          <t>+5566984064270</t>
        </is>
      </c>
      <c r="C1807" t="inlineStr">
        <is>
          <t>Refill</t>
        </is>
      </c>
      <c r="D1807" t="inlineStr">
        <is>
          <t>Primer Cachos</t>
        </is>
      </c>
      <c r="E1807" t="n">
        <v>1</v>
      </c>
      <c r="F1807" t="inlineStr">
        <is>
          <t>2026-01-21</t>
        </is>
      </c>
      <c r="G1807" t="n">
        <v>164</v>
      </c>
      <c r="H1807" t="inlineStr">
        <is>
          <t>Y</t>
        </is>
      </c>
      <c r="I1807">
        <f>HYPERLINK("https://admin.shopify.com/store/ge-beauty-cosmeticos/customers/10075620770112","abrir")</f>
        <v/>
      </c>
      <c r="J1807">
        <f>HYPERLINK("https://www.gebeauty.com.br/products/primer-cachos-definidos?ref=review","review")</f>
        <v/>
      </c>
      <c r="K1807" t="inlineStr">
        <is>
          <t>SEND</t>
        </is>
      </c>
    </row>
    <row r="1808">
      <c r="A1808" t="inlineStr">
        <is>
          <t>Andrea</t>
        </is>
      </c>
      <c r="B1808" t="inlineStr">
        <is>
          <t>+5573991120089</t>
        </is>
      </c>
      <c r="C1808" t="inlineStr">
        <is>
          <t>Refill</t>
        </is>
      </c>
      <c r="D1808" t="inlineStr">
        <is>
          <t>Primer Cachos</t>
        </is>
      </c>
      <c r="E1808" t="n">
        <v>1</v>
      </c>
      <c r="F1808" t="inlineStr">
        <is>
          <t>2026-01-21</t>
        </is>
      </c>
      <c r="G1808" t="n">
        <v>164</v>
      </c>
      <c r="H1808" t="inlineStr">
        <is>
          <t>Y</t>
        </is>
      </c>
      <c r="I1808">
        <f>HYPERLINK("https://admin.shopify.com/store/ge-beauty-cosmeticos/customers/10075612217664","abrir")</f>
        <v/>
      </c>
      <c r="J1808">
        <f>HYPERLINK("https://www.gebeauty.com.br/products/primer-cachos-definidos?ref=review","review")</f>
        <v/>
      </c>
      <c r="K1808" t="inlineStr">
        <is>
          <t>SEND</t>
        </is>
      </c>
    </row>
    <row r="1809">
      <c r="A1809" t="inlineStr">
        <is>
          <t>Flavia Regina</t>
        </is>
      </c>
      <c r="B1809" t="inlineStr">
        <is>
          <t>+5511973894892</t>
        </is>
      </c>
      <c r="C1809" t="inlineStr">
        <is>
          <t>Refill</t>
        </is>
      </c>
      <c r="D1809" t="inlineStr">
        <is>
          <t>Primer Cachos</t>
        </is>
      </c>
      <c r="E1809" t="n">
        <v>1</v>
      </c>
      <c r="F1809" t="inlineStr">
        <is>
          <t>2026-01-21</t>
        </is>
      </c>
      <c r="G1809" t="n">
        <v>164</v>
      </c>
      <c r="H1809" t="inlineStr">
        <is>
          <t>Y</t>
        </is>
      </c>
      <c r="I1809">
        <f>HYPERLINK("https://admin.shopify.com/store/ge-beauty-cosmeticos/customers/10074914259264","abrir")</f>
        <v/>
      </c>
      <c r="J1809">
        <f>HYPERLINK("https://www.gebeauty.com.br/products/primer-cachos-definidos?ref=review","review")</f>
        <v/>
      </c>
      <c r="K1809" t="inlineStr">
        <is>
          <t>HOLDOUT</t>
        </is>
      </c>
    </row>
    <row r="1810">
      <c r="A1810" t="inlineStr">
        <is>
          <t>Carolina</t>
        </is>
      </c>
      <c r="B1810" t="inlineStr">
        <is>
          <t>+5541996509095</t>
        </is>
      </c>
      <c r="C1810" t="inlineStr">
        <is>
          <t>Refill</t>
        </is>
      </c>
      <c r="D1810" t="inlineStr">
        <is>
          <t>Primer Cachos</t>
        </is>
      </c>
      <c r="E1810" t="n">
        <v>1</v>
      </c>
      <c r="F1810" t="inlineStr">
        <is>
          <t>2026-01-21</t>
        </is>
      </c>
      <c r="G1810" t="n">
        <v>164</v>
      </c>
      <c r="H1810" t="inlineStr">
        <is>
          <t>Y</t>
        </is>
      </c>
      <c r="I1810">
        <f>HYPERLINK("https://admin.shopify.com/store/ge-beauty-cosmeticos/customers/10075644264768","abrir")</f>
        <v/>
      </c>
      <c r="J1810">
        <f>HYPERLINK("https://www.gebeauty.com.br/products/primer-cachos-definidos?ref=review","review")</f>
        <v/>
      </c>
      <c r="K1810" t="inlineStr">
        <is>
          <t>SEND</t>
        </is>
      </c>
    </row>
    <row r="1811">
      <c r="A1811" t="inlineStr">
        <is>
          <t>Meryelle</t>
        </is>
      </c>
      <c r="B1811" t="inlineStr">
        <is>
          <t>+5524998565549</t>
        </is>
      </c>
      <c r="C1811" t="inlineStr">
        <is>
          <t>Refill</t>
        </is>
      </c>
      <c r="D1811" t="inlineStr">
        <is>
          <t>Primer Cachos</t>
        </is>
      </c>
      <c r="E1811" t="n">
        <v>1</v>
      </c>
      <c r="F1811" t="inlineStr">
        <is>
          <t>2026-01-21</t>
        </is>
      </c>
      <c r="G1811" t="n">
        <v>164</v>
      </c>
      <c r="H1811" t="inlineStr">
        <is>
          <t>Y</t>
        </is>
      </c>
      <c r="I1811">
        <f>HYPERLINK("https://admin.shopify.com/store/ge-beauty-cosmeticos/customers/10075643183424","abrir")</f>
        <v/>
      </c>
      <c r="J1811">
        <f>HYPERLINK("https://www.gebeauty.com.br/products/primer-cachos-definidos?ref=review","review")</f>
        <v/>
      </c>
      <c r="K1811" t="inlineStr">
        <is>
          <t>SEND</t>
        </is>
      </c>
    </row>
    <row r="1812">
      <c r="A1812" t="inlineStr">
        <is>
          <t>Paula</t>
        </is>
      </c>
      <c r="B1812" t="inlineStr">
        <is>
          <t>+5511966731112</t>
        </is>
      </c>
      <c r="C1812" t="inlineStr">
        <is>
          <t>Refill</t>
        </is>
      </c>
      <c r="D1812" t="inlineStr">
        <is>
          <t>Primer Cachos</t>
        </is>
      </c>
      <c r="E1812" t="n">
        <v>1</v>
      </c>
      <c r="F1812" t="inlineStr">
        <is>
          <t>2026-01-21</t>
        </is>
      </c>
      <c r="G1812" t="n">
        <v>164</v>
      </c>
      <c r="H1812" t="inlineStr">
        <is>
          <t>Y</t>
        </is>
      </c>
      <c r="I1812">
        <f>HYPERLINK("https://admin.shopify.com/store/ge-beauty-cosmeticos/customers/10075647607104","abrir")</f>
        <v/>
      </c>
      <c r="J1812">
        <f>HYPERLINK("https://www.gebeauty.com.br/products/primer-cachos-definidos?ref=review","review")</f>
        <v/>
      </c>
      <c r="K1812" t="inlineStr">
        <is>
          <t>SEND</t>
        </is>
      </c>
    </row>
    <row r="1813">
      <c r="A1813" t="inlineStr">
        <is>
          <t>Susana</t>
        </is>
      </c>
      <c r="B1813" t="inlineStr">
        <is>
          <t>+5549999330853</t>
        </is>
      </c>
      <c r="C1813" t="inlineStr">
        <is>
          <t>Refill</t>
        </is>
      </c>
      <c r="D1813" t="inlineStr">
        <is>
          <t>Primer Cachos</t>
        </is>
      </c>
      <c r="E1813" t="n">
        <v>1</v>
      </c>
      <c r="F1813" t="inlineStr">
        <is>
          <t>2026-01-21</t>
        </is>
      </c>
      <c r="G1813" t="n">
        <v>164</v>
      </c>
      <c r="H1813" t="inlineStr">
        <is>
          <t>Y</t>
        </is>
      </c>
      <c r="I1813">
        <f>HYPERLINK("https://admin.shopify.com/store/ge-beauty-cosmeticos/customers/10075595276608","abrir")</f>
        <v/>
      </c>
      <c r="J1813">
        <f>HYPERLINK("https://www.gebeauty.com.br/products/primer-cachos-definidos?ref=review","review")</f>
        <v/>
      </c>
      <c r="K1813" t="inlineStr">
        <is>
          <t>SEND</t>
        </is>
      </c>
    </row>
    <row r="1814">
      <c r="A1814" t="inlineStr">
        <is>
          <t>Céu</t>
        </is>
      </c>
      <c r="B1814" t="inlineStr">
        <is>
          <t>+5516999925551</t>
        </is>
      </c>
      <c r="C1814" t="inlineStr">
        <is>
          <t>Refill</t>
        </is>
      </c>
      <c r="D1814" t="inlineStr">
        <is>
          <t>Primer Cachos</t>
        </is>
      </c>
      <c r="E1814" t="n">
        <v>1</v>
      </c>
      <c r="F1814" t="inlineStr">
        <is>
          <t>2026-01-21</t>
        </is>
      </c>
      <c r="G1814" t="n">
        <v>164</v>
      </c>
      <c r="H1814" t="inlineStr">
        <is>
          <t>Y</t>
        </is>
      </c>
      <c r="I1814">
        <f>HYPERLINK("https://admin.shopify.com/store/ge-beauty-cosmeticos/customers/10075669332288","abrir")</f>
        <v/>
      </c>
      <c r="J1814">
        <f>HYPERLINK("https://www.gebeauty.com.br/products/primer-cachos-definidos?ref=review","review")</f>
        <v/>
      </c>
      <c r="K1814" t="inlineStr">
        <is>
          <t>SEND</t>
        </is>
      </c>
    </row>
    <row r="1815">
      <c r="A1815" t="inlineStr">
        <is>
          <t>Raquel</t>
        </is>
      </c>
      <c r="B1815" t="inlineStr">
        <is>
          <t>+5531993668497</t>
        </is>
      </c>
      <c r="C1815" t="inlineStr">
        <is>
          <t>Refill</t>
        </is>
      </c>
      <c r="D1815" t="inlineStr">
        <is>
          <t>Primer Cachos</t>
        </is>
      </c>
      <c r="E1815" t="n">
        <v>1</v>
      </c>
      <c r="F1815" t="inlineStr">
        <is>
          <t>2026-01-21</t>
        </is>
      </c>
      <c r="G1815" t="n">
        <v>164</v>
      </c>
      <c r="H1815" t="inlineStr">
        <is>
          <t>Y</t>
        </is>
      </c>
      <c r="I1815">
        <f>HYPERLINK("https://admin.shopify.com/store/ge-beauty-cosmeticos/customers/10075687878976","abrir")</f>
        <v/>
      </c>
      <c r="J1815">
        <f>HYPERLINK("https://www.gebeauty.com.br/products/primer-cachos-definidos?ref=review","review")</f>
        <v/>
      </c>
      <c r="K1815" t="inlineStr">
        <is>
          <t>HOLDOUT</t>
        </is>
      </c>
    </row>
    <row r="1816">
      <c r="A1816" t="inlineStr">
        <is>
          <t>Ana Beatriz</t>
        </is>
      </c>
      <c r="B1816" t="inlineStr">
        <is>
          <t>+5521981245497</t>
        </is>
      </c>
      <c r="C1816" t="inlineStr">
        <is>
          <t>Refill</t>
        </is>
      </c>
      <c r="D1816" t="inlineStr">
        <is>
          <t>Primer Cachos</t>
        </is>
      </c>
      <c r="E1816" t="n">
        <v>1</v>
      </c>
      <c r="F1816" t="inlineStr">
        <is>
          <t>2026-01-21</t>
        </is>
      </c>
      <c r="G1816" t="n">
        <v>164</v>
      </c>
      <c r="H1816" t="inlineStr">
        <is>
          <t>Y</t>
        </is>
      </c>
      <c r="I1816">
        <f>HYPERLINK("https://admin.shopify.com/store/ge-beauty-cosmeticos/customers/10075685028160","abrir")</f>
        <v/>
      </c>
      <c r="J1816">
        <f>HYPERLINK("https://www.gebeauty.com.br/products/primer-cachos-definidos?ref=review","review")</f>
        <v/>
      </c>
      <c r="K1816" t="inlineStr">
        <is>
          <t>SEND</t>
        </is>
      </c>
    </row>
    <row r="1817">
      <c r="A1817" t="inlineStr">
        <is>
          <t>Karoline</t>
        </is>
      </c>
      <c r="B1817" t="inlineStr">
        <is>
          <t>+5541991092201</t>
        </is>
      </c>
      <c r="C1817" t="inlineStr">
        <is>
          <t>Refill</t>
        </is>
      </c>
      <c r="D1817" t="inlineStr">
        <is>
          <t>Primer Cachos</t>
        </is>
      </c>
      <c r="E1817" t="n">
        <v>1</v>
      </c>
      <c r="F1817" t="inlineStr">
        <is>
          <t>2026-01-21</t>
        </is>
      </c>
      <c r="G1817" t="n">
        <v>164</v>
      </c>
      <c r="H1817" t="inlineStr">
        <is>
          <t>Y</t>
        </is>
      </c>
      <c r="I1817">
        <f>HYPERLINK("https://admin.shopify.com/store/ge-beauty-cosmeticos/customers/10075676934464","abrir")</f>
        <v/>
      </c>
      <c r="J1817">
        <f>HYPERLINK("https://www.gebeauty.com.br/products/primer-cachos-definidos?ref=review","review")</f>
        <v/>
      </c>
      <c r="K1817" t="inlineStr">
        <is>
          <t>SEND</t>
        </is>
      </c>
    </row>
    <row r="1818">
      <c r="A1818" t="inlineStr">
        <is>
          <t>Helen</t>
        </is>
      </c>
      <c r="B1818" t="inlineStr">
        <is>
          <t>+5532988135855</t>
        </is>
      </c>
      <c r="C1818" t="inlineStr">
        <is>
          <t>Refill</t>
        </is>
      </c>
      <c r="D1818" t="inlineStr">
        <is>
          <t>Primer Cachos</t>
        </is>
      </c>
      <c r="E1818" t="n">
        <v>1</v>
      </c>
      <c r="F1818" t="inlineStr">
        <is>
          <t>2026-01-21</t>
        </is>
      </c>
      <c r="G1818" t="n">
        <v>164</v>
      </c>
      <c r="H1818" t="inlineStr">
        <is>
          <t>Y</t>
        </is>
      </c>
      <c r="I1818">
        <f>HYPERLINK("https://admin.shopify.com/store/ge-beauty-cosmeticos/customers/10075356594496","abrir")</f>
        <v/>
      </c>
      <c r="J1818">
        <f>HYPERLINK("https://www.gebeauty.com.br/products/primer-cachos-definidos?ref=review","review")</f>
        <v/>
      </c>
      <c r="K1818" t="inlineStr">
        <is>
          <t>SEND</t>
        </is>
      </c>
    </row>
    <row r="1819">
      <c r="A1819" t="inlineStr">
        <is>
          <t>Janaina</t>
        </is>
      </c>
      <c r="B1819" t="inlineStr">
        <is>
          <t>+5562999768807</t>
        </is>
      </c>
      <c r="C1819" t="inlineStr">
        <is>
          <t>Refill</t>
        </is>
      </c>
      <c r="D1819" t="inlineStr">
        <is>
          <t>Primer Cachos</t>
        </is>
      </c>
      <c r="E1819" t="n">
        <v>1</v>
      </c>
      <c r="F1819" t="inlineStr">
        <is>
          <t>2026-01-21</t>
        </is>
      </c>
      <c r="G1819" t="n">
        <v>164</v>
      </c>
      <c r="H1819" t="inlineStr">
        <is>
          <t>Y</t>
        </is>
      </c>
      <c r="I1819">
        <f>HYPERLINK("https://admin.shopify.com/store/ge-beauty-cosmeticos/customers/10075664286016","abrir")</f>
        <v/>
      </c>
      <c r="J1819">
        <f>HYPERLINK("https://www.gebeauty.com.br/products/primer-cachos-definidos?ref=review","review")</f>
        <v/>
      </c>
      <c r="K1819" t="inlineStr">
        <is>
          <t>SEND</t>
        </is>
      </c>
    </row>
    <row r="1820">
      <c r="A1820" t="inlineStr">
        <is>
          <t>Angela</t>
        </is>
      </c>
      <c r="B1820" t="inlineStr">
        <is>
          <t>+5511977808384</t>
        </is>
      </c>
      <c r="C1820" t="inlineStr">
        <is>
          <t>Refill</t>
        </is>
      </c>
      <c r="D1820" t="inlineStr">
        <is>
          <t>Primer Cachos</t>
        </is>
      </c>
      <c r="E1820" t="n">
        <v>1</v>
      </c>
      <c r="F1820" t="inlineStr">
        <is>
          <t>2026-01-21</t>
        </is>
      </c>
      <c r="G1820" t="n">
        <v>164</v>
      </c>
      <c r="H1820" t="inlineStr">
        <is>
          <t>Y</t>
        </is>
      </c>
      <c r="I1820">
        <f>HYPERLINK("https://admin.shopify.com/store/ge-beauty-cosmeticos/customers/10075717108032","abrir")</f>
        <v/>
      </c>
      <c r="J1820">
        <f>HYPERLINK("https://www.gebeauty.com.br/products/primer-cachos-definidos?ref=review","review")</f>
        <v/>
      </c>
      <c r="K1820" t="inlineStr">
        <is>
          <t>SEND</t>
        </is>
      </c>
    </row>
    <row r="1821">
      <c r="A1821" t="inlineStr">
        <is>
          <t>Cinthia</t>
        </is>
      </c>
      <c r="B1821" t="inlineStr">
        <is>
          <t>+5548999107788</t>
        </is>
      </c>
      <c r="C1821" t="inlineStr">
        <is>
          <t>Refill</t>
        </is>
      </c>
      <c r="D1821" t="inlineStr">
        <is>
          <t>Primer Cachos</t>
        </is>
      </c>
      <c r="E1821" t="n">
        <v>1</v>
      </c>
      <c r="F1821" t="inlineStr">
        <is>
          <t>2026-01-21</t>
        </is>
      </c>
      <c r="G1821" t="n">
        <v>164</v>
      </c>
      <c r="H1821" t="inlineStr">
        <is>
          <t>Y</t>
        </is>
      </c>
      <c r="I1821">
        <f>HYPERLINK("https://admin.shopify.com/store/ge-beauty-cosmeticos/customers/10075733360960","abrir")</f>
        <v/>
      </c>
      <c r="J1821">
        <f>HYPERLINK("https://www.gebeauty.com.br/products/primer-cachos-definidos?ref=review","review")</f>
        <v/>
      </c>
      <c r="K1821" t="inlineStr">
        <is>
          <t>SEND</t>
        </is>
      </c>
    </row>
    <row r="1822">
      <c r="A1822" t="inlineStr">
        <is>
          <t>Michelle</t>
        </is>
      </c>
      <c r="B1822" t="inlineStr">
        <is>
          <t>+5513981125122</t>
        </is>
      </c>
      <c r="C1822" t="inlineStr">
        <is>
          <t>Refill</t>
        </is>
      </c>
      <c r="D1822" t="inlineStr">
        <is>
          <t>Primer Cachos</t>
        </is>
      </c>
      <c r="E1822" t="n">
        <v>1</v>
      </c>
      <c r="F1822" t="inlineStr">
        <is>
          <t>2026-01-21</t>
        </is>
      </c>
      <c r="G1822" t="n">
        <v>164</v>
      </c>
      <c r="H1822" t="inlineStr">
        <is>
          <t>Y</t>
        </is>
      </c>
      <c r="I1822">
        <f>HYPERLINK("https://admin.shopify.com/store/ge-beauty-cosmeticos/customers/10075733950784","abrir")</f>
        <v/>
      </c>
      <c r="J1822">
        <f>HYPERLINK("https://www.gebeauty.com.br/products/primer-cachos-definidos?ref=review","review")</f>
        <v/>
      </c>
      <c r="K1822" t="inlineStr">
        <is>
          <t>SEND</t>
        </is>
      </c>
    </row>
    <row r="1823">
      <c r="A1823" t="inlineStr">
        <is>
          <t>Janaina</t>
        </is>
      </c>
      <c r="B1823" t="inlineStr">
        <is>
          <t>+5514996783085</t>
        </is>
      </c>
      <c r="C1823" t="inlineStr">
        <is>
          <t>Refill</t>
        </is>
      </c>
      <c r="D1823" t="inlineStr">
        <is>
          <t>Primer Cachos</t>
        </is>
      </c>
      <c r="E1823" t="n">
        <v>1</v>
      </c>
      <c r="F1823" t="inlineStr">
        <is>
          <t>2026-01-21</t>
        </is>
      </c>
      <c r="G1823" t="n">
        <v>164</v>
      </c>
      <c r="H1823" t="inlineStr">
        <is>
          <t>Y</t>
        </is>
      </c>
      <c r="I1823">
        <f>HYPERLINK("https://admin.shopify.com/store/ge-beauty-cosmeticos/customers/10075718877504","abrir")</f>
        <v/>
      </c>
      <c r="J1823">
        <f>HYPERLINK("https://www.gebeauty.com.br/products/primer-cachos-definidos?ref=review","review")</f>
        <v/>
      </c>
      <c r="K1823" t="inlineStr">
        <is>
          <t>SEND</t>
        </is>
      </c>
    </row>
    <row r="1824">
      <c r="A1824" t="inlineStr">
        <is>
          <t>Martha</t>
        </is>
      </c>
      <c r="B1824" t="inlineStr">
        <is>
          <t>+5531999661604</t>
        </is>
      </c>
      <c r="C1824" t="inlineStr">
        <is>
          <t>Refill</t>
        </is>
      </c>
      <c r="D1824" t="inlineStr">
        <is>
          <t>Primer Cachos</t>
        </is>
      </c>
      <c r="E1824" t="n">
        <v>1</v>
      </c>
      <c r="F1824" t="inlineStr">
        <is>
          <t>2026-01-21</t>
        </is>
      </c>
      <c r="G1824" t="n">
        <v>164</v>
      </c>
      <c r="H1824" t="inlineStr">
        <is>
          <t>Y</t>
        </is>
      </c>
      <c r="I1824">
        <f>HYPERLINK("https://admin.shopify.com/store/ge-beauty-cosmeticos/customers/10072859541824","abrir")</f>
        <v/>
      </c>
      <c r="J1824">
        <f>HYPERLINK("https://www.gebeauty.com.br/products/primer-cachos-definidos?ref=review","review")</f>
        <v/>
      </c>
      <c r="K1824" t="inlineStr">
        <is>
          <t>SEND</t>
        </is>
      </c>
    </row>
    <row r="1825">
      <c r="A1825" t="inlineStr">
        <is>
          <t>Mayra</t>
        </is>
      </c>
      <c r="B1825" t="inlineStr">
        <is>
          <t>+5521987561733</t>
        </is>
      </c>
      <c r="C1825" t="inlineStr">
        <is>
          <t>Refill</t>
        </is>
      </c>
      <c r="D1825" t="inlineStr">
        <is>
          <t>Primer Cachos</t>
        </is>
      </c>
      <c r="E1825" t="n">
        <v>1</v>
      </c>
      <c r="F1825" t="inlineStr">
        <is>
          <t>2026-01-21</t>
        </is>
      </c>
      <c r="G1825" t="n">
        <v>164</v>
      </c>
      <c r="H1825" t="inlineStr">
        <is>
          <t>Y</t>
        </is>
      </c>
      <c r="I1825">
        <f>HYPERLINK("https://admin.shopify.com/store/ge-beauty-cosmeticos/customers/10075735490880","abrir")</f>
        <v/>
      </c>
      <c r="J1825">
        <f>HYPERLINK("https://www.gebeauty.com.br/products/primer-cachos-definidos?ref=review","review")</f>
        <v/>
      </c>
      <c r="K1825" t="inlineStr">
        <is>
          <t>SEND</t>
        </is>
      </c>
    </row>
    <row r="1826">
      <c r="A1826" t="inlineStr">
        <is>
          <t>Regiane</t>
        </is>
      </c>
      <c r="B1826" t="inlineStr">
        <is>
          <t>+5511950381029</t>
        </is>
      </c>
      <c r="C1826" t="inlineStr">
        <is>
          <t>Refill</t>
        </is>
      </c>
      <c r="D1826" t="inlineStr">
        <is>
          <t>Primer Cachos</t>
        </is>
      </c>
      <c r="E1826" t="n">
        <v>1</v>
      </c>
      <c r="F1826" t="inlineStr">
        <is>
          <t>2026-01-21</t>
        </is>
      </c>
      <c r="G1826" t="n">
        <v>164</v>
      </c>
      <c r="H1826" t="inlineStr">
        <is>
          <t>Y</t>
        </is>
      </c>
      <c r="I1826">
        <f>HYPERLINK("https://admin.shopify.com/store/ge-beauty-cosmeticos/customers/10075754692928","abrir")</f>
        <v/>
      </c>
      <c r="J1826">
        <f>HYPERLINK("https://www.gebeauty.com.br/products/primer-cachos-definidos?ref=review","review")</f>
        <v/>
      </c>
      <c r="K1826" t="inlineStr">
        <is>
          <t>SEND</t>
        </is>
      </c>
    </row>
    <row r="1827">
      <c r="A1827" t="inlineStr">
        <is>
          <t>Clarice</t>
        </is>
      </c>
      <c r="B1827" t="inlineStr">
        <is>
          <t>+5521982731745</t>
        </is>
      </c>
      <c r="C1827" t="inlineStr">
        <is>
          <t>Refill</t>
        </is>
      </c>
      <c r="D1827" t="inlineStr">
        <is>
          <t>Primer Cachos</t>
        </is>
      </c>
      <c r="E1827" t="n">
        <v>1</v>
      </c>
      <c r="F1827" t="inlineStr">
        <is>
          <t>2026-01-21</t>
        </is>
      </c>
      <c r="G1827" t="n">
        <v>164</v>
      </c>
      <c r="H1827" t="inlineStr">
        <is>
          <t>Y</t>
        </is>
      </c>
      <c r="I1827">
        <f>HYPERLINK("https://admin.shopify.com/store/ge-beauty-cosmeticos/customers/10075432714560","abrir")</f>
        <v/>
      </c>
      <c r="J1827">
        <f>HYPERLINK("https://www.gebeauty.com.br/products/primer-cachos-definidos?ref=review","review")</f>
        <v/>
      </c>
      <c r="K1827" t="inlineStr">
        <is>
          <t>SEND</t>
        </is>
      </c>
    </row>
    <row r="1828">
      <c r="A1828" t="inlineStr">
        <is>
          <t>Alessandra</t>
        </is>
      </c>
      <c r="B1828" t="inlineStr">
        <is>
          <t>+5511979536929</t>
        </is>
      </c>
      <c r="C1828" t="inlineStr">
        <is>
          <t>Refill</t>
        </is>
      </c>
      <c r="D1828" t="inlineStr">
        <is>
          <t>Primer Cachos</t>
        </is>
      </c>
      <c r="E1828" t="n">
        <v>1</v>
      </c>
      <c r="F1828" t="inlineStr">
        <is>
          <t>2026-01-21</t>
        </is>
      </c>
      <c r="G1828" t="n">
        <v>164</v>
      </c>
      <c r="H1828" t="inlineStr">
        <is>
          <t>Y</t>
        </is>
      </c>
      <c r="I1828">
        <f>HYPERLINK("https://admin.shopify.com/store/ge-beauty-cosmeticos/customers/10075749515584","abrir")</f>
        <v/>
      </c>
      <c r="J1828">
        <f>HYPERLINK("https://www.gebeauty.com.br/products/primer-cachos-definidos?ref=review","review")</f>
        <v/>
      </c>
      <c r="K1828" t="inlineStr">
        <is>
          <t>SEND</t>
        </is>
      </c>
    </row>
    <row r="1829">
      <c r="A1829" t="inlineStr">
        <is>
          <t>Cintia</t>
        </is>
      </c>
      <c r="B1829" t="inlineStr">
        <is>
          <t>+5541991531535</t>
        </is>
      </c>
      <c r="C1829" t="inlineStr">
        <is>
          <t>Refill</t>
        </is>
      </c>
      <c r="D1829" t="inlineStr">
        <is>
          <t>Primer Cachos</t>
        </is>
      </c>
      <c r="E1829" t="n">
        <v>1</v>
      </c>
      <c r="F1829" t="inlineStr">
        <is>
          <t>2026-01-21</t>
        </is>
      </c>
      <c r="G1829" t="n">
        <v>164</v>
      </c>
      <c r="H1829" t="inlineStr">
        <is>
          <t>Y</t>
        </is>
      </c>
      <c r="I1829">
        <f>HYPERLINK("https://admin.shopify.com/store/ge-beauty-cosmeticos/customers/10075759345984","abrir")</f>
        <v/>
      </c>
      <c r="J1829">
        <f>HYPERLINK("https://www.gebeauty.com.br/products/primer-cachos-definidos?ref=review","review")</f>
        <v/>
      </c>
      <c r="K1829" t="inlineStr">
        <is>
          <t>SEND</t>
        </is>
      </c>
    </row>
    <row r="1830">
      <c r="A1830" t="inlineStr">
        <is>
          <t>Janaina</t>
        </is>
      </c>
      <c r="B1830" t="inlineStr">
        <is>
          <t>+5541992360355</t>
        </is>
      </c>
      <c r="C1830" t="inlineStr">
        <is>
          <t>Refill</t>
        </is>
      </c>
      <c r="D1830" t="inlineStr">
        <is>
          <t>Primer Cachos</t>
        </is>
      </c>
      <c r="E1830" t="n">
        <v>1</v>
      </c>
      <c r="F1830" t="inlineStr">
        <is>
          <t>2026-01-21</t>
        </is>
      </c>
      <c r="G1830" t="n">
        <v>164</v>
      </c>
      <c r="H1830" t="inlineStr">
        <is>
          <t>Y</t>
        </is>
      </c>
      <c r="I1830">
        <f>HYPERLINK("https://admin.shopify.com/store/ge-beauty-cosmeticos/customers/10075740242240","abrir")</f>
        <v/>
      </c>
      <c r="J1830">
        <f>HYPERLINK("https://www.gebeauty.com.br/products/primer-cachos-definidos?ref=review","review")</f>
        <v/>
      </c>
      <c r="K1830" t="inlineStr">
        <is>
          <t>SEND</t>
        </is>
      </c>
    </row>
    <row r="1831">
      <c r="A1831" t="inlineStr">
        <is>
          <t>Thais</t>
        </is>
      </c>
      <c r="B1831" t="inlineStr">
        <is>
          <t>+5521996315759</t>
        </is>
      </c>
      <c r="C1831" t="inlineStr">
        <is>
          <t>Refill</t>
        </is>
      </c>
      <c r="D1831" t="inlineStr">
        <is>
          <t>Primer Cachos</t>
        </is>
      </c>
      <c r="E1831" t="n">
        <v>1</v>
      </c>
      <c r="F1831" t="inlineStr">
        <is>
          <t>2026-01-21</t>
        </is>
      </c>
      <c r="G1831" t="n">
        <v>164</v>
      </c>
      <c r="H1831" t="inlineStr">
        <is>
          <t>Y</t>
        </is>
      </c>
      <c r="I1831">
        <f>HYPERLINK("https://admin.shopify.com/store/ge-beauty-cosmeticos/customers/10075752595776","abrir")</f>
        <v/>
      </c>
      <c r="J1831">
        <f>HYPERLINK("https://www.gebeauty.com.br/products/primer-cachos-definidos?ref=review","review")</f>
        <v/>
      </c>
      <c r="K1831" t="inlineStr">
        <is>
          <t>SEND</t>
        </is>
      </c>
    </row>
    <row r="1832">
      <c r="A1832" t="inlineStr">
        <is>
          <t>Fabiana</t>
        </is>
      </c>
      <c r="B1832" t="inlineStr">
        <is>
          <t>+5511999993138</t>
        </is>
      </c>
      <c r="C1832" t="inlineStr">
        <is>
          <t>Refill</t>
        </is>
      </c>
      <c r="D1832" t="inlineStr">
        <is>
          <t>Primer Cachos</t>
        </is>
      </c>
      <c r="E1832" t="n">
        <v>1</v>
      </c>
      <c r="F1832" t="inlineStr">
        <is>
          <t>2026-01-21</t>
        </is>
      </c>
      <c r="G1832" t="n">
        <v>164</v>
      </c>
      <c r="H1832" t="inlineStr">
        <is>
          <t>Y</t>
        </is>
      </c>
      <c r="I1832">
        <f>HYPERLINK("https://admin.shopify.com/store/ge-beauty-cosmeticos/customers/10075762884928","abrir")</f>
        <v/>
      </c>
      <c r="J1832">
        <f>HYPERLINK("https://www.gebeauty.com.br/products/primer-cachos-definidos?ref=review","review")</f>
        <v/>
      </c>
      <c r="K1832" t="inlineStr">
        <is>
          <t>SEND</t>
        </is>
      </c>
    </row>
    <row r="1833">
      <c r="A1833" t="inlineStr">
        <is>
          <t>Aline</t>
        </is>
      </c>
      <c r="B1833" t="inlineStr">
        <is>
          <t>+5511998398993</t>
        </is>
      </c>
      <c r="C1833" t="inlineStr">
        <is>
          <t>Refill</t>
        </is>
      </c>
      <c r="D1833" t="inlineStr">
        <is>
          <t>Primer Cachos</t>
        </is>
      </c>
      <c r="E1833" t="n">
        <v>1</v>
      </c>
      <c r="F1833" t="inlineStr">
        <is>
          <t>2026-01-21</t>
        </is>
      </c>
      <c r="G1833" t="n">
        <v>164</v>
      </c>
      <c r="H1833" t="inlineStr">
        <is>
          <t>Y</t>
        </is>
      </c>
      <c r="I1833">
        <f>HYPERLINK("https://admin.shopify.com/store/ge-beauty-cosmeticos/customers/9485758497088","abrir")</f>
        <v/>
      </c>
      <c r="J1833">
        <f>HYPERLINK("https://www.gebeauty.com.br/products/primer-cachos-definidos?ref=review","review")</f>
        <v/>
      </c>
      <c r="K1833" t="inlineStr">
        <is>
          <t>HOLDOUT</t>
        </is>
      </c>
    </row>
    <row r="1834">
      <c r="A1834" t="inlineStr">
        <is>
          <t>Adriana</t>
        </is>
      </c>
      <c r="B1834" t="inlineStr">
        <is>
          <t>+5511999022099</t>
        </is>
      </c>
      <c r="C1834" t="inlineStr">
        <is>
          <t>Refill</t>
        </is>
      </c>
      <c r="D1834" t="inlineStr">
        <is>
          <t>Primer Cachos</t>
        </is>
      </c>
      <c r="E1834" t="n">
        <v>1</v>
      </c>
      <c r="F1834" t="inlineStr">
        <is>
          <t>2026-01-21</t>
        </is>
      </c>
      <c r="G1834" t="n">
        <v>164</v>
      </c>
      <c r="H1834" t="inlineStr">
        <is>
          <t>Y</t>
        </is>
      </c>
      <c r="I1834">
        <f>HYPERLINK("https://admin.shopify.com/store/ge-beauty-cosmeticos/customers/10075772682560","abrir")</f>
        <v/>
      </c>
      <c r="J1834">
        <f>HYPERLINK("https://www.gebeauty.com.br/products/primer-cachos-definidos?ref=review","review")</f>
        <v/>
      </c>
      <c r="K1834" t="inlineStr">
        <is>
          <t>SEND</t>
        </is>
      </c>
    </row>
    <row r="1835">
      <c r="A1835" t="inlineStr">
        <is>
          <t>Taina</t>
        </is>
      </c>
      <c r="B1835" t="inlineStr">
        <is>
          <t>+5582996143939</t>
        </is>
      </c>
      <c r="C1835" t="inlineStr">
        <is>
          <t>Refill</t>
        </is>
      </c>
      <c r="D1835" t="inlineStr">
        <is>
          <t>Primer Cachos</t>
        </is>
      </c>
      <c r="E1835" t="n">
        <v>1</v>
      </c>
      <c r="F1835" t="inlineStr">
        <is>
          <t>2026-01-21</t>
        </is>
      </c>
      <c r="G1835" t="n">
        <v>164</v>
      </c>
      <c r="H1835" t="inlineStr">
        <is>
          <t>Y</t>
        </is>
      </c>
      <c r="I1835">
        <f>HYPERLINK("https://admin.shopify.com/store/ge-beauty-cosmeticos/customers/10075773632832","abrir")</f>
        <v/>
      </c>
      <c r="J1835">
        <f>HYPERLINK("https://www.gebeauty.com.br/products/primer-cachos-definidos?ref=review","review")</f>
        <v/>
      </c>
      <c r="K1835" t="inlineStr">
        <is>
          <t>HOLDOUT</t>
        </is>
      </c>
    </row>
    <row r="1836">
      <c r="A1836" t="inlineStr">
        <is>
          <t>Tathiane</t>
        </is>
      </c>
      <c r="B1836" t="inlineStr">
        <is>
          <t>+5546999299949</t>
        </is>
      </c>
      <c r="C1836" t="inlineStr">
        <is>
          <t>Refill</t>
        </is>
      </c>
      <c r="D1836" t="inlineStr">
        <is>
          <t>Primer Cachos</t>
        </is>
      </c>
      <c r="E1836" t="n">
        <v>1</v>
      </c>
      <c r="F1836" t="inlineStr">
        <is>
          <t>2026-01-21</t>
        </is>
      </c>
      <c r="G1836" t="n">
        <v>164</v>
      </c>
      <c r="H1836" t="inlineStr">
        <is>
          <t>Y</t>
        </is>
      </c>
      <c r="I1836">
        <f>HYPERLINK("https://admin.shopify.com/store/ge-beauty-cosmeticos/customers/10075780940096","abrir")</f>
        <v/>
      </c>
      <c r="J1836">
        <f>HYPERLINK("https://www.gebeauty.com.br/products/primer-cachos-definidos?ref=review","review")</f>
        <v/>
      </c>
      <c r="K1836" t="inlineStr">
        <is>
          <t>SEND</t>
        </is>
      </c>
    </row>
    <row r="1837">
      <c r="A1837" t="inlineStr">
        <is>
          <t>Mariana</t>
        </is>
      </c>
      <c r="B1837" t="inlineStr">
        <is>
          <t>+5521992718833</t>
        </is>
      </c>
      <c r="C1837" t="inlineStr">
        <is>
          <t>Refill</t>
        </is>
      </c>
      <c r="D1837" t="inlineStr">
        <is>
          <t>Primer Cachos</t>
        </is>
      </c>
      <c r="E1837" t="n">
        <v>1</v>
      </c>
      <c r="F1837" t="inlineStr">
        <is>
          <t>2026-01-21</t>
        </is>
      </c>
      <c r="G1837" t="n">
        <v>164</v>
      </c>
      <c r="H1837" t="inlineStr">
        <is>
          <t>Y</t>
        </is>
      </c>
      <c r="I1837">
        <f>HYPERLINK("https://admin.shopify.com/store/ge-beauty-cosmeticos/customers/10075374485824","abrir")</f>
        <v/>
      </c>
      <c r="J1837">
        <f>HYPERLINK("https://www.gebeauty.com.br/products/primer-cachos-definidos?ref=review","review")</f>
        <v/>
      </c>
      <c r="K1837" t="inlineStr">
        <is>
          <t>SEND</t>
        </is>
      </c>
    </row>
    <row r="1838">
      <c r="A1838" t="inlineStr">
        <is>
          <t>Karina</t>
        </is>
      </c>
      <c r="B1838" t="inlineStr">
        <is>
          <t>+5511982457560</t>
        </is>
      </c>
      <c r="C1838" t="inlineStr">
        <is>
          <t>Refill</t>
        </is>
      </c>
      <c r="D1838" t="inlineStr">
        <is>
          <t>Primer Cachos</t>
        </is>
      </c>
      <c r="E1838" t="n">
        <v>1</v>
      </c>
      <c r="F1838" t="inlineStr">
        <is>
          <t>2026-01-21</t>
        </is>
      </c>
      <c r="G1838" t="n">
        <v>164</v>
      </c>
      <c r="H1838" t="inlineStr">
        <is>
          <t>Y</t>
        </is>
      </c>
      <c r="I1838">
        <f>HYPERLINK("https://admin.shopify.com/store/ge-beauty-cosmeticos/customers/10075792736576","abrir")</f>
        <v/>
      </c>
      <c r="J1838">
        <f>HYPERLINK("https://www.gebeauty.com.br/products/primer-cachos-definidos?ref=review","review")</f>
        <v/>
      </c>
      <c r="K1838" t="inlineStr">
        <is>
          <t>SEND</t>
        </is>
      </c>
    </row>
    <row r="1839">
      <c r="A1839" t="inlineStr">
        <is>
          <t>Ana Beatriz</t>
        </is>
      </c>
      <c r="B1839" t="inlineStr">
        <is>
          <t>+5519997890537</t>
        </is>
      </c>
      <c r="C1839" t="inlineStr">
        <is>
          <t>Refill</t>
        </is>
      </c>
      <c r="D1839" t="inlineStr">
        <is>
          <t>Primer Cachos</t>
        </is>
      </c>
      <c r="E1839" t="n">
        <v>1</v>
      </c>
      <c r="F1839" t="inlineStr">
        <is>
          <t>2026-01-21</t>
        </is>
      </c>
      <c r="G1839" t="n">
        <v>164</v>
      </c>
      <c r="H1839" t="inlineStr">
        <is>
          <t>Y</t>
        </is>
      </c>
      <c r="I1839">
        <f>HYPERLINK("https://admin.shopify.com/store/ge-beauty-cosmeticos/customers/10075792113984","abrir")</f>
        <v/>
      </c>
      <c r="J1839">
        <f>HYPERLINK("https://www.gebeauty.com.br/products/primer-cachos-definidos?ref=review","review")</f>
        <v/>
      </c>
      <c r="K1839" t="inlineStr">
        <is>
          <t>SEND</t>
        </is>
      </c>
    </row>
    <row r="1840">
      <c r="A1840" t="inlineStr">
        <is>
          <t>Nathalia</t>
        </is>
      </c>
      <c r="B1840" t="inlineStr">
        <is>
          <t>+5519981094725</t>
        </is>
      </c>
      <c r="C1840" t="inlineStr">
        <is>
          <t>Refill</t>
        </is>
      </c>
      <c r="D1840" t="inlineStr">
        <is>
          <t>Primer Cachos</t>
        </is>
      </c>
      <c r="E1840" t="n">
        <v>1</v>
      </c>
      <c r="F1840" t="inlineStr">
        <is>
          <t>2026-01-21</t>
        </is>
      </c>
      <c r="G1840" t="n">
        <v>164</v>
      </c>
      <c r="H1840" t="inlineStr">
        <is>
          <t>Y</t>
        </is>
      </c>
      <c r="I1840">
        <f>HYPERLINK("https://admin.shopify.com/store/ge-beauty-cosmeticos/customers/10075800961344","abrir")</f>
        <v/>
      </c>
      <c r="J1840">
        <f>HYPERLINK("https://www.gebeauty.com.br/products/primer-cachos-definidos?ref=review","review")</f>
        <v/>
      </c>
      <c r="K1840" t="inlineStr">
        <is>
          <t>SEND</t>
        </is>
      </c>
    </row>
    <row r="1841">
      <c r="A1841" t="inlineStr">
        <is>
          <t>Daniela</t>
        </is>
      </c>
      <c r="B1841" t="inlineStr">
        <is>
          <t>+5541991063511</t>
        </is>
      </c>
      <c r="C1841" t="inlineStr">
        <is>
          <t>Refill</t>
        </is>
      </c>
      <c r="D1841" t="inlineStr">
        <is>
          <t>Primer Cachos</t>
        </is>
      </c>
      <c r="E1841" t="n">
        <v>1</v>
      </c>
      <c r="F1841" t="inlineStr">
        <is>
          <t>2026-01-21</t>
        </is>
      </c>
      <c r="G1841" t="n">
        <v>164</v>
      </c>
      <c r="H1841" t="inlineStr">
        <is>
          <t>N</t>
        </is>
      </c>
      <c r="I1841">
        <f>HYPERLINK("https://admin.shopify.com/store/ge-beauty-cosmeticos/customers/10075800994112","abrir")</f>
        <v/>
      </c>
      <c r="J1841">
        <f>HYPERLINK("https://www.gebeauty.com.br/products/primer-cachos-definidos?ref=review","review")</f>
        <v/>
      </c>
      <c r="K1841" t="inlineStr">
        <is>
          <t>SEND</t>
        </is>
      </c>
    </row>
    <row r="1842">
      <c r="A1842" t="inlineStr">
        <is>
          <t>Maria</t>
        </is>
      </c>
      <c r="B1842" t="inlineStr">
        <is>
          <t>+5511996036960</t>
        </is>
      </c>
      <c r="C1842" t="inlineStr">
        <is>
          <t>Refill</t>
        </is>
      </c>
      <c r="D1842" t="inlineStr">
        <is>
          <t>Primer Cachos</t>
        </is>
      </c>
      <c r="E1842" t="n">
        <v>1</v>
      </c>
      <c r="F1842" t="inlineStr">
        <is>
          <t>2026-01-21</t>
        </is>
      </c>
      <c r="G1842" t="n">
        <v>164</v>
      </c>
      <c r="H1842" t="inlineStr">
        <is>
          <t>Y</t>
        </is>
      </c>
      <c r="I1842">
        <f>HYPERLINK("https://admin.shopify.com/store/ge-beauty-cosmeticos/customers/10075784118592","abrir")</f>
        <v/>
      </c>
      <c r="J1842">
        <f>HYPERLINK("https://www.gebeauty.com.br/products/primer-cachos-definidos?ref=review","review")</f>
        <v/>
      </c>
      <c r="K1842" t="inlineStr">
        <is>
          <t>SEND</t>
        </is>
      </c>
    </row>
    <row r="1843">
      <c r="A1843" t="inlineStr">
        <is>
          <t>Simone</t>
        </is>
      </c>
      <c r="B1843" t="inlineStr">
        <is>
          <t>+5542998242049</t>
        </is>
      </c>
      <c r="C1843" t="inlineStr">
        <is>
          <t>Refill</t>
        </is>
      </c>
      <c r="D1843" t="inlineStr">
        <is>
          <t>Primer Cachos</t>
        </is>
      </c>
      <c r="E1843" t="n">
        <v>1</v>
      </c>
      <c r="F1843" t="inlineStr">
        <is>
          <t>2026-01-21</t>
        </is>
      </c>
      <c r="G1843" t="n">
        <v>164</v>
      </c>
      <c r="H1843" t="inlineStr">
        <is>
          <t>Y</t>
        </is>
      </c>
      <c r="I1843">
        <f>HYPERLINK("https://admin.shopify.com/store/ge-beauty-cosmeticos/customers/10017111867712","abrir")</f>
        <v/>
      </c>
      <c r="J1843">
        <f>HYPERLINK("https://www.gebeauty.com.br/products/primer-cachos-definidos?ref=review","review")</f>
        <v/>
      </c>
      <c r="K1843" t="inlineStr">
        <is>
          <t>SEND</t>
        </is>
      </c>
    </row>
    <row r="1844">
      <c r="A1844" t="inlineStr">
        <is>
          <t>Taciana</t>
        </is>
      </c>
      <c r="B1844" t="inlineStr">
        <is>
          <t>+5531986567473</t>
        </is>
      </c>
      <c r="C1844" t="inlineStr">
        <is>
          <t>Refill</t>
        </is>
      </c>
      <c r="D1844" t="inlineStr">
        <is>
          <t>Primer Cachos</t>
        </is>
      </c>
      <c r="E1844" t="n">
        <v>1</v>
      </c>
      <c r="F1844" t="inlineStr">
        <is>
          <t>2026-01-21</t>
        </is>
      </c>
      <c r="G1844" t="n">
        <v>164</v>
      </c>
      <c r="H1844" t="inlineStr">
        <is>
          <t>Y</t>
        </is>
      </c>
      <c r="I1844">
        <f>HYPERLINK("https://admin.shopify.com/store/ge-beauty-cosmeticos/customers/10075792081216","abrir")</f>
        <v/>
      </c>
      <c r="J1844">
        <f>HYPERLINK("https://www.gebeauty.com.br/products/primer-cachos-definidos?ref=review","review")</f>
        <v/>
      </c>
      <c r="K1844" t="inlineStr">
        <is>
          <t>SEND</t>
        </is>
      </c>
    </row>
    <row r="1845">
      <c r="A1845" t="inlineStr">
        <is>
          <t>Adriana</t>
        </is>
      </c>
      <c r="B1845" t="inlineStr">
        <is>
          <t>+5545998191034</t>
        </is>
      </c>
      <c r="C1845" t="inlineStr">
        <is>
          <t>Refill</t>
        </is>
      </c>
      <c r="D1845" t="inlineStr">
        <is>
          <t>Primer Cachos</t>
        </is>
      </c>
      <c r="E1845" t="n">
        <v>1</v>
      </c>
      <c r="F1845" t="inlineStr">
        <is>
          <t>2026-01-21</t>
        </is>
      </c>
      <c r="G1845" t="n">
        <v>164</v>
      </c>
      <c r="H1845" t="inlineStr">
        <is>
          <t>Y</t>
        </is>
      </c>
      <c r="I1845">
        <f>HYPERLINK("https://admin.shopify.com/store/ge-beauty-cosmeticos/customers/10075636695360","abrir")</f>
        <v/>
      </c>
      <c r="J1845">
        <f>HYPERLINK("https://www.gebeauty.com.br/products/primer-cachos-definidos?ref=review","review")</f>
        <v/>
      </c>
      <c r="K1845" t="inlineStr">
        <is>
          <t>SEND</t>
        </is>
      </c>
    </row>
    <row r="1846">
      <c r="A1846" t="inlineStr">
        <is>
          <t>Tatiana</t>
        </is>
      </c>
      <c r="B1846" t="inlineStr">
        <is>
          <t>+5511930673585</t>
        </is>
      </c>
      <c r="C1846" t="inlineStr">
        <is>
          <t>Refill</t>
        </is>
      </c>
      <c r="D1846" t="inlineStr">
        <is>
          <t>Primer Cachos</t>
        </is>
      </c>
      <c r="E1846" t="n">
        <v>1</v>
      </c>
      <c r="F1846" t="inlineStr">
        <is>
          <t>2026-01-21</t>
        </is>
      </c>
      <c r="G1846" t="n">
        <v>164</v>
      </c>
      <c r="H1846" t="inlineStr">
        <is>
          <t>Y</t>
        </is>
      </c>
      <c r="I1846">
        <f>HYPERLINK("https://admin.shopify.com/store/ge-beauty-cosmeticos/customers/10075817247040","abrir")</f>
        <v/>
      </c>
      <c r="J1846">
        <f>HYPERLINK("https://www.gebeauty.com.br/products/primer-cachos-definidos?ref=review","review")</f>
        <v/>
      </c>
      <c r="K1846" t="inlineStr">
        <is>
          <t>SEND</t>
        </is>
      </c>
    </row>
    <row r="1847">
      <c r="A1847" t="inlineStr">
        <is>
          <t>Cheila</t>
        </is>
      </c>
      <c r="B1847" t="inlineStr">
        <is>
          <t>+5541988344868</t>
        </is>
      </c>
      <c r="C1847" t="inlineStr">
        <is>
          <t>Refill</t>
        </is>
      </c>
      <c r="D1847" t="inlineStr">
        <is>
          <t>Primer Cachos</t>
        </is>
      </c>
      <c r="E1847" t="n">
        <v>1</v>
      </c>
      <c r="F1847" t="inlineStr">
        <is>
          <t>2026-01-21</t>
        </is>
      </c>
      <c r="G1847" t="n">
        <v>164</v>
      </c>
      <c r="H1847" t="inlineStr">
        <is>
          <t>Y</t>
        </is>
      </c>
      <c r="I1847">
        <f>HYPERLINK("https://admin.shopify.com/store/ge-beauty-cosmeticos/customers/10075816657216","abrir")</f>
        <v/>
      </c>
      <c r="J1847">
        <f>HYPERLINK("https://www.gebeauty.com.br/products/primer-cachos-definidos?ref=review","review")</f>
        <v/>
      </c>
      <c r="K1847" t="inlineStr">
        <is>
          <t>SEND</t>
        </is>
      </c>
    </row>
    <row r="1848">
      <c r="A1848" t="inlineStr">
        <is>
          <t>Renata</t>
        </is>
      </c>
      <c r="B1848" t="inlineStr">
        <is>
          <t>+5517997150070</t>
        </is>
      </c>
      <c r="C1848" t="inlineStr">
        <is>
          <t>Refill</t>
        </is>
      </c>
      <c r="D1848" t="inlineStr">
        <is>
          <t>Primer Cachos</t>
        </is>
      </c>
      <c r="E1848" t="n">
        <v>1</v>
      </c>
      <c r="F1848" t="inlineStr">
        <is>
          <t>2026-01-21</t>
        </is>
      </c>
      <c r="G1848" t="n">
        <v>164</v>
      </c>
      <c r="H1848" t="inlineStr">
        <is>
          <t>Y</t>
        </is>
      </c>
      <c r="I1848">
        <f>HYPERLINK("https://admin.shopify.com/store/ge-beauty-cosmeticos/customers/10073683394880","abrir")</f>
        <v/>
      </c>
      <c r="J1848">
        <f>HYPERLINK("https://www.gebeauty.com.br/products/primer-cachos-definidos?ref=review","review")</f>
        <v/>
      </c>
      <c r="K1848" t="inlineStr">
        <is>
          <t>SEND</t>
        </is>
      </c>
    </row>
    <row r="1849">
      <c r="A1849" t="inlineStr">
        <is>
          <t>Alba</t>
        </is>
      </c>
      <c r="B1849" t="inlineStr">
        <is>
          <t>+5531971725568</t>
        </is>
      </c>
      <c r="C1849" t="inlineStr">
        <is>
          <t>Refill</t>
        </is>
      </c>
      <c r="D1849" t="inlineStr">
        <is>
          <t>Primer Cachos</t>
        </is>
      </c>
      <c r="E1849" t="n">
        <v>1</v>
      </c>
      <c r="F1849" t="inlineStr">
        <is>
          <t>2026-01-21</t>
        </is>
      </c>
      <c r="G1849" t="n">
        <v>164</v>
      </c>
      <c r="H1849" t="inlineStr">
        <is>
          <t>Y</t>
        </is>
      </c>
      <c r="I1849">
        <f>HYPERLINK("https://admin.shopify.com/store/ge-beauty-cosmeticos/customers/10075827568960","abrir")</f>
        <v/>
      </c>
      <c r="J1849">
        <f>HYPERLINK("https://www.gebeauty.com.br/products/primer-cachos-definidos?ref=review","review")</f>
        <v/>
      </c>
      <c r="K1849" t="inlineStr">
        <is>
          <t>SEND</t>
        </is>
      </c>
    </row>
    <row r="1850">
      <c r="A1850" t="inlineStr">
        <is>
          <t>Priscila</t>
        </is>
      </c>
      <c r="B1850" t="inlineStr">
        <is>
          <t>+5511984490777</t>
        </is>
      </c>
      <c r="C1850" t="inlineStr">
        <is>
          <t>Refill</t>
        </is>
      </c>
      <c r="D1850" t="inlineStr">
        <is>
          <t>Primer Cachos</t>
        </is>
      </c>
      <c r="E1850" t="n">
        <v>1</v>
      </c>
      <c r="F1850" t="inlineStr">
        <is>
          <t>2026-01-21</t>
        </is>
      </c>
      <c r="G1850" t="n">
        <v>164</v>
      </c>
      <c r="H1850" t="inlineStr">
        <is>
          <t>Y</t>
        </is>
      </c>
      <c r="I1850">
        <f>HYPERLINK("https://admin.shopify.com/store/ge-beauty-cosmeticos/customers/10075831140672","abrir")</f>
        <v/>
      </c>
      <c r="J1850">
        <f>HYPERLINK("https://www.gebeauty.com.br/products/primer-cachos-definidos?ref=review","review")</f>
        <v/>
      </c>
      <c r="K1850" t="inlineStr">
        <is>
          <t>SEND</t>
        </is>
      </c>
    </row>
    <row r="1851">
      <c r="A1851" t="inlineStr">
        <is>
          <t>Renata</t>
        </is>
      </c>
      <c r="B1851" t="inlineStr">
        <is>
          <t>+5571981827722</t>
        </is>
      </c>
      <c r="C1851" t="inlineStr">
        <is>
          <t>Refill</t>
        </is>
      </c>
      <c r="D1851" t="inlineStr">
        <is>
          <t>Primer Cachos</t>
        </is>
      </c>
      <c r="E1851" t="n">
        <v>1</v>
      </c>
      <c r="F1851" t="inlineStr">
        <is>
          <t>2026-01-21</t>
        </is>
      </c>
      <c r="G1851" t="n">
        <v>164</v>
      </c>
      <c r="H1851" t="inlineStr">
        <is>
          <t>Y</t>
        </is>
      </c>
      <c r="I1851">
        <f>HYPERLINK("https://admin.shopify.com/store/ge-beauty-cosmeticos/customers/10075828814144","abrir")</f>
        <v/>
      </c>
      <c r="J1851">
        <f>HYPERLINK("https://www.gebeauty.com.br/products/primer-cachos-definidos?ref=review","review")</f>
        <v/>
      </c>
      <c r="K1851" t="inlineStr">
        <is>
          <t>SEND</t>
        </is>
      </c>
    </row>
    <row r="1852">
      <c r="A1852" t="inlineStr">
        <is>
          <t>Suely</t>
        </is>
      </c>
      <c r="B1852" t="inlineStr">
        <is>
          <t>+5577999521312</t>
        </is>
      </c>
      <c r="C1852" t="inlineStr">
        <is>
          <t>Refill</t>
        </is>
      </c>
      <c r="D1852" t="inlineStr">
        <is>
          <t>Primer Cachos</t>
        </is>
      </c>
      <c r="E1852" t="n">
        <v>1</v>
      </c>
      <c r="F1852" t="inlineStr">
        <is>
          <t>2026-01-21</t>
        </is>
      </c>
      <c r="G1852" t="n">
        <v>164</v>
      </c>
      <c r="H1852" t="inlineStr">
        <is>
          <t>Y</t>
        </is>
      </c>
      <c r="I1852">
        <f>HYPERLINK("https://admin.shopify.com/store/ge-beauty-cosmeticos/customers/10075844215104","abrir")</f>
        <v/>
      </c>
      <c r="J1852">
        <f>HYPERLINK("https://www.gebeauty.com.br/products/primer-cachos-definidos?ref=review","review")</f>
        <v/>
      </c>
      <c r="K1852" t="inlineStr">
        <is>
          <t>SEND</t>
        </is>
      </c>
    </row>
    <row r="1853">
      <c r="A1853" t="inlineStr">
        <is>
          <t>Bruna</t>
        </is>
      </c>
      <c r="B1853" t="inlineStr">
        <is>
          <t>+5551985246613</t>
        </is>
      </c>
      <c r="C1853" t="inlineStr">
        <is>
          <t>Refill</t>
        </is>
      </c>
      <c r="D1853" t="inlineStr">
        <is>
          <t>Primer Cachos</t>
        </is>
      </c>
      <c r="E1853" t="n">
        <v>1</v>
      </c>
      <c r="F1853" t="inlineStr">
        <is>
          <t>2026-01-21</t>
        </is>
      </c>
      <c r="G1853" t="n">
        <v>164</v>
      </c>
      <c r="H1853" t="inlineStr">
        <is>
          <t>Y</t>
        </is>
      </c>
      <c r="I1853">
        <f>HYPERLINK("https://admin.shopify.com/store/ge-beauty-cosmeticos/customers/10075843232064","abrir")</f>
        <v/>
      </c>
      <c r="J1853">
        <f>HYPERLINK("https://www.gebeauty.com.br/products/primer-cachos-definidos?ref=review","review")</f>
        <v/>
      </c>
      <c r="K1853" t="inlineStr">
        <is>
          <t>SEND</t>
        </is>
      </c>
    </row>
    <row r="1854">
      <c r="A1854" t="inlineStr">
        <is>
          <t>Mayara</t>
        </is>
      </c>
      <c r="B1854" t="inlineStr">
        <is>
          <t>+5521971614631</t>
        </is>
      </c>
      <c r="C1854" t="inlineStr">
        <is>
          <t>Refill</t>
        </is>
      </c>
      <c r="D1854" t="inlineStr">
        <is>
          <t>Primer Cachos</t>
        </is>
      </c>
      <c r="E1854" t="n">
        <v>1</v>
      </c>
      <c r="F1854" t="inlineStr">
        <is>
          <t>2026-01-21</t>
        </is>
      </c>
      <c r="G1854" t="n">
        <v>164</v>
      </c>
      <c r="H1854" t="inlineStr">
        <is>
          <t>Y</t>
        </is>
      </c>
      <c r="I1854">
        <f>HYPERLINK("https://admin.shopify.com/store/ge-beauty-cosmeticos/customers/10075851915584","abrir")</f>
        <v/>
      </c>
      <c r="J1854">
        <f>HYPERLINK("https://www.gebeauty.com.br/products/primer-cachos-definidos?ref=review","review")</f>
        <v/>
      </c>
      <c r="K1854" t="inlineStr">
        <is>
          <t>SEND</t>
        </is>
      </c>
    </row>
    <row r="1855">
      <c r="A1855" t="inlineStr">
        <is>
          <t>Cristiane</t>
        </is>
      </c>
      <c r="B1855" t="inlineStr">
        <is>
          <t>+5512996011700</t>
        </is>
      </c>
      <c r="C1855" t="inlineStr">
        <is>
          <t>Refill</t>
        </is>
      </c>
      <c r="D1855" t="inlineStr">
        <is>
          <t>Primer Cachos</t>
        </is>
      </c>
      <c r="E1855" t="n">
        <v>1</v>
      </c>
      <c r="F1855" t="inlineStr">
        <is>
          <t>2026-01-21</t>
        </is>
      </c>
      <c r="G1855" t="n">
        <v>164</v>
      </c>
      <c r="H1855" t="inlineStr">
        <is>
          <t>Y</t>
        </is>
      </c>
      <c r="I1855">
        <f>HYPERLINK("https://admin.shopify.com/store/ge-beauty-cosmeticos/customers/10075857944896","abrir")</f>
        <v/>
      </c>
      <c r="J1855">
        <f>HYPERLINK("https://www.gebeauty.com.br/products/primer-cachos-definidos?ref=review","review")</f>
        <v/>
      </c>
      <c r="K1855" t="inlineStr">
        <is>
          <t>SEND</t>
        </is>
      </c>
    </row>
    <row r="1856">
      <c r="A1856" t="inlineStr">
        <is>
          <t>Angela Maria</t>
        </is>
      </c>
      <c r="B1856" t="inlineStr">
        <is>
          <t>+5511982871144</t>
        </is>
      </c>
      <c r="C1856" t="inlineStr">
        <is>
          <t>Refill</t>
        </is>
      </c>
      <c r="D1856" t="inlineStr">
        <is>
          <t>Primer Cachos</t>
        </is>
      </c>
      <c r="E1856" t="n">
        <v>1</v>
      </c>
      <c r="F1856" t="inlineStr">
        <is>
          <t>2026-01-21</t>
        </is>
      </c>
      <c r="G1856" t="n">
        <v>164</v>
      </c>
      <c r="H1856" t="inlineStr">
        <is>
          <t>Y</t>
        </is>
      </c>
      <c r="I1856">
        <f>HYPERLINK("https://admin.shopify.com/store/ge-beauty-cosmeticos/customers/10075791196480","abrir")</f>
        <v/>
      </c>
      <c r="J1856">
        <f>HYPERLINK("https://www.gebeauty.com.br/products/primer-cachos-definidos?ref=review","review")</f>
        <v/>
      </c>
      <c r="K1856" t="inlineStr">
        <is>
          <t>SEND</t>
        </is>
      </c>
    </row>
    <row r="1857">
      <c r="A1857" t="inlineStr">
        <is>
          <t>Antonia</t>
        </is>
      </c>
      <c r="B1857" t="inlineStr">
        <is>
          <t>+5566996624511</t>
        </is>
      </c>
      <c r="C1857" t="inlineStr">
        <is>
          <t>Refill</t>
        </is>
      </c>
      <c r="D1857" t="inlineStr">
        <is>
          <t>Primer Cachos</t>
        </is>
      </c>
      <c r="E1857" t="n">
        <v>1</v>
      </c>
      <c r="F1857" t="inlineStr">
        <is>
          <t>2026-01-21</t>
        </is>
      </c>
      <c r="G1857" t="n">
        <v>164</v>
      </c>
      <c r="H1857" t="inlineStr">
        <is>
          <t>Y</t>
        </is>
      </c>
      <c r="I1857">
        <f>HYPERLINK("https://admin.shopify.com/store/ge-beauty-cosmeticos/customers/10075860992320","abrir")</f>
        <v/>
      </c>
      <c r="J1857">
        <f>HYPERLINK("https://www.gebeauty.com.br/products/primer-cachos-definidos?ref=review","review")</f>
        <v/>
      </c>
      <c r="K1857" t="inlineStr">
        <is>
          <t>SEND</t>
        </is>
      </c>
    </row>
    <row r="1858">
      <c r="A1858" t="inlineStr">
        <is>
          <t>Marcia</t>
        </is>
      </c>
      <c r="B1858" t="inlineStr">
        <is>
          <t>+5511985850269</t>
        </is>
      </c>
      <c r="C1858" t="inlineStr">
        <is>
          <t>Refill</t>
        </is>
      </c>
      <c r="D1858" t="inlineStr">
        <is>
          <t>Primer Cachos</t>
        </is>
      </c>
      <c r="E1858" t="n">
        <v>1</v>
      </c>
      <c r="F1858" t="inlineStr">
        <is>
          <t>2026-01-21</t>
        </is>
      </c>
      <c r="G1858" t="n">
        <v>164</v>
      </c>
      <c r="H1858" t="inlineStr">
        <is>
          <t>Y</t>
        </is>
      </c>
      <c r="I1858">
        <f>HYPERLINK("https://admin.shopify.com/store/ge-beauty-cosmeticos/customers/10075867414848","abrir")</f>
        <v/>
      </c>
      <c r="J1858">
        <f>HYPERLINK("https://www.gebeauty.com.br/products/primer-cachos-definidos?ref=review","review")</f>
        <v/>
      </c>
      <c r="K1858" t="inlineStr">
        <is>
          <t>SEND</t>
        </is>
      </c>
    </row>
    <row r="1859">
      <c r="A1859" t="inlineStr">
        <is>
          <t>Aline</t>
        </is>
      </c>
      <c r="B1859" t="inlineStr">
        <is>
          <t>+5512997146697</t>
        </is>
      </c>
      <c r="C1859" t="inlineStr">
        <is>
          <t>Refill</t>
        </is>
      </c>
      <c r="D1859" t="inlineStr">
        <is>
          <t>Primer Cachos</t>
        </is>
      </c>
      <c r="E1859" t="n">
        <v>1</v>
      </c>
      <c r="F1859" t="inlineStr">
        <is>
          <t>2026-01-21</t>
        </is>
      </c>
      <c r="G1859" t="n">
        <v>164</v>
      </c>
      <c r="H1859" t="inlineStr">
        <is>
          <t>Y</t>
        </is>
      </c>
      <c r="I1859">
        <f>HYPERLINK("https://admin.shopify.com/store/ge-beauty-cosmeticos/customers/10075873935680","abrir")</f>
        <v/>
      </c>
      <c r="J1859">
        <f>HYPERLINK("https://www.gebeauty.com.br/products/primer-cachos-definidos?ref=review","review")</f>
        <v/>
      </c>
      <c r="K1859" t="inlineStr">
        <is>
          <t>SEND</t>
        </is>
      </c>
    </row>
    <row r="1860">
      <c r="A1860" t="inlineStr">
        <is>
          <t>Renata</t>
        </is>
      </c>
      <c r="B1860" t="inlineStr">
        <is>
          <t>+5561999063033</t>
        </is>
      </c>
      <c r="C1860" t="inlineStr">
        <is>
          <t>Refill</t>
        </is>
      </c>
      <c r="D1860" t="inlineStr">
        <is>
          <t>Primer Cachos</t>
        </is>
      </c>
      <c r="E1860" t="n">
        <v>1</v>
      </c>
      <c r="F1860" t="inlineStr">
        <is>
          <t>2026-01-21</t>
        </is>
      </c>
      <c r="G1860" t="n">
        <v>164</v>
      </c>
      <c r="H1860" t="inlineStr">
        <is>
          <t>Y</t>
        </is>
      </c>
      <c r="I1860">
        <f>HYPERLINK("https://admin.shopify.com/store/ge-beauty-cosmeticos/customers/10074416611648","abrir")</f>
        <v/>
      </c>
      <c r="J1860">
        <f>HYPERLINK("https://www.gebeauty.com.br/products/primer-cachos-definidos?ref=review","review")</f>
        <v/>
      </c>
      <c r="K1860" t="inlineStr">
        <is>
          <t>SEND</t>
        </is>
      </c>
    </row>
    <row r="1861">
      <c r="A1861" t="inlineStr">
        <is>
          <t>Maria Luiza</t>
        </is>
      </c>
      <c r="B1861" t="inlineStr">
        <is>
          <t>+5511991877450</t>
        </is>
      </c>
      <c r="C1861" t="inlineStr">
        <is>
          <t>Refill</t>
        </is>
      </c>
      <c r="D1861" t="inlineStr">
        <is>
          <t>Primer Cachos</t>
        </is>
      </c>
      <c r="E1861" t="n">
        <v>1</v>
      </c>
      <c r="F1861" t="inlineStr">
        <is>
          <t>2026-01-21</t>
        </is>
      </c>
      <c r="G1861" t="n">
        <v>164</v>
      </c>
      <c r="H1861" t="inlineStr">
        <is>
          <t>Y</t>
        </is>
      </c>
      <c r="I1861">
        <f>HYPERLINK("https://admin.shopify.com/store/ge-beauty-cosmeticos/customers/10075876262208","abrir")</f>
        <v/>
      </c>
      <c r="J1861">
        <f>HYPERLINK("https://www.gebeauty.com.br/products/primer-cachos-definidos?ref=review","review")</f>
        <v/>
      </c>
      <c r="K1861" t="inlineStr">
        <is>
          <t>SEND</t>
        </is>
      </c>
    </row>
    <row r="1862">
      <c r="A1862" t="inlineStr">
        <is>
          <t>Nathalia</t>
        </is>
      </c>
      <c r="B1862" t="inlineStr">
        <is>
          <t>+5511989626834</t>
        </is>
      </c>
      <c r="C1862" t="inlineStr">
        <is>
          <t>Refill</t>
        </is>
      </c>
      <c r="D1862" t="inlineStr">
        <is>
          <t>Primer Cachos</t>
        </is>
      </c>
      <c r="E1862" t="n">
        <v>1</v>
      </c>
      <c r="F1862" t="inlineStr">
        <is>
          <t>2026-01-21</t>
        </is>
      </c>
      <c r="G1862" t="n">
        <v>164</v>
      </c>
      <c r="H1862" t="inlineStr">
        <is>
          <t>Y</t>
        </is>
      </c>
      <c r="I1862">
        <f>HYPERLINK("https://admin.shopify.com/store/ge-beauty-cosmeticos/customers/10075934884160","abrir")</f>
        <v/>
      </c>
      <c r="J1862">
        <f>HYPERLINK("https://www.gebeauty.com.br/products/primer-cachos-definidos?ref=review","review")</f>
        <v/>
      </c>
      <c r="K1862" t="inlineStr">
        <is>
          <t>SEND</t>
        </is>
      </c>
    </row>
    <row r="1863">
      <c r="A1863" t="inlineStr">
        <is>
          <t>Mirela</t>
        </is>
      </c>
      <c r="B1863" t="inlineStr">
        <is>
          <t>+5518981961718</t>
        </is>
      </c>
      <c r="C1863" t="inlineStr">
        <is>
          <t>Refill</t>
        </is>
      </c>
      <c r="D1863" t="inlineStr">
        <is>
          <t>Primer Cachos</t>
        </is>
      </c>
      <c r="E1863" t="n">
        <v>1</v>
      </c>
      <c r="F1863" t="inlineStr">
        <is>
          <t>2026-01-21</t>
        </is>
      </c>
      <c r="G1863" t="n">
        <v>164</v>
      </c>
      <c r="H1863" t="inlineStr">
        <is>
          <t>Y</t>
        </is>
      </c>
      <c r="I1863">
        <f>HYPERLINK("https://admin.shopify.com/store/ge-beauty-cosmeticos/customers/10074381386048","abrir")</f>
        <v/>
      </c>
      <c r="J1863">
        <f>HYPERLINK("https://www.gebeauty.com.br/products/primer-cachos-definidos?ref=review","review")</f>
        <v/>
      </c>
      <c r="K1863" t="inlineStr">
        <is>
          <t>SEND</t>
        </is>
      </c>
    </row>
    <row r="1864">
      <c r="A1864" t="inlineStr">
        <is>
          <t>Thalita</t>
        </is>
      </c>
      <c r="B1864" t="inlineStr">
        <is>
          <t>+5511999148460</t>
        </is>
      </c>
      <c r="C1864" t="inlineStr">
        <is>
          <t>Refill</t>
        </is>
      </c>
      <c r="D1864" t="inlineStr">
        <is>
          <t>Primer Cachos</t>
        </is>
      </c>
      <c r="E1864" t="n">
        <v>1</v>
      </c>
      <c r="F1864" t="inlineStr">
        <is>
          <t>2026-01-21</t>
        </is>
      </c>
      <c r="G1864" t="n">
        <v>164</v>
      </c>
      <c r="H1864" t="inlineStr">
        <is>
          <t>Y</t>
        </is>
      </c>
      <c r="I1864">
        <f>HYPERLINK("https://admin.shopify.com/store/ge-beauty-cosmeticos/customers/10075999666496","abrir")</f>
        <v/>
      </c>
      <c r="J1864">
        <f>HYPERLINK("https://www.gebeauty.com.br/products/primer-cachos-definidos?ref=review","review")</f>
        <v/>
      </c>
      <c r="K1864" t="inlineStr">
        <is>
          <t>SEND</t>
        </is>
      </c>
    </row>
    <row r="1865">
      <c r="A1865" t="inlineStr">
        <is>
          <t>Kenya</t>
        </is>
      </c>
      <c r="B1865" t="inlineStr">
        <is>
          <t>+5521994426651</t>
        </is>
      </c>
      <c r="C1865" t="inlineStr">
        <is>
          <t>Refill</t>
        </is>
      </c>
      <c r="D1865" t="inlineStr">
        <is>
          <t>Primer Cachos</t>
        </is>
      </c>
      <c r="E1865" t="n">
        <v>1</v>
      </c>
      <c r="F1865" t="inlineStr">
        <is>
          <t>2026-01-21</t>
        </is>
      </c>
      <c r="G1865" t="n">
        <v>164</v>
      </c>
      <c r="H1865" t="inlineStr">
        <is>
          <t>Y</t>
        </is>
      </c>
      <c r="I1865">
        <f>HYPERLINK("https://admin.shopify.com/store/ge-beauty-cosmeticos/customers/10075969782080","abrir")</f>
        <v/>
      </c>
      <c r="J1865">
        <f>HYPERLINK("https://www.gebeauty.com.br/products/primer-cachos-definidos?ref=review","review")</f>
        <v/>
      </c>
      <c r="K1865" t="inlineStr">
        <is>
          <t>SEND</t>
        </is>
      </c>
    </row>
    <row r="1866">
      <c r="A1866" t="inlineStr">
        <is>
          <t>Sayonara</t>
        </is>
      </c>
      <c r="B1866" t="inlineStr">
        <is>
          <t>+5534988880400</t>
        </is>
      </c>
      <c r="C1866" t="inlineStr">
        <is>
          <t>Refill</t>
        </is>
      </c>
      <c r="D1866" t="inlineStr">
        <is>
          <t>Primer Cachos</t>
        </is>
      </c>
      <c r="E1866" t="n">
        <v>1</v>
      </c>
      <c r="F1866" t="inlineStr">
        <is>
          <t>2026-01-21</t>
        </is>
      </c>
      <c r="G1866" t="n">
        <v>164</v>
      </c>
      <c r="H1866" t="inlineStr">
        <is>
          <t>Y</t>
        </is>
      </c>
      <c r="I1866">
        <f>HYPERLINK("https://admin.shopify.com/store/ge-beauty-cosmeticos/customers/10075965587776","abrir")</f>
        <v/>
      </c>
      <c r="J1866">
        <f>HYPERLINK("https://www.gebeauty.com.br/products/primer-cachos-definidos?ref=review","review")</f>
        <v/>
      </c>
      <c r="K1866" t="inlineStr">
        <is>
          <t>SEND</t>
        </is>
      </c>
    </row>
    <row r="1867">
      <c r="A1867" t="inlineStr">
        <is>
          <t>Bruna</t>
        </is>
      </c>
      <c r="B1867" t="inlineStr">
        <is>
          <t>+5567999331013</t>
        </is>
      </c>
      <c r="C1867" t="inlineStr">
        <is>
          <t>Refill</t>
        </is>
      </c>
      <c r="D1867" t="inlineStr">
        <is>
          <t>Primer Cachos</t>
        </is>
      </c>
      <c r="E1867" t="n">
        <v>1</v>
      </c>
      <c r="F1867" t="inlineStr">
        <is>
          <t>2026-01-21</t>
        </is>
      </c>
      <c r="G1867" t="n">
        <v>164</v>
      </c>
      <c r="H1867" t="inlineStr">
        <is>
          <t>Y</t>
        </is>
      </c>
      <c r="I1867">
        <f>HYPERLINK("https://admin.shopify.com/store/ge-beauty-cosmeticos/customers/10075954413888","abrir")</f>
        <v/>
      </c>
      <c r="J1867">
        <f>HYPERLINK("https://www.gebeauty.com.br/products/primer-cachos-definidos?ref=review","review")</f>
        <v/>
      </c>
      <c r="K1867" t="inlineStr">
        <is>
          <t>SEND</t>
        </is>
      </c>
    </row>
    <row r="1868">
      <c r="A1868" t="inlineStr">
        <is>
          <t>Ana</t>
        </is>
      </c>
      <c r="B1868" t="inlineStr">
        <is>
          <t>+5521998180739</t>
        </is>
      </c>
      <c r="C1868" t="inlineStr">
        <is>
          <t>Refill</t>
        </is>
      </c>
      <c r="D1868" t="inlineStr">
        <is>
          <t>Primer Cachos</t>
        </is>
      </c>
      <c r="E1868" t="n">
        <v>1</v>
      </c>
      <c r="F1868" t="inlineStr">
        <is>
          <t>2026-01-21</t>
        </is>
      </c>
      <c r="G1868" t="n">
        <v>164</v>
      </c>
      <c r="H1868" t="inlineStr">
        <is>
          <t>Y</t>
        </is>
      </c>
      <c r="I1868">
        <f>HYPERLINK("https://admin.shopify.com/store/ge-beauty-cosmeticos/customers/10076005073216","abrir")</f>
        <v/>
      </c>
      <c r="J1868">
        <f>HYPERLINK("https://www.gebeauty.com.br/products/primer-cachos-definidos?ref=review","review")</f>
        <v/>
      </c>
      <c r="K1868" t="inlineStr">
        <is>
          <t>HOLDOUT</t>
        </is>
      </c>
    </row>
    <row r="1869">
      <c r="A1869" t="inlineStr">
        <is>
          <t>Gabriela</t>
        </is>
      </c>
      <c r="B1869" t="inlineStr">
        <is>
          <t>+5541999198383</t>
        </is>
      </c>
      <c r="C1869" t="inlineStr">
        <is>
          <t>Refill</t>
        </is>
      </c>
      <c r="D1869" t="inlineStr">
        <is>
          <t>Primer Cachos</t>
        </is>
      </c>
      <c r="E1869" t="n">
        <v>1</v>
      </c>
      <c r="F1869" t="inlineStr">
        <is>
          <t>2026-01-21</t>
        </is>
      </c>
      <c r="G1869" t="n">
        <v>164</v>
      </c>
      <c r="H1869" t="inlineStr">
        <is>
          <t>Y</t>
        </is>
      </c>
      <c r="I1869">
        <f>HYPERLINK("https://admin.shopify.com/store/ge-beauty-cosmeticos/customers/9484985532736","abrir")</f>
        <v/>
      </c>
      <c r="J1869">
        <f>HYPERLINK("https://www.gebeauty.com.br/products/primer-cachos-definidos?ref=review","review")</f>
        <v/>
      </c>
      <c r="K1869" t="inlineStr">
        <is>
          <t>SEND</t>
        </is>
      </c>
    </row>
    <row r="1870">
      <c r="A1870" t="inlineStr">
        <is>
          <t>Rosangela</t>
        </is>
      </c>
      <c r="B1870" t="inlineStr">
        <is>
          <t>+5541998060723</t>
        </is>
      </c>
      <c r="C1870" t="inlineStr">
        <is>
          <t>Refill</t>
        </is>
      </c>
      <c r="D1870" t="inlineStr">
        <is>
          <t>Primer Cachos</t>
        </is>
      </c>
      <c r="E1870" t="n">
        <v>1</v>
      </c>
      <c r="F1870" t="inlineStr">
        <is>
          <t>2026-01-21</t>
        </is>
      </c>
      <c r="G1870" t="n">
        <v>164</v>
      </c>
      <c r="H1870" t="inlineStr">
        <is>
          <t>Y</t>
        </is>
      </c>
      <c r="I1870">
        <f>HYPERLINK("https://admin.shopify.com/store/ge-beauty-cosmeticos/customers/10076019097920","abrir")</f>
        <v/>
      </c>
      <c r="J1870">
        <f>HYPERLINK("https://www.gebeauty.com.br/products/primer-cachos-definidos?ref=review","review")</f>
        <v/>
      </c>
      <c r="K1870" t="inlineStr">
        <is>
          <t>HOLDOUT</t>
        </is>
      </c>
    </row>
    <row r="1871">
      <c r="A1871" t="inlineStr">
        <is>
          <t>Juliana</t>
        </is>
      </c>
      <c r="B1871" t="inlineStr">
        <is>
          <t>+5512991079933</t>
        </is>
      </c>
      <c r="C1871" t="inlineStr">
        <is>
          <t>Refill</t>
        </is>
      </c>
      <c r="D1871" t="inlineStr">
        <is>
          <t>Primer Cachos</t>
        </is>
      </c>
      <c r="E1871" t="n">
        <v>1</v>
      </c>
      <c r="F1871" t="inlineStr">
        <is>
          <t>2026-01-21</t>
        </is>
      </c>
      <c r="G1871" t="n">
        <v>164</v>
      </c>
      <c r="H1871" t="inlineStr">
        <is>
          <t>Y</t>
        </is>
      </c>
      <c r="I1871">
        <f>HYPERLINK("https://admin.shopify.com/store/ge-beauty-cosmeticos/customers/10076066644288","abrir")</f>
        <v/>
      </c>
      <c r="J1871">
        <f>HYPERLINK("https://www.gebeauty.com.br/products/primer-cachos-definidos?ref=review","review")</f>
        <v/>
      </c>
      <c r="K1871" t="inlineStr">
        <is>
          <t>HOLDOUT</t>
        </is>
      </c>
    </row>
    <row r="1872">
      <c r="A1872" t="inlineStr">
        <is>
          <t>Ândrea</t>
        </is>
      </c>
      <c r="B1872" t="inlineStr">
        <is>
          <t>+5511980109009</t>
        </is>
      </c>
      <c r="C1872" t="inlineStr">
        <is>
          <t>Refill</t>
        </is>
      </c>
      <c r="D1872" t="inlineStr">
        <is>
          <t>Primer Cachos</t>
        </is>
      </c>
      <c r="E1872" t="n">
        <v>1</v>
      </c>
      <c r="F1872" t="inlineStr">
        <is>
          <t>2026-01-21</t>
        </is>
      </c>
      <c r="G1872" t="n">
        <v>164</v>
      </c>
      <c r="H1872" t="inlineStr">
        <is>
          <t>Y</t>
        </is>
      </c>
      <c r="I1872">
        <f>HYPERLINK("https://admin.shopify.com/store/ge-beauty-cosmeticos/customers/10076157542720","abrir")</f>
        <v/>
      </c>
      <c r="J1872">
        <f>HYPERLINK("https://www.gebeauty.com.br/products/primer-cachos-definidos?ref=review","review")</f>
        <v/>
      </c>
      <c r="K1872" t="inlineStr">
        <is>
          <t>SEND</t>
        </is>
      </c>
    </row>
    <row r="1873">
      <c r="A1873" t="inlineStr">
        <is>
          <t>Talita</t>
        </is>
      </c>
      <c r="B1873" t="inlineStr">
        <is>
          <t>+5535988952613</t>
        </is>
      </c>
      <c r="C1873" t="inlineStr">
        <is>
          <t>Refill</t>
        </is>
      </c>
      <c r="D1873" t="inlineStr">
        <is>
          <t>Primer Cachos</t>
        </is>
      </c>
      <c r="E1873" t="n">
        <v>1</v>
      </c>
      <c r="F1873" t="inlineStr">
        <is>
          <t>2026-01-21</t>
        </is>
      </c>
      <c r="G1873" t="n">
        <v>164</v>
      </c>
      <c r="H1873" t="inlineStr">
        <is>
          <t>Y</t>
        </is>
      </c>
      <c r="I1873">
        <f>HYPERLINK("https://admin.shopify.com/store/ge-beauty-cosmeticos/customers/10076211380544","abrir")</f>
        <v/>
      </c>
      <c r="J1873">
        <f>HYPERLINK("https://www.gebeauty.com.br/products/primer-cachos-definidos?ref=review","review")</f>
        <v/>
      </c>
      <c r="K1873" t="inlineStr">
        <is>
          <t>SEND</t>
        </is>
      </c>
    </row>
    <row r="1874">
      <c r="A1874" t="inlineStr">
        <is>
          <t>Mônica</t>
        </is>
      </c>
      <c r="B1874" t="inlineStr">
        <is>
          <t>+5581992523838</t>
        </is>
      </c>
      <c r="C1874" t="inlineStr">
        <is>
          <t>Refill</t>
        </is>
      </c>
      <c r="D1874" t="inlineStr">
        <is>
          <t>Primer Cachos</t>
        </is>
      </c>
      <c r="E1874" t="n">
        <v>1</v>
      </c>
      <c r="F1874" t="inlineStr">
        <is>
          <t>2026-01-21</t>
        </is>
      </c>
      <c r="G1874" t="n">
        <v>164</v>
      </c>
      <c r="H1874" t="inlineStr">
        <is>
          <t>Y</t>
        </is>
      </c>
      <c r="I1874">
        <f>HYPERLINK("https://admin.shopify.com/store/ge-beauty-cosmeticos/customers/10075703345472","abrir")</f>
        <v/>
      </c>
      <c r="J1874">
        <f>HYPERLINK("https://www.gebeauty.com.br/products/primer-cachos-definidos?ref=review","review")</f>
        <v/>
      </c>
      <c r="K1874" t="inlineStr">
        <is>
          <t>SEND</t>
        </is>
      </c>
    </row>
    <row r="1875">
      <c r="A1875" t="inlineStr">
        <is>
          <t>Aline</t>
        </is>
      </c>
      <c r="B1875" t="inlineStr">
        <is>
          <t>+5541991265265</t>
        </is>
      </c>
      <c r="C1875" t="inlineStr">
        <is>
          <t>Refill</t>
        </is>
      </c>
      <c r="D1875" t="inlineStr">
        <is>
          <t>Primer Cachos</t>
        </is>
      </c>
      <c r="E1875" t="n">
        <v>1</v>
      </c>
      <c r="F1875" t="inlineStr">
        <is>
          <t>2026-01-21</t>
        </is>
      </c>
      <c r="G1875" t="n">
        <v>164</v>
      </c>
      <c r="H1875" t="inlineStr">
        <is>
          <t>Y</t>
        </is>
      </c>
      <c r="I1875">
        <f>HYPERLINK("https://admin.shopify.com/store/ge-beauty-cosmeticos/customers/10076319875392","abrir")</f>
        <v/>
      </c>
      <c r="J1875">
        <f>HYPERLINK("https://www.gebeauty.com.br/products/primer-cachos-definidos?ref=review","review")</f>
        <v/>
      </c>
      <c r="K1875" t="inlineStr">
        <is>
          <t>SEND</t>
        </is>
      </c>
    </row>
    <row r="1876">
      <c r="A1876" t="inlineStr">
        <is>
          <t>Marillys</t>
        </is>
      </c>
      <c r="B1876" t="inlineStr">
        <is>
          <t>+5511997678818</t>
        </is>
      </c>
      <c r="C1876" t="inlineStr">
        <is>
          <t>Refill</t>
        </is>
      </c>
      <c r="D1876" t="inlineStr">
        <is>
          <t>Primer Cachos</t>
        </is>
      </c>
      <c r="E1876" t="n">
        <v>1</v>
      </c>
      <c r="F1876" t="inlineStr">
        <is>
          <t>2026-01-21</t>
        </is>
      </c>
      <c r="G1876" t="n">
        <v>164</v>
      </c>
      <c r="H1876" t="inlineStr">
        <is>
          <t>Y</t>
        </is>
      </c>
      <c r="I1876">
        <f>HYPERLINK("https://admin.shopify.com/store/ge-beauty-cosmeticos/customers/10076330459456","abrir")</f>
        <v/>
      </c>
      <c r="J1876">
        <f>HYPERLINK("https://www.gebeauty.com.br/products/primer-cachos-definidos?ref=review","review")</f>
        <v/>
      </c>
      <c r="K1876" t="inlineStr">
        <is>
          <t>HOLDOUT</t>
        </is>
      </c>
    </row>
    <row r="1877">
      <c r="A1877" t="inlineStr">
        <is>
          <t>Mari</t>
        </is>
      </c>
      <c r="B1877" t="inlineStr">
        <is>
          <t>+5542998000470</t>
        </is>
      </c>
      <c r="C1877" t="inlineStr">
        <is>
          <t>Refill</t>
        </is>
      </c>
      <c r="D1877" t="inlineStr">
        <is>
          <t>Primer Cachos</t>
        </is>
      </c>
      <c r="E1877" t="n">
        <v>1</v>
      </c>
      <c r="F1877" t="inlineStr">
        <is>
          <t>2026-01-21</t>
        </is>
      </c>
      <c r="G1877" t="n">
        <v>164</v>
      </c>
      <c r="H1877" t="inlineStr">
        <is>
          <t>Y</t>
        </is>
      </c>
      <c r="I1877">
        <f>HYPERLINK("https://admin.shopify.com/store/ge-beauty-cosmeticos/customers/10076463759680","abrir")</f>
        <v/>
      </c>
      <c r="J1877">
        <f>HYPERLINK("https://www.gebeauty.com.br/products/primer-cachos-definidos?ref=review","review")</f>
        <v/>
      </c>
      <c r="K1877" t="inlineStr">
        <is>
          <t>SEND</t>
        </is>
      </c>
    </row>
    <row r="1878">
      <c r="A1878" t="inlineStr">
        <is>
          <t>Daniela</t>
        </is>
      </c>
      <c r="B1878" t="inlineStr">
        <is>
          <t>+5573999857951</t>
        </is>
      </c>
      <c r="C1878" t="inlineStr">
        <is>
          <t>Refill</t>
        </is>
      </c>
      <c r="D1878" t="inlineStr">
        <is>
          <t>Primer Cachos</t>
        </is>
      </c>
      <c r="E1878" t="n">
        <v>1</v>
      </c>
      <c r="F1878" t="inlineStr">
        <is>
          <t>2026-01-21</t>
        </is>
      </c>
      <c r="G1878" t="n">
        <v>164</v>
      </c>
      <c r="H1878" t="inlineStr">
        <is>
          <t>Y</t>
        </is>
      </c>
      <c r="I1878">
        <f>HYPERLINK("https://admin.shopify.com/store/ge-beauty-cosmeticos/customers/10076463825216","abrir")</f>
        <v/>
      </c>
      <c r="J1878">
        <f>HYPERLINK("https://www.gebeauty.com.br/products/primer-cachos-definidos?ref=review","review")</f>
        <v/>
      </c>
      <c r="K1878" t="inlineStr">
        <is>
          <t>SEND</t>
        </is>
      </c>
    </row>
    <row r="1879">
      <c r="A1879" t="inlineStr">
        <is>
          <t>Lidiane</t>
        </is>
      </c>
      <c r="B1879" t="inlineStr">
        <is>
          <t>+5547991910403</t>
        </is>
      </c>
      <c r="C1879" t="inlineStr">
        <is>
          <t>Refill</t>
        </is>
      </c>
      <c r="D1879" t="inlineStr">
        <is>
          <t>Primer Cachos</t>
        </is>
      </c>
      <c r="E1879" t="n">
        <v>1</v>
      </c>
      <c r="F1879" t="inlineStr">
        <is>
          <t>2026-01-21</t>
        </is>
      </c>
      <c r="G1879" t="n">
        <v>164</v>
      </c>
      <c r="H1879" t="inlineStr">
        <is>
          <t>Y</t>
        </is>
      </c>
      <c r="I1879">
        <f>HYPERLINK("https://admin.shopify.com/store/ge-beauty-cosmeticos/customers/10076562817344","abrir")</f>
        <v/>
      </c>
      <c r="J1879">
        <f>HYPERLINK("https://www.gebeauty.com.br/products/primer-cachos-definidos?ref=review","review")</f>
        <v/>
      </c>
      <c r="K1879" t="inlineStr">
        <is>
          <t>SEND</t>
        </is>
      </c>
    </row>
    <row r="1880">
      <c r="A1880" t="inlineStr">
        <is>
          <t>Maria Luísa</t>
        </is>
      </c>
      <c r="B1880" t="inlineStr">
        <is>
          <t>+5524992366586</t>
        </is>
      </c>
      <c r="C1880" t="inlineStr">
        <is>
          <t>Refill</t>
        </is>
      </c>
      <c r="D1880" t="inlineStr">
        <is>
          <t>Primer Cachos</t>
        </is>
      </c>
      <c r="E1880" t="n">
        <v>1</v>
      </c>
      <c r="F1880" t="inlineStr">
        <is>
          <t>2026-01-21</t>
        </is>
      </c>
      <c r="G1880" t="n">
        <v>164</v>
      </c>
      <c r="H1880" t="inlineStr">
        <is>
          <t>Y</t>
        </is>
      </c>
      <c r="I1880">
        <f>HYPERLINK("https://admin.shopify.com/store/ge-beauty-cosmeticos/customers/10076584247616","abrir")</f>
        <v/>
      </c>
      <c r="J1880">
        <f>HYPERLINK("https://www.gebeauty.com.br/products/primer-cachos-definidos?ref=review","review")</f>
        <v/>
      </c>
      <c r="K1880" t="inlineStr">
        <is>
          <t>SEND</t>
        </is>
      </c>
    </row>
    <row r="1881">
      <c r="A1881" t="inlineStr">
        <is>
          <t>Amanda</t>
        </is>
      </c>
      <c r="B1881" t="inlineStr">
        <is>
          <t>+5531988075890</t>
        </is>
      </c>
      <c r="C1881" t="inlineStr">
        <is>
          <t>Refill</t>
        </is>
      </c>
      <c r="D1881" t="inlineStr">
        <is>
          <t>Primer Cachos</t>
        </is>
      </c>
      <c r="E1881" t="n">
        <v>1</v>
      </c>
      <c r="F1881" t="inlineStr">
        <is>
          <t>2026-01-21</t>
        </is>
      </c>
      <c r="G1881" t="n">
        <v>164</v>
      </c>
      <c r="H1881" t="inlineStr">
        <is>
          <t>Y</t>
        </is>
      </c>
      <c r="I1881">
        <f>HYPERLINK("https://admin.shopify.com/store/ge-beauty-cosmeticos/customers/10076544631104","abrir")</f>
        <v/>
      </c>
      <c r="J1881">
        <f>HYPERLINK("https://www.gebeauty.com.br/products/primer-cachos-definidos?ref=review","review")</f>
        <v/>
      </c>
      <c r="K1881" t="inlineStr">
        <is>
          <t>SEND</t>
        </is>
      </c>
    </row>
    <row r="1882">
      <c r="A1882" t="inlineStr">
        <is>
          <t>Sofia</t>
        </is>
      </c>
      <c r="B1882" t="inlineStr">
        <is>
          <t>+5519992202852</t>
        </is>
      </c>
      <c r="C1882" t="inlineStr">
        <is>
          <t>Refill</t>
        </is>
      </c>
      <c r="D1882" t="inlineStr">
        <is>
          <t>Primer Cachos</t>
        </is>
      </c>
      <c r="E1882" t="n">
        <v>1</v>
      </c>
      <c r="F1882" t="inlineStr">
        <is>
          <t>2026-01-21</t>
        </is>
      </c>
      <c r="G1882" t="n">
        <v>164</v>
      </c>
      <c r="H1882" t="inlineStr">
        <is>
          <t>Y</t>
        </is>
      </c>
      <c r="I1882">
        <f>HYPERLINK("https://admin.shopify.com/store/ge-beauty-cosmeticos/customers/10076637921600","abrir")</f>
        <v/>
      </c>
      <c r="J1882">
        <f>HYPERLINK("https://www.gebeauty.com.br/products/primer-cachos-definidos?ref=review","review")</f>
        <v/>
      </c>
      <c r="K1882" t="inlineStr">
        <is>
          <t>SEND</t>
        </is>
      </c>
    </row>
    <row r="1883">
      <c r="A1883" t="inlineStr">
        <is>
          <t>Bruna</t>
        </is>
      </c>
      <c r="B1883" t="inlineStr">
        <is>
          <t>+5584991914493</t>
        </is>
      </c>
      <c r="C1883" t="inlineStr">
        <is>
          <t>Refill</t>
        </is>
      </c>
      <c r="D1883" t="inlineStr">
        <is>
          <t>Primer Cachos</t>
        </is>
      </c>
      <c r="E1883" t="n">
        <v>1</v>
      </c>
      <c r="F1883" t="inlineStr">
        <is>
          <t>2026-01-21</t>
        </is>
      </c>
      <c r="G1883" t="n">
        <v>164</v>
      </c>
      <c r="H1883" t="inlineStr">
        <is>
          <t>Y</t>
        </is>
      </c>
      <c r="I1883">
        <f>HYPERLINK("https://admin.shopify.com/store/ge-beauty-cosmeticos/customers/10076290089280","abrir")</f>
        <v/>
      </c>
      <c r="J1883">
        <f>HYPERLINK("https://www.gebeauty.com.br/products/primer-cachos-definidos?ref=review","review")</f>
        <v/>
      </c>
      <c r="K1883" t="inlineStr">
        <is>
          <t>SEND</t>
        </is>
      </c>
    </row>
    <row r="1884">
      <c r="A1884" t="inlineStr">
        <is>
          <t>Joana</t>
        </is>
      </c>
      <c r="B1884" t="inlineStr">
        <is>
          <t>+5511993374508</t>
        </is>
      </c>
      <c r="C1884" t="inlineStr">
        <is>
          <t>Refill</t>
        </is>
      </c>
      <c r="D1884" t="inlineStr">
        <is>
          <t>Primer Cachos</t>
        </is>
      </c>
      <c r="E1884" t="n">
        <v>1</v>
      </c>
      <c r="F1884" t="inlineStr">
        <is>
          <t>2026-01-21</t>
        </is>
      </c>
      <c r="G1884" t="n">
        <v>164</v>
      </c>
      <c r="H1884" t="inlineStr">
        <is>
          <t>Y</t>
        </is>
      </c>
      <c r="I1884">
        <f>HYPERLINK("https://admin.shopify.com/store/ge-beauty-cosmeticos/customers/10076721971520","abrir")</f>
        <v/>
      </c>
      <c r="J1884">
        <f>HYPERLINK("https://www.gebeauty.com.br/products/primer-cachos-definidos?ref=review","review")</f>
        <v/>
      </c>
      <c r="K1884" t="inlineStr">
        <is>
          <t>SEND</t>
        </is>
      </c>
    </row>
    <row r="1885">
      <c r="A1885" t="inlineStr">
        <is>
          <t>Ivna</t>
        </is>
      </c>
      <c r="B1885" t="inlineStr">
        <is>
          <t>+5521991863048</t>
        </is>
      </c>
      <c r="C1885" t="inlineStr">
        <is>
          <t>Refill</t>
        </is>
      </c>
      <c r="D1885" t="inlineStr">
        <is>
          <t>Primer Cachos</t>
        </is>
      </c>
      <c r="E1885" t="n">
        <v>1</v>
      </c>
      <c r="F1885" t="inlineStr">
        <is>
          <t>2026-01-21</t>
        </is>
      </c>
      <c r="G1885" t="n">
        <v>164</v>
      </c>
      <c r="H1885" t="inlineStr">
        <is>
          <t>Y</t>
        </is>
      </c>
      <c r="I1885">
        <f>HYPERLINK("https://admin.shopify.com/store/ge-beauty-cosmeticos/customers/10076728590656","abrir")</f>
        <v/>
      </c>
      <c r="J1885">
        <f>HYPERLINK("https://www.gebeauty.com.br/products/primer-cachos-definidos?ref=review","review")</f>
        <v/>
      </c>
      <c r="K1885" t="inlineStr">
        <is>
          <t>SEND</t>
        </is>
      </c>
    </row>
    <row r="1886">
      <c r="A1886" t="inlineStr">
        <is>
          <t>Maria Elisa</t>
        </is>
      </c>
      <c r="B1886" t="inlineStr">
        <is>
          <t>+5527999517220</t>
        </is>
      </c>
      <c r="C1886" t="inlineStr">
        <is>
          <t>Refill</t>
        </is>
      </c>
      <c r="D1886" t="inlineStr">
        <is>
          <t>Primer Cachos</t>
        </is>
      </c>
      <c r="E1886" t="n">
        <v>1</v>
      </c>
      <c r="F1886" t="inlineStr">
        <is>
          <t>2026-01-21</t>
        </is>
      </c>
      <c r="G1886" t="n">
        <v>164</v>
      </c>
      <c r="H1886" t="inlineStr">
        <is>
          <t>Y</t>
        </is>
      </c>
      <c r="I1886">
        <f>HYPERLINK("https://admin.shopify.com/store/ge-beauty-cosmeticos/customers/10076753199424","abrir")</f>
        <v/>
      </c>
      <c r="J1886">
        <f>HYPERLINK("https://www.gebeauty.com.br/products/primer-cachos-definidos?ref=review","review")</f>
        <v/>
      </c>
      <c r="K1886" t="inlineStr">
        <is>
          <t>SEND</t>
        </is>
      </c>
    </row>
    <row r="1887">
      <c r="A1887" t="inlineStr">
        <is>
          <t>Luciana</t>
        </is>
      </c>
      <c r="B1887" t="inlineStr">
        <is>
          <t>+5511983839200</t>
        </is>
      </c>
      <c r="C1887" t="inlineStr">
        <is>
          <t>Refill</t>
        </is>
      </c>
      <c r="D1887" t="inlineStr">
        <is>
          <t>Primer Cachos</t>
        </is>
      </c>
      <c r="E1887" t="n">
        <v>1</v>
      </c>
      <c r="F1887" t="inlineStr">
        <is>
          <t>2026-01-21</t>
        </is>
      </c>
      <c r="G1887" t="n">
        <v>164</v>
      </c>
      <c r="H1887" t="inlineStr">
        <is>
          <t>Y</t>
        </is>
      </c>
      <c r="I1887">
        <f>HYPERLINK("https://admin.shopify.com/store/ge-beauty-cosmeticos/customers/10076747596096","abrir")</f>
        <v/>
      </c>
      <c r="J1887">
        <f>HYPERLINK("https://www.gebeauty.com.br/products/primer-cachos-definidos?ref=review","review")</f>
        <v/>
      </c>
      <c r="K1887" t="inlineStr">
        <is>
          <t>HOLDOUT</t>
        </is>
      </c>
    </row>
    <row r="1888">
      <c r="A1888" t="inlineStr">
        <is>
          <t>Philipe</t>
        </is>
      </c>
      <c r="B1888" t="inlineStr">
        <is>
          <t>+5521980334316</t>
        </is>
      </c>
      <c r="C1888" t="inlineStr">
        <is>
          <t>Refill</t>
        </is>
      </c>
      <c r="D1888" t="inlineStr">
        <is>
          <t>Primer Cachos</t>
        </is>
      </c>
      <c r="E1888" t="n">
        <v>1</v>
      </c>
      <c r="F1888" t="inlineStr">
        <is>
          <t>2026-01-21</t>
        </is>
      </c>
      <c r="G1888" t="n">
        <v>164</v>
      </c>
      <c r="H1888" t="inlineStr">
        <is>
          <t>Y</t>
        </is>
      </c>
      <c r="I1888">
        <f>HYPERLINK("https://admin.shopify.com/store/ge-beauty-cosmeticos/customers/10076761620800","abrir")</f>
        <v/>
      </c>
      <c r="J1888">
        <f>HYPERLINK("https://www.gebeauty.com.br/products/primer-cachos-definidos?ref=review","review")</f>
        <v/>
      </c>
      <c r="K1888" t="inlineStr">
        <is>
          <t>SEND</t>
        </is>
      </c>
    </row>
    <row r="1889">
      <c r="A1889" t="inlineStr">
        <is>
          <t>Ana Paola</t>
        </is>
      </c>
      <c r="B1889" t="inlineStr">
        <is>
          <t>+5511963989416</t>
        </is>
      </c>
      <c r="C1889" t="inlineStr">
        <is>
          <t>Refill</t>
        </is>
      </c>
      <c r="D1889" t="inlineStr">
        <is>
          <t>Primer Cachos</t>
        </is>
      </c>
      <c r="E1889" t="n">
        <v>1</v>
      </c>
      <c r="F1889" t="inlineStr">
        <is>
          <t>2026-01-21</t>
        </is>
      </c>
      <c r="G1889" t="n">
        <v>164</v>
      </c>
      <c r="H1889" t="inlineStr">
        <is>
          <t>Y</t>
        </is>
      </c>
      <c r="I1889">
        <f>HYPERLINK("https://admin.shopify.com/store/ge-beauty-cosmeticos/customers/10076765454656","abrir")</f>
        <v/>
      </c>
      <c r="J1889">
        <f>HYPERLINK("https://www.gebeauty.com.br/products/primer-cachos-definidos?ref=review","review")</f>
        <v/>
      </c>
      <c r="K1889" t="inlineStr">
        <is>
          <t>SEND</t>
        </is>
      </c>
    </row>
    <row r="1890">
      <c r="A1890" t="inlineStr">
        <is>
          <t>Daniela</t>
        </is>
      </c>
      <c r="B1890" t="inlineStr">
        <is>
          <t>+5521996221007</t>
        </is>
      </c>
      <c r="C1890" t="inlineStr">
        <is>
          <t>Refill</t>
        </is>
      </c>
      <c r="D1890" t="inlineStr">
        <is>
          <t>Primer Cachos</t>
        </is>
      </c>
      <c r="E1890" t="n">
        <v>1</v>
      </c>
      <c r="F1890" t="inlineStr">
        <is>
          <t>2026-01-21</t>
        </is>
      </c>
      <c r="G1890" t="n">
        <v>164</v>
      </c>
      <c r="H1890" t="inlineStr">
        <is>
          <t>Y</t>
        </is>
      </c>
      <c r="I1890">
        <f>HYPERLINK("https://admin.shopify.com/store/ge-beauty-cosmeticos/customers/10076772041024","abrir")</f>
        <v/>
      </c>
      <c r="J1890">
        <f>HYPERLINK("https://www.gebeauty.com.br/products/primer-cachos-definidos?ref=review","review")</f>
        <v/>
      </c>
      <c r="K1890" t="inlineStr">
        <is>
          <t>HOLDOUT</t>
        </is>
      </c>
    </row>
    <row r="1891">
      <c r="A1891" t="inlineStr">
        <is>
          <t>Rachel</t>
        </is>
      </c>
      <c r="B1891" t="inlineStr">
        <is>
          <t>+5522988252277</t>
        </is>
      </c>
      <c r="C1891" t="inlineStr">
        <is>
          <t>Refill</t>
        </is>
      </c>
      <c r="D1891" t="inlineStr">
        <is>
          <t>Primer Cachos</t>
        </is>
      </c>
      <c r="E1891" t="n">
        <v>1</v>
      </c>
      <c r="F1891" t="inlineStr">
        <is>
          <t>2026-01-21</t>
        </is>
      </c>
      <c r="G1891" t="n">
        <v>164</v>
      </c>
      <c r="H1891" t="inlineStr">
        <is>
          <t>Y</t>
        </is>
      </c>
      <c r="I1891">
        <f>HYPERLINK("https://admin.shopify.com/store/ge-beauty-cosmeticos/customers/10076779249984","abrir")</f>
        <v/>
      </c>
      <c r="J1891">
        <f>HYPERLINK("https://www.gebeauty.com.br/products/primer-cachos-definidos?ref=review","review")</f>
        <v/>
      </c>
      <c r="K1891" t="inlineStr">
        <is>
          <t>HOLDOUT</t>
        </is>
      </c>
    </row>
    <row r="1892">
      <c r="A1892" t="inlineStr">
        <is>
          <t>Ana Cristina</t>
        </is>
      </c>
      <c r="B1892" t="inlineStr">
        <is>
          <t>+5562999726624</t>
        </is>
      </c>
      <c r="C1892" t="inlineStr">
        <is>
          <t>Refill</t>
        </is>
      </c>
      <c r="D1892" t="inlineStr">
        <is>
          <t>Primer Cachos</t>
        </is>
      </c>
      <c r="E1892" t="n">
        <v>1</v>
      </c>
      <c r="F1892" t="inlineStr">
        <is>
          <t>2026-01-21</t>
        </is>
      </c>
      <c r="G1892" t="n">
        <v>164</v>
      </c>
      <c r="H1892" t="inlineStr">
        <is>
          <t>Y</t>
        </is>
      </c>
      <c r="I1892">
        <f>HYPERLINK("https://admin.shopify.com/store/ge-beauty-cosmeticos/customers/10076782231872","abrir")</f>
        <v/>
      </c>
      <c r="J1892">
        <f>HYPERLINK("https://www.gebeauty.com.br/products/primer-cachos-definidos?ref=review","review")</f>
        <v/>
      </c>
      <c r="K1892" t="inlineStr">
        <is>
          <t>SEND</t>
        </is>
      </c>
    </row>
    <row r="1893">
      <c r="A1893" t="inlineStr">
        <is>
          <t>Giovana</t>
        </is>
      </c>
      <c r="B1893" t="inlineStr">
        <is>
          <t>+5519987524737</t>
        </is>
      </c>
      <c r="C1893" t="inlineStr">
        <is>
          <t>Refill</t>
        </is>
      </c>
      <c r="D1893" t="inlineStr">
        <is>
          <t>Primer Cachos</t>
        </is>
      </c>
      <c r="E1893" t="n">
        <v>1</v>
      </c>
      <c r="F1893" t="inlineStr">
        <is>
          <t>2026-01-21</t>
        </is>
      </c>
      <c r="G1893" t="n">
        <v>164</v>
      </c>
      <c r="H1893" t="inlineStr">
        <is>
          <t>Y</t>
        </is>
      </c>
      <c r="I1893">
        <f>HYPERLINK("https://admin.shopify.com/store/ge-beauty-cosmeticos/customers/10076347564352","abrir")</f>
        <v/>
      </c>
      <c r="J1893">
        <f>HYPERLINK("https://www.gebeauty.com.br/products/primer-cachos-definidos?ref=review","review")</f>
        <v/>
      </c>
      <c r="K1893" t="inlineStr">
        <is>
          <t>SEND</t>
        </is>
      </c>
    </row>
    <row r="1894">
      <c r="A1894" t="inlineStr">
        <is>
          <t>Erika</t>
        </is>
      </c>
      <c r="B1894" t="inlineStr">
        <is>
          <t>+5511984506866</t>
        </is>
      </c>
      <c r="C1894" t="inlineStr">
        <is>
          <t>Refill</t>
        </is>
      </c>
      <c r="D1894" t="inlineStr">
        <is>
          <t>Primer Cachos</t>
        </is>
      </c>
      <c r="E1894" t="n">
        <v>1</v>
      </c>
      <c r="F1894" t="inlineStr">
        <is>
          <t>2026-01-21</t>
        </is>
      </c>
      <c r="G1894" t="n">
        <v>164</v>
      </c>
      <c r="H1894" t="inlineStr">
        <is>
          <t>Y</t>
        </is>
      </c>
      <c r="I1894">
        <f>HYPERLINK("https://admin.shopify.com/store/ge-beauty-cosmeticos/customers/8194843803968","abrir")</f>
        <v/>
      </c>
      <c r="J1894">
        <f>HYPERLINK("https://www.gebeauty.com.br/products/primer-cachos-definidos?ref=review","review")</f>
        <v/>
      </c>
      <c r="K1894" t="inlineStr">
        <is>
          <t>SEND</t>
        </is>
      </c>
    </row>
    <row r="1895">
      <c r="A1895" t="inlineStr">
        <is>
          <t>Thatiane</t>
        </is>
      </c>
      <c r="B1895" t="inlineStr">
        <is>
          <t>+5521996548015</t>
        </is>
      </c>
      <c r="C1895" t="inlineStr">
        <is>
          <t>Refill</t>
        </is>
      </c>
      <c r="D1895" t="inlineStr">
        <is>
          <t>Primer Cachos</t>
        </is>
      </c>
      <c r="E1895" t="n">
        <v>1</v>
      </c>
      <c r="F1895" t="inlineStr">
        <is>
          <t>2026-01-21</t>
        </is>
      </c>
      <c r="G1895" t="n">
        <v>164</v>
      </c>
      <c r="H1895" t="inlineStr">
        <is>
          <t>Y</t>
        </is>
      </c>
      <c r="I1895">
        <f>HYPERLINK("https://admin.shopify.com/store/ge-beauty-cosmeticos/customers/8394413539648","abrir")</f>
        <v/>
      </c>
      <c r="J1895">
        <f>HYPERLINK("https://www.gebeauty.com.br/products/primer-cachos-definidos?ref=review","review")</f>
        <v/>
      </c>
      <c r="K1895" t="inlineStr">
        <is>
          <t>SEND</t>
        </is>
      </c>
    </row>
    <row r="1896">
      <c r="A1896" t="inlineStr">
        <is>
          <t>Elaine</t>
        </is>
      </c>
      <c r="B1896" t="inlineStr">
        <is>
          <t>+5538996842029</t>
        </is>
      </c>
      <c r="C1896" t="inlineStr">
        <is>
          <t>Refill</t>
        </is>
      </c>
      <c r="D1896" t="inlineStr">
        <is>
          <t>Primer Cachos</t>
        </is>
      </c>
      <c r="E1896" t="n">
        <v>1</v>
      </c>
      <c r="F1896" t="inlineStr">
        <is>
          <t>2026-01-21</t>
        </is>
      </c>
      <c r="G1896" t="n">
        <v>164</v>
      </c>
      <c r="H1896" t="inlineStr">
        <is>
          <t>Y</t>
        </is>
      </c>
      <c r="I1896">
        <f>HYPERLINK("https://admin.shopify.com/store/ge-beauty-cosmeticos/customers/10074343113024","abrir")</f>
        <v/>
      </c>
      <c r="J1896">
        <f>HYPERLINK("https://www.gebeauty.com.br/products/primer-cachos-definidos?ref=review","review")</f>
        <v/>
      </c>
      <c r="K1896" t="inlineStr">
        <is>
          <t>SEND</t>
        </is>
      </c>
    </row>
    <row r="1897">
      <c r="A1897" t="inlineStr">
        <is>
          <t>Fernanda</t>
        </is>
      </c>
      <c r="B1897" t="inlineStr">
        <is>
          <t>+5565981116422</t>
        </is>
      </c>
      <c r="C1897" t="inlineStr">
        <is>
          <t>Refill</t>
        </is>
      </c>
      <c r="D1897" t="inlineStr">
        <is>
          <t>Primer Cachos</t>
        </is>
      </c>
      <c r="E1897" t="n">
        <v>1</v>
      </c>
      <c r="F1897" t="inlineStr">
        <is>
          <t>2026-01-21</t>
        </is>
      </c>
      <c r="G1897" t="n">
        <v>164</v>
      </c>
      <c r="H1897" t="inlineStr">
        <is>
          <t>Y</t>
        </is>
      </c>
      <c r="I1897">
        <f>HYPERLINK("https://admin.shopify.com/store/ge-beauty-cosmeticos/customers/8254446010688","abrir")</f>
        <v/>
      </c>
      <c r="J1897">
        <f>HYPERLINK("https://www.gebeauty.com.br/products/primer-cachos-definidos?ref=review","review")</f>
        <v/>
      </c>
      <c r="K1897" t="inlineStr">
        <is>
          <t>SEND</t>
        </is>
      </c>
    </row>
    <row r="1898">
      <c r="A1898" t="inlineStr">
        <is>
          <t>Kelly</t>
        </is>
      </c>
      <c r="B1898" t="inlineStr">
        <is>
          <t>+5511985722855</t>
        </is>
      </c>
      <c r="C1898" t="inlineStr">
        <is>
          <t>Refill</t>
        </is>
      </c>
      <c r="D1898" t="inlineStr">
        <is>
          <t>Primer Cachos</t>
        </is>
      </c>
      <c r="E1898" t="n">
        <v>1</v>
      </c>
      <c r="F1898" t="inlineStr">
        <is>
          <t>2026-01-21</t>
        </is>
      </c>
      <c r="G1898" t="n">
        <v>164</v>
      </c>
      <c r="H1898" t="inlineStr">
        <is>
          <t>Y</t>
        </is>
      </c>
      <c r="I1898">
        <f>HYPERLINK("https://admin.shopify.com/store/ge-beauty-cosmeticos/customers/10076767289664","abrir")</f>
        <v/>
      </c>
      <c r="J1898">
        <f>HYPERLINK("https://www.gebeauty.com.br/products/primer-cachos-definidos?ref=review","review")</f>
        <v/>
      </c>
      <c r="K1898" t="inlineStr">
        <is>
          <t>SEND</t>
        </is>
      </c>
    </row>
    <row r="1899">
      <c r="A1899" t="inlineStr">
        <is>
          <t>Erika</t>
        </is>
      </c>
      <c r="B1899" t="inlineStr">
        <is>
          <t>+5594991324963</t>
        </is>
      </c>
      <c r="C1899" t="inlineStr">
        <is>
          <t>Refill</t>
        </is>
      </c>
      <c r="D1899" t="inlineStr">
        <is>
          <t>Primer Cachos</t>
        </is>
      </c>
      <c r="E1899" t="n">
        <v>1</v>
      </c>
      <c r="F1899" t="inlineStr">
        <is>
          <t>2026-01-21</t>
        </is>
      </c>
      <c r="G1899" t="n">
        <v>164</v>
      </c>
      <c r="H1899" t="inlineStr">
        <is>
          <t>Y</t>
        </is>
      </c>
      <c r="I1899">
        <f>HYPERLINK("https://admin.shopify.com/store/ge-beauty-cosmeticos/customers/10076820373824","abrir")</f>
        <v/>
      </c>
      <c r="J1899">
        <f>HYPERLINK("https://www.gebeauty.com.br/products/primer-cachos-definidos?ref=review","review")</f>
        <v/>
      </c>
      <c r="K1899" t="inlineStr">
        <is>
          <t>SEND</t>
        </is>
      </c>
    </row>
    <row r="1900">
      <c r="A1900" t="inlineStr">
        <is>
          <t>Karla Leticia</t>
        </is>
      </c>
      <c r="B1900" t="inlineStr">
        <is>
          <t>+5565999827731</t>
        </is>
      </c>
      <c r="C1900" t="inlineStr">
        <is>
          <t>Refill</t>
        </is>
      </c>
      <c r="D1900" t="inlineStr">
        <is>
          <t>Primer Cachos</t>
        </is>
      </c>
      <c r="E1900" t="n">
        <v>1</v>
      </c>
      <c r="F1900" t="inlineStr">
        <is>
          <t>2026-01-21</t>
        </is>
      </c>
      <c r="G1900" t="n">
        <v>164</v>
      </c>
      <c r="H1900" t="inlineStr">
        <is>
          <t>Y</t>
        </is>
      </c>
      <c r="I1900">
        <f>HYPERLINK("https://admin.shopify.com/store/ge-beauty-cosmeticos/customers/10075528266048","abrir")</f>
        <v/>
      </c>
      <c r="J1900">
        <f>HYPERLINK("https://www.gebeauty.com.br/products/primer-cachos-definidos?ref=review","review")</f>
        <v/>
      </c>
      <c r="K1900" t="inlineStr">
        <is>
          <t>SEND</t>
        </is>
      </c>
    </row>
    <row r="1901">
      <c r="A1901" t="inlineStr">
        <is>
          <t>Priscilla Katia</t>
        </is>
      </c>
      <c r="B1901" t="inlineStr">
        <is>
          <t>+5547999225604</t>
        </is>
      </c>
      <c r="C1901" t="inlineStr">
        <is>
          <t>Refill</t>
        </is>
      </c>
      <c r="D1901" t="inlineStr">
        <is>
          <t>Primer Cachos</t>
        </is>
      </c>
      <c r="E1901" t="n">
        <v>1</v>
      </c>
      <c r="F1901" t="inlineStr">
        <is>
          <t>2026-01-21</t>
        </is>
      </c>
      <c r="G1901" t="n">
        <v>164</v>
      </c>
      <c r="H1901" t="inlineStr">
        <is>
          <t>Y</t>
        </is>
      </c>
      <c r="I1901">
        <f>HYPERLINK("https://admin.shopify.com/store/ge-beauty-cosmeticos/customers/10076825551168","abrir")</f>
        <v/>
      </c>
      <c r="J1901">
        <f>HYPERLINK("https://www.gebeauty.com.br/products/primer-cachos-definidos?ref=review","review")</f>
        <v/>
      </c>
      <c r="K1901" t="inlineStr">
        <is>
          <t>SEND</t>
        </is>
      </c>
    </row>
    <row r="1902">
      <c r="A1902" t="inlineStr">
        <is>
          <t>Diana</t>
        </is>
      </c>
      <c r="B1902" t="inlineStr">
        <is>
          <t>+5511962034219</t>
        </is>
      </c>
      <c r="C1902" t="inlineStr">
        <is>
          <t>Refill</t>
        </is>
      </c>
      <c r="D1902" t="inlineStr">
        <is>
          <t>Primer Cachos</t>
        </is>
      </c>
      <c r="E1902" t="n">
        <v>1</v>
      </c>
      <c r="F1902" t="inlineStr">
        <is>
          <t>2026-01-21</t>
        </is>
      </c>
      <c r="G1902" t="n">
        <v>164</v>
      </c>
      <c r="H1902" t="inlineStr">
        <is>
          <t>N</t>
        </is>
      </c>
      <c r="I1902">
        <f>HYPERLINK("https://admin.shopify.com/store/ge-beauty-cosmeticos/customers/10074235896128","abrir")</f>
        <v/>
      </c>
      <c r="J1902">
        <f>HYPERLINK("https://www.gebeauty.com.br/products/primer-cachos-definidos?ref=review","review")</f>
        <v/>
      </c>
      <c r="K1902" t="inlineStr">
        <is>
          <t>SEND</t>
        </is>
      </c>
    </row>
    <row r="1903">
      <c r="A1903" t="inlineStr">
        <is>
          <t>Ilde</t>
        </is>
      </c>
      <c r="B1903" t="inlineStr">
        <is>
          <t>+5586999833238</t>
        </is>
      </c>
      <c r="C1903" t="inlineStr">
        <is>
          <t>Refill</t>
        </is>
      </c>
      <c r="D1903" t="inlineStr">
        <is>
          <t>Primer Cachos</t>
        </is>
      </c>
      <c r="E1903" t="n">
        <v>1</v>
      </c>
      <c r="F1903" t="inlineStr">
        <is>
          <t>2026-01-21</t>
        </is>
      </c>
      <c r="G1903" t="n">
        <v>164</v>
      </c>
      <c r="H1903" t="inlineStr">
        <is>
          <t>Y</t>
        </is>
      </c>
      <c r="I1903">
        <f>HYPERLINK("https://admin.shopify.com/store/ge-beauty-cosmeticos/customers/8746709156160","abrir")</f>
        <v/>
      </c>
      <c r="J1903">
        <f>HYPERLINK("https://www.gebeauty.com.br/products/primer-cachos-definidos?ref=review","review")</f>
        <v/>
      </c>
      <c r="K1903" t="inlineStr">
        <is>
          <t>SEND</t>
        </is>
      </c>
    </row>
    <row r="1904">
      <c r="A1904" t="inlineStr">
        <is>
          <t>Izabella</t>
        </is>
      </c>
      <c r="B1904" t="inlineStr">
        <is>
          <t>+5512991180660</t>
        </is>
      </c>
      <c r="C1904" t="inlineStr">
        <is>
          <t>Refill</t>
        </is>
      </c>
      <c r="D1904" t="inlineStr">
        <is>
          <t>Primer Cachos</t>
        </is>
      </c>
      <c r="E1904" t="n">
        <v>1</v>
      </c>
      <c r="F1904" t="inlineStr">
        <is>
          <t>2026-01-21</t>
        </is>
      </c>
      <c r="G1904" t="n">
        <v>164</v>
      </c>
      <c r="H1904" t="inlineStr">
        <is>
          <t>Y</t>
        </is>
      </c>
      <c r="I1904">
        <f>HYPERLINK("https://admin.shopify.com/store/ge-beauty-cosmeticos/customers/10075848343872","abrir")</f>
        <v/>
      </c>
      <c r="J1904">
        <f>HYPERLINK("https://www.gebeauty.com.br/products/primer-cachos-definidos?ref=review","review")</f>
        <v/>
      </c>
      <c r="K1904" t="inlineStr">
        <is>
          <t>SEND</t>
        </is>
      </c>
    </row>
    <row r="1905">
      <c r="A1905" t="inlineStr">
        <is>
          <t>Munira</t>
        </is>
      </c>
      <c r="B1905" t="inlineStr">
        <is>
          <t>+5575991916491</t>
        </is>
      </c>
      <c r="C1905" t="inlineStr">
        <is>
          <t>Refill</t>
        </is>
      </c>
      <c r="D1905" t="inlineStr">
        <is>
          <t>Primer Cachos</t>
        </is>
      </c>
      <c r="E1905" t="n">
        <v>1</v>
      </c>
      <c r="F1905" t="inlineStr">
        <is>
          <t>2026-01-21</t>
        </is>
      </c>
      <c r="G1905" t="n">
        <v>164</v>
      </c>
      <c r="H1905" t="inlineStr">
        <is>
          <t>Y</t>
        </is>
      </c>
      <c r="I1905">
        <f>HYPERLINK("https://admin.shopify.com/store/ge-beauty-cosmeticos/customers/10076832039232","abrir")</f>
        <v/>
      </c>
      <c r="J1905">
        <f>HYPERLINK("https://www.gebeauty.com.br/products/primer-cachos-definidos?ref=review","review")</f>
        <v/>
      </c>
      <c r="K1905" t="inlineStr">
        <is>
          <t>SEND</t>
        </is>
      </c>
    </row>
    <row r="1906">
      <c r="A1906" t="inlineStr">
        <is>
          <t>Natalia</t>
        </is>
      </c>
      <c r="B1906" t="inlineStr">
        <is>
          <t>+5511996938151</t>
        </is>
      </c>
      <c r="C1906" t="inlineStr">
        <is>
          <t>Refill</t>
        </is>
      </c>
      <c r="D1906" t="inlineStr">
        <is>
          <t>Primer Cachos</t>
        </is>
      </c>
      <c r="E1906" t="n">
        <v>1</v>
      </c>
      <c r="F1906" t="inlineStr">
        <is>
          <t>2026-01-21</t>
        </is>
      </c>
      <c r="G1906" t="n">
        <v>164</v>
      </c>
      <c r="H1906" t="inlineStr">
        <is>
          <t>Y</t>
        </is>
      </c>
      <c r="I1906">
        <f>HYPERLINK("https://admin.shopify.com/store/ge-beauty-cosmeticos/customers/10076813263168","abrir")</f>
        <v/>
      </c>
      <c r="J1906">
        <f>HYPERLINK("https://www.gebeauty.com.br/products/primer-cachos-definidos?ref=review","review")</f>
        <v/>
      </c>
      <c r="K1906" t="inlineStr">
        <is>
          <t>SEND</t>
        </is>
      </c>
    </row>
    <row r="1907">
      <c r="A1907" t="inlineStr">
        <is>
          <t>Pawolla</t>
        </is>
      </c>
      <c r="B1907" t="inlineStr">
        <is>
          <t>+5584988893569</t>
        </is>
      </c>
      <c r="C1907" t="inlineStr">
        <is>
          <t>Refill</t>
        </is>
      </c>
      <c r="D1907" t="inlineStr">
        <is>
          <t>Primer Cachos</t>
        </is>
      </c>
      <c r="E1907" t="n">
        <v>1</v>
      </c>
      <c r="F1907" t="inlineStr">
        <is>
          <t>2026-01-21</t>
        </is>
      </c>
      <c r="G1907" t="n">
        <v>164</v>
      </c>
      <c r="H1907" t="inlineStr">
        <is>
          <t>Y</t>
        </is>
      </c>
      <c r="I1907">
        <f>HYPERLINK("https://admin.shopify.com/store/ge-beauty-cosmeticos/customers/10076864741696","abrir")</f>
        <v/>
      </c>
      <c r="J1907">
        <f>HYPERLINK("https://www.gebeauty.com.br/products/primer-cachos-definidos?ref=review","review")</f>
        <v/>
      </c>
      <c r="K1907" t="inlineStr">
        <is>
          <t>SEND</t>
        </is>
      </c>
    </row>
    <row r="1908">
      <c r="A1908" t="inlineStr">
        <is>
          <t>Delzanir</t>
        </is>
      </c>
      <c r="B1908" t="inlineStr">
        <is>
          <t>+5581985541421</t>
        </is>
      </c>
      <c r="C1908" t="inlineStr">
        <is>
          <t>Refill</t>
        </is>
      </c>
      <c r="D1908" t="inlineStr">
        <is>
          <t>Primer Cachos</t>
        </is>
      </c>
      <c r="E1908" t="n">
        <v>1</v>
      </c>
      <c r="F1908" t="inlineStr">
        <is>
          <t>2026-01-21</t>
        </is>
      </c>
      <c r="G1908" t="n">
        <v>164</v>
      </c>
      <c r="H1908" t="inlineStr">
        <is>
          <t>Y</t>
        </is>
      </c>
      <c r="I1908">
        <f>HYPERLINK("https://admin.shopify.com/store/ge-beauty-cosmeticos/customers/10076872016192","abrir")</f>
        <v/>
      </c>
      <c r="J1908">
        <f>HYPERLINK("https://www.gebeauty.com.br/products/primer-cachos-definidos?ref=review","review")</f>
        <v/>
      </c>
      <c r="K1908" t="inlineStr">
        <is>
          <t>SEND</t>
        </is>
      </c>
    </row>
    <row r="1909">
      <c r="A1909" t="inlineStr">
        <is>
          <t>Márcia</t>
        </is>
      </c>
      <c r="B1909" t="inlineStr">
        <is>
          <t>+5514999093938</t>
        </is>
      </c>
      <c r="C1909" t="inlineStr">
        <is>
          <t>Refill</t>
        </is>
      </c>
      <c r="D1909" t="inlineStr">
        <is>
          <t>Primer Cachos</t>
        </is>
      </c>
      <c r="E1909" t="n">
        <v>1</v>
      </c>
      <c r="F1909" t="inlineStr">
        <is>
          <t>2026-01-21</t>
        </is>
      </c>
      <c r="G1909" t="n">
        <v>164</v>
      </c>
      <c r="H1909" t="inlineStr">
        <is>
          <t>Y</t>
        </is>
      </c>
      <c r="I1909">
        <f>HYPERLINK("https://admin.shopify.com/store/ge-beauty-cosmeticos/customers/10072802853184","abrir")</f>
        <v/>
      </c>
      <c r="J1909">
        <f>HYPERLINK("https://www.gebeauty.com.br/products/primer-cachos-definidos?ref=review","review")</f>
        <v/>
      </c>
      <c r="K1909" t="inlineStr">
        <is>
          <t>SEND</t>
        </is>
      </c>
    </row>
    <row r="1910">
      <c r="A1910" t="inlineStr">
        <is>
          <t>Luciane</t>
        </is>
      </c>
      <c r="B1910" t="inlineStr">
        <is>
          <t>+5547992481467</t>
        </is>
      </c>
      <c r="C1910" t="inlineStr">
        <is>
          <t>Refill</t>
        </is>
      </c>
      <c r="D1910" t="inlineStr">
        <is>
          <t>Primer Cachos</t>
        </is>
      </c>
      <c r="E1910" t="n">
        <v>1</v>
      </c>
      <c r="F1910" t="inlineStr">
        <is>
          <t>2026-01-21</t>
        </is>
      </c>
      <c r="G1910" t="n">
        <v>164</v>
      </c>
      <c r="H1910" t="inlineStr">
        <is>
          <t>Y</t>
        </is>
      </c>
      <c r="I1910">
        <f>HYPERLINK("https://admin.shopify.com/store/ge-beauty-cosmeticos/customers/10076874867008","abrir")</f>
        <v/>
      </c>
      <c r="J1910">
        <f>HYPERLINK("https://www.gebeauty.com.br/products/primer-cachos-definidos?ref=review","review")</f>
        <v/>
      </c>
      <c r="K1910" t="inlineStr">
        <is>
          <t>SEND</t>
        </is>
      </c>
    </row>
    <row r="1911">
      <c r="A1911" t="inlineStr">
        <is>
          <t>Gustavo</t>
        </is>
      </c>
      <c r="B1911" t="inlineStr">
        <is>
          <t>+5511962288785</t>
        </is>
      </c>
      <c r="C1911" t="inlineStr">
        <is>
          <t>Refill</t>
        </is>
      </c>
      <c r="D1911" t="inlineStr">
        <is>
          <t>Primer Cachos</t>
        </is>
      </c>
      <c r="E1911" t="n">
        <v>1</v>
      </c>
      <c r="F1911" t="inlineStr">
        <is>
          <t>2026-01-21</t>
        </is>
      </c>
      <c r="G1911" t="n">
        <v>164</v>
      </c>
      <c r="H1911" t="inlineStr">
        <is>
          <t>Y</t>
        </is>
      </c>
      <c r="I1911">
        <f>HYPERLINK("https://admin.shopify.com/store/ge-beauty-cosmeticos/customers/10076878242112","abrir")</f>
        <v/>
      </c>
      <c r="J1911">
        <f>HYPERLINK("https://www.gebeauty.com.br/products/primer-cachos-definidos?ref=review","review")</f>
        <v/>
      </c>
      <c r="K1911" t="inlineStr">
        <is>
          <t>SEND</t>
        </is>
      </c>
    </row>
    <row r="1912">
      <c r="A1912" t="inlineStr">
        <is>
          <t>Rafaela</t>
        </is>
      </c>
      <c r="B1912" t="inlineStr">
        <is>
          <t>+5521981221912</t>
        </is>
      </c>
      <c r="C1912" t="inlineStr">
        <is>
          <t>Refill</t>
        </is>
      </c>
      <c r="D1912" t="inlineStr">
        <is>
          <t>Primer Cachos</t>
        </is>
      </c>
      <c r="E1912" t="n">
        <v>1</v>
      </c>
      <c r="F1912" t="inlineStr">
        <is>
          <t>2026-01-21</t>
        </is>
      </c>
      <c r="G1912" t="n">
        <v>164</v>
      </c>
      <c r="H1912" t="inlineStr">
        <is>
          <t>Y</t>
        </is>
      </c>
      <c r="I1912">
        <f>HYPERLINK("https://admin.shopify.com/store/ge-beauty-cosmeticos/customers/10076868608320","abrir")</f>
        <v/>
      </c>
      <c r="J1912">
        <f>HYPERLINK("https://www.gebeauty.com.br/products/primer-cachos-definidos?ref=review","review")</f>
        <v/>
      </c>
      <c r="K1912" t="inlineStr">
        <is>
          <t>SEND</t>
        </is>
      </c>
    </row>
    <row r="1913">
      <c r="A1913" t="inlineStr">
        <is>
          <t>Elaine</t>
        </is>
      </c>
      <c r="B1913" t="inlineStr">
        <is>
          <t>+5511963550101</t>
        </is>
      </c>
      <c r="C1913" t="inlineStr">
        <is>
          <t>Refill</t>
        </is>
      </c>
      <c r="D1913" t="inlineStr">
        <is>
          <t>Primer Cachos</t>
        </is>
      </c>
      <c r="E1913" t="n">
        <v>1</v>
      </c>
      <c r="F1913" t="inlineStr">
        <is>
          <t>2026-01-22</t>
        </is>
      </c>
      <c r="G1913" t="n">
        <v>163</v>
      </c>
      <c r="H1913" t="inlineStr">
        <is>
          <t>Y</t>
        </is>
      </c>
      <c r="I1913">
        <f>HYPERLINK("https://admin.shopify.com/store/ge-beauty-cosmeticos/customers/10076829057344","abrir")</f>
        <v/>
      </c>
      <c r="J1913">
        <f>HYPERLINK("https://www.gebeauty.com.br/products/primer-cachos-definidos?ref=review","review")</f>
        <v/>
      </c>
      <c r="K1913" t="inlineStr">
        <is>
          <t>SEND</t>
        </is>
      </c>
    </row>
    <row r="1914">
      <c r="A1914" t="inlineStr">
        <is>
          <t>Jessica</t>
        </is>
      </c>
      <c r="B1914" t="inlineStr">
        <is>
          <t>+5545999618019</t>
        </is>
      </c>
      <c r="C1914" t="inlineStr">
        <is>
          <t>Refill</t>
        </is>
      </c>
      <c r="D1914" t="inlineStr">
        <is>
          <t>Primer Cachos</t>
        </is>
      </c>
      <c r="E1914" t="n">
        <v>1</v>
      </c>
      <c r="F1914" t="inlineStr">
        <is>
          <t>2026-01-22</t>
        </is>
      </c>
      <c r="G1914" t="n">
        <v>163</v>
      </c>
      <c r="H1914" t="inlineStr">
        <is>
          <t>Y</t>
        </is>
      </c>
      <c r="I1914">
        <f>HYPERLINK("https://admin.shopify.com/store/ge-beauty-cosmeticos/customers/10076895674688","abrir")</f>
        <v/>
      </c>
      <c r="J1914">
        <f>HYPERLINK("https://www.gebeauty.com.br/products/primer-cachos-definidos?ref=review","review")</f>
        <v/>
      </c>
      <c r="K1914" t="inlineStr">
        <is>
          <t>SEND</t>
        </is>
      </c>
    </row>
    <row r="1915">
      <c r="A1915" t="inlineStr">
        <is>
          <t>Adriana</t>
        </is>
      </c>
      <c r="B1915" t="inlineStr">
        <is>
          <t>+5591980113000</t>
        </is>
      </c>
      <c r="C1915" t="inlineStr">
        <is>
          <t>Refill</t>
        </is>
      </c>
      <c r="D1915" t="inlineStr">
        <is>
          <t>Primer Cachos</t>
        </is>
      </c>
      <c r="E1915" t="n">
        <v>1</v>
      </c>
      <c r="F1915" t="inlineStr">
        <is>
          <t>2026-01-22</t>
        </is>
      </c>
      <c r="G1915" t="n">
        <v>163</v>
      </c>
      <c r="H1915" t="inlineStr">
        <is>
          <t>Y</t>
        </is>
      </c>
      <c r="I1915">
        <f>HYPERLINK("https://admin.shopify.com/store/ge-beauty-cosmeticos/customers/10076899606848","abrir")</f>
        <v/>
      </c>
      <c r="J1915">
        <f>HYPERLINK("https://www.gebeauty.com.br/products/primer-cachos-definidos?ref=review","review")</f>
        <v/>
      </c>
      <c r="K1915" t="inlineStr">
        <is>
          <t>SEND</t>
        </is>
      </c>
    </row>
    <row r="1916">
      <c r="A1916" t="inlineStr">
        <is>
          <t>Jucilene</t>
        </is>
      </c>
      <c r="B1916" t="inlineStr">
        <is>
          <t>+5519996260993</t>
        </is>
      </c>
      <c r="C1916" t="inlineStr">
        <is>
          <t>Refill</t>
        </is>
      </c>
      <c r="D1916" t="inlineStr">
        <is>
          <t>Primer Cachos</t>
        </is>
      </c>
      <c r="E1916" t="n">
        <v>1</v>
      </c>
      <c r="F1916" t="inlineStr">
        <is>
          <t>2026-01-22</t>
        </is>
      </c>
      <c r="G1916" t="n">
        <v>163</v>
      </c>
      <c r="H1916" t="inlineStr">
        <is>
          <t>Y</t>
        </is>
      </c>
      <c r="I1916">
        <f>HYPERLINK("https://admin.shopify.com/store/ge-beauty-cosmeticos/customers/10075278508352","abrir")</f>
        <v/>
      </c>
      <c r="J1916">
        <f>HYPERLINK("https://www.gebeauty.com.br/products/primer-cachos-definidos?ref=review","review")</f>
        <v/>
      </c>
      <c r="K1916" t="inlineStr">
        <is>
          <t>SEND</t>
        </is>
      </c>
    </row>
    <row r="1917">
      <c r="A1917" t="inlineStr">
        <is>
          <t>Marília</t>
        </is>
      </c>
      <c r="B1917" t="inlineStr">
        <is>
          <t>+5581998281997</t>
        </is>
      </c>
      <c r="C1917" t="inlineStr">
        <is>
          <t>Refill</t>
        </is>
      </c>
      <c r="D1917" t="inlineStr">
        <is>
          <t>Primer Cachos</t>
        </is>
      </c>
      <c r="E1917" t="n">
        <v>1</v>
      </c>
      <c r="F1917" t="inlineStr">
        <is>
          <t>2026-01-22</t>
        </is>
      </c>
      <c r="G1917" t="n">
        <v>163</v>
      </c>
      <c r="H1917" t="inlineStr">
        <is>
          <t>Y</t>
        </is>
      </c>
      <c r="I1917">
        <f>HYPERLINK("https://admin.shopify.com/store/ge-beauty-cosmeticos/customers/10076902916416","abrir")</f>
        <v/>
      </c>
      <c r="J1917">
        <f>HYPERLINK("https://www.gebeauty.com.br/products/primer-cachos-definidos?ref=review","review")</f>
        <v/>
      </c>
      <c r="K1917" t="inlineStr">
        <is>
          <t>SEND</t>
        </is>
      </c>
    </row>
    <row r="1918">
      <c r="A1918" t="inlineStr">
        <is>
          <t>Jemima</t>
        </is>
      </c>
      <c r="B1918" t="inlineStr">
        <is>
          <t>+5571988392273</t>
        </is>
      </c>
      <c r="C1918" t="inlineStr">
        <is>
          <t>Refill</t>
        </is>
      </c>
      <c r="D1918" t="inlineStr">
        <is>
          <t>Primer Cachos</t>
        </is>
      </c>
      <c r="E1918" t="n">
        <v>1</v>
      </c>
      <c r="F1918" t="inlineStr">
        <is>
          <t>2026-01-22</t>
        </is>
      </c>
      <c r="G1918" t="n">
        <v>163</v>
      </c>
      <c r="H1918" t="inlineStr">
        <is>
          <t>Y</t>
        </is>
      </c>
      <c r="I1918">
        <f>HYPERLINK("https://admin.shopify.com/store/ge-beauty-cosmeticos/customers/10076895641920","abrir")</f>
        <v/>
      </c>
      <c r="J1918">
        <f>HYPERLINK("https://www.gebeauty.com.br/products/primer-cachos-definidos?ref=review","review")</f>
        <v/>
      </c>
      <c r="K1918" t="inlineStr">
        <is>
          <t>SEND</t>
        </is>
      </c>
    </row>
    <row r="1919">
      <c r="A1919" t="inlineStr">
        <is>
          <t>Karina</t>
        </is>
      </c>
      <c r="B1919" t="inlineStr">
        <is>
          <t>+5531993635211</t>
        </is>
      </c>
      <c r="C1919" t="inlineStr">
        <is>
          <t>Refill</t>
        </is>
      </c>
      <c r="D1919" t="inlineStr">
        <is>
          <t>Primer Cachos</t>
        </is>
      </c>
      <c r="E1919" t="n">
        <v>1</v>
      </c>
      <c r="F1919" t="inlineStr">
        <is>
          <t>2026-01-22</t>
        </is>
      </c>
      <c r="G1919" t="n">
        <v>163</v>
      </c>
      <c r="H1919" t="inlineStr">
        <is>
          <t>Y</t>
        </is>
      </c>
      <c r="I1919">
        <f>HYPERLINK("https://admin.shopify.com/store/ge-beauty-cosmeticos/customers/10076879814976","abrir")</f>
        <v/>
      </c>
      <c r="J1919">
        <f>HYPERLINK("https://www.gebeauty.com.br/products/primer-cachos-definidos?ref=review","review")</f>
        <v/>
      </c>
      <c r="K1919" t="inlineStr">
        <is>
          <t>SEND</t>
        </is>
      </c>
    </row>
    <row r="1920">
      <c r="A1920" t="inlineStr">
        <is>
          <t>Flávia</t>
        </is>
      </c>
      <c r="B1920" t="inlineStr">
        <is>
          <t>+5511963030020</t>
        </is>
      </c>
      <c r="C1920" t="inlineStr">
        <is>
          <t>Refill</t>
        </is>
      </c>
      <c r="D1920" t="inlineStr">
        <is>
          <t>Primer Cachos</t>
        </is>
      </c>
      <c r="E1920" t="n">
        <v>1</v>
      </c>
      <c r="F1920" t="inlineStr">
        <is>
          <t>2026-01-22</t>
        </is>
      </c>
      <c r="G1920" t="n">
        <v>163</v>
      </c>
      <c r="H1920" t="inlineStr">
        <is>
          <t>Y</t>
        </is>
      </c>
      <c r="I1920">
        <f>HYPERLINK("https://admin.shopify.com/store/ge-beauty-cosmeticos/customers/10076732817728","abrir")</f>
        <v/>
      </c>
      <c r="J1920">
        <f>HYPERLINK("https://www.gebeauty.com.br/products/primer-cachos-definidos?ref=review","review")</f>
        <v/>
      </c>
      <c r="K1920" t="inlineStr">
        <is>
          <t>SEND</t>
        </is>
      </c>
    </row>
    <row r="1921">
      <c r="A1921" t="inlineStr">
        <is>
          <t>Elaine</t>
        </is>
      </c>
      <c r="B1921" t="inlineStr">
        <is>
          <t>+5512991915997</t>
        </is>
      </c>
      <c r="C1921" t="inlineStr">
        <is>
          <t>Refill</t>
        </is>
      </c>
      <c r="D1921" t="inlineStr">
        <is>
          <t>Primer Cachos</t>
        </is>
      </c>
      <c r="E1921" t="n">
        <v>1</v>
      </c>
      <c r="F1921" t="inlineStr">
        <is>
          <t>2026-01-22</t>
        </is>
      </c>
      <c r="G1921" t="n">
        <v>163</v>
      </c>
      <c r="H1921" t="inlineStr">
        <is>
          <t>Y</t>
        </is>
      </c>
      <c r="I1921">
        <f>HYPERLINK("https://admin.shopify.com/store/ge-beauty-cosmeticos/customers/8747509875008","abrir")</f>
        <v/>
      </c>
      <c r="J1921">
        <f>HYPERLINK("https://www.gebeauty.com.br/products/primer-cachos-definidos?ref=review","review")</f>
        <v/>
      </c>
      <c r="K1921" t="inlineStr">
        <is>
          <t>SEND</t>
        </is>
      </c>
    </row>
    <row r="1922">
      <c r="A1922" t="inlineStr">
        <is>
          <t>Milena</t>
        </is>
      </c>
      <c r="B1922" t="inlineStr">
        <is>
          <t>+5511982938910</t>
        </is>
      </c>
      <c r="C1922" t="inlineStr">
        <is>
          <t>Refill</t>
        </is>
      </c>
      <c r="D1922" t="inlineStr">
        <is>
          <t>Primer Cachos</t>
        </is>
      </c>
      <c r="E1922" t="n">
        <v>1</v>
      </c>
      <c r="F1922" t="inlineStr">
        <is>
          <t>2026-01-22</t>
        </is>
      </c>
      <c r="G1922" t="n">
        <v>163</v>
      </c>
      <c r="H1922" t="inlineStr">
        <is>
          <t>Y</t>
        </is>
      </c>
      <c r="I1922">
        <f>HYPERLINK("https://admin.shopify.com/store/ge-beauty-cosmeticos/customers/10076907635008","abrir")</f>
        <v/>
      </c>
      <c r="J1922">
        <f>HYPERLINK("https://www.gebeauty.com.br/products/primer-cachos-definidos?ref=review","review")</f>
        <v/>
      </c>
      <c r="K1922" t="inlineStr">
        <is>
          <t>SEND</t>
        </is>
      </c>
    </row>
    <row r="1923">
      <c r="A1923" t="inlineStr">
        <is>
          <t>Cinthia</t>
        </is>
      </c>
      <c r="B1923" t="inlineStr">
        <is>
          <t>+5516982234388</t>
        </is>
      </c>
      <c r="C1923" t="inlineStr">
        <is>
          <t>Refill</t>
        </is>
      </c>
      <c r="D1923" t="inlineStr">
        <is>
          <t>Primer Cachos</t>
        </is>
      </c>
      <c r="E1923" t="n">
        <v>1</v>
      </c>
      <c r="F1923" t="inlineStr">
        <is>
          <t>2026-01-22</t>
        </is>
      </c>
      <c r="G1923" t="n">
        <v>163</v>
      </c>
      <c r="H1923" t="inlineStr">
        <is>
          <t>Y</t>
        </is>
      </c>
      <c r="I1923">
        <f>HYPERLINK("https://admin.shopify.com/store/ge-beauty-cosmeticos/customers/10076908585280","abrir")</f>
        <v/>
      </c>
      <c r="J1923">
        <f>HYPERLINK("https://www.gebeauty.com.br/products/primer-cachos-definidos?ref=review","review")</f>
        <v/>
      </c>
      <c r="K1923" t="inlineStr">
        <is>
          <t>SEND</t>
        </is>
      </c>
    </row>
    <row r="1924">
      <c r="A1924" t="inlineStr">
        <is>
          <t>Fernanda</t>
        </is>
      </c>
      <c r="B1924" t="inlineStr">
        <is>
          <t>+5511942021702</t>
        </is>
      </c>
      <c r="C1924" t="inlineStr">
        <is>
          <t>Refill</t>
        </is>
      </c>
      <c r="D1924" t="inlineStr">
        <is>
          <t>Primer Cachos</t>
        </is>
      </c>
      <c r="E1924" t="n">
        <v>1</v>
      </c>
      <c r="F1924" t="inlineStr">
        <is>
          <t>2026-01-22</t>
        </is>
      </c>
      <c r="G1924" t="n">
        <v>163</v>
      </c>
      <c r="H1924" t="inlineStr">
        <is>
          <t>Y</t>
        </is>
      </c>
      <c r="I1924">
        <f>HYPERLINK("https://admin.shopify.com/store/ge-beauty-cosmeticos/customers/10076925100352","abrir")</f>
        <v/>
      </c>
      <c r="J1924">
        <f>HYPERLINK("https://www.gebeauty.com.br/products/primer-cachos-definidos?ref=review","review")</f>
        <v/>
      </c>
      <c r="K1924" t="inlineStr">
        <is>
          <t>SEND</t>
        </is>
      </c>
    </row>
    <row r="1925">
      <c r="A1925" t="inlineStr">
        <is>
          <t>Martha</t>
        </is>
      </c>
      <c r="B1925" t="inlineStr">
        <is>
          <t>+5513997868264</t>
        </is>
      </c>
      <c r="C1925" t="inlineStr">
        <is>
          <t>Refill</t>
        </is>
      </c>
      <c r="D1925" t="inlineStr">
        <is>
          <t>Primer Cachos</t>
        </is>
      </c>
      <c r="E1925" t="n">
        <v>1</v>
      </c>
      <c r="F1925" t="inlineStr">
        <is>
          <t>2026-01-22</t>
        </is>
      </c>
      <c r="G1925" t="n">
        <v>163</v>
      </c>
      <c r="H1925" t="inlineStr">
        <is>
          <t>Y</t>
        </is>
      </c>
      <c r="I1925">
        <f>HYPERLINK("https://admin.shopify.com/store/ge-beauty-cosmeticos/customers/10076929851712","abrir")</f>
        <v/>
      </c>
      <c r="J1925">
        <f>HYPERLINK("https://www.gebeauty.com.br/products/primer-cachos-definidos?ref=review","review")</f>
        <v/>
      </c>
      <c r="K1925" t="inlineStr">
        <is>
          <t>SEND</t>
        </is>
      </c>
    </row>
    <row r="1926">
      <c r="A1926" t="inlineStr">
        <is>
          <t>Ana</t>
        </is>
      </c>
      <c r="B1926" t="inlineStr">
        <is>
          <t>+5521976080064</t>
        </is>
      </c>
      <c r="C1926" t="inlineStr">
        <is>
          <t>Refill</t>
        </is>
      </c>
      <c r="D1926" t="inlineStr">
        <is>
          <t>Primer Cachos</t>
        </is>
      </c>
      <c r="E1926" t="n">
        <v>1</v>
      </c>
      <c r="F1926" t="inlineStr">
        <is>
          <t>2026-01-22</t>
        </is>
      </c>
      <c r="G1926" t="n">
        <v>163</v>
      </c>
      <c r="H1926" t="inlineStr">
        <is>
          <t>Y</t>
        </is>
      </c>
      <c r="I1926">
        <f>HYPERLINK("https://admin.shopify.com/store/ge-beauty-cosmeticos/customers/10076924903744","abrir")</f>
        <v/>
      </c>
      <c r="J1926">
        <f>HYPERLINK("https://www.gebeauty.com.br/products/primer-cachos-definidos?ref=review","review")</f>
        <v/>
      </c>
      <c r="K1926" t="inlineStr">
        <is>
          <t>SEND</t>
        </is>
      </c>
    </row>
    <row r="1927">
      <c r="A1927" t="inlineStr">
        <is>
          <t>Rita</t>
        </is>
      </c>
      <c r="B1927" t="inlineStr">
        <is>
          <t>+5571999381980</t>
        </is>
      </c>
      <c r="C1927" t="inlineStr">
        <is>
          <t>Refill</t>
        </is>
      </c>
      <c r="D1927" t="inlineStr">
        <is>
          <t>Primer Cachos</t>
        </is>
      </c>
      <c r="E1927" t="n">
        <v>1</v>
      </c>
      <c r="F1927" t="inlineStr">
        <is>
          <t>2026-01-22</t>
        </is>
      </c>
      <c r="G1927" t="n">
        <v>163</v>
      </c>
      <c r="H1927" t="inlineStr">
        <is>
          <t>Y</t>
        </is>
      </c>
      <c r="I1927">
        <f>HYPERLINK("https://admin.shopify.com/store/ge-beauty-cosmeticos/customers/10076901376320","abrir")</f>
        <v/>
      </c>
      <c r="J1927">
        <f>HYPERLINK("https://www.gebeauty.com.br/products/primer-cachos-definidos?ref=review","review")</f>
        <v/>
      </c>
      <c r="K1927" t="inlineStr">
        <is>
          <t>SEND</t>
        </is>
      </c>
    </row>
    <row r="1928">
      <c r="A1928" t="inlineStr">
        <is>
          <t>Danielle</t>
        </is>
      </c>
      <c r="B1928" t="inlineStr">
        <is>
          <t>+5511982353990</t>
        </is>
      </c>
      <c r="C1928" t="inlineStr">
        <is>
          <t>Refill</t>
        </is>
      </c>
      <c r="D1928" t="inlineStr">
        <is>
          <t>Primer Cachos</t>
        </is>
      </c>
      <c r="E1928" t="n">
        <v>1</v>
      </c>
      <c r="F1928" t="inlineStr">
        <is>
          <t>2026-01-22</t>
        </is>
      </c>
      <c r="G1928" t="n">
        <v>163</v>
      </c>
      <c r="H1928" t="inlineStr">
        <is>
          <t>Y</t>
        </is>
      </c>
      <c r="I1928">
        <f>HYPERLINK("https://admin.shopify.com/store/ge-beauty-cosmeticos/customers/10076942926144","abrir")</f>
        <v/>
      </c>
      <c r="J1928">
        <f>HYPERLINK("https://www.gebeauty.com.br/products/primer-cachos-definidos?ref=review","review")</f>
        <v/>
      </c>
      <c r="K1928" t="inlineStr">
        <is>
          <t>SEND</t>
        </is>
      </c>
    </row>
    <row r="1929">
      <c r="A1929" t="inlineStr">
        <is>
          <t>Lika</t>
        </is>
      </c>
      <c r="B1929" t="inlineStr">
        <is>
          <t>+5511976060060</t>
        </is>
      </c>
      <c r="C1929" t="inlineStr">
        <is>
          <t>Refill</t>
        </is>
      </c>
      <c r="D1929" t="inlineStr">
        <is>
          <t>Primer Cachos</t>
        </is>
      </c>
      <c r="E1929" t="n">
        <v>1</v>
      </c>
      <c r="F1929" t="inlineStr">
        <is>
          <t>2026-01-22</t>
        </is>
      </c>
      <c r="G1929" t="n">
        <v>163</v>
      </c>
      <c r="H1929" t="inlineStr">
        <is>
          <t>Y</t>
        </is>
      </c>
      <c r="I1929">
        <f>HYPERLINK("https://admin.shopify.com/store/ge-beauty-cosmeticos/customers/10076975923520","abrir")</f>
        <v/>
      </c>
      <c r="J1929">
        <f>HYPERLINK("https://www.gebeauty.com.br/products/primer-cachos-definidos?ref=review","review")</f>
        <v/>
      </c>
      <c r="K1929" t="inlineStr">
        <is>
          <t>SEND</t>
        </is>
      </c>
    </row>
    <row r="1930">
      <c r="A1930" t="inlineStr">
        <is>
          <t>Lucia</t>
        </is>
      </c>
      <c r="B1930" t="inlineStr">
        <is>
          <t>+5531998522059</t>
        </is>
      </c>
      <c r="C1930" t="inlineStr">
        <is>
          <t>Refill</t>
        </is>
      </c>
      <c r="D1930" t="inlineStr">
        <is>
          <t>Primer Cachos</t>
        </is>
      </c>
      <c r="E1930" t="n">
        <v>1</v>
      </c>
      <c r="F1930" t="inlineStr">
        <is>
          <t>2026-01-22</t>
        </is>
      </c>
      <c r="G1930" t="n">
        <v>163</v>
      </c>
      <c r="H1930" t="inlineStr">
        <is>
          <t>Y</t>
        </is>
      </c>
      <c r="I1930">
        <f>HYPERLINK("https://admin.shopify.com/store/ge-beauty-cosmeticos/customers/10076966977856","abrir")</f>
        <v/>
      </c>
      <c r="J1930">
        <f>HYPERLINK("https://www.gebeauty.com.br/products/primer-cachos-definidos?ref=review","review")</f>
        <v/>
      </c>
      <c r="K1930" t="inlineStr">
        <is>
          <t>SEND</t>
        </is>
      </c>
    </row>
    <row r="1931">
      <c r="A1931" t="inlineStr">
        <is>
          <t>Rosa</t>
        </is>
      </c>
      <c r="B1931" t="inlineStr">
        <is>
          <t>+5511999523213</t>
        </is>
      </c>
      <c r="C1931" t="inlineStr">
        <is>
          <t>Refill</t>
        </is>
      </c>
      <c r="D1931" t="inlineStr">
        <is>
          <t>Primer Cachos</t>
        </is>
      </c>
      <c r="E1931" t="n">
        <v>1</v>
      </c>
      <c r="F1931" t="inlineStr">
        <is>
          <t>2026-01-22</t>
        </is>
      </c>
      <c r="G1931" t="n">
        <v>163</v>
      </c>
      <c r="H1931" t="inlineStr">
        <is>
          <t>Y</t>
        </is>
      </c>
      <c r="I1931">
        <f>HYPERLINK("https://admin.shopify.com/store/ge-beauty-cosmeticos/customers/10076977594688","abrir")</f>
        <v/>
      </c>
      <c r="J1931">
        <f>HYPERLINK("https://www.gebeauty.com.br/products/primer-cachos-definidos?ref=review","review")</f>
        <v/>
      </c>
      <c r="K1931" t="inlineStr">
        <is>
          <t>SEND</t>
        </is>
      </c>
    </row>
    <row r="1932">
      <c r="A1932" t="inlineStr">
        <is>
          <t>Jeamile</t>
        </is>
      </c>
      <c r="B1932" t="inlineStr">
        <is>
          <t>+5586999525888</t>
        </is>
      </c>
      <c r="C1932" t="inlineStr">
        <is>
          <t>Refill</t>
        </is>
      </c>
      <c r="D1932" t="inlineStr">
        <is>
          <t>Primer Cachos</t>
        </is>
      </c>
      <c r="E1932" t="n">
        <v>1</v>
      </c>
      <c r="F1932" t="inlineStr">
        <is>
          <t>2026-01-22</t>
        </is>
      </c>
      <c r="G1932" t="n">
        <v>163</v>
      </c>
      <c r="H1932" t="inlineStr">
        <is>
          <t>Y</t>
        </is>
      </c>
      <c r="I1932">
        <f>HYPERLINK("https://admin.shopify.com/store/ge-beauty-cosmeticos/customers/10074187792704","abrir")</f>
        <v/>
      </c>
      <c r="J1932">
        <f>HYPERLINK("https://www.gebeauty.com.br/products/primer-cachos-definidos?ref=review","review")</f>
        <v/>
      </c>
      <c r="K1932" t="inlineStr">
        <is>
          <t>SEND</t>
        </is>
      </c>
    </row>
    <row r="1933">
      <c r="A1933" t="inlineStr">
        <is>
          <t>Camila</t>
        </is>
      </c>
      <c r="B1933" t="inlineStr">
        <is>
          <t>+5511951577773</t>
        </is>
      </c>
      <c r="C1933" t="inlineStr">
        <is>
          <t>Refill</t>
        </is>
      </c>
      <c r="D1933" t="inlineStr">
        <is>
          <t>Primer Cachos</t>
        </is>
      </c>
      <c r="E1933" t="n">
        <v>1</v>
      </c>
      <c r="F1933" t="inlineStr">
        <is>
          <t>2026-01-22</t>
        </is>
      </c>
      <c r="G1933" t="n">
        <v>163</v>
      </c>
      <c r="H1933" t="inlineStr">
        <is>
          <t>Y</t>
        </is>
      </c>
      <c r="I1933">
        <f>HYPERLINK("https://admin.shopify.com/store/ge-beauty-cosmeticos/customers/10076983787840","abrir")</f>
        <v/>
      </c>
      <c r="J1933">
        <f>HYPERLINK("https://www.gebeauty.com.br/products/primer-cachos-definidos?ref=review","review")</f>
        <v/>
      </c>
      <c r="K1933" t="inlineStr">
        <is>
          <t>SEND</t>
        </is>
      </c>
    </row>
    <row r="1934">
      <c r="A1934" t="inlineStr">
        <is>
          <t>Sarah</t>
        </is>
      </c>
      <c r="B1934" t="inlineStr">
        <is>
          <t>+5534984350585</t>
        </is>
      </c>
      <c r="C1934" t="inlineStr">
        <is>
          <t>Refill</t>
        </is>
      </c>
      <c r="D1934" t="inlineStr">
        <is>
          <t>Primer Cachos</t>
        </is>
      </c>
      <c r="E1934" t="n">
        <v>1</v>
      </c>
      <c r="F1934" t="inlineStr">
        <is>
          <t>2026-01-22</t>
        </is>
      </c>
      <c r="G1934" t="n">
        <v>163</v>
      </c>
      <c r="H1934" t="inlineStr">
        <is>
          <t>Y</t>
        </is>
      </c>
      <c r="I1934">
        <f>HYPERLINK("https://admin.shopify.com/store/ge-beauty-cosmeticos/customers/10076993814848","abrir")</f>
        <v/>
      </c>
      <c r="J1934">
        <f>HYPERLINK("https://www.gebeauty.com.br/products/primer-cachos-definidos?ref=review","review")</f>
        <v/>
      </c>
      <c r="K1934" t="inlineStr">
        <is>
          <t>HOLDOUT</t>
        </is>
      </c>
    </row>
    <row r="1935">
      <c r="A1935" t="inlineStr">
        <is>
          <t>Janaína</t>
        </is>
      </c>
      <c r="B1935" t="inlineStr">
        <is>
          <t>+5534991557764</t>
        </is>
      </c>
      <c r="C1935" t="inlineStr">
        <is>
          <t>Refill</t>
        </is>
      </c>
      <c r="D1935" t="inlineStr">
        <is>
          <t>Primer Cachos</t>
        </is>
      </c>
      <c r="E1935" t="n">
        <v>1</v>
      </c>
      <c r="F1935" t="inlineStr">
        <is>
          <t>2026-01-22</t>
        </is>
      </c>
      <c r="G1935" t="n">
        <v>163</v>
      </c>
      <c r="H1935" t="inlineStr">
        <is>
          <t>Y</t>
        </is>
      </c>
      <c r="I1935">
        <f>HYPERLINK("https://admin.shopify.com/store/ge-beauty-cosmeticos/customers/10076985590080","abrir")</f>
        <v/>
      </c>
      <c r="J1935">
        <f>HYPERLINK("https://www.gebeauty.com.br/products/primer-cachos-definidos?ref=review","review")</f>
        <v/>
      </c>
      <c r="K1935" t="inlineStr">
        <is>
          <t>SEND</t>
        </is>
      </c>
    </row>
    <row r="1936">
      <c r="A1936" t="inlineStr">
        <is>
          <t>Valeria</t>
        </is>
      </c>
      <c r="B1936" t="inlineStr">
        <is>
          <t>+5511941574261</t>
        </is>
      </c>
      <c r="C1936" t="inlineStr">
        <is>
          <t>Refill</t>
        </is>
      </c>
      <c r="D1936" t="inlineStr">
        <is>
          <t>Primer Cachos</t>
        </is>
      </c>
      <c r="E1936" t="n">
        <v>1</v>
      </c>
      <c r="F1936" t="inlineStr">
        <is>
          <t>2026-01-22</t>
        </is>
      </c>
      <c r="G1936" t="n">
        <v>163</v>
      </c>
      <c r="H1936" t="inlineStr">
        <is>
          <t>Y</t>
        </is>
      </c>
      <c r="I1936">
        <f>HYPERLINK("https://admin.shopify.com/store/ge-beauty-cosmeticos/customers/10076950364480","abrir")</f>
        <v/>
      </c>
      <c r="J1936">
        <f>HYPERLINK("https://www.gebeauty.com.br/products/primer-cachos-definidos?ref=review","review")</f>
        <v/>
      </c>
      <c r="K1936" t="inlineStr">
        <is>
          <t>SEND</t>
        </is>
      </c>
    </row>
    <row r="1937">
      <c r="A1937" t="inlineStr">
        <is>
          <t>Millene</t>
        </is>
      </c>
      <c r="B1937" t="inlineStr">
        <is>
          <t>+5521991421227</t>
        </is>
      </c>
      <c r="C1937" t="inlineStr">
        <is>
          <t>Refill</t>
        </is>
      </c>
      <c r="D1937" t="inlineStr">
        <is>
          <t>Primer Cachos</t>
        </is>
      </c>
      <c r="E1937" t="n">
        <v>1</v>
      </c>
      <c r="F1937" t="inlineStr">
        <is>
          <t>2026-01-22</t>
        </is>
      </c>
      <c r="G1937" t="n">
        <v>163</v>
      </c>
      <c r="H1937" t="inlineStr">
        <is>
          <t>Y</t>
        </is>
      </c>
      <c r="I1937">
        <f>HYPERLINK("https://admin.shopify.com/store/ge-beauty-cosmeticos/customers/10077000237376","abrir")</f>
        <v/>
      </c>
      <c r="J1937">
        <f>HYPERLINK("https://www.gebeauty.com.br/products/primer-cachos-definidos?ref=review","review")</f>
        <v/>
      </c>
      <c r="K1937" t="inlineStr">
        <is>
          <t>SEND</t>
        </is>
      </c>
    </row>
    <row r="1938">
      <c r="A1938" t="inlineStr">
        <is>
          <t>Bruna</t>
        </is>
      </c>
      <c r="B1938" t="inlineStr">
        <is>
          <t>+5521999116996</t>
        </is>
      </c>
      <c r="C1938" t="inlineStr">
        <is>
          <t>Refill</t>
        </is>
      </c>
      <c r="D1938" t="inlineStr">
        <is>
          <t>Primer Cachos</t>
        </is>
      </c>
      <c r="E1938" t="n">
        <v>1</v>
      </c>
      <c r="F1938" t="inlineStr">
        <is>
          <t>2026-01-22</t>
        </is>
      </c>
      <c r="G1938" t="n">
        <v>163</v>
      </c>
      <c r="H1938" t="inlineStr">
        <is>
          <t>Y</t>
        </is>
      </c>
      <c r="I1938">
        <f>HYPERLINK("https://admin.shopify.com/store/ge-beauty-cosmeticos/customers/10075219394880","abrir")</f>
        <v/>
      </c>
      <c r="J1938">
        <f>HYPERLINK("https://www.gebeauty.com.br/products/primer-cachos-definidos?ref=review","review")</f>
        <v/>
      </c>
      <c r="K1938" t="inlineStr">
        <is>
          <t>SEND</t>
        </is>
      </c>
    </row>
    <row r="1939">
      <c r="A1939" t="inlineStr">
        <is>
          <t>Beatriz</t>
        </is>
      </c>
      <c r="B1939" t="inlineStr">
        <is>
          <t>+5521991250518</t>
        </is>
      </c>
      <c r="C1939" t="inlineStr">
        <is>
          <t>Refill</t>
        </is>
      </c>
      <c r="D1939" t="inlineStr">
        <is>
          <t>Primer Cachos</t>
        </is>
      </c>
      <c r="E1939" t="n">
        <v>1</v>
      </c>
      <c r="F1939" t="inlineStr">
        <is>
          <t>2026-01-22</t>
        </is>
      </c>
      <c r="G1939" t="n">
        <v>163</v>
      </c>
      <c r="H1939" t="inlineStr">
        <is>
          <t>Y</t>
        </is>
      </c>
      <c r="I1939">
        <f>HYPERLINK("https://admin.shopify.com/store/ge-beauty-cosmeticos/customers/10077005578560","abrir")</f>
        <v/>
      </c>
      <c r="J1939">
        <f>HYPERLINK("https://www.gebeauty.com.br/products/primer-cachos-definidos?ref=review","review")</f>
        <v/>
      </c>
      <c r="K1939" t="inlineStr">
        <is>
          <t>SEND</t>
        </is>
      </c>
    </row>
    <row r="1940">
      <c r="A1940" t="inlineStr">
        <is>
          <t>Vivianne</t>
        </is>
      </c>
      <c r="B1940" t="inlineStr">
        <is>
          <t>+5511994729400</t>
        </is>
      </c>
      <c r="C1940" t="inlineStr">
        <is>
          <t>Refill</t>
        </is>
      </c>
      <c r="D1940" t="inlineStr">
        <is>
          <t>Primer Cachos</t>
        </is>
      </c>
      <c r="E1940" t="n">
        <v>1</v>
      </c>
      <c r="F1940" t="inlineStr">
        <is>
          <t>2026-01-22</t>
        </is>
      </c>
      <c r="G1940" t="n">
        <v>163</v>
      </c>
      <c r="H1940" t="inlineStr">
        <is>
          <t>Y</t>
        </is>
      </c>
      <c r="I1940">
        <f>HYPERLINK("https://admin.shopify.com/store/ge-beauty-cosmeticos/customers/10077015802176","abrir")</f>
        <v/>
      </c>
      <c r="J1940">
        <f>HYPERLINK("https://www.gebeauty.com.br/products/primer-cachos-definidos?ref=review","review")</f>
        <v/>
      </c>
      <c r="K1940" t="inlineStr">
        <is>
          <t>SEND</t>
        </is>
      </c>
    </row>
    <row r="1941">
      <c r="A1941" t="inlineStr">
        <is>
          <t>Selma</t>
        </is>
      </c>
      <c r="B1941" t="inlineStr">
        <is>
          <t>+5511963917357</t>
        </is>
      </c>
      <c r="C1941" t="inlineStr">
        <is>
          <t>Refill</t>
        </is>
      </c>
      <c r="D1941" t="inlineStr">
        <is>
          <t>Primer Cachos</t>
        </is>
      </c>
      <c r="E1941" t="n">
        <v>1</v>
      </c>
      <c r="F1941" t="inlineStr">
        <is>
          <t>2026-01-22</t>
        </is>
      </c>
      <c r="G1941" t="n">
        <v>163</v>
      </c>
      <c r="H1941" t="inlineStr">
        <is>
          <t>Y</t>
        </is>
      </c>
      <c r="I1941">
        <f>HYPERLINK("https://admin.shopify.com/store/ge-beauty-cosmeticos/customers/10077022355776","abrir")</f>
        <v/>
      </c>
      <c r="J1941">
        <f>HYPERLINK("https://www.gebeauty.com.br/products/primer-cachos-definidos?ref=review","review")</f>
        <v/>
      </c>
      <c r="K1941" t="inlineStr">
        <is>
          <t>SEND</t>
        </is>
      </c>
    </row>
    <row r="1942">
      <c r="A1942" t="inlineStr">
        <is>
          <t>Maria</t>
        </is>
      </c>
      <c r="B1942" t="inlineStr">
        <is>
          <t>+5511979898690</t>
        </is>
      </c>
      <c r="C1942" t="inlineStr">
        <is>
          <t>Refill</t>
        </is>
      </c>
      <c r="D1942" t="inlineStr">
        <is>
          <t>Primer Cachos</t>
        </is>
      </c>
      <c r="E1942" t="n">
        <v>1</v>
      </c>
      <c r="F1942" t="inlineStr">
        <is>
          <t>2026-01-22</t>
        </is>
      </c>
      <c r="G1942" t="n">
        <v>163</v>
      </c>
      <c r="H1942" t="inlineStr">
        <is>
          <t>Y</t>
        </is>
      </c>
      <c r="I1942">
        <f>HYPERLINK("https://admin.shopify.com/store/ge-beauty-cosmeticos/customers/10077032055104","abrir")</f>
        <v/>
      </c>
      <c r="J1942">
        <f>HYPERLINK("https://www.gebeauty.com.br/products/primer-cachos-definidos?ref=review","review")</f>
        <v/>
      </c>
      <c r="K1942" t="inlineStr">
        <is>
          <t>SEND</t>
        </is>
      </c>
    </row>
    <row r="1943">
      <c r="A1943" t="inlineStr">
        <is>
          <t>Alexandrina</t>
        </is>
      </c>
      <c r="B1943" t="inlineStr">
        <is>
          <t>+5586999019993</t>
        </is>
      </c>
      <c r="C1943" t="inlineStr">
        <is>
          <t>Refill</t>
        </is>
      </c>
      <c r="D1943" t="inlineStr">
        <is>
          <t>Primer Cachos</t>
        </is>
      </c>
      <c r="E1943" t="n">
        <v>1</v>
      </c>
      <c r="F1943" t="inlineStr">
        <is>
          <t>2026-01-22</t>
        </is>
      </c>
      <c r="G1943" t="n">
        <v>163</v>
      </c>
      <c r="H1943" t="inlineStr">
        <is>
          <t>Y</t>
        </is>
      </c>
      <c r="I1943">
        <f>HYPERLINK("https://admin.shopify.com/store/ge-beauty-cosmeticos/customers/10073180602688","abrir")</f>
        <v/>
      </c>
      <c r="J1943">
        <f>HYPERLINK("https://www.gebeauty.com.br/products/primer-cachos-definidos?ref=review","review")</f>
        <v/>
      </c>
      <c r="K1943" t="inlineStr">
        <is>
          <t>SEND</t>
        </is>
      </c>
    </row>
    <row r="1944">
      <c r="A1944" t="inlineStr">
        <is>
          <t>Maíra</t>
        </is>
      </c>
      <c r="B1944" t="inlineStr">
        <is>
          <t>+5519999951408</t>
        </is>
      </c>
      <c r="C1944" t="inlineStr">
        <is>
          <t>Refill</t>
        </is>
      </c>
      <c r="D1944" t="inlineStr">
        <is>
          <t>Primer Cachos</t>
        </is>
      </c>
      <c r="E1944" t="n">
        <v>1</v>
      </c>
      <c r="F1944" t="inlineStr">
        <is>
          <t>2026-01-22</t>
        </is>
      </c>
      <c r="G1944" t="n">
        <v>163</v>
      </c>
      <c r="H1944" t="inlineStr">
        <is>
          <t>Y</t>
        </is>
      </c>
      <c r="I1944">
        <f>HYPERLINK("https://admin.shopify.com/store/ge-beauty-cosmeticos/customers/9486652440896","abrir")</f>
        <v/>
      </c>
      <c r="J1944">
        <f>HYPERLINK("https://www.gebeauty.com.br/products/primer-cachos-definidos?ref=review","review")</f>
        <v/>
      </c>
      <c r="K1944" t="inlineStr">
        <is>
          <t>SEND</t>
        </is>
      </c>
    </row>
    <row r="1945">
      <c r="A1945" t="inlineStr">
        <is>
          <t>Bianca</t>
        </is>
      </c>
      <c r="B1945" t="inlineStr">
        <is>
          <t>+5547988560887</t>
        </is>
      </c>
      <c r="C1945" t="inlineStr">
        <is>
          <t>Refill</t>
        </is>
      </c>
      <c r="D1945" t="inlineStr">
        <is>
          <t>Primer Cachos</t>
        </is>
      </c>
      <c r="E1945" t="n">
        <v>1</v>
      </c>
      <c r="F1945" t="inlineStr">
        <is>
          <t>2026-01-22</t>
        </is>
      </c>
      <c r="G1945" t="n">
        <v>163</v>
      </c>
      <c r="H1945" t="inlineStr">
        <is>
          <t>Y</t>
        </is>
      </c>
      <c r="I1945">
        <f>HYPERLINK("https://admin.shopify.com/store/ge-beauty-cosmeticos/customers/10073311445312","abrir")</f>
        <v/>
      </c>
      <c r="J1945">
        <f>HYPERLINK("https://www.gebeauty.com.br/products/primer-cachos-definidos?ref=review","review")</f>
        <v/>
      </c>
      <c r="K1945" t="inlineStr">
        <is>
          <t>SEND</t>
        </is>
      </c>
    </row>
    <row r="1946">
      <c r="A1946" t="inlineStr">
        <is>
          <t>Tarcia</t>
        </is>
      </c>
      <c r="B1946" t="inlineStr">
        <is>
          <t>+5527996227112</t>
        </is>
      </c>
      <c r="C1946" t="inlineStr">
        <is>
          <t>Refill</t>
        </is>
      </c>
      <c r="D1946" t="inlineStr">
        <is>
          <t>Primer Cachos</t>
        </is>
      </c>
      <c r="E1946" t="n">
        <v>1</v>
      </c>
      <c r="F1946" t="inlineStr">
        <is>
          <t>2026-01-22</t>
        </is>
      </c>
      <c r="G1946" t="n">
        <v>163</v>
      </c>
      <c r="H1946" t="inlineStr">
        <is>
          <t>Y</t>
        </is>
      </c>
      <c r="I1946">
        <f>HYPERLINK("https://admin.shopify.com/store/ge-beauty-cosmeticos/customers/10077024551232","abrir")</f>
        <v/>
      </c>
      <c r="J1946">
        <f>HYPERLINK("https://www.gebeauty.com.br/products/primer-cachos-definidos?ref=review","review")</f>
        <v/>
      </c>
      <c r="K1946" t="inlineStr">
        <is>
          <t>SEND</t>
        </is>
      </c>
    </row>
    <row r="1947">
      <c r="A1947" t="inlineStr">
        <is>
          <t>Joseane</t>
        </is>
      </c>
      <c r="B1947" t="inlineStr">
        <is>
          <t>+5521987512616</t>
        </is>
      </c>
      <c r="C1947" t="inlineStr">
        <is>
          <t>Refill</t>
        </is>
      </c>
      <c r="D1947" t="inlineStr">
        <is>
          <t>Primer Cachos</t>
        </is>
      </c>
      <c r="E1947" t="n">
        <v>1</v>
      </c>
      <c r="F1947" t="inlineStr">
        <is>
          <t>2026-01-22</t>
        </is>
      </c>
      <c r="G1947" t="n">
        <v>163</v>
      </c>
      <c r="H1947" t="inlineStr">
        <is>
          <t>Y</t>
        </is>
      </c>
      <c r="I1947">
        <f>HYPERLINK("https://admin.shopify.com/store/ge-beauty-cosmeticos/customers/10077046800704","abrir")</f>
        <v/>
      </c>
      <c r="J1947">
        <f>HYPERLINK("https://www.gebeauty.com.br/products/primer-cachos-definidos?ref=review","review")</f>
        <v/>
      </c>
      <c r="K1947" t="inlineStr">
        <is>
          <t>SEND</t>
        </is>
      </c>
    </row>
    <row r="1948">
      <c r="A1948" t="inlineStr">
        <is>
          <t>Fabiana</t>
        </is>
      </c>
      <c r="B1948" t="inlineStr">
        <is>
          <t>+5582988774386</t>
        </is>
      </c>
      <c r="C1948" t="inlineStr">
        <is>
          <t>Refill</t>
        </is>
      </c>
      <c r="D1948" t="inlineStr">
        <is>
          <t>Primer Cachos</t>
        </is>
      </c>
      <c r="E1948" t="n">
        <v>1</v>
      </c>
      <c r="F1948" t="inlineStr">
        <is>
          <t>2026-01-22</t>
        </is>
      </c>
      <c r="G1948" t="n">
        <v>163</v>
      </c>
      <c r="H1948" t="inlineStr">
        <is>
          <t>Y</t>
        </is>
      </c>
      <c r="I1948">
        <f>HYPERLINK("https://admin.shopify.com/store/ge-beauty-cosmeticos/customers/10077053780288","abrir")</f>
        <v/>
      </c>
      <c r="J1948">
        <f>HYPERLINK("https://www.gebeauty.com.br/products/primer-cachos-definidos?ref=review","review")</f>
        <v/>
      </c>
      <c r="K1948" t="inlineStr">
        <is>
          <t>HOLDOUT</t>
        </is>
      </c>
    </row>
    <row r="1949">
      <c r="A1949" t="inlineStr">
        <is>
          <t>Fernanda</t>
        </is>
      </c>
      <c r="B1949" t="inlineStr">
        <is>
          <t>+5541998132613</t>
        </is>
      </c>
      <c r="C1949" t="inlineStr">
        <is>
          <t>Refill</t>
        </is>
      </c>
      <c r="D1949" t="inlineStr">
        <is>
          <t>Primer Cachos</t>
        </is>
      </c>
      <c r="E1949" t="n">
        <v>1</v>
      </c>
      <c r="F1949" t="inlineStr">
        <is>
          <t>2026-01-22</t>
        </is>
      </c>
      <c r="G1949" t="n">
        <v>163</v>
      </c>
      <c r="H1949" t="inlineStr">
        <is>
          <t>Y</t>
        </is>
      </c>
      <c r="I1949">
        <f>HYPERLINK("https://admin.shopify.com/store/ge-beauty-cosmeticos/customers/10077046767936","abrir")</f>
        <v/>
      </c>
      <c r="J1949">
        <f>HYPERLINK("https://www.gebeauty.com.br/products/primer-cachos-definidos?ref=review","review")</f>
        <v/>
      </c>
      <c r="K1949" t="inlineStr">
        <is>
          <t>SEND</t>
        </is>
      </c>
    </row>
    <row r="1950">
      <c r="A1950" t="inlineStr">
        <is>
          <t>Beatriz</t>
        </is>
      </c>
      <c r="B1950" t="inlineStr">
        <is>
          <t>+5571987432707</t>
        </is>
      </c>
      <c r="C1950" t="inlineStr">
        <is>
          <t>Refill</t>
        </is>
      </c>
      <c r="D1950" t="inlineStr">
        <is>
          <t>Primer Cachos</t>
        </is>
      </c>
      <c r="E1950" t="n">
        <v>1</v>
      </c>
      <c r="F1950" t="inlineStr">
        <is>
          <t>2026-01-22</t>
        </is>
      </c>
      <c r="G1950" t="n">
        <v>163</v>
      </c>
      <c r="H1950" t="inlineStr">
        <is>
          <t>Y</t>
        </is>
      </c>
      <c r="I1950">
        <f>HYPERLINK("https://admin.shopify.com/store/ge-beauty-cosmeticos/customers/10077056500032","abrir")</f>
        <v/>
      </c>
      <c r="J1950">
        <f>HYPERLINK("https://www.gebeauty.com.br/products/primer-cachos-definidos?ref=review","review")</f>
        <v/>
      </c>
      <c r="K1950" t="inlineStr">
        <is>
          <t>HOLDOUT</t>
        </is>
      </c>
    </row>
    <row r="1951">
      <c r="A1951" t="inlineStr">
        <is>
          <t>Maria</t>
        </is>
      </c>
      <c r="B1951" t="inlineStr">
        <is>
          <t>+5511971191032</t>
        </is>
      </c>
      <c r="C1951" t="inlineStr">
        <is>
          <t>Refill</t>
        </is>
      </c>
      <c r="D1951" t="inlineStr">
        <is>
          <t>Primer Cachos</t>
        </is>
      </c>
      <c r="E1951" t="n">
        <v>1</v>
      </c>
      <c r="F1951" t="inlineStr">
        <is>
          <t>2026-01-22</t>
        </is>
      </c>
      <c r="G1951" t="n">
        <v>163</v>
      </c>
      <c r="H1951" t="inlineStr">
        <is>
          <t>Y</t>
        </is>
      </c>
      <c r="I1951">
        <f>HYPERLINK("https://admin.shopify.com/store/ge-beauty-cosmeticos/customers/10058996416832","abrir")</f>
        <v/>
      </c>
      <c r="J1951">
        <f>HYPERLINK("https://www.gebeauty.com.br/products/primer-cachos-definidos?ref=review","review")</f>
        <v/>
      </c>
      <c r="K1951" t="inlineStr">
        <is>
          <t>SEND</t>
        </is>
      </c>
    </row>
    <row r="1952">
      <c r="A1952" t="inlineStr">
        <is>
          <t>Marcela</t>
        </is>
      </c>
      <c r="B1952" t="inlineStr">
        <is>
          <t>+5541996009409</t>
        </is>
      </c>
      <c r="C1952" t="inlineStr">
        <is>
          <t>Refill</t>
        </is>
      </c>
      <c r="D1952" t="inlineStr">
        <is>
          <t>Primer Cachos</t>
        </is>
      </c>
      <c r="E1952" t="n">
        <v>1</v>
      </c>
      <c r="F1952" t="inlineStr">
        <is>
          <t>2026-01-22</t>
        </is>
      </c>
      <c r="G1952" t="n">
        <v>163</v>
      </c>
      <c r="H1952" t="inlineStr">
        <is>
          <t>Y</t>
        </is>
      </c>
      <c r="I1952">
        <f>HYPERLINK("https://admin.shopify.com/store/ge-beauty-cosmeticos/customers/10077113745728","abrir")</f>
        <v/>
      </c>
      <c r="J1952">
        <f>HYPERLINK("https://www.gebeauty.com.br/products/primer-cachos-definidos?ref=review","review")</f>
        <v/>
      </c>
      <c r="K1952" t="inlineStr">
        <is>
          <t>HOLDOUT</t>
        </is>
      </c>
    </row>
    <row r="1953">
      <c r="A1953" t="inlineStr">
        <is>
          <t>Nathalia</t>
        </is>
      </c>
      <c r="B1953" t="inlineStr">
        <is>
          <t>+5532988183245</t>
        </is>
      </c>
      <c r="C1953" t="inlineStr">
        <is>
          <t>Refill</t>
        </is>
      </c>
      <c r="D1953" t="inlineStr">
        <is>
          <t>Primer Cachos</t>
        </is>
      </c>
      <c r="E1953" t="n">
        <v>1</v>
      </c>
      <c r="F1953" t="inlineStr">
        <is>
          <t>2026-01-22</t>
        </is>
      </c>
      <c r="G1953" t="n">
        <v>163</v>
      </c>
      <c r="H1953" t="inlineStr">
        <is>
          <t>Y</t>
        </is>
      </c>
      <c r="I1953">
        <f>HYPERLINK("https://admin.shopify.com/store/ge-beauty-cosmeticos/customers/10077136126272","abrir")</f>
        <v/>
      </c>
      <c r="J1953">
        <f>HYPERLINK("https://www.gebeauty.com.br/products/primer-cachos-definidos?ref=review","review")</f>
        <v/>
      </c>
      <c r="K1953" t="inlineStr">
        <is>
          <t>SEND</t>
        </is>
      </c>
    </row>
    <row r="1954">
      <c r="A1954" t="inlineStr">
        <is>
          <t>Aline</t>
        </is>
      </c>
      <c r="B1954" t="inlineStr">
        <is>
          <t>+5516993389339</t>
        </is>
      </c>
      <c r="C1954" t="inlineStr">
        <is>
          <t>Refill</t>
        </is>
      </c>
      <c r="D1954" t="inlineStr">
        <is>
          <t>Primer Cachos</t>
        </is>
      </c>
      <c r="E1954" t="n">
        <v>1</v>
      </c>
      <c r="F1954" t="inlineStr">
        <is>
          <t>2026-01-22</t>
        </is>
      </c>
      <c r="G1954" t="n">
        <v>163</v>
      </c>
      <c r="H1954" t="inlineStr">
        <is>
          <t>Y</t>
        </is>
      </c>
      <c r="I1954">
        <f>HYPERLINK("https://admin.shopify.com/store/ge-beauty-cosmeticos/customers/10077139501376","abrir")</f>
        <v/>
      </c>
      <c r="J1954">
        <f>HYPERLINK("https://www.gebeauty.com.br/products/primer-cachos-definidos?ref=review","review")</f>
        <v/>
      </c>
      <c r="K1954" t="inlineStr">
        <is>
          <t>SEND</t>
        </is>
      </c>
    </row>
    <row r="1955">
      <c r="A1955" t="inlineStr">
        <is>
          <t>Thais</t>
        </is>
      </c>
      <c r="B1955" t="inlineStr">
        <is>
          <t>+5512991581192</t>
        </is>
      </c>
      <c r="C1955" t="inlineStr">
        <is>
          <t>Refill</t>
        </is>
      </c>
      <c r="D1955" t="inlineStr">
        <is>
          <t>Primer Cachos</t>
        </is>
      </c>
      <c r="E1955" t="n">
        <v>1</v>
      </c>
      <c r="F1955" t="inlineStr">
        <is>
          <t>2026-01-22</t>
        </is>
      </c>
      <c r="G1955" t="n">
        <v>163</v>
      </c>
      <c r="H1955" t="inlineStr">
        <is>
          <t>Y</t>
        </is>
      </c>
      <c r="I1955">
        <f>HYPERLINK("https://admin.shopify.com/store/ge-beauty-cosmeticos/customers/10077139566912","abrir")</f>
        <v/>
      </c>
      <c r="J1955">
        <f>HYPERLINK("https://www.gebeauty.com.br/products/primer-cachos-definidos?ref=review","review")</f>
        <v/>
      </c>
      <c r="K1955" t="inlineStr">
        <is>
          <t>SEND</t>
        </is>
      </c>
    </row>
    <row r="1956">
      <c r="A1956" t="inlineStr">
        <is>
          <t>Arthur</t>
        </is>
      </c>
      <c r="B1956" t="inlineStr">
        <is>
          <t>+5511959905826</t>
        </is>
      </c>
      <c r="C1956" t="inlineStr">
        <is>
          <t>Refill</t>
        </is>
      </c>
      <c r="D1956" t="inlineStr">
        <is>
          <t>Primer Cachos</t>
        </is>
      </c>
      <c r="E1956" t="n">
        <v>1</v>
      </c>
      <c r="F1956" t="inlineStr">
        <is>
          <t>2026-01-22</t>
        </is>
      </c>
      <c r="G1956" t="n">
        <v>163</v>
      </c>
      <c r="H1956" t="inlineStr">
        <is>
          <t>Y</t>
        </is>
      </c>
      <c r="I1956">
        <f>HYPERLINK("https://admin.shopify.com/store/ge-beauty-cosmeticos/customers/9485948780864","abrir")</f>
        <v/>
      </c>
      <c r="J1956">
        <f>HYPERLINK("https://www.gebeauty.com.br/products/primer-cachos-definidos?ref=review","review")</f>
        <v/>
      </c>
      <c r="K1956" t="inlineStr">
        <is>
          <t>SEND</t>
        </is>
      </c>
    </row>
    <row r="1957">
      <c r="A1957" t="inlineStr">
        <is>
          <t>Clarice</t>
        </is>
      </c>
      <c r="B1957" t="inlineStr">
        <is>
          <t>+5586981286071</t>
        </is>
      </c>
      <c r="C1957" t="inlineStr">
        <is>
          <t>Refill</t>
        </is>
      </c>
      <c r="D1957" t="inlineStr">
        <is>
          <t>Primer Cachos</t>
        </is>
      </c>
      <c r="E1957" t="n">
        <v>1</v>
      </c>
      <c r="F1957" t="inlineStr">
        <is>
          <t>2026-01-22</t>
        </is>
      </c>
      <c r="G1957" t="n">
        <v>163</v>
      </c>
      <c r="H1957" t="inlineStr">
        <is>
          <t>Y</t>
        </is>
      </c>
      <c r="I1957">
        <f>HYPERLINK("https://admin.shopify.com/store/ge-beauty-cosmeticos/customers/10077507092800","abrir")</f>
        <v/>
      </c>
      <c r="J1957">
        <f>HYPERLINK("https://www.gebeauty.com.br/products/primer-cachos-definidos?ref=review","review")</f>
        <v/>
      </c>
      <c r="K1957" t="inlineStr">
        <is>
          <t>SEND</t>
        </is>
      </c>
    </row>
    <row r="1958">
      <c r="A1958" t="inlineStr">
        <is>
          <t>Juli</t>
        </is>
      </c>
      <c r="B1958" t="inlineStr">
        <is>
          <t>+5555999534225</t>
        </is>
      </c>
      <c r="C1958" t="inlineStr">
        <is>
          <t>Refill</t>
        </is>
      </c>
      <c r="D1958" t="inlineStr">
        <is>
          <t>Primer Cachos</t>
        </is>
      </c>
      <c r="E1958" t="n">
        <v>1</v>
      </c>
      <c r="F1958" t="inlineStr">
        <is>
          <t>2026-01-22</t>
        </is>
      </c>
      <c r="G1958" t="n">
        <v>163</v>
      </c>
      <c r="H1958" t="inlineStr">
        <is>
          <t>Y</t>
        </is>
      </c>
      <c r="I1958">
        <f>HYPERLINK("https://admin.shopify.com/store/ge-beauty-cosmeticos/customers/10077464133952","abrir")</f>
        <v/>
      </c>
      <c r="J1958">
        <f>HYPERLINK("https://www.gebeauty.com.br/products/primer-cachos-definidos?ref=review","review")</f>
        <v/>
      </c>
      <c r="K1958" t="inlineStr">
        <is>
          <t>SEND</t>
        </is>
      </c>
    </row>
    <row r="1959">
      <c r="A1959" t="inlineStr">
        <is>
          <t>Bárbara</t>
        </is>
      </c>
      <c r="B1959" t="inlineStr">
        <is>
          <t>+5531985103357</t>
        </is>
      </c>
      <c r="C1959" t="inlineStr">
        <is>
          <t>Refill</t>
        </is>
      </c>
      <c r="D1959" t="inlineStr">
        <is>
          <t>Primer Cachos</t>
        </is>
      </c>
      <c r="E1959" t="n">
        <v>1</v>
      </c>
      <c r="F1959" t="inlineStr">
        <is>
          <t>2026-01-22</t>
        </is>
      </c>
      <c r="G1959" t="n">
        <v>163</v>
      </c>
      <c r="H1959" t="inlineStr">
        <is>
          <t>Y</t>
        </is>
      </c>
      <c r="I1959">
        <f>HYPERLINK("https://admin.shopify.com/store/ge-beauty-cosmeticos/customers/10077312155968","abrir")</f>
        <v/>
      </c>
      <c r="J1959">
        <f>HYPERLINK("https://www.gebeauty.com.br/products/primer-cachos-definidos?ref=review","review")</f>
        <v/>
      </c>
      <c r="K1959" t="inlineStr">
        <is>
          <t>SEND</t>
        </is>
      </c>
    </row>
    <row r="1960">
      <c r="A1960" t="inlineStr">
        <is>
          <t>Sílvia</t>
        </is>
      </c>
      <c r="B1960" t="inlineStr">
        <is>
          <t>+5531999786551</t>
        </is>
      </c>
      <c r="C1960" t="inlineStr">
        <is>
          <t>Refill</t>
        </is>
      </c>
      <c r="D1960" t="inlineStr">
        <is>
          <t>Primer Cachos</t>
        </is>
      </c>
      <c r="E1960" t="n">
        <v>1</v>
      </c>
      <c r="F1960" t="inlineStr">
        <is>
          <t>2026-01-22</t>
        </is>
      </c>
      <c r="G1960" t="n">
        <v>163</v>
      </c>
      <c r="H1960" t="inlineStr">
        <is>
          <t>Y</t>
        </is>
      </c>
      <c r="I1960">
        <f>HYPERLINK("https://admin.shopify.com/store/ge-beauty-cosmeticos/customers/10077564961088","abrir")</f>
        <v/>
      </c>
      <c r="J1960">
        <f>HYPERLINK("https://www.gebeauty.com.br/products/primer-cachos-definidos?ref=review","review")</f>
        <v/>
      </c>
      <c r="K1960" t="inlineStr">
        <is>
          <t>SEND</t>
        </is>
      </c>
    </row>
    <row r="1961">
      <c r="A1961" t="inlineStr">
        <is>
          <t>Vanessa</t>
        </is>
      </c>
      <c r="B1961" t="inlineStr">
        <is>
          <t>+5512974046822</t>
        </is>
      </c>
      <c r="C1961" t="inlineStr">
        <is>
          <t>Refill</t>
        </is>
      </c>
      <c r="D1961" t="inlineStr">
        <is>
          <t>Primer Cachos</t>
        </is>
      </c>
      <c r="E1961" t="n">
        <v>1</v>
      </c>
      <c r="F1961" t="inlineStr">
        <is>
          <t>2026-01-22</t>
        </is>
      </c>
      <c r="G1961" t="n">
        <v>163</v>
      </c>
      <c r="H1961" t="inlineStr">
        <is>
          <t>Y</t>
        </is>
      </c>
      <c r="I1961">
        <f>HYPERLINK("https://admin.shopify.com/store/ge-beauty-cosmeticos/customers/10077560144192","abrir")</f>
        <v/>
      </c>
      <c r="J1961">
        <f>HYPERLINK("https://www.gebeauty.com.br/products/primer-cachos-definidos?ref=review","review")</f>
        <v/>
      </c>
      <c r="K1961" t="inlineStr">
        <is>
          <t>SEND</t>
        </is>
      </c>
    </row>
    <row r="1962">
      <c r="A1962" t="inlineStr">
        <is>
          <t>Renata</t>
        </is>
      </c>
      <c r="B1962" t="inlineStr">
        <is>
          <t>+5511918446990</t>
        </is>
      </c>
      <c r="C1962" t="inlineStr">
        <is>
          <t>Refill</t>
        </is>
      </c>
      <c r="D1962" t="inlineStr">
        <is>
          <t>Primer Cachos</t>
        </is>
      </c>
      <c r="E1962" t="n">
        <v>1</v>
      </c>
      <c r="F1962" t="inlineStr">
        <is>
          <t>2026-01-22</t>
        </is>
      </c>
      <c r="G1962" t="n">
        <v>163</v>
      </c>
      <c r="H1962" t="inlineStr">
        <is>
          <t>Y</t>
        </is>
      </c>
      <c r="I1962">
        <f>HYPERLINK("https://admin.shopify.com/store/ge-beauty-cosmeticos/customers/10076834693440","abrir")</f>
        <v/>
      </c>
      <c r="J1962">
        <f>HYPERLINK("https://www.gebeauty.com.br/products/primer-cachos-definidos?ref=review","review")</f>
        <v/>
      </c>
      <c r="K1962" t="inlineStr">
        <is>
          <t>SEND</t>
        </is>
      </c>
    </row>
    <row r="1963">
      <c r="A1963" t="inlineStr">
        <is>
          <t>Michelle</t>
        </is>
      </c>
      <c r="B1963" t="inlineStr">
        <is>
          <t>+5511972846123</t>
        </is>
      </c>
      <c r="C1963" t="inlineStr">
        <is>
          <t>Refill</t>
        </is>
      </c>
      <c r="D1963" t="inlineStr">
        <is>
          <t>Primer Cachos</t>
        </is>
      </c>
      <c r="E1963" t="n">
        <v>1</v>
      </c>
      <c r="F1963" t="inlineStr">
        <is>
          <t>2026-01-22</t>
        </is>
      </c>
      <c r="G1963" t="n">
        <v>163</v>
      </c>
      <c r="H1963" t="inlineStr">
        <is>
          <t>Y</t>
        </is>
      </c>
      <c r="I1963">
        <f>HYPERLINK("https://admin.shopify.com/store/ge-beauty-cosmeticos/customers/8257412792640","abrir")</f>
        <v/>
      </c>
      <c r="J1963">
        <f>HYPERLINK("https://www.gebeauty.com.br/products/primer-cachos-definidos?ref=review","review")</f>
        <v/>
      </c>
      <c r="K1963" t="inlineStr">
        <is>
          <t>SEND</t>
        </is>
      </c>
    </row>
    <row r="1964">
      <c r="A1964" t="inlineStr">
        <is>
          <t>Renata</t>
        </is>
      </c>
      <c r="B1964" t="inlineStr">
        <is>
          <t>+5561981165346</t>
        </is>
      </c>
      <c r="C1964" t="inlineStr">
        <is>
          <t>Refill</t>
        </is>
      </c>
      <c r="D1964" t="inlineStr">
        <is>
          <t>Primer Cachos</t>
        </is>
      </c>
      <c r="E1964" t="n">
        <v>1</v>
      </c>
      <c r="F1964" t="inlineStr">
        <is>
          <t>2026-01-22</t>
        </is>
      </c>
      <c r="G1964" t="n">
        <v>163</v>
      </c>
      <c r="H1964" t="inlineStr">
        <is>
          <t>Y</t>
        </is>
      </c>
      <c r="I1964">
        <f>HYPERLINK("https://admin.shopify.com/store/ge-beauty-cosmeticos/customers/10077602840896","abrir")</f>
        <v/>
      </c>
      <c r="J1964">
        <f>HYPERLINK("https://www.gebeauty.com.br/products/primer-cachos-definidos?ref=review","review")</f>
        <v/>
      </c>
      <c r="K1964" t="inlineStr">
        <is>
          <t>SEND</t>
        </is>
      </c>
    </row>
    <row r="1965">
      <c r="A1965" t="inlineStr">
        <is>
          <t>Hellen</t>
        </is>
      </c>
      <c r="B1965" t="inlineStr">
        <is>
          <t>+5533988148846</t>
        </is>
      </c>
      <c r="C1965" t="inlineStr">
        <is>
          <t>Refill</t>
        </is>
      </c>
      <c r="D1965" t="inlineStr">
        <is>
          <t>Primer Cachos</t>
        </is>
      </c>
      <c r="E1965" t="n">
        <v>1</v>
      </c>
      <c r="F1965" t="inlineStr">
        <is>
          <t>2026-01-22</t>
        </is>
      </c>
      <c r="G1965" t="n">
        <v>163</v>
      </c>
      <c r="H1965" t="inlineStr">
        <is>
          <t>Y</t>
        </is>
      </c>
      <c r="I1965">
        <f>HYPERLINK("https://admin.shopify.com/store/ge-beauty-cosmeticos/customers/10077657923904","abrir")</f>
        <v/>
      </c>
      <c r="J1965">
        <f>HYPERLINK("https://www.gebeauty.com.br/products/primer-cachos-definidos?ref=review","review")</f>
        <v/>
      </c>
      <c r="K1965" t="inlineStr">
        <is>
          <t>SEND</t>
        </is>
      </c>
    </row>
    <row r="1966">
      <c r="A1966" t="inlineStr">
        <is>
          <t>Cintia</t>
        </is>
      </c>
      <c r="B1966" t="inlineStr">
        <is>
          <t>+5511953486501</t>
        </is>
      </c>
      <c r="C1966" t="inlineStr">
        <is>
          <t>Refill</t>
        </is>
      </c>
      <c r="D1966" t="inlineStr">
        <is>
          <t>Primer Cachos</t>
        </is>
      </c>
      <c r="E1966" t="n">
        <v>1</v>
      </c>
      <c r="F1966" t="inlineStr">
        <is>
          <t>2026-01-22</t>
        </is>
      </c>
      <c r="G1966" t="n">
        <v>163</v>
      </c>
      <c r="H1966" t="inlineStr">
        <is>
          <t>Y</t>
        </is>
      </c>
      <c r="I1966">
        <f>HYPERLINK("https://admin.shopify.com/store/ge-beauty-cosmeticos/customers/10075399553344","abrir")</f>
        <v/>
      </c>
      <c r="J1966">
        <f>HYPERLINK("https://www.gebeauty.com.br/products/primer-cachos-definidos?ref=review","review")</f>
        <v/>
      </c>
      <c r="K1966" t="inlineStr">
        <is>
          <t>SEND</t>
        </is>
      </c>
    </row>
    <row r="1967">
      <c r="A1967" t="inlineStr">
        <is>
          <t>Gabriela</t>
        </is>
      </c>
      <c r="B1967" t="inlineStr">
        <is>
          <t>+5511966219009</t>
        </is>
      </c>
      <c r="C1967" t="inlineStr">
        <is>
          <t>Refill</t>
        </is>
      </c>
      <c r="D1967" t="inlineStr">
        <is>
          <t>Primer Cachos</t>
        </is>
      </c>
      <c r="E1967" t="n">
        <v>1</v>
      </c>
      <c r="F1967" t="inlineStr">
        <is>
          <t>2026-01-22</t>
        </is>
      </c>
      <c r="G1967" t="n">
        <v>163</v>
      </c>
      <c r="H1967" t="inlineStr">
        <is>
          <t>Y</t>
        </is>
      </c>
      <c r="I1967">
        <f>HYPERLINK("https://admin.shopify.com/store/ge-beauty-cosmeticos/customers/10078079484224","abrir")</f>
        <v/>
      </c>
      <c r="J1967">
        <f>HYPERLINK("https://www.gebeauty.com.br/products/primer-cachos-definidos?ref=review","review")</f>
        <v/>
      </c>
      <c r="K1967" t="inlineStr">
        <is>
          <t>SEND</t>
        </is>
      </c>
    </row>
    <row r="1968">
      <c r="A1968" t="inlineStr">
        <is>
          <t>Giseli</t>
        </is>
      </c>
      <c r="B1968" t="inlineStr">
        <is>
          <t>+5551997782748</t>
        </is>
      </c>
      <c r="C1968" t="inlineStr">
        <is>
          <t>Refill</t>
        </is>
      </c>
      <c r="D1968" t="inlineStr">
        <is>
          <t>Primer Cachos</t>
        </is>
      </c>
      <c r="E1968" t="n">
        <v>1</v>
      </c>
      <c r="F1968" t="inlineStr">
        <is>
          <t>2026-01-22</t>
        </is>
      </c>
      <c r="G1968" t="n">
        <v>163</v>
      </c>
      <c r="H1968" t="inlineStr">
        <is>
          <t>Y</t>
        </is>
      </c>
      <c r="I1968">
        <f>HYPERLINK("https://admin.shopify.com/store/ge-beauty-cosmeticos/customers/10078095671616","abrir")</f>
        <v/>
      </c>
      <c r="J1968">
        <f>HYPERLINK("https://www.gebeauty.com.br/products/primer-cachos-definidos?ref=review","review")</f>
        <v/>
      </c>
      <c r="K1968" t="inlineStr">
        <is>
          <t>SEND</t>
        </is>
      </c>
    </row>
    <row r="1969">
      <c r="A1969" t="inlineStr">
        <is>
          <t>Mariana</t>
        </is>
      </c>
      <c r="B1969" t="inlineStr">
        <is>
          <t>+5511995652267</t>
        </is>
      </c>
      <c r="C1969" t="inlineStr">
        <is>
          <t>Refill</t>
        </is>
      </c>
      <c r="D1969" t="inlineStr">
        <is>
          <t>Primer Cachos</t>
        </is>
      </c>
      <c r="E1969" t="n">
        <v>1</v>
      </c>
      <c r="F1969" t="inlineStr">
        <is>
          <t>2026-01-22</t>
        </is>
      </c>
      <c r="G1969" t="n">
        <v>163</v>
      </c>
      <c r="H1969" t="inlineStr">
        <is>
          <t>Y</t>
        </is>
      </c>
      <c r="I1969">
        <f>HYPERLINK("https://admin.shopify.com/store/ge-beauty-cosmeticos/customers/10076235465024","abrir")</f>
        <v/>
      </c>
      <c r="J1969">
        <f>HYPERLINK("https://www.gebeauty.com.br/products/primer-cachos-definidos?ref=review","review")</f>
        <v/>
      </c>
      <c r="K1969" t="inlineStr">
        <is>
          <t>HOLDOUT</t>
        </is>
      </c>
    </row>
    <row r="1970">
      <c r="A1970" t="inlineStr">
        <is>
          <t>Anucha</t>
        </is>
      </c>
      <c r="B1970" t="inlineStr">
        <is>
          <t>+5586999829889</t>
        </is>
      </c>
      <c r="C1970" t="inlineStr">
        <is>
          <t>Refill</t>
        </is>
      </c>
      <c r="D1970" t="inlineStr">
        <is>
          <t>Primer Cachos</t>
        </is>
      </c>
      <c r="E1970" t="n">
        <v>1</v>
      </c>
      <c r="F1970" t="inlineStr">
        <is>
          <t>2026-01-22</t>
        </is>
      </c>
      <c r="G1970" t="n">
        <v>163</v>
      </c>
      <c r="H1970" t="inlineStr">
        <is>
          <t>Y</t>
        </is>
      </c>
      <c r="I1970">
        <f>HYPERLINK("https://admin.shopify.com/store/ge-beauty-cosmeticos/customers/10078103142720","abrir")</f>
        <v/>
      </c>
      <c r="J1970">
        <f>HYPERLINK("https://www.gebeauty.com.br/products/primer-cachos-definidos?ref=review","review")</f>
        <v/>
      </c>
      <c r="K1970" t="inlineStr">
        <is>
          <t>SEND</t>
        </is>
      </c>
    </row>
    <row r="1971">
      <c r="A1971" t="inlineStr">
        <is>
          <t>Kissila</t>
        </is>
      </c>
      <c r="B1971" t="inlineStr">
        <is>
          <t>+5532988235966</t>
        </is>
      </c>
      <c r="C1971" t="inlineStr">
        <is>
          <t>Refill</t>
        </is>
      </c>
      <c r="D1971" t="inlineStr">
        <is>
          <t>Primer Cachos</t>
        </is>
      </c>
      <c r="E1971" t="n">
        <v>1</v>
      </c>
      <c r="F1971" t="inlineStr">
        <is>
          <t>2026-01-22</t>
        </is>
      </c>
      <c r="G1971" t="n">
        <v>163</v>
      </c>
      <c r="H1971" t="inlineStr">
        <is>
          <t>Y</t>
        </is>
      </c>
      <c r="I1971">
        <f>HYPERLINK("https://admin.shopify.com/store/ge-beauty-cosmeticos/customers/10078084858176","abrir")</f>
        <v/>
      </c>
      <c r="J1971">
        <f>HYPERLINK("https://www.gebeauty.com.br/products/primer-cachos-definidos?ref=review","review")</f>
        <v/>
      </c>
      <c r="K1971" t="inlineStr">
        <is>
          <t>SEND</t>
        </is>
      </c>
    </row>
    <row r="1972">
      <c r="A1972" t="inlineStr">
        <is>
          <t>Patricia</t>
        </is>
      </c>
      <c r="B1972" t="inlineStr">
        <is>
          <t>+5547999231898</t>
        </is>
      </c>
      <c r="C1972" t="inlineStr">
        <is>
          <t>Refill</t>
        </is>
      </c>
      <c r="D1972" t="inlineStr">
        <is>
          <t>Primer Cachos</t>
        </is>
      </c>
      <c r="E1972" t="n">
        <v>1</v>
      </c>
      <c r="F1972" t="inlineStr">
        <is>
          <t>2026-01-22</t>
        </is>
      </c>
      <c r="G1972" t="n">
        <v>163</v>
      </c>
      <c r="H1972" t="inlineStr">
        <is>
          <t>Y</t>
        </is>
      </c>
      <c r="I1972">
        <f>HYPERLINK("https://admin.shopify.com/store/ge-beauty-cosmeticos/customers/8157448470848","abrir")</f>
        <v/>
      </c>
      <c r="J1972">
        <f>HYPERLINK("https://www.gebeauty.com.br/products/primer-cachos-definidos?ref=review","review")</f>
        <v/>
      </c>
      <c r="K1972" t="inlineStr">
        <is>
          <t>SEND</t>
        </is>
      </c>
    </row>
    <row r="1973">
      <c r="A1973" t="inlineStr">
        <is>
          <t>Lais</t>
        </is>
      </c>
      <c r="B1973" t="inlineStr">
        <is>
          <t>+5541996451881</t>
        </is>
      </c>
      <c r="C1973" t="inlineStr">
        <is>
          <t>Refill</t>
        </is>
      </c>
      <c r="D1973" t="inlineStr">
        <is>
          <t>Primer Cachos</t>
        </is>
      </c>
      <c r="E1973" t="n">
        <v>1</v>
      </c>
      <c r="F1973" t="inlineStr">
        <is>
          <t>2026-01-22</t>
        </is>
      </c>
      <c r="G1973" t="n">
        <v>163</v>
      </c>
      <c r="H1973" t="inlineStr">
        <is>
          <t>N</t>
        </is>
      </c>
      <c r="I1973">
        <f>HYPERLINK("https://admin.shopify.com/store/ge-beauty-cosmeticos/customers/10072670601536","abrir")</f>
        <v/>
      </c>
      <c r="J1973">
        <f>HYPERLINK("https://www.gebeauty.com.br/products/primer-cachos-definidos?ref=review","review")</f>
        <v/>
      </c>
      <c r="K1973" t="inlineStr">
        <is>
          <t>SEND</t>
        </is>
      </c>
    </row>
    <row r="1974">
      <c r="A1974" t="inlineStr">
        <is>
          <t>Cássia</t>
        </is>
      </c>
      <c r="B1974" t="inlineStr">
        <is>
          <t>+5515991241001</t>
        </is>
      </c>
      <c r="C1974" t="inlineStr">
        <is>
          <t>Refill</t>
        </is>
      </c>
      <c r="D1974" t="inlineStr">
        <is>
          <t>Primer Cachos</t>
        </is>
      </c>
      <c r="E1974" t="n">
        <v>1</v>
      </c>
      <c r="F1974" t="inlineStr">
        <is>
          <t>2026-01-22</t>
        </is>
      </c>
      <c r="G1974" t="n">
        <v>163</v>
      </c>
      <c r="H1974" t="inlineStr">
        <is>
          <t>Y</t>
        </is>
      </c>
      <c r="I1974">
        <f>HYPERLINK("https://admin.shopify.com/store/ge-beauty-cosmeticos/customers/9484407767360","abrir")</f>
        <v/>
      </c>
      <c r="J1974">
        <f>HYPERLINK("https://www.gebeauty.com.br/products/primer-cachos-definidos?ref=review","review")</f>
        <v/>
      </c>
      <c r="K1974" t="inlineStr">
        <is>
          <t>SEND</t>
        </is>
      </c>
    </row>
    <row r="1975">
      <c r="A1975" t="inlineStr">
        <is>
          <t>Ana Luiza</t>
        </is>
      </c>
      <c r="B1975" t="inlineStr">
        <is>
          <t>+5521992481588</t>
        </is>
      </c>
      <c r="C1975" t="inlineStr">
        <is>
          <t>Refill</t>
        </is>
      </c>
      <c r="D1975" t="inlineStr">
        <is>
          <t>Primer Cachos</t>
        </is>
      </c>
      <c r="E1975" t="n">
        <v>1</v>
      </c>
      <c r="F1975" t="inlineStr">
        <is>
          <t>2026-01-22</t>
        </is>
      </c>
      <c r="G1975" t="n">
        <v>163</v>
      </c>
      <c r="H1975" t="inlineStr">
        <is>
          <t>Y</t>
        </is>
      </c>
      <c r="I1975">
        <f>HYPERLINK("https://admin.shopify.com/store/ge-beauty-cosmeticos/customers/9973894447424","abrir")</f>
        <v/>
      </c>
      <c r="J1975">
        <f>HYPERLINK("https://www.gebeauty.com.br/products/primer-cachos-definidos?ref=review","review")</f>
        <v/>
      </c>
      <c r="K1975" t="inlineStr">
        <is>
          <t>SEND</t>
        </is>
      </c>
    </row>
    <row r="1976">
      <c r="A1976" t="inlineStr">
        <is>
          <t>Kelly</t>
        </is>
      </c>
      <c r="B1976" t="inlineStr">
        <is>
          <t>+5548991263556</t>
        </is>
      </c>
      <c r="C1976" t="inlineStr">
        <is>
          <t>Refill</t>
        </is>
      </c>
      <c r="D1976" t="inlineStr">
        <is>
          <t>Primer Cachos</t>
        </is>
      </c>
      <c r="E1976" t="n">
        <v>1</v>
      </c>
      <c r="F1976" t="inlineStr">
        <is>
          <t>2026-01-22</t>
        </is>
      </c>
      <c r="G1976" t="n">
        <v>163</v>
      </c>
      <c r="H1976" t="inlineStr">
        <is>
          <t>Y</t>
        </is>
      </c>
      <c r="I1976">
        <f>HYPERLINK("https://admin.shopify.com/store/ge-beauty-cosmeticos/customers/10075954512192","abrir")</f>
        <v/>
      </c>
      <c r="J1976">
        <f>HYPERLINK("https://www.gebeauty.com.br/products/primer-cachos-definidos?ref=review","review")</f>
        <v/>
      </c>
      <c r="K1976" t="inlineStr">
        <is>
          <t>SEND</t>
        </is>
      </c>
    </row>
    <row r="1977">
      <c r="A1977" t="inlineStr">
        <is>
          <t>Vanessa</t>
        </is>
      </c>
      <c r="B1977" t="inlineStr">
        <is>
          <t>+5511964199093</t>
        </is>
      </c>
      <c r="C1977" t="inlineStr">
        <is>
          <t>Refill</t>
        </is>
      </c>
      <c r="D1977" t="inlineStr">
        <is>
          <t>Primer Cachos</t>
        </is>
      </c>
      <c r="E1977" t="n">
        <v>1</v>
      </c>
      <c r="F1977" t="inlineStr">
        <is>
          <t>2026-01-22</t>
        </is>
      </c>
      <c r="G1977" t="n">
        <v>163</v>
      </c>
      <c r="H1977" t="inlineStr">
        <is>
          <t>Y</t>
        </is>
      </c>
      <c r="I1977">
        <f>HYPERLINK("https://admin.shopify.com/store/ge-beauty-cosmeticos/customers/10078165434688","abrir")</f>
        <v/>
      </c>
      <c r="J1977">
        <f>HYPERLINK("https://www.gebeauty.com.br/products/primer-cachos-definidos?ref=review","review")</f>
        <v/>
      </c>
      <c r="K1977" t="inlineStr">
        <is>
          <t>SEND</t>
        </is>
      </c>
    </row>
    <row r="1978">
      <c r="A1978" t="inlineStr">
        <is>
          <t>Claudia</t>
        </is>
      </c>
      <c r="B1978" t="inlineStr">
        <is>
          <t>+5548996273989</t>
        </is>
      </c>
      <c r="C1978" t="inlineStr">
        <is>
          <t>Refill</t>
        </is>
      </c>
      <c r="D1978" t="inlineStr">
        <is>
          <t>Primer Cachos</t>
        </is>
      </c>
      <c r="E1978" t="n">
        <v>1</v>
      </c>
      <c r="F1978" t="inlineStr">
        <is>
          <t>2026-01-22</t>
        </is>
      </c>
      <c r="G1978" t="n">
        <v>163</v>
      </c>
      <c r="H1978" t="inlineStr">
        <is>
          <t>Y</t>
        </is>
      </c>
      <c r="I1978">
        <f>HYPERLINK("https://admin.shopify.com/store/ge-beauty-cosmeticos/customers/10078085808448","abrir")</f>
        <v/>
      </c>
      <c r="J1978">
        <f>HYPERLINK("https://www.gebeauty.com.br/products/primer-cachos-definidos?ref=review","review")</f>
        <v/>
      </c>
      <c r="K1978" t="inlineStr">
        <is>
          <t>SEND</t>
        </is>
      </c>
    </row>
    <row r="1979">
      <c r="A1979" t="inlineStr">
        <is>
          <t>Fernanda</t>
        </is>
      </c>
      <c r="B1979" t="inlineStr">
        <is>
          <t>+5515997436935</t>
        </is>
      </c>
      <c r="C1979" t="inlineStr">
        <is>
          <t>Refill</t>
        </is>
      </c>
      <c r="D1979" t="inlineStr">
        <is>
          <t>Primer Cachos</t>
        </is>
      </c>
      <c r="E1979" t="n">
        <v>1</v>
      </c>
      <c r="F1979" t="inlineStr">
        <is>
          <t>2026-01-22</t>
        </is>
      </c>
      <c r="G1979" t="n">
        <v>163</v>
      </c>
      <c r="H1979" t="inlineStr">
        <is>
          <t>Y</t>
        </is>
      </c>
      <c r="I1979">
        <f>HYPERLINK("https://admin.shopify.com/store/ge-beauty-cosmeticos/customers/10078191452480","abrir")</f>
        <v/>
      </c>
      <c r="J1979">
        <f>HYPERLINK("https://www.gebeauty.com.br/products/primer-cachos-definidos?ref=review","review")</f>
        <v/>
      </c>
      <c r="K1979" t="inlineStr">
        <is>
          <t>SEND</t>
        </is>
      </c>
    </row>
    <row r="1980">
      <c r="A1980" t="inlineStr">
        <is>
          <t>Noemi</t>
        </is>
      </c>
      <c r="B1980" t="inlineStr">
        <is>
          <t>+5512997561302</t>
        </is>
      </c>
      <c r="C1980" t="inlineStr">
        <is>
          <t>Refill</t>
        </is>
      </c>
      <c r="D1980" t="inlineStr">
        <is>
          <t>Primer Cachos</t>
        </is>
      </c>
      <c r="E1980" t="n">
        <v>1</v>
      </c>
      <c r="F1980" t="inlineStr">
        <is>
          <t>2026-01-22</t>
        </is>
      </c>
      <c r="G1980" t="n">
        <v>163</v>
      </c>
      <c r="H1980" t="inlineStr">
        <is>
          <t>Y</t>
        </is>
      </c>
      <c r="I1980">
        <f>HYPERLINK("https://admin.shopify.com/store/ge-beauty-cosmeticos/customers/10073218384192","abrir")</f>
        <v/>
      </c>
      <c r="J1980">
        <f>HYPERLINK("https://www.gebeauty.com.br/products/primer-cachos-definidos?ref=review","review")</f>
        <v/>
      </c>
      <c r="K1980" t="inlineStr">
        <is>
          <t>SEND</t>
        </is>
      </c>
    </row>
    <row r="1981">
      <c r="A1981" t="inlineStr">
        <is>
          <t>Ariane</t>
        </is>
      </c>
      <c r="B1981" t="inlineStr">
        <is>
          <t>+5553999516363</t>
        </is>
      </c>
      <c r="C1981" t="inlineStr">
        <is>
          <t>Refill</t>
        </is>
      </c>
      <c r="D1981" t="inlineStr">
        <is>
          <t>Primer Cachos</t>
        </is>
      </c>
      <c r="E1981" t="n">
        <v>1</v>
      </c>
      <c r="F1981" t="inlineStr">
        <is>
          <t>2026-01-22</t>
        </is>
      </c>
      <c r="G1981" t="n">
        <v>163</v>
      </c>
      <c r="H1981" t="inlineStr">
        <is>
          <t>Y</t>
        </is>
      </c>
      <c r="I1981">
        <f>HYPERLINK("https://admin.shopify.com/store/ge-beauty-cosmeticos/customers/10078193582400","abrir")</f>
        <v/>
      </c>
      <c r="J1981">
        <f>HYPERLINK("https://www.gebeauty.com.br/products/primer-cachos-definidos?ref=review","review")</f>
        <v/>
      </c>
      <c r="K1981" t="inlineStr">
        <is>
          <t>SEND</t>
        </is>
      </c>
    </row>
    <row r="1982">
      <c r="A1982" t="inlineStr">
        <is>
          <t>Rayana</t>
        </is>
      </c>
      <c r="B1982" t="inlineStr">
        <is>
          <t>+5561985997229</t>
        </is>
      </c>
      <c r="C1982" t="inlineStr">
        <is>
          <t>Refill</t>
        </is>
      </c>
      <c r="D1982" t="inlineStr">
        <is>
          <t>Primer Cachos</t>
        </is>
      </c>
      <c r="E1982" t="n">
        <v>1</v>
      </c>
      <c r="F1982" t="inlineStr">
        <is>
          <t>2026-01-22</t>
        </is>
      </c>
      <c r="G1982" t="n">
        <v>163</v>
      </c>
      <c r="H1982" t="inlineStr">
        <is>
          <t>Y</t>
        </is>
      </c>
      <c r="I1982">
        <f>HYPERLINK("https://admin.shopify.com/store/ge-beauty-cosmeticos/customers/10078213996864","abrir")</f>
        <v/>
      </c>
      <c r="J1982">
        <f>HYPERLINK("https://www.gebeauty.com.br/products/primer-cachos-definidos?ref=review","review")</f>
        <v/>
      </c>
      <c r="K1982" t="inlineStr">
        <is>
          <t>SEND</t>
        </is>
      </c>
    </row>
    <row r="1983">
      <c r="A1983" t="inlineStr">
        <is>
          <t>Bruna</t>
        </is>
      </c>
      <c r="B1983" t="inlineStr">
        <is>
          <t>+5554999635918</t>
        </is>
      </c>
      <c r="C1983" t="inlineStr">
        <is>
          <t>Refill</t>
        </is>
      </c>
      <c r="D1983" t="inlineStr">
        <is>
          <t>Primer Cachos</t>
        </is>
      </c>
      <c r="E1983" t="n">
        <v>1</v>
      </c>
      <c r="F1983" t="inlineStr">
        <is>
          <t>2026-01-22</t>
        </is>
      </c>
      <c r="G1983" t="n">
        <v>163</v>
      </c>
      <c r="H1983" t="inlineStr">
        <is>
          <t>Y</t>
        </is>
      </c>
      <c r="I1983">
        <f>HYPERLINK("https://admin.shopify.com/store/ge-beauty-cosmeticos/customers/10075073839424","abrir")</f>
        <v/>
      </c>
      <c r="J1983">
        <f>HYPERLINK("https://www.gebeauty.com.br/products/primer-cachos-definidos?ref=review","review")</f>
        <v/>
      </c>
      <c r="K1983" t="inlineStr">
        <is>
          <t>SEND</t>
        </is>
      </c>
    </row>
    <row r="1984">
      <c r="A1984" t="inlineStr">
        <is>
          <t>Ana Lúcia</t>
        </is>
      </c>
      <c r="B1984" t="inlineStr">
        <is>
          <t>+5551982220565</t>
        </is>
      </c>
      <c r="C1984" t="inlineStr">
        <is>
          <t>Refill</t>
        </is>
      </c>
      <c r="D1984" t="inlineStr">
        <is>
          <t>Primer Cachos</t>
        </is>
      </c>
      <c r="E1984" t="n">
        <v>1</v>
      </c>
      <c r="F1984" t="inlineStr">
        <is>
          <t>2026-01-22</t>
        </is>
      </c>
      <c r="G1984" t="n">
        <v>163</v>
      </c>
      <c r="H1984" t="inlineStr">
        <is>
          <t>Y</t>
        </is>
      </c>
      <c r="I1984">
        <f>HYPERLINK("https://admin.shopify.com/store/ge-beauty-cosmeticos/customers/10078203052352","abrir")</f>
        <v/>
      </c>
      <c r="J1984">
        <f>HYPERLINK("https://www.gebeauty.com.br/products/primer-cachos-definidos?ref=review","review")</f>
        <v/>
      </c>
      <c r="K1984" t="inlineStr">
        <is>
          <t>SEND</t>
        </is>
      </c>
    </row>
    <row r="1985">
      <c r="A1985" t="inlineStr">
        <is>
          <t>Marcia</t>
        </is>
      </c>
      <c r="B1985" t="inlineStr">
        <is>
          <t>+5511999914762</t>
        </is>
      </c>
      <c r="C1985" t="inlineStr">
        <is>
          <t>Refill</t>
        </is>
      </c>
      <c r="D1985" t="inlineStr">
        <is>
          <t>Primer Cachos</t>
        </is>
      </c>
      <c r="E1985" t="n">
        <v>1</v>
      </c>
      <c r="F1985" t="inlineStr">
        <is>
          <t>2026-01-22</t>
        </is>
      </c>
      <c r="G1985" t="n">
        <v>163</v>
      </c>
      <c r="H1985" t="inlineStr">
        <is>
          <t>Y</t>
        </is>
      </c>
      <c r="I1985">
        <f>HYPERLINK("https://admin.shopify.com/store/ge-beauty-cosmeticos/customers/10075631583552","abrir")</f>
        <v/>
      </c>
      <c r="J1985">
        <f>HYPERLINK("https://www.gebeauty.com.br/products/primer-cachos-definidos?ref=review","review")</f>
        <v/>
      </c>
      <c r="K1985" t="inlineStr">
        <is>
          <t>SEND</t>
        </is>
      </c>
    </row>
    <row r="1986">
      <c r="A1986" t="inlineStr">
        <is>
          <t>Viviani</t>
        </is>
      </c>
      <c r="B1986" t="inlineStr">
        <is>
          <t>+5537999023105</t>
        </is>
      </c>
      <c r="C1986" t="inlineStr">
        <is>
          <t>Refill</t>
        </is>
      </c>
      <c r="D1986" t="inlineStr">
        <is>
          <t>Primer Cachos</t>
        </is>
      </c>
      <c r="E1986" t="n">
        <v>1</v>
      </c>
      <c r="F1986" t="inlineStr">
        <is>
          <t>2026-01-22</t>
        </is>
      </c>
      <c r="G1986" t="n">
        <v>163</v>
      </c>
      <c r="H1986" t="inlineStr">
        <is>
          <t>Y</t>
        </is>
      </c>
      <c r="I1986">
        <f>HYPERLINK("https://admin.shopify.com/store/ge-beauty-cosmeticos/customers/10078273667392","abrir")</f>
        <v/>
      </c>
      <c r="J1986">
        <f>HYPERLINK("https://www.gebeauty.com.br/products/primer-cachos-definidos?ref=review","review")</f>
        <v/>
      </c>
      <c r="K1986" t="inlineStr">
        <is>
          <t>SEND</t>
        </is>
      </c>
    </row>
    <row r="1987">
      <c r="A1987" t="inlineStr">
        <is>
          <t>Ilza Cristiane</t>
        </is>
      </c>
      <c r="B1987" t="inlineStr">
        <is>
          <t>+5511972725647</t>
        </is>
      </c>
      <c r="C1987" t="inlineStr">
        <is>
          <t>Refill</t>
        </is>
      </c>
      <c r="D1987" t="inlineStr">
        <is>
          <t>Primer Cachos</t>
        </is>
      </c>
      <c r="E1987" t="n">
        <v>1</v>
      </c>
      <c r="F1987" t="inlineStr">
        <is>
          <t>2026-01-22</t>
        </is>
      </c>
      <c r="G1987" t="n">
        <v>163</v>
      </c>
      <c r="H1987" t="inlineStr">
        <is>
          <t>Y</t>
        </is>
      </c>
      <c r="I1987">
        <f>HYPERLINK("https://admin.shopify.com/store/ge-beauty-cosmeticos/customers/10078246764864","abrir")</f>
        <v/>
      </c>
      <c r="J1987">
        <f>HYPERLINK("https://www.gebeauty.com.br/products/primer-cachos-definidos?ref=review","review")</f>
        <v/>
      </c>
      <c r="K1987" t="inlineStr">
        <is>
          <t>SEND</t>
        </is>
      </c>
    </row>
    <row r="1988">
      <c r="A1988" t="inlineStr">
        <is>
          <t>Cristiane</t>
        </is>
      </c>
      <c r="B1988" t="inlineStr">
        <is>
          <t>+5511941483961</t>
        </is>
      </c>
      <c r="C1988" t="inlineStr">
        <is>
          <t>Refill</t>
        </is>
      </c>
      <c r="D1988" t="inlineStr">
        <is>
          <t>Primer Cachos</t>
        </is>
      </c>
      <c r="E1988" t="n">
        <v>1</v>
      </c>
      <c r="F1988" t="inlineStr">
        <is>
          <t>2026-01-22</t>
        </is>
      </c>
      <c r="G1988" t="n">
        <v>163</v>
      </c>
      <c r="H1988" t="inlineStr">
        <is>
          <t>Y</t>
        </is>
      </c>
      <c r="I1988">
        <f>HYPERLINK("https://admin.shopify.com/store/ge-beauty-cosmeticos/customers/10078275207488","abrir")</f>
        <v/>
      </c>
      <c r="J1988">
        <f>HYPERLINK("https://www.gebeauty.com.br/products/primer-cachos-definidos?ref=review","review")</f>
        <v/>
      </c>
      <c r="K1988" t="inlineStr">
        <is>
          <t>SEND</t>
        </is>
      </c>
    </row>
    <row r="1989">
      <c r="A1989" t="inlineStr">
        <is>
          <t>Graciella</t>
        </is>
      </c>
      <c r="B1989" t="inlineStr">
        <is>
          <t>+5565996477007</t>
        </is>
      </c>
      <c r="C1989" t="inlineStr">
        <is>
          <t>Refill</t>
        </is>
      </c>
      <c r="D1989" t="inlineStr">
        <is>
          <t>Primer Cachos</t>
        </is>
      </c>
      <c r="E1989" t="n">
        <v>1</v>
      </c>
      <c r="F1989" t="inlineStr">
        <is>
          <t>2026-01-22</t>
        </is>
      </c>
      <c r="G1989" t="n">
        <v>163</v>
      </c>
      <c r="H1989" t="inlineStr">
        <is>
          <t>Y</t>
        </is>
      </c>
      <c r="I1989">
        <f>HYPERLINK("https://admin.shopify.com/store/ge-beauty-cosmeticos/customers/10078282449216","abrir")</f>
        <v/>
      </c>
      <c r="J1989">
        <f>HYPERLINK("https://www.gebeauty.com.br/products/primer-cachos-definidos?ref=review","review")</f>
        <v/>
      </c>
      <c r="K1989" t="inlineStr">
        <is>
          <t>SEND</t>
        </is>
      </c>
    </row>
    <row r="1990">
      <c r="A1990" t="inlineStr">
        <is>
          <t>Luciana</t>
        </is>
      </c>
      <c r="B1990" t="inlineStr">
        <is>
          <t>+5511947948126</t>
        </is>
      </c>
      <c r="C1990" t="inlineStr">
        <is>
          <t>Refill</t>
        </is>
      </c>
      <c r="D1990" t="inlineStr">
        <is>
          <t>Primer Cachos</t>
        </is>
      </c>
      <c r="E1990" t="n">
        <v>1</v>
      </c>
      <c r="F1990" t="inlineStr">
        <is>
          <t>2026-01-22</t>
        </is>
      </c>
      <c r="G1990" t="n">
        <v>163</v>
      </c>
      <c r="H1990" t="inlineStr">
        <is>
          <t>Y</t>
        </is>
      </c>
      <c r="I1990">
        <f>HYPERLINK("https://admin.shopify.com/store/ge-beauty-cosmeticos/customers/10078270554432","abrir")</f>
        <v/>
      </c>
      <c r="J1990">
        <f>HYPERLINK("https://www.gebeauty.com.br/products/primer-cachos-definidos?ref=review","review")</f>
        <v/>
      </c>
      <c r="K1990" t="inlineStr">
        <is>
          <t>SEND</t>
        </is>
      </c>
    </row>
    <row r="1991">
      <c r="A1991" t="inlineStr">
        <is>
          <t>Maria Adriana</t>
        </is>
      </c>
      <c r="B1991" t="inlineStr">
        <is>
          <t>+5531995785913</t>
        </is>
      </c>
      <c r="C1991" t="inlineStr">
        <is>
          <t>Refill</t>
        </is>
      </c>
      <c r="D1991" t="inlineStr">
        <is>
          <t>Primer Cachos</t>
        </is>
      </c>
      <c r="E1991" t="n">
        <v>1</v>
      </c>
      <c r="F1991" t="inlineStr">
        <is>
          <t>2026-01-22</t>
        </is>
      </c>
      <c r="G1991" t="n">
        <v>163</v>
      </c>
      <c r="H1991" t="inlineStr">
        <is>
          <t>Y</t>
        </is>
      </c>
      <c r="I1991">
        <f>HYPERLINK("https://admin.shopify.com/store/ge-beauty-cosmeticos/customers/10078284808512","abrir")</f>
        <v/>
      </c>
      <c r="J1991">
        <f>HYPERLINK("https://www.gebeauty.com.br/products/primer-cachos-definidos?ref=review","review")</f>
        <v/>
      </c>
      <c r="K1991" t="inlineStr">
        <is>
          <t>SEND</t>
        </is>
      </c>
    </row>
    <row r="1992">
      <c r="A1992" t="inlineStr">
        <is>
          <t>Luciana</t>
        </is>
      </c>
      <c r="B1992" t="inlineStr">
        <is>
          <t>+5511918900905</t>
        </is>
      </c>
      <c r="C1992" t="inlineStr">
        <is>
          <t>Refill</t>
        </is>
      </c>
      <c r="D1992" t="inlineStr">
        <is>
          <t>Primer Cachos</t>
        </is>
      </c>
      <c r="E1992" t="n">
        <v>1</v>
      </c>
      <c r="F1992" t="inlineStr">
        <is>
          <t>2026-01-22</t>
        </is>
      </c>
      <c r="G1992" t="n">
        <v>163</v>
      </c>
      <c r="H1992" t="inlineStr">
        <is>
          <t>Y</t>
        </is>
      </c>
      <c r="I1992">
        <f>HYPERLINK("https://admin.shopify.com/store/ge-beauty-cosmeticos/customers/10078305485120","abrir")</f>
        <v/>
      </c>
      <c r="J1992">
        <f>HYPERLINK("https://www.gebeauty.com.br/products/primer-cachos-definidos?ref=review","review")</f>
        <v/>
      </c>
      <c r="K1992" t="inlineStr">
        <is>
          <t>HOLDOUT</t>
        </is>
      </c>
    </row>
    <row r="1993">
      <c r="A1993" t="inlineStr">
        <is>
          <t>Giselle</t>
        </is>
      </c>
      <c r="B1993" t="inlineStr">
        <is>
          <t>+5562999752466</t>
        </is>
      </c>
      <c r="C1993" t="inlineStr">
        <is>
          <t>Refill</t>
        </is>
      </c>
      <c r="D1993" t="inlineStr">
        <is>
          <t>Primer Cachos</t>
        </is>
      </c>
      <c r="E1993" t="n">
        <v>1</v>
      </c>
      <c r="F1993" t="inlineStr">
        <is>
          <t>2026-01-22</t>
        </is>
      </c>
      <c r="G1993" t="n">
        <v>163</v>
      </c>
      <c r="H1993" t="inlineStr">
        <is>
          <t>Y</t>
        </is>
      </c>
      <c r="I1993">
        <f>HYPERLINK("https://admin.shopify.com/store/ge-beauty-cosmeticos/customers/10078305354048","abrir")</f>
        <v/>
      </c>
      <c r="J1993">
        <f>HYPERLINK("https://www.gebeauty.com.br/products/primer-cachos-definidos?ref=review","review")</f>
        <v/>
      </c>
      <c r="K1993" t="inlineStr">
        <is>
          <t>SEND</t>
        </is>
      </c>
    </row>
    <row r="1994">
      <c r="A1994" t="inlineStr">
        <is>
          <t>Patricia</t>
        </is>
      </c>
      <c r="B1994" t="inlineStr">
        <is>
          <t>+5511983644660</t>
        </is>
      </c>
      <c r="C1994" t="inlineStr">
        <is>
          <t>Refill</t>
        </is>
      </c>
      <c r="D1994" t="inlineStr">
        <is>
          <t>Primer Cachos</t>
        </is>
      </c>
      <c r="E1994" t="n">
        <v>1</v>
      </c>
      <c r="F1994" t="inlineStr">
        <is>
          <t>2026-01-22</t>
        </is>
      </c>
      <c r="G1994" t="n">
        <v>163</v>
      </c>
      <c r="H1994" t="inlineStr">
        <is>
          <t>Y</t>
        </is>
      </c>
      <c r="I1994">
        <f>HYPERLINK("https://admin.shopify.com/store/ge-beauty-cosmeticos/customers/10078320197952","abrir")</f>
        <v/>
      </c>
      <c r="J1994">
        <f>HYPERLINK("https://www.gebeauty.com.br/products/primer-cachos-definidos?ref=review","review")</f>
        <v/>
      </c>
      <c r="K1994" t="inlineStr">
        <is>
          <t>SEND</t>
        </is>
      </c>
    </row>
    <row r="1995">
      <c r="A1995" t="inlineStr">
        <is>
          <t>Adimar</t>
        </is>
      </c>
      <c r="B1995" t="inlineStr">
        <is>
          <t>+5511963541596</t>
        </is>
      </c>
      <c r="C1995" t="inlineStr">
        <is>
          <t>Refill</t>
        </is>
      </c>
      <c r="D1995" t="inlineStr">
        <is>
          <t>Primer Cachos</t>
        </is>
      </c>
      <c r="E1995" t="n">
        <v>1</v>
      </c>
      <c r="F1995" t="inlineStr">
        <is>
          <t>2026-01-22</t>
        </is>
      </c>
      <c r="G1995" t="n">
        <v>163</v>
      </c>
      <c r="H1995" t="inlineStr">
        <is>
          <t>Y</t>
        </is>
      </c>
      <c r="I1995">
        <f>HYPERLINK("https://admin.shopify.com/store/ge-beauty-cosmeticos/customers/10071697981760","abrir")</f>
        <v/>
      </c>
      <c r="J1995">
        <f>HYPERLINK("https://www.gebeauty.com.br/products/primer-cachos-definidos?ref=review","review")</f>
        <v/>
      </c>
      <c r="K1995" t="inlineStr">
        <is>
          <t>SEND</t>
        </is>
      </c>
    </row>
    <row r="1996">
      <c r="A1996" t="inlineStr">
        <is>
          <t>Alessandra</t>
        </is>
      </c>
      <c r="B1996" t="inlineStr">
        <is>
          <t>+5545984180186</t>
        </is>
      </c>
      <c r="C1996" t="inlineStr">
        <is>
          <t>Refill</t>
        </is>
      </c>
      <c r="D1996" t="inlineStr">
        <is>
          <t>Primer Cachos</t>
        </is>
      </c>
      <c r="E1996" t="n">
        <v>1</v>
      </c>
      <c r="F1996" t="inlineStr">
        <is>
          <t>2026-01-22</t>
        </is>
      </c>
      <c r="G1996" t="n">
        <v>163</v>
      </c>
      <c r="H1996" t="inlineStr">
        <is>
          <t>Y</t>
        </is>
      </c>
      <c r="I1996">
        <f>HYPERLINK("https://admin.shopify.com/store/ge-beauty-cosmeticos/customers/10078346805568","abrir")</f>
        <v/>
      </c>
      <c r="J1996">
        <f>HYPERLINK("https://www.gebeauty.com.br/products/primer-cachos-definidos?ref=review","review")</f>
        <v/>
      </c>
      <c r="K1996" t="inlineStr">
        <is>
          <t>SEND</t>
        </is>
      </c>
    </row>
    <row r="1997">
      <c r="A1997" t="inlineStr">
        <is>
          <t>Bruna</t>
        </is>
      </c>
      <c r="B1997" t="inlineStr">
        <is>
          <t>+5511978213535</t>
        </is>
      </c>
      <c r="C1997" t="inlineStr">
        <is>
          <t>Refill</t>
        </is>
      </c>
      <c r="D1997" t="inlineStr">
        <is>
          <t>Primer Cachos</t>
        </is>
      </c>
      <c r="E1997" t="n">
        <v>1</v>
      </c>
      <c r="F1997" t="inlineStr">
        <is>
          <t>2026-01-22</t>
        </is>
      </c>
      <c r="G1997" t="n">
        <v>163</v>
      </c>
      <c r="H1997" t="inlineStr">
        <is>
          <t>Y</t>
        </is>
      </c>
      <c r="I1997">
        <f>HYPERLINK("https://admin.shopify.com/store/ge-beauty-cosmeticos/customers/10078353981760","abrir")</f>
        <v/>
      </c>
      <c r="J1997">
        <f>HYPERLINK("https://www.gebeauty.com.br/products/primer-cachos-definidos?ref=review","review")</f>
        <v/>
      </c>
      <c r="K1997" t="inlineStr">
        <is>
          <t>SEND</t>
        </is>
      </c>
    </row>
    <row r="1998">
      <c r="A1998" t="inlineStr">
        <is>
          <t>Beatriz</t>
        </is>
      </c>
      <c r="B1998" t="inlineStr">
        <is>
          <t>+5511941382001</t>
        </is>
      </c>
      <c r="C1998" t="inlineStr">
        <is>
          <t>Refill</t>
        </is>
      </c>
      <c r="D1998" t="inlineStr">
        <is>
          <t>Primer Cachos</t>
        </is>
      </c>
      <c r="E1998" t="n">
        <v>1</v>
      </c>
      <c r="F1998" t="inlineStr">
        <is>
          <t>2026-01-22</t>
        </is>
      </c>
      <c r="G1998" t="n">
        <v>163</v>
      </c>
      <c r="H1998" t="inlineStr">
        <is>
          <t>Y</t>
        </is>
      </c>
      <c r="I1998">
        <f>HYPERLINK("https://admin.shopify.com/store/ge-beauty-cosmeticos/customers/10078372135232","abrir")</f>
        <v/>
      </c>
      <c r="J1998">
        <f>HYPERLINK("https://www.gebeauty.com.br/products/primer-cachos-definidos?ref=review","review")</f>
        <v/>
      </c>
      <c r="K1998" t="inlineStr">
        <is>
          <t>SEND</t>
        </is>
      </c>
    </row>
    <row r="1999">
      <c r="A1999" t="inlineStr">
        <is>
          <t>Jane</t>
        </is>
      </c>
      <c r="B1999" t="inlineStr">
        <is>
          <t>+5548999443268</t>
        </is>
      </c>
      <c r="C1999" t="inlineStr">
        <is>
          <t>Refill</t>
        </is>
      </c>
      <c r="D1999" t="inlineStr">
        <is>
          <t>Primer Cachos</t>
        </is>
      </c>
      <c r="E1999" t="n">
        <v>1</v>
      </c>
      <c r="F1999" t="inlineStr">
        <is>
          <t>2026-01-22</t>
        </is>
      </c>
      <c r="G1999" t="n">
        <v>163</v>
      </c>
      <c r="H1999" t="inlineStr">
        <is>
          <t>Y</t>
        </is>
      </c>
      <c r="I1999">
        <f>HYPERLINK("https://admin.shopify.com/store/ge-beauty-cosmeticos/customers/9485089407296","abrir")</f>
        <v/>
      </c>
      <c r="J1999">
        <f>HYPERLINK("https://www.gebeauty.com.br/products/primer-cachos-definidos?ref=review","review")</f>
        <v/>
      </c>
      <c r="K1999" t="inlineStr">
        <is>
          <t>SEND</t>
        </is>
      </c>
    </row>
    <row r="2000">
      <c r="A2000" t="inlineStr">
        <is>
          <t>Maria dos Anjos</t>
        </is>
      </c>
      <c r="B2000" t="inlineStr">
        <is>
          <t>+5511948170016</t>
        </is>
      </c>
      <c r="C2000" t="inlineStr">
        <is>
          <t>Refill</t>
        </is>
      </c>
      <c r="D2000" t="inlineStr">
        <is>
          <t>Primer Cachos</t>
        </is>
      </c>
      <c r="E2000" t="n">
        <v>1</v>
      </c>
      <c r="F2000" t="inlineStr">
        <is>
          <t>2026-01-22</t>
        </is>
      </c>
      <c r="G2000" t="n">
        <v>163</v>
      </c>
      <c r="H2000" t="inlineStr">
        <is>
          <t>Y</t>
        </is>
      </c>
      <c r="I2000">
        <f>HYPERLINK("https://admin.shopify.com/store/ge-beauty-cosmeticos/customers/10078408606016","abrir")</f>
        <v/>
      </c>
      <c r="J2000">
        <f>HYPERLINK("https://www.gebeauty.com.br/products/primer-cachos-definidos?ref=review","review")</f>
        <v/>
      </c>
      <c r="K2000" t="inlineStr">
        <is>
          <t>SEND</t>
        </is>
      </c>
    </row>
    <row r="2001">
      <c r="A2001" t="inlineStr">
        <is>
          <t>Marcia</t>
        </is>
      </c>
      <c r="B2001" t="inlineStr">
        <is>
          <t>+5511987508383</t>
        </is>
      </c>
      <c r="C2001" t="inlineStr">
        <is>
          <t>Refill</t>
        </is>
      </c>
      <c r="D2001" t="inlineStr">
        <is>
          <t>Primer Cachos</t>
        </is>
      </c>
      <c r="E2001" t="n">
        <v>1</v>
      </c>
      <c r="F2001" t="inlineStr">
        <is>
          <t>2026-01-22</t>
        </is>
      </c>
      <c r="G2001" t="n">
        <v>163</v>
      </c>
      <c r="H2001" t="inlineStr">
        <is>
          <t>Y</t>
        </is>
      </c>
      <c r="I2001">
        <f>HYPERLINK("https://admin.shopify.com/store/ge-beauty-cosmeticos/customers/10078411522368","abrir")</f>
        <v/>
      </c>
      <c r="J2001">
        <f>HYPERLINK("https://www.gebeauty.com.br/products/primer-cachos-definidos?ref=review","review")</f>
        <v/>
      </c>
      <c r="K2001" t="inlineStr">
        <is>
          <t>SEND</t>
        </is>
      </c>
    </row>
    <row r="2002">
      <c r="A2002" t="inlineStr">
        <is>
          <t>Wilma</t>
        </is>
      </c>
      <c r="B2002" t="inlineStr">
        <is>
          <t>+5511968094726</t>
        </is>
      </c>
      <c r="C2002" t="inlineStr">
        <is>
          <t>Refill</t>
        </is>
      </c>
      <c r="D2002" t="inlineStr">
        <is>
          <t>Primer Cachos</t>
        </is>
      </c>
      <c r="E2002" t="n">
        <v>1</v>
      </c>
      <c r="F2002" t="inlineStr">
        <is>
          <t>2026-01-22</t>
        </is>
      </c>
      <c r="G2002" t="n">
        <v>163</v>
      </c>
      <c r="H2002" t="inlineStr">
        <is>
          <t>Y</t>
        </is>
      </c>
      <c r="I2002">
        <f>HYPERLINK("https://admin.shopify.com/store/ge-beauty-cosmeticos/customers/10078411391296","abrir")</f>
        <v/>
      </c>
      <c r="J2002">
        <f>HYPERLINK("https://www.gebeauty.com.br/products/primer-cachos-definidos?ref=review","review")</f>
        <v/>
      </c>
      <c r="K2002" t="inlineStr">
        <is>
          <t>SEND</t>
        </is>
      </c>
    </row>
    <row r="2003">
      <c r="A2003" t="inlineStr">
        <is>
          <t>Beatriz</t>
        </is>
      </c>
      <c r="B2003" t="inlineStr">
        <is>
          <t>+5511976148691</t>
        </is>
      </c>
      <c r="C2003" t="inlineStr">
        <is>
          <t>Refill</t>
        </is>
      </c>
      <c r="D2003" t="inlineStr">
        <is>
          <t>Primer Cachos</t>
        </is>
      </c>
      <c r="E2003" t="n">
        <v>1</v>
      </c>
      <c r="F2003" t="inlineStr">
        <is>
          <t>2026-01-22</t>
        </is>
      </c>
      <c r="G2003" t="n">
        <v>163</v>
      </c>
      <c r="H2003" t="inlineStr">
        <is>
          <t>Y</t>
        </is>
      </c>
      <c r="I2003">
        <f>HYPERLINK("https://admin.shopify.com/store/ge-beauty-cosmeticos/customers/10078249681216","abrir")</f>
        <v/>
      </c>
      <c r="J2003">
        <f>HYPERLINK("https://www.gebeauty.com.br/products/primer-cachos-definidos?ref=review","review")</f>
        <v/>
      </c>
      <c r="K2003" t="inlineStr">
        <is>
          <t>SEND</t>
        </is>
      </c>
    </row>
    <row r="2004">
      <c r="A2004" t="inlineStr">
        <is>
          <t>Andresa</t>
        </is>
      </c>
      <c r="B2004" t="inlineStr">
        <is>
          <t>+5547991859474</t>
        </is>
      </c>
      <c r="C2004" t="inlineStr">
        <is>
          <t>Refill</t>
        </is>
      </c>
      <c r="D2004" t="inlineStr">
        <is>
          <t>Primer Cachos</t>
        </is>
      </c>
      <c r="E2004" t="n">
        <v>1</v>
      </c>
      <c r="F2004" t="inlineStr">
        <is>
          <t>2026-01-22</t>
        </is>
      </c>
      <c r="G2004" t="n">
        <v>163</v>
      </c>
      <c r="H2004" t="inlineStr">
        <is>
          <t>Y</t>
        </is>
      </c>
      <c r="I2004">
        <f>HYPERLINK("https://admin.shopify.com/store/ge-beauty-cosmeticos/customers/10076820635968","abrir")</f>
        <v/>
      </c>
      <c r="J2004">
        <f>HYPERLINK("https://www.gebeauty.com.br/products/primer-cachos-definidos?ref=review","review")</f>
        <v/>
      </c>
      <c r="K2004" t="inlineStr">
        <is>
          <t>SEND</t>
        </is>
      </c>
    </row>
    <row r="2005">
      <c r="A2005" t="inlineStr">
        <is>
          <t>Anna Cristina</t>
        </is>
      </c>
      <c r="B2005" t="inlineStr">
        <is>
          <t>+5561999888190</t>
        </is>
      </c>
      <c r="C2005" t="inlineStr">
        <is>
          <t>Refill</t>
        </is>
      </c>
      <c r="D2005" t="inlineStr">
        <is>
          <t>Primer Cachos</t>
        </is>
      </c>
      <c r="E2005" t="n">
        <v>1</v>
      </c>
      <c r="F2005" t="inlineStr">
        <is>
          <t>2026-01-22</t>
        </is>
      </c>
      <c r="G2005" t="n">
        <v>163</v>
      </c>
      <c r="H2005" t="inlineStr">
        <is>
          <t>Y</t>
        </is>
      </c>
      <c r="I2005">
        <f>HYPERLINK("https://admin.shopify.com/store/ge-beauty-cosmeticos/customers/10077566304576","abrir")</f>
        <v/>
      </c>
      <c r="J2005">
        <f>HYPERLINK("https://www.gebeauty.com.br/products/primer-cachos-definidos?ref=review","review")</f>
        <v/>
      </c>
      <c r="K2005" t="inlineStr">
        <is>
          <t>SEND</t>
        </is>
      </c>
    </row>
    <row r="2006">
      <c r="A2006" t="inlineStr">
        <is>
          <t>Priscilla</t>
        </is>
      </c>
      <c r="B2006" t="inlineStr">
        <is>
          <t>+5521988882572</t>
        </is>
      </c>
      <c r="C2006" t="inlineStr">
        <is>
          <t>Refill</t>
        </is>
      </c>
      <c r="D2006" t="inlineStr">
        <is>
          <t>Primer Cachos</t>
        </is>
      </c>
      <c r="E2006" t="n">
        <v>1</v>
      </c>
      <c r="F2006" t="inlineStr">
        <is>
          <t>2026-01-22</t>
        </is>
      </c>
      <c r="G2006" t="n">
        <v>163</v>
      </c>
      <c r="H2006" t="inlineStr">
        <is>
          <t>Y</t>
        </is>
      </c>
      <c r="I2006">
        <f>HYPERLINK("https://admin.shopify.com/store/ge-beauty-cosmeticos/customers/10078418239808","abrir")</f>
        <v/>
      </c>
      <c r="J2006">
        <f>HYPERLINK("https://www.gebeauty.com.br/products/primer-cachos-definidos?ref=review","review")</f>
        <v/>
      </c>
      <c r="K2006" t="inlineStr">
        <is>
          <t>SEND</t>
        </is>
      </c>
    </row>
    <row r="2007">
      <c r="A2007" t="inlineStr">
        <is>
          <t>Marina</t>
        </is>
      </c>
      <c r="B2007" t="inlineStr">
        <is>
          <t>+5531984160830</t>
        </is>
      </c>
      <c r="C2007" t="inlineStr">
        <is>
          <t>Refill</t>
        </is>
      </c>
      <c r="D2007" t="inlineStr">
        <is>
          <t>Primer Cachos</t>
        </is>
      </c>
      <c r="E2007" t="n">
        <v>1</v>
      </c>
      <c r="F2007" t="inlineStr">
        <is>
          <t>2026-01-22</t>
        </is>
      </c>
      <c r="G2007" t="n">
        <v>163</v>
      </c>
      <c r="H2007" t="inlineStr">
        <is>
          <t>Y</t>
        </is>
      </c>
      <c r="I2007">
        <f>HYPERLINK("https://admin.shopify.com/store/ge-beauty-cosmeticos/customers/8469709685056","abrir")</f>
        <v/>
      </c>
      <c r="J2007">
        <f>HYPERLINK("https://www.gebeauty.com.br/products/primer-cachos-definidos?ref=review","review")</f>
        <v/>
      </c>
      <c r="K2007" t="inlineStr">
        <is>
          <t>SEND</t>
        </is>
      </c>
    </row>
    <row r="2008">
      <c r="A2008" t="inlineStr">
        <is>
          <t>Ana Cláudia</t>
        </is>
      </c>
      <c r="B2008" t="inlineStr">
        <is>
          <t>+5561995028549</t>
        </is>
      </c>
      <c r="C2008" t="inlineStr">
        <is>
          <t>Refill</t>
        </is>
      </c>
      <c r="D2008" t="inlineStr">
        <is>
          <t>Primer Cachos</t>
        </is>
      </c>
      <c r="E2008" t="n">
        <v>1</v>
      </c>
      <c r="F2008" t="inlineStr">
        <is>
          <t>2026-01-22</t>
        </is>
      </c>
      <c r="G2008" t="n">
        <v>163</v>
      </c>
      <c r="H2008" t="inlineStr">
        <is>
          <t>Y</t>
        </is>
      </c>
      <c r="I2008">
        <f>HYPERLINK("https://admin.shopify.com/store/ge-beauty-cosmeticos/customers/9486650048832","abrir")</f>
        <v/>
      </c>
      <c r="J2008">
        <f>HYPERLINK("https://www.gebeauty.com.br/products/primer-cachos-definidos?ref=review","review")</f>
        <v/>
      </c>
      <c r="K2008" t="inlineStr">
        <is>
          <t>SEND</t>
        </is>
      </c>
    </row>
    <row r="2009">
      <c r="A2009" t="inlineStr">
        <is>
          <t>Isabela</t>
        </is>
      </c>
      <c r="B2009" t="inlineStr">
        <is>
          <t>+5561999947857</t>
        </is>
      </c>
      <c r="C2009" t="inlineStr">
        <is>
          <t>Refill</t>
        </is>
      </c>
      <c r="D2009" t="inlineStr">
        <is>
          <t>Primer Cachos</t>
        </is>
      </c>
      <c r="E2009" t="n">
        <v>1</v>
      </c>
      <c r="F2009" t="inlineStr">
        <is>
          <t>2026-01-22</t>
        </is>
      </c>
      <c r="G2009" t="n">
        <v>163</v>
      </c>
      <c r="H2009" t="inlineStr">
        <is>
          <t>Y</t>
        </is>
      </c>
      <c r="I2009">
        <f>HYPERLINK("https://admin.shopify.com/store/ge-beauty-cosmeticos/customers/10074212696384","abrir")</f>
        <v/>
      </c>
      <c r="J2009">
        <f>HYPERLINK("https://www.gebeauty.com.br/products/primer-cachos-definidos?ref=review","review")</f>
        <v/>
      </c>
      <c r="K2009" t="inlineStr">
        <is>
          <t>SEND</t>
        </is>
      </c>
    </row>
    <row r="2010">
      <c r="A2010" t="inlineStr">
        <is>
          <t>Fernanda</t>
        </is>
      </c>
      <c r="B2010" t="inlineStr">
        <is>
          <t>+5511973625339</t>
        </is>
      </c>
      <c r="C2010" t="inlineStr">
        <is>
          <t>Refill</t>
        </is>
      </c>
      <c r="D2010" t="inlineStr">
        <is>
          <t>Primer Cachos</t>
        </is>
      </c>
      <c r="E2010" t="n">
        <v>1</v>
      </c>
      <c r="F2010" t="inlineStr">
        <is>
          <t>2026-01-22</t>
        </is>
      </c>
      <c r="G2010" t="n">
        <v>163</v>
      </c>
      <c r="H2010" t="inlineStr">
        <is>
          <t>Y</t>
        </is>
      </c>
      <c r="I2010">
        <f>HYPERLINK("https://admin.shopify.com/store/ge-beauty-cosmeticos/customers/10078536565056","abrir")</f>
        <v/>
      </c>
      <c r="J2010">
        <f>HYPERLINK("https://www.gebeauty.com.br/products/primer-cachos-definidos?ref=review","review")</f>
        <v/>
      </c>
      <c r="K2010" t="inlineStr">
        <is>
          <t>SEND</t>
        </is>
      </c>
    </row>
    <row r="2011">
      <c r="A2011" t="inlineStr">
        <is>
          <t>Elenice</t>
        </is>
      </c>
      <c r="B2011" t="inlineStr">
        <is>
          <t>+5567998348935</t>
        </is>
      </c>
      <c r="C2011" t="inlineStr">
        <is>
          <t>Refill</t>
        </is>
      </c>
      <c r="D2011" t="inlineStr">
        <is>
          <t>Primer Cachos</t>
        </is>
      </c>
      <c r="E2011" t="n">
        <v>1</v>
      </c>
      <c r="F2011" t="inlineStr">
        <is>
          <t>2026-01-22</t>
        </is>
      </c>
      <c r="G2011" t="n">
        <v>163</v>
      </c>
      <c r="H2011" t="inlineStr">
        <is>
          <t>Y</t>
        </is>
      </c>
      <c r="I2011">
        <f>HYPERLINK("https://admin.shopify.com/store/ge-beauty-cosmeticos/customers/10078563107136","abrir")</f>
        <v/>
      </c>
      <c r="J2011">
        <f>HYPERLINK("https://www.gebeauty.com.br/products/primer-cachos-definidos?ref=review","review")</f>
        <v/>
      </c>
      <c r="K2011" t="inlineStr">
        <is>
          <t>SEND</t>
        </is>
      </c>
    </row>
    <row r="2012">
      <c r="A2012" t="inlineStr">
        <is>
          <t>Joyce</t>
        </is>
      </c>
      <c r="B2012" t="inlineStr">
        <is>
          <t>+5511976638830</t>
        </is>
      </c>
      <c r="C2012" t="inlineStr">
        <is>
          <t>Refill</t>
        </is>
      </c>
      <c r="D2012" t="inlineStr">
        <is>
          <t>Primer Cachos</t>
        </is>
      </c>
      <c r="E2012" t="n">
        <v>1</v>
      </c>
      <c r="F2012" t="inlineStr">
        <is>
          <t>2026-01-22</t>
        </is>
      </c>
      <c r="G2012" t="n">
        <v>163</v>
      </c>
      <c r="H2012" t="inlineStr">
        <is>
          <t>Y</t>
        </is>
      </c>
      <c r="I2012">
        <f>HYPERLINK("https://admin.shopify.com/store/ge-beauty-cosmeticos/customers/10078579360064","abrir")</f>
        <v/>
      </c>
      <c r="J2012">
        <f>HYPERLINK("https://www.gebeauty.com.br/products/primer-cachos-definidos?ref=review","review")</f>
        <v/>
      </c>
      <c r="K2012" t="inlineStr">
        <is>
          <t>SEND</t>
        </is>
      </c>
    </row>
    <row r="2013">
      <c r="A2013" t="inlineStr">
        <is>
          <t>Midiã</t>
        </is>
      </c>
      <c r="B2013" t="inlineStr">
        <is>
          <t>+5511969059622</t>
        </is>
      </c>
      <c r="C2013" t="inlineStr">
        <is>
          <t>Refill</t>
        </is>
      </c>
      <c r="D2013" t="inlineStr">
        <is>
          <t>Primer Cachos</t>
        </is>
      </c>
      <c r="E2013" t="n">
        <v>1</v>
      </c>
      <c r="F2013" t="inlineStr">
        <is>
          <t>2026-01-22</t>
        </is>
      </c>
      <c r="G2013" t="n">
        <v>163</v>
      </c>
      <c r="H2013" t="inlineStr">
        <is>
          <t>Y</t>
        </is>
      </c>
      <c r="I2013">
        <f>HYPERLINK("https://admin.shopify.com/store/ge-beauty-cosmeticos/customers/10078588993856","abrir")</f>
        <v/>
      </c>
      <c r="J2013">
        <f>HYPERLINK("https://www.gebeauty.com.br/products/primer-cachos-definidos?ref=review","review")</f>
        <v/>
      </c>
      <c r="K2013" t="inlineStr">
        <is>
          <t>SEND</t>
        </is>
      </c>
    </row>
    <row r="2014">
      <c r="A2014" t="inlineStr">
        <is>
          <t>Fernanda</t>
        </is>
      </c>
      <c r="B2014" t="inlineStr">
        <is>
          <t>+5541996301084</t>
        </is>
      </c>
      <c r="C2014" t="inlineStr">
        <is>
          <t>Refill</t>
        </is>
      </c>
      <c r="D2014" t="inlineStr">
        <is>
          <t>Primer Cachos</t>
        </is>
      </c>
      <c r="E2014" t="n">
        <v>1</v>
      </c>
      <c r="F2014" t="inlineStr">
        <is>
          <t>2026-01-22</t>
        </is>
      </c>
      <c r="G2014" t="n">
        <v>163</v>
      </c>
      <c r="H2014" t="inlineStr">
        <is>
          <t>Y</t>
        </is>
      </c>
      <c r="I2014">
        <f>HYPERLINK("https://admin.shopify.com/store/ge-beauty-cosmeticos/customers/9486384234816","abrir")</f>
        <v/>
      </c>
      <c r="J2014">
        <f>HYPERLINK("https://www.gebeauty.com.br/products/primer-cachos-definidos?ref=review","review")</f>
        <v/>
      </c>
      <c r="K2014" t="inlineStr">
        <is>
          <t>SEND</t>
        </is>
      </c>
    </row>
    <row r="2015">
      <c r="A2015" t="inlineStr">
        <is>
          <t>Debora</t>
        </is>
      </c>
      <c r="B2015" t="inlineStr">
        <is>
          <t>+5511996482322</t>
        </is>
      </c>
      <c r="C2015" t="inlineStr">
        <is>
          <t>Refill</t>
        </is>
      </c>
      <c r="D2015" t="inlineStr">
        <is>
          <t>Primer Cachos</t>
        </is>
      </c>
      <c r="E2015" t="n">
        <v>1</v>
      </c>
      <c r="F2015" t="inlineStr">
        <is>
          <t>2026-01-22</t>
        </is>
      </c>
      <c r="G2015" t="n">
        <v>163</v>
      </c>
      <c r="H2015" t="inlineStr">
        <is>
          <t>Y</t>
        </is>
      </c>
      <c r="I2015">
        <f>HYPERLINK("https://admin.shopify.com/store/ge-beauty-cosmeticos/customers/9484613026112","abrir")</f>
        <v/>
      </c>
      <c r="J2015">
        <f>HYPERLINK("https://www.gebeauty.com.br/products/primer-cachos-definidos?ref=review","review")</f>
        <v/>
      </c>
      <c r="K2015" t="inlineStr">
        <is>
          <t>HOLDOUT</t>
        </is>
      </c>
    </row>
    <row r="2016">
      <c r="A2016" t="inlineStr">
        <is>
          <t>Fernanda</t>
        </is>
      </c>
      <c r="B2016" t="inlineStr">
        <is>
          <t>+5511930198469</t>
        </is>
      </c>
      <c r="C2016" t="inlineStr">
        <is>
          <t>Refill</t>
        </is>
      </c>
      <c r="D2016" t="inlineStr">
        <is>
          <t>Primer Cachos</t>
        </is>
      </c>
      <c r="E2016" t="n">
        <v>1</v>
      </c>
      <c r="F2016" t="inlineStr">
        <is>
          <t>2026-01-22</t>
        </is>
      </c>
      <c r="G2016" t="n">
        <v>163</v>
      </c>
      <c r="H2016" t="inlineStr">
        <is>
          <t>Y</t>
        </is>
      </c>
      <c r="I2016">
        <f>HYPERLINK("https://admin.shopify.com/store/ge-beauty-cosmeticos/customers/10078652563776","abrir")</f>
        <v/>
      </c>
      <c r="J2016">
        <f>HYPERLINK("https://www.gebeauty.com.br/products/primer-cachos-definidos?ref=review","review")</f>
        <v/>
      </c>
      <c r="K2016" t="inlineStr">
        <is>
          <t>SEND</t>
        </is>
      </c>
    </row>
    <row r="2017">
      <c r="A2017" t="inlineStr">
        <is>
          <t>Veronica</t>
        </is>
      </c>
      <c r="B2017" t="inlineStr">
        <is>
          <t>+5514981185184</t>
        </is>
      </c>
      <c r="C2017" t="inlineStr">
        <is>
          <t>Refill</t>
        </is>
      </c>
      <c r="D2017" t="inlineStr">
        <is>
          <t>Primer Cachos</t>
        </is>
      </c>
      <c r="E2017" t="n">
        <v>1</v>
      </c>
      <c r="F2017" t="inlineStr">
        <is>
          <t>2026-01-22</t>
        </is>
      </c>
      <c r="G2017" t="n">
        <v>163</v>
      </c>
      <c r="H2017" t="inlineStr">
        <is>
          <t>Y</t>
        </is>
      </c>
      <c r="I2017">
        <f>HYPERLINK("https://admin.shopify.com/store/ge-beauty-cosmeticos/customers/10078719115584","abrir")</f>
        <v/>
      </c>
      <c r="J2017">
        <f>HYPERLINK("https://www.gebeauty.com.br/products/primer-cachos-definidos?ref=review","review")</f>
        <v/>
      </c>
      <c r="K2017" t="inlineStr">
        <is>
          <t>SEND</t>
        </is>
      </c>
    </row>
    <row r="2018">
      <c r="A2018" t="inlineStr">
        <is>
          <t>Paula</t>
        </is>
      </c>
      <c r="B2018" t="inlineStr">
        <is>
          <t>+5535988584767</t>
        </is>
      </c>
      <c r="C2018" t="inlineStr">
        <is>
          <t>Refill</t>
        </is>
      </c>
      <c r="D2018" t="inlineStr">
        <is>
          <t>Primer Cachos</t>
        </is>
      </c>
      <c r="E2018" t="n">
        <v>1</v>
      </c>
      <c r="F2018" t="inlineStr">
        <is>
          <t>2026-01-22</t>
        </is>
      </c>
      <c r="G2018" t="n">
        <v>163</v>
      </c>
      <c r="H2018" t="inlineStr">
        <is>
          <t>Y</t>
        </is>
      </c>
      <c r="I2018">
        <f>HYPERLINK("https://admin.shopify.com/store/ge-beauty-cosmeticos/customers/10078756700480","abrir")</f>
        <v/>
      </c>
      <c r="J2018">
        <f>HYPERLINK("https://www.gebeauty.com.br/products/primer-cachos-definidos?ref=review","review")</f>
        <v/>
      </c>
      <c r="K2018" t="inlineStr">
        <is>
          <t>SEND</t>
        </is>
      </c>
    </row>
    <row r="2019">
      <c r="A2019" t="inlineStr">
        <is>
          <t>Nathalia</t>
        </is>
      </c>
      <c r="B2019" t="inlineStr">
        <is>
          <t>+5511987520816</t>
        </is>
      </c>
      <c r="C2019" t="inlineStr">
        <is>
          <t>Refill</t>
        </is>
      </c>
      <c r="D2019" t="inlineStr">
        <is>
          <t>Primer Cachos</t>
        </is>
      </c>
      <c r="E2019" t="n">
        <v>1</v>
      </c>
      <c r="F2019" t="inlineStr">
        <is>
          <t>2026-01-22</t>
        </is>
      </c>
      <c r="G2019" t="n">
        <v>163</v>
      </c>
      <c r="H2019" t="inlineStr">
        <is>
          <t>Y</t>
        </is>
      </c>
      <c r="I2019">
        <f>HYPERLINK("https://admin.shopify.com/store/ge-beauty-cosmeticos/customers/10078687920448","abrir")</f>
        <v/>
      </c>
      <c r="J2019">
        <f>HYPERLINK("https://www.gebeauty.com.br/products/primer-cachos-definidos?ref=review","review")</f>
        <v/>
      </c>
      <c r="K2019" t="inlineStr">
        <is>
          <t>SEND</t>
        </is>
      </c>
    </row>
    <row r="2020">
      <c r="A2020" t="inlineStr">
        <is>
          <t>Amanda</t>
        </is>
      </c>
      <c r="B2020" t="inlineStr">
        <is>
          <t>+5585989423596</t>
        </is>
      </c>
      <c r="C2020" t="inlineStr">
        <is>
          <t>Refill</t>
        </is>
      </c>
      <c r="D2020" t="inlineStr">
        <is>
          <t>Primer Cachos</t>
        </is>
      </c>
      <c r="E2020" t="n">
        <v>1</v>
      </c>
      <c r="F2020" t="inlineStr">
        <is>
          <t>2026-01-22</t>
        </is>
      </c>
      <c r="G2020" t="n">
        <v>163</v>
      </c>
      <c r="H2020" t="inlineStr">
        <is>
          <t>Y</t>
        </is>
      </c>
      <c r="I2020">
        <f>HYPERLINK("https://admin.shopify.com/store/ge-beauty-cosmeticos/customers/10078768529728","abrir")</f>
        <v/>
      </c>
      <c r="J2020">
        <f>HYPERLINK("https://www.gebeauty.com.br/products/primer-cachos-definidos?ref=review","review")</f>
        <v/>
      </c>
      <c r="K2020" t="inlineStr">
        <is>
          <t>SEND</t>
        </is>
      </c>
    </row>
    <row r="2021">
      <c r="A2021" t="inlineStr">
        <is>
          <t>Alessandra</t>
        </is>
      </c>
      <c r="B2021" t="inlineStr">
        <is>
          <t>+5511949881168</t>
        </is>
      </c>
      <c r="C2021" t="inlineStr">
        <is>
          <t>Refill</t>
        </is>
      </c>
      <c r="D2021" t="inlineStr">
        <is>
          <t>Primer Cachos</t>
        </is>
      </c>
      <c r="E2021" t="n">
        <v>1</v>
      </c>
      <c r="F2021" t="inlineStr">
        <is>
          <t>2026-01-22</t>
        </is>
      </c>
      <c r="G2021" t="n">
        <v>163</v>
      </c>
      <c r="H2021" t="inlineStr">
        <is>
          <t>Y</t>
        </is>
      </c>
      <c r="I2021">
        <f>HYPERLINK("https://admin.shopify.com/store/ge-beauty-cosmeticos/customers/10078490591552","abrir")</f>
        <v/>
      </c>
      <c r="J2021">
        <f>HYPERLINK("https://www.gebeauty.com.br/products/primer-cachos-definidos?ref=review","review")</f>
        <v/>
      </c>
      <c r="K2021" t="inlineStr">
        <is>
          <t>SEND</t>
        </is>
      </c>
    </row>
    <row r="2022">
      <c r="A2022" t="inlineStr">
        <is>
          <t>Camila</t>
        </is>
      </c>
      <c r="B2022" t="inlineStr">
        <is>
          <t>+5581987397922</t>
        </is>
      </c>
      <c r="C2022" t="inlineStr">
        <is>
          <t>Refill</t>
        </is>
      </c>
      <c r="D2022" t="inlineStr">
        <is>
          <t>Primer Cachos</t>
        </is>
      </c>
      <c r="E2022" t="n">
        <v>1</v>
      </c>
      <c r="F2022" t="inlineStr">
        <is>
          <t>2026-01-22</t>
        </is>
      </c>
      <c r="G2022" t="n">
        <v>163</v>
      </c>
      <c r="H2022" t="inlineStr">
        <is>
          <t>Y</t>
        </is>
      </c>
      <c r="I2022">
        <f>HYPERLINK("https://admin.shopify.com/store/ge-beauty-cosmeticos/customers/10078754537792","abrir")</f>
        <v/>
      </c>
      <c r="J2022">
        <f>HYPERLINK("https://www.gebeauty.com.br/products/primer-cachos-definidos?ref=review","review")</f>
        <v/>
      </c>
      <c r="K2022" t="inlineStr">
        <is>
          <t>SEND</t>
        </is>
      </c>
    </row>
    <row r="2023">
      <c r="A2023" t="inlineStr">
        <is>
          <t>Elisangela</t>
        </is>
      </c>
      <c r="B2023" t="inlineStr">
        <is>
          <t>+5511991318787</t>
        </is>
      </c>
      <c r="C2023" t="inlineStr">
        <is>
          <t>Refill</t>
        </is>
      </c>
      <c r="D2023" t="inlineStr">
        <is>
          <t>Primer Cachos</t>
        </is>
      </c>
      <c r="E2023" t="n">
        <v>1</v>
      </c>
      <c r="F2023" t="inlineStr">
        <is>
          <t>2026-01-22</t>
        </is>
      </c>
      <c r="G2023" t="n">
        <v>163</v>
      </c>
      <c r="H2023" t="inlineStr">
        <is>
          <t>Y</t>
        </is>
      </c>
      <c r="I2023">
        <f>HYPERLINK("https://admin.shopify.com/store/ge-beauty-cosmeticos/customers/10078109237568","abrir")</f>
        <v/>
      </c>
      <c r="J2023">
        <f>HYPERLINK("https://www.gebeauty.com.br/products/primer-cachos-definidos?ref=review","review")</f>
        <v/>
      </c>
      <c r="K2023" t="inlineStr">
        <is>
          <t>SEND</t>
        </is>
      </c>
    </row>
    <row r="2024">
      <c r="A2024" t="inlineStr">
        <is>
          <t>Claudia Regina</t>
        </is>
      </c>
      <c r="B2024" t="inlineStr">
        <is>
          <t>+5511947207201</t>
        </is>
      </c>
      <c r="C2024" t="inlineStr">
        <is>
          <t>Refill</t>
        </is>
      </c>
      <c r="D2024" t="inlineStr">
        <is>
          <t>Primer Cachos</t>
        </is>
      </c>
      <c r="E2024" t="n">
        <v>1</v>
      </c>
      <c r="F2024" t="inlineStr">
        <is>
          <t>2026-01-22</t>
        </is>
      </c>
      <c r="G2024" t="n">
        <v>163</v>
      </c>
      <c r="H2024" t="inlineStr">
        <is>
          <t>Y</t>
        </is>
      </c>
      <c r="I2024">
        <f>HYPERLINK("https://admin.shopify.com/store/ge-beauty-cosmeticos/customers/10078785831232","abrir")</f>
        <v/>
      </c>
      <c r="J2024">
        <f>HYPERLINK("https://www.gebeauty.com.br/products/primer-cachos-definidos?ref=review","review")</f>
        <v/>
      </c>
      <c r="K2024" t="inlineStr">
        <is>
          <t>SEND</t>
        </is>
      </c>
    </row>
    <row r="2025">
      <c r="A2025" t="inlineStr">
        <is>
          <t>Marcelle</t>
        </is>
      </c>
      <c r="B2025" t="inlineStr">
        <is>
          <t>+5521988957007</t>
        </is>
      </c>
      <c r="C2025" t="inlineStr">
        <is>
          <t>Refill</t>
        </is>
      </c>
      <c r="D2025" t="inlineStr">
        <is>
          <t>Primer Cachos</t>
        </is>
      </c>
      <c r="E2025" t="n">
        <v>1</v>
      </c>
      <c r="F2025" t="inlineStr">
        <is>
          <t>2026-01-22</t>
        </is>
      </c>
      <c r="G2025" t="n">
        <v>163</v>
      </c>
      <c r="H2025" t="inlineStr">
        <is>
          <t>Y</t>
        </is>
      </c>
      <c r="I2025">
        <f>HYPERLINK("https://admin.shopify.com/store/ge-beauty-cosmeticos/customers/10078779998528","abrir")</f>
        <v/>
      </c>
      <c r="J2025">
        <f>HYPERLINK("https://www.gebeauty.com.br/products/primer-cachos-definidos?ref=review","review")</f>
        <v/>
      </c>
      <c r="K2025" t="inlineStr">
        <is>
          <t>SEND</t>
        </is>
      </c>
    </row>
    <row r="2026">
      <c r="A2026" t="inlineStr">
        <is>
          <t>Michele</t>
        </is>
      </c>
      <c r="B2026" t="inlineStr">
        <is>
          <t>+5514997189777</t>
        </is>
      </c>
      <c r="C2026" t="inlineStr">
        <is>
          <t>Refill</t>
        </is>
      </c>
      <c r="D2026" t="inlineStr">
        <is>
          <t>Primer Cachos</t>
        </is>
      </c>
      <c r="E2026" t="n">
        <v>1</v>
      </c>
      <c r="F2026" t="inlineStr">
        <is>
          <t>2026-01-22</t>
        </is>
      </c>
      <c r="G2026" t="n">
        <v>163</v>
      </c>
      <c r="H2026" t="inlineStr">
        <is>
          <t>Y</t>
        </is>
      </c>
      <c r="I2026">
        <f>HYPERLINK("https://admin.shopify.com/store/ge-beauty-cosmeticos/customers/10078818959680","abrir")</f>
        <v/>
      </c>
      <c r="J2026">
        <f>HYPERLINK("https://www.gebeauty.com.br/products/primer-cachos-definidos?ref=review","review")</f>
        <v/>
      </c>
      <c r="K2026" t="inlineStr">
        <is>
          <t>SEND</t>
        </is>
      </c>
    </row>
    <row r="2027">
      <c r="A2027" t="inlineStr">
        <is>
          <t>Vinicius</t>
        </is>
      </c>
      <c r="B2027" t="inlineStr">
        <is>
          <t>+5531997812802</t>
        </is>
      </c>
      <c r="C2027" t="inlineStr">
        <is>
          <t>Refill</t>
        </is>
      </c>
      <c r="D2027" t="inlineStr">
        <is>
          <t>Primer Cachos</t>
        </is>
      </c>
      <c r="E2027" t="n">
        <v>1</v>
      </c>
      <c r="F2027" t="inlineStr">
        <is>
          <t>2026-01-22</t>
        </is>
      </c>
      <c r="G2027" t="n">
        <v>163</v>
      </c>
      <c r="H2027" t="inlineStr">
        <is>
          <t>Y</t>
        </is>
      </c>
      <c r="I2027">
        <f>HYPERLINK("https://admin.shopify.com/store/ge-beauty-cosmeticos/customers/10078834327872","abrir")</f>
        <v/>
      </c>
      <c r="J2027">
        <f>HYPERLINK("https://www.gebeauty.com.br/products/primer-cachos-definidos?ref=review","review")</f>
        <v/>
      </c>
      <c r="K2027" t="inlineStr">
        <is>
          <t>SEND</t>
        </is>
      </c>
    </row>
    <row r="2028">
      <c r="A2028" t="inlineStr">
        <is>
          <t>Renata</t>
        </is>
      </c>
      <c r="B2028" t="inlineStr">
        <is>
          <t>+5582999244628</t>
        </is>
      </c>
      <c r="C2028" t="inlineStr">
        <is>
          <t>Refill</t>
        </is>
      </c>
      <c r="D2028" t="inlineStr">
        <is>
          <t>Primer Cachos</t>
        </is>
      </c>
      <c r="E2028" t="n">
        <v>1</v>
      </c>
      <c r="F2028" t="inlineStr">
        <is>
          <t>2026-01-22</t>
        </is>
      </c>
      <c r="G2028" t="n">
        <v>163</v>
      </c>
      <c r="H2028" t="inlineStr">
        <is>
          <t>Y</t>
        </is>
      </c>
      <c r="I2028">
        <f>HYPERLINK("https://admin.shopify.com/store/ge-beauty-cosmeticos/customers/10078847598912","abrir")</f>
        <v/>
      </c>
      <c r="J2028">
        <f>HYPERLINK("https://www.gebeauty.com.br/products/primer-cachos-definidos?ref=review","review")</f>
        <v/>
      </c>
      <c r="K2028" t="inlineStr">
        <is>
          <t>SEND</t>
        </is>
      </c>
    </row>
    <row r="2029">
      <c r="A2029" t="inlineStr">
        <is>
          <t>Carla</t>
        </is>
      </c>
      <c r="B2029" t="inlineStr">
        <is>
          <t>+5581999730567</t>
        </is>
      </c>
      <c r="C2029" t="inlineStr">
        <is>
          <t>Refill</t>
        </is>
      </c>
      <c r="D2029" t="inlineStr">
        <is>
          <t>Primer Cachos</t>
        </is>
      </c>
      <c r="E2029" t="n">
        <v>1</v>
      </c>
      <c r="F2029" t="inlineStr">
        <is>
          <t>2026-01-22</t>
        </is>
      </c>
      <c r="G2029" t="n">
        <v>163</v>
      </c>
      <c r="H2029" t="inlineStr">
        <is>
          <t>Y</t>
        </is>
      </c>
      <c r="I2029">
        <f>HYPERLINK("https://admin.shopify.com/store/ge-beauty-cosmeticos/customers/10078868865344","abrir")</f>
        <v/>
      </c>
      <c r="J2029">
        <f>HYPERLINK("https://www.gebeauty.com.br/products/primer-cachos-definidos?ref=review","review")</f>
        <v/>
      </c>
      <c r="K2029" t="inlineStr">
        <is>
          <t>HOLDOUT</t>
        </is>
      </c>
    </row>
    <row r="2030">
      <c r="A2030" t="inlineStr">
        <is>
          <t>Edna</t>
        </is>
      </c>
      <c r="B2030" t="inlineStr">
        <is>
          <t>+5521981123930</t>
        </is>
      </c>
      <c r="C2030" t="inlineStr">
        <is>
          <t>Refill</t>
        </is>
      </c>
      <c r="D2030" t="inlineStr">
        <is>
          <t>Primer Cachos</t>
        </is>
      </c>
      <c r="E2030" t="n">
        <v>1</v>
      </c>
      <c r="F2030" t="inlineStr">
        <is>
          <t>2026-01-22</t>
        </is>
      </c>
      <c r="G2030" t="n">
        <v>163</v>
      </c>
      <c r="H2030" t="inlineStr">
        <is>
          <t>Y</t>
        </is>
      </c>
      <c r="I2030">
        <f>HYPERLINK("https://admin.shopify.com/store/ge-beauty-cosmeticos/customers/10078913265984","abrir")</f>
        <v/>
      </c>
      <c r="J2030">
        <f>HYPERLINK("https://www.gebeauty.com.br/products/primer-cachos-definidos?ref=review","review")</f>
        <v/>
      </c>
      <c r="K2030" t="inlineStr">
        <is>
          <t>SEND</t>
        </is>
      </c>
    </row>
    <row r="2031">
      <c r="A2031" t="inlineStr">
        <is>
          <t>Renata</t>
        </is>
      </c>
      <c r="B2031" t="inlineStr">
        <is>
          <t>+5511999964845</t>
        </is>
      </c>
      <c r="C2031" t="inlineStr">
        <is>
          <t>Refill</t>
        </is>
      </c>
      <c r="D2031" t="inlineStr">
        <is>
          <t>Primer Cachos</t>
        </is>
      </c>
      <c r="E2031" t="n">
        <v>1</v>
      </c>
      <c r="F2031" t="inlineStr">
        <is>
          <t>2026-01-22</t>
        </is>
      </c>
      <c r="G2031" t="n">
        <v>163</v>
      </c>
      <c r="H2031" t="inlineStr">
        <is>
          <t>Y</t>
        </is>
      </c>
      <c r="I2031">
        <f>HYPERLINK("https://admin.shopify.com/store/ge-beauty-cosmeticos/customers/9887988515136","abrir")</f>
        <v/>
      </c>
      <c r="J2031">
        <f>HYPERLINK("https://www.gebeauty.com.br/products/primer-cachos-definidos?ref=review","review")</f>
        <v/>
      </c>
      <c r="K2031" t="inlineStr">
        <is>
          <t>HOLDOUT</t>
        </is>
      </c>
    </row>
    <row r="2032">
      <c r="A2032" t="inlineStr">
        <is>
          <t>Marcia Cristina</t>
        </is>
      </c>
      <c r="B2032" t="inlineStr">
        <is>
          <t>+5511942989912</t>
        </is>
      </c>
      <c r="C2032" t="inlineStr">
        <is>
          <t>Refill</t>
        </is>
      </c>
      <c r="D2032" t="inlineStr">
        <is>
          <t>Primer Cachos</t>
        </is>
      </c>
      <c r="E2032" t="n">
        <v>1</v>
      </c>
      <c r="F2032" t="inlineStr">
        <is>
          <t>2026-01-22</t>
        </is>
      </c>
      <c r="G2032" t="n">
        <v>163</v>
      </c>
      <c r="H2032" t="inlineStr">
        <is>
          <t>Y</t>
        </is>
      </c>
      <c r="I2032">
        <f>HYPERLINK("https://admin.shopify.com/store/ge-beauty-cosmeticos/customers/10078932566336","abrir")</f>
        <v/>
      </c>
      <c r="J2032">
        <f>HYPERLINK("https://www.gebeauty.com.br/products/primer-cachos-definidos?ref=review","review")</f>
        <v/>
      </c>
      <c r="K2032" t="inlineStr">
        <is>
          <t>SEND</t>
        </is>
      </c>
    </row>
    <row r="2033">
      <c r="A2033" t="inlineStr">
        <is>
          <t>Elza</t>
        </is>
      </c>
      <c r="B2033" t="inlineStr">
        <is>
          <t>+5511980806875</t>
        </is>
      </c>
      <c r="C2033" t="inlineStr">
        <is>
          <t>Refill</t>
        </is>
      </c>
      <c r="D2033" t="inlineStr">
        <is>
          <t>Primer Cachos</t>
        </is>
      </c>
      <c r="E2033" t="n">
        <v>1</v>
      </c>
      <c r="F2033" t="inlineStr">
        <is>
          <t>2026-01-22</t>
        </is>
      </c>
      <c r="G2033" t="n">
        <v>163</v>
      </c>
      <c r="H2033" t="inlineStr">
        <is>
          <t>Y</t>
        </is>
      </c>
      <c r="I2033">
        <f>HYPERLINK("https://admin.shopify.com/store/ge-beauty-cosmeticos/customers/10078950818112","abrir")</f>
        <v/>
      </c>
      <c r="J2033">
        <f>HYPERLINK("https://www.gebeauty.com.br/products/primer-cachos-definidos?ref=review","review")</f>
        <v/>
      </c>
      <c r="K2033" t="inlineStr">
        <is>
          <t>SEND</t>
        </is>
      </c>
    </row>
    <row r="2034">
      <c r="A2034" t="inlineStr">
        <is>
          <t>Elaine</t>
        </is>
      </c>
      <c r="B2034" t="inlineStr">
        <is>
          <t>+5511969263134</t>
        </is>
      </c>
      <c r="C2034" t="inlineStr">
        <is>
          <t>Refill</t>
        </is>
      </c>
      <c r="D2034" t="inlineStr">
        <is>
          <t>Primer Cachos</t>
        </is>
      </c>
      <c r="E2034" t="n">
        <v>1</v>
      </c>
      <c r="F2034" t="inlineStr">
        <is>
          <t>2026-01-22</t>
        </is>
      </c>
      <c r="G2034" t="n">
        <v>163</v>
      </c>
      <c r="H2034" t="inlineStr">
        <is>
          <t>Y</t>
        </is>
      </c>
      <c r="I2034">
        <f>HYPERLINK("https://admin.shopify.com/store/ge-beauty-cosmeticos/customers/10078948098368","abrir")</f>
        <v/>
      </c>
      <c r="J2034">
        <f>HYPERLINK("https://www.gebeauty.com.br/products/primer-cachos-definidos?ref=review","review")</f>
        <v/>
      </c>
      <c r="K2034" t="inlineStr">
        <is>
          <t>SEND</t>
        </is>
      </c>
    </row>
    <row r="2035">
      <c r="A2035" t="inlineStr">
        <is>
          <t>Paula</t>
        </is>
      </c>
      <c r="B2035" t="inlineStr">
        <is>
          <t>+5511976119997</t>
        </is>
      </c>
      <c r="C2035" t="inlineStr">
        <is>
          <t>Refill</t>
        </is>
      </c>
      <c r="D2035" t="inlineStr">
        <is>
          <t>Primer Cachos</t>
        </is>
      </c>
      <c r="E2035" t="n">
        <v>1</v>
      </c>
      <c r="F2035" t="inlineStr">
        <is>
          <t>2026-01-22</t>
        </is>
      </c>
      <c r="G2035" t="n">
        <v>163</v>
      </c>
      <c r="H2035" t="inlineStr">
        <is>
          <t>Y</t>
        </is>
      </c>
      <c r="I2035">
        <f>HYPERLINK("https://admin.shopify.com/store/ge-beauty-cosmeticos/customers/10078580703552","abrir")</f>
        <v/>
      </c>
      <c r="J2035">
        <f>HYPERLINK("https://www.gebeauty.com.br/products/primer-cachos-definidos?ref=review","review")</f>
        <v/>
      </c>
      <c r="K2035" t="inlineStr">
        <is>
          <t>SEND</t>
        </is>
      </c>
    </row>
    <row r="2036">
      <c r="A2036" t="inlineStr">
        <is>
          <t>Andrea</t>
        </is>
      </c>
      <c r="B2036" t="inlineStr">
        <is>
          <t>+5511986395859</t>
        </is>
      </c>
      <c r="C2036" t="inlineStr">
        <is>
          <t>Refill</t>
        </is>
      </c>
      <c r="D2036" t="inlineStr">
        <is>
          <t>Primer Cachos</t>
        </is>
      </c>
      <c r="E2036" t="n">
        <v>1</v>
      </c>
      <c r="F2036" t="inlineStr">
        <is>
          <t>2026-01-22</t>
        </is>
      </c>
      <c r="G2036" t="n">
        <v>163</v>
      </c>
      <c r="H2036" t="inlineStr">
        <is>
          <t>Y</t>
        </is>
      </c>
      <c r="I2036">
        <f>HYPERLINK("https://admin.shopify.com/store/ge-beauty-cosmeticos/customers/10076649423168","abrir")</f>
        <v/>
      </c>
      <c r="J2036">
        <f>HYPERLINK("https://www.gebeauty.com.br/products/primer-cachos-definidos?ref=review","review")</f>
        <v/>
      </c>
      <c r="K2036" t="inlineStr">
        <is>
          <t>SEND</t>
        </is>
      </c>
    </row>
    <row r="2037">
      <c r="A2037" t="inlineStr">
        <is>
          <t>Beatriz</t>
        </is>
      </c>
      <c r="B2037" t="inlineStr">
        <is>
          <t>+5515991295566</t>
        </is>
      </c>
      <c r="C2037" t="inlineStr">
        <is>
          <t>Refill</t>
        </is>
      </c>
      <c r="D2037" t="inlineStr">
        <is>
          <t>Primer Cachos</t>
        </is>
      </c>
      <c r="E2037" t="n">
        <v>1</v>
      </c>
      <c r="F2037" t="inlineStr">
        <is>
          <t>2026-01-22</t>
        </is>
      </c>
      <c r="G2037" t="n">
        <v>163</v>
      </c>
      <c r="H2037" t="inlineStr">
        <is>
          <t>Y</t>
        </is>
      </c>
      <c r="I2037">
        <f>HYPERLINK("https://admin.shopify.com/store/ge-beauty-cosmeticos/customers/10078547476800","abrir")</f>
        <v/>
      </c>
      <c r="J2037">
        <f>HYPERLINK("https://www.gebeauty.com.br/products/primer-cachos-definidos?ref=review","review")</f>
        <v/>
      </c>
      <c r="K2037" t="inlineStr">
        <is>
          <t>SEND</t>
        </is>
      </c>
    </row>
    <row r="2038">
      <c r="A2038" t="inlineStr">
        <is>
          <t>Luciana</t>
        </is>
      </c>
      <c r="B2038" t="inlineStr">
        <is>
          <t>+5512997454868</t>
        </is>
      </c>
      <c r="C2038" t="inlineStr">
        <is>
          <t>Refill</t>
        </is>
      </c>
      <c r="D2038" t="inlineStr">
        <is>
          <t>Primer Cachos</t>
        </is>
      </c>
      <c r="E2038" t="n">
        <v>1</v>
      </c>
      <c r="F2038" t="inlineStr">
        <is>
          <t>2026-01-22</t>
        </is>
      </c>
      <c r="G2038" t="n">
        <v>163</v>
      </c>
      <c r="H2038" t="inlineStr">
        <is>
          <t>Y</t>
        </is>
      </c>
      <c r="I2038">
        <f>HYPERLINK("https://admin.shopify.com/store/ge-beauty-cosmeticos/customers/9273435095360","abrir")</f>
        <v/>
      </c>
      <c r="J2038">
        <f>HYPERLINK("https://www.gebeauty.com.br/products/primer-cachos-definidos?ref=review","review")</f>
        <v/>
      </c>
      <c r="K2038" t="inlineStr">
        <is>
          <t>SEND</t>
        </is>
      </c>
    </row>
    <row r="2039">
      <c r="A2039" t="inlineStr">
        <is>
          <t>Michele</t>
        </is>
      </c>
      <c r="B2039" t="inlineStr">
        <is>
          <t>+5511989222113</t>
        </is>
      </c>
      <c r="C2039" t="inlineStr">
        <is>
          <t>Refill</t>
        </is>
      </c>
      <c r="D2039" t="inlineStr">
        <is>
          <t>Primer Cachos</t>
        </is>
      </c>
      <c r="E2039" t="n">
        <v>1</v>
      </c>
      <c r="F2039" t="inlineStr">
        <is>
          <t>2026-01-22</t>
        </is>
      </c>
      <c r="G2039" t="n">
        <v>163</v>
      </c>
      <c r="H2039" t="inlineStr">
        <is>
          <t>Y</t>
        </is>
      </c>
      <c r="I2039">
        <f>HYPERLINK("https://admin.shopify.com/store/ge-beauty-cosmeticos/customers/10078970347840","abrir")</f>
        <v/>
      </c>
      <c r="J2039">
        <f>HYPERLINK("https://www.gebeauty.com.br/products/primer-cachos-definidos?ref=review","review")</f>
        <v/>
      </c>
      <c r="K2039" t="inlineStr">
        <is>
          <t>SEND</t>
        </is>
      </c>
    </row>
    <row r="2040">
      <c r="A2040" t="inlineStr">
        <is>
          <t>Bruna</t>
        </is>
      </c>
      <c r="B2040" t="inlineStr">
        <is>
          <t>+5511976731553</t>
        </is>
      </c>
      <c r="C2040" t="inlineStr">
        <is>
          <t>Refill</t>
        </is>
      </c>
      <c r="D2040" t="inlineStr">
        <is>
          <t>Primer Cachos</t>
        </is>
      </c>
      <c r="E2040" t="n">
        <v>1</v>
      </c>
      <c r="F2040" t="inlineStr">
        <is>
          <t>2026-01-22</t>
        </is>
      </c>
      <c r="G2040" t="n">
        <v>163</v>
      </c>
      <c r="H2040" t="inlineStr">
        <is>
          <t>Y</t>
        </is>
      </c>
      <c r="I2040">
        <f>HYPERLINK("https://admin.shopify.com/store/ge-beauty-cosmeticos/customers/9397284471104","abrir")</f>
        <v/>
      </c>
      <c r="J2040">
        <f>HYPERLINK("https://www.gebeauty.com.br/products/primer-cachos-definidos?ref=review","review")</f>
        <v/>
      </c>
      <c r="K2040" t="inlineStr">
        <is>
          <t>SEND</t>
        </is>
      </c>
    </row>
    <row r="2041">
      <c r="A2041" t="inlineStr">
        <is>
          <t>Renata</t>
        </is>
      </c>
      <c r="B2041" t="inlineStr">
        <is>
          <t>+5581999745453</t>
        </is>
      </c>
      <c r="C2041" t="inlineStr">
        <is>
          <t>Refill</t>
        </is>
      </c>
      <c r="D2041" t="inlineStr">
        <is>
          <t>Primer Cachos</t>
        </is>
      </c>
      <c r="E2041" t="n">
        <v>1</v>
      </c>
      <c r="F2041" t="inlineStr">
        <is>
          <t>2026-01-22</t>
        </is>
      </c>
      <c r="G2041" t="n">
        <v>163</v>
      </c>
      <c r="H2041" t="inlineStr">
        <is>
          <t>Y</t>
        </is>
      </c>
      <c r="I2041">
        <f>HYPERLINK("https://admin.shopify.com/store/ge-beauty-cosmeticos/customers/10078991089984","abrir")</f>
        <v/>
      </c>
      <c r="J2041">
        <f>HYPERLINK("https://www.gebeauty.com.br/products/primer-cachos-definidos?ref=review","review")</f>
        <v/>
      </c>
      <c r="K2041" t="inlineStr">
        <is>
          <t>HOLDOUT</t>
        </is>
      </c>
    </row>
    <row r="2042">
      <c r="A2042" t="inlineStr">
        <is>
          <t>Regina</t>
        </is>
      </c>
      <c r="B2042" t="inlineStr">
        <is>
          <t>+5521999726042</t>
        </is>
      </c>
      <c r="C2042" t="inlineStr">
        <is>
          <t>Refill</t>
        </is>
      </c>
      <c r="D2042" t="inlineStr">
        <is>
          <t>Primer Cachos</t>
        </is>
      </c>
      <c r="E2042" t="n">
        <v>1</v>
      </c>
      <c r="F2042" t="inlineStr">
        <is>
          <t>2026-01-22</t>
        </is>
      </c>
      <c r="G2042" t="n">
        <v>163</v>
      </c>
      <c r="H2042" t="inlineStr">
        <is>
          <t>Y</t>
        </is>
      </c>
      <c r="I2042">
        <f>HYPERLINK("https://admin.shopify.com/store/ge-beauty-cosmeticos/customers/10078991712576","abrir")</f>
        <v/>
      </c>
      <c r="J2042">
        <f>HYPERLINK("https://www.gebeauty.com.br/products/primer-cachos-definidos?ref=review","review")</f>
        <v/>
      </c>
      <c r="K2042" t="inlineStr">
        <is>
          <t>SEND</t>
        </is>
      </c>
    </row>
    <row r="2043">
      <c r="A2043" t="inlineStr">
        <is>
          <t>Rosmari</t>
        </is>
      </c>
      <c r="B2043" t="inlineStr">
        <is>
          <t>+5511943428076</t>
        </is>
      </c>
      <c r="C2043" t="inlineStr">
        <is>
          <t>Refill</t>
        </is>
      </c>
      <c r="D2043" t="inlineStr">
        <is>
          <t>Primer Cachos</t>
        </is>
      </c>
      <c r="E2043" t="n">
        <v>1</v>
      </c>
      <c r="F2043" t="inlineStr">
        <is>
          <t>2026-01-22</t>
        </is>
      </c>
      <c r="G2043" t="n">
        <v>163</v>
      </c>
      <c r="H2043" t="inlineStr">
        <is>
          <t>Y</t>
        </is>
      </c>
      <c r="I2043">
        <f>HYPERLINK("https://admin.shopify.com/store/ge-beauty-cosmeticos/customers/10079005802816","abrir")</f>
        <v/>
      </c>
      <c r="J2043">
        <f>HYPERLINK("https://www.gebeauty.com.br/products/primer-cachos-definidos?ref=review","review")</f>
        <v/>
      </c>
      <c r="K2043" t="inlineStr">
        <is>
          <t>SEND</t>
        </is>
      </c>
    </row>
    <row r="2044">
      <c r="A2044" t="inlineStr">
        <is>
          <t>Carolina</t>
        </is>
      </c>
      <c r="B2044" t="inlineStr">
        <is>
          <t>+5547992111080</t>
        </is>
      </c>
      <c r="C2044" t="inlineStr">
        <is>
          <t>Refill</t>
        </is>
      </c>
      <c r="D2044" t="inlineStr">
        <is>
          <t>Primer Cachos</t>
        </is>
      </c>
      <c r="E2044" t="n">
        <v>1</v>
      </c>
      <c r="F2044" t="inlineStr">
        <is>
          <t>2026-01-22</t>
        </is>
      </c>
      <c r="G2044" t="n">
        <v>163</v>
      </c>
      <c r="H2044" t="inlineStr">
        <is>
          <t>Y</t>
        </is>
      </c>
      <c r="I2044">
        <f>HYPERLINK("https://admin.shopify.com/store/ge-beauty-cosmeticos/customers/10079010652480","abrir")</f>
        <v/>
      </c>
      <c r="J2044">
        <f>HYPERLINK("https://www.gebeauty.com.br/products/primer-cachos-definidos?ref=review","review")</f>
        <v/>
      </c>
      <c r="K2044" t="inlineStr">
        <is>
          <t>SEND</t>
        </is>
      </c>
    </row>
    <row r="2045">
      <c r="A2045" t="inlineStr">
        <is>
          <t>Paula</t>
        </is>
      </c>
      <c r="B2045" t="inlineStr">
        <is>
          <t>+5519984509119</t>
        </is>
      </c>
      <c r="C2045" t="inlineStr">
        <is>
          <t>Refill</t>
        </is>
      </c>
      <c r="D2045" t="inlineStr">
        <is>
          <t>Primer Cachos</t>
        </is>
      </c>
      <c r="E2045" t="n">
        <v>1</v>
      </c>
      <c r="F2045" t="inlineStr">
        <is>
          <t>2026-01-22</t>
        </is>
      </c>
      <c r="G2045" t="n">
        <v>163</v>
      </c>
      <c r="H2045" t="inlineStr">
        <is>
          <t>Y</t>
        </is>
      </c>
      <c r="I2045">
        <f>HYPERLINK("https://admin.shopify.com/store/ge-beauty-cosmeticos/customers/10078997971264","abrir")</f>
        <v/>
      </c>
      <c r="J2045">
        <f>HYPERLINK("https://www.gebeauty.com.br/products/primer-cachos-definidos?ref=review","review")</f>
        <v/>
      </c>
      <c r="K2045" t="inlineStr">
        <is>
          <t>SEND</t>
        </is>
      </c>
    </row>
    <row r="2046">
      <c r="A2046" t="inlineStr">
        <is>
          <t>Antonio</t>
        </is>
      </c>
      <c r="B2046" t="inlineStr">
        <is>
          <t>+5511996332282</t>
        </is>
      </c>
      <c r="C2046" t="inlineStr">
        <is>
          <t>Refill</t>
        </is>
      </c>
      <c r="D2046" t="inlineStr">
        <is>
          <t>Primer Cachos</t>
        </is>
      </c>
      <c r="E2046" t="n">
        <v>1</v>
      </c>
      <c r="F2046" t="inlineStr">
        <is>
          <t>2026-01-22</t>
        </is>
      </c>
      <c r="G2046" t="n">
        <v>163</v>
      </c>
      <c r="H2046" t="inlineStr">
        <is>
          <t>Y</t>
        </is>
      </c>
      <c r="I2046">
        <f>HYPERLINK("https://admin.shopify.com/store/ge-beauty-cosmeticos/customers/10078966841664","abrir")</f>
        <v/>
      </c>
      <c r="J2046">
        <f>HYPERLINK("https://www.gebeauty.com.br/products/primer-cachos-definidos?ref=review","review")</f>
        <v/>
      </c>
      <c r="K2046" t="inlineStr">
        <is>
          <t>SEND</t>
        </is>
      </c>
    </row>
    <row r="2047">
      <c r="A2047" t="inlineStr">
        <is>
          <t>Vanessa</t>
        </is>
      </c>
      <c r="B2047" t="inlineStr">
        <is>
          <t>+5541988641080</t>
        </is>
      </c>
      <c r="C2047" t="inlineStr">
        <is>
          <t>Refill</t>
        </is>
      </c>
      <c r="D2047" t="inlineStr">
        <is>
          <t>Primer Cachos</t>
        </is>
      </c>
      <c r="E2047" t="n">
        <v>1</v>
      </c>
      <c r="F2047" t="inlineStr">
        <is>
          <t>2026-01-22</t>
        </is>
      </c>
      <c r="G2047" t="n">
        <v>163</v>
      </c>
      <c r="H2047" t="inlineStr">
        <is>
          <t>Y</t>
        </is>
      </c>
      <c r="I2047">
        <f>HYPERLINK("https://admin.shopify.com/store/ge-beauty-cosmeticos/customers/9974099018048","abrir")</f>
        <v/>
      </c>
      <c r="J2047">
        <f>HYPERLINK("https://www.gebeauty.com.br/products/primer-cachos-definidos?ref=review","review")</f>
        <v/>
      </c>
      <c r="K2047" t="inlineStr">
        <is>
          <t>SEND</t>
        </is>
      </c>
    </row>
    <row r="2048">
      <c r="A2048" t="inlineStr">
        <is>
          <t>Melissa</t>
        </is>
      </c>
      <c r="B2048" t="inlineStr">
        <is>
          <t>+5562981348169</t>
        </is>
      </c>
      <c r="C2048" t="inlineStr">
        <is>
          <t>Refill</t>
        </is>
      </c>
      <c r="D2048" t="inlineStr">
        <is>
          <t>Primer Cachos</t>
        </is>
      </c>
      <c r="E2048" t="n">
        <v>1</v>
      </c>
      <c r="F2048" t="inlineStr">
        <is>
          <t>2026-01-22</t>
        </is>
      </c>
      <c r="G2048" t="n">
        <v>163</v>
      </c>
      <c r="H2048" t="inlineStr">
        <is>
          <t>Y</t>
        </is>
      </c>
      <c r="I2048">
        <f>HYPERLINK("https://admin.shopify.com/store/ge-beauty-cosmeticos/customers/10079064555840","abrir")</f>
        <v/>
      </c>
      <c r="J2048">
        <f>HYPERLINK("https://www.gebeauty.com.br/products/primer-cachos-definidos?ref=review","review")</f>
        <v/>
      </c>
      <c r="K2048" t="inlineStr">
        <is>
          <t>SEND</t>
        </is>
      </c>
    </row>
    <row r="2049">
      <c r="A2049" t="inlineStr">
        <is>
          <t>Ana Paula</t>
        </is>
      </c>
      <c r="B2049" t="inlineStr">
        <is>
          <t>+5511970888355</t>
        </is>
      </c>
      <c r="C2049" t="inlineStr">
        <is>
          <t>Refill</t>
        </is>
      </c>
      <c r="D2049" t="inlineStr">
        <is>
          <t>Primer Cachos</t>
        </is>
      </c>
      <c r="E2049" t="n">
        <v>1</v>
      </c>
      <c r="F2049" t="inlineStr">
        <is>
          <t>2026-01-22</t>
        </is>
      </c>
      <c r="G2049" t="n">
        <v>163</v>
      </c>
      <c r="H2049" t="inlineStr">
        <is>
          <t>N</t>
        </is>
      </c>
      <c r="I2049">
        <f>HYPERLINK("https://admin.shopify.com/store/ge-beauty-cosmeticos/customers/10074065338688","abrir")</f>
        <v/>
      </c>
      <c r="J2049">
        <f>HYPERLINK("https://www.gebeauty.com.br/products/primer-cachos-definidos?ref=review","review")</f>
        <v/>
      </c>
      <c r="K2049" t="inlineStr">
        <is>
          <t>SEND</t>
        </is>
      </c>
    </row>
    <row r="2050">
      <c r="A2050" t="inlineStr">
        <is>
          <t>Alessandra</t>
        </is>
      </c>
      <c r="B2050" t="inlineStr">
        <is>
          <t>+5524992695126</t>
        </is>
      </c>
      <c r="C2050" t="inlineStr">
        <is>
          <t>Refill</t>
        </is>
      </c>
      <c r="D2050" t="inlineStr">
        <is>
          <t>Primer Cachos</t>
        </is>
      </c>
      <c r="E2050" t="n">
        <v>1</v>
      </c>
      <c r="F2050" t="inlineStr">
        <is>
          <t>2026-01-22</t>
        </is>
      </c>
      <c r="G2050" t="n">
        <v>163</v>
      </c>
      <c r="H2050" t="inlineStr">
        <is>
          <t>Y</t>
        </is>
      </c>
      <c r="I2050">
        <f>HYPERLINK("https://admin.shopify.com/store/ge-beauty-cosmeticos/customers/10079089361216","abrir")</f>
        <v/>
      </c>
      <c r="J2050">
        <f>HYPERLINK("https://www.gebeauty.com.br/products/primer-cachos-definidos?ref=review","review")</f>
        <v/>
      </c>
      <c r="K2050" t="inlineStr">
        <is>
          <t>SEND</t>
        </is>
      </c>
    </row>
    <row r="2051">
      <c r="A2051" t="inlineStr">
        <is>
          <t>Mariana</t>
        </is>
      </c>
      <c r="B2051" t="inlineStr">
        <is>
          <t>+5561998014842</t>
        </is>
      </c>
      <c r="C2051" t="inlineStr">
        <is>
          <t>Refill</t>
        </is>
      </c>
      <c r="D2051" t="inlineStr">
        <is>
          <t>Primer Cachos</t>
        </is>
      </c>
      <c r="E2051" t="n">
        <v>1</v>
      </c>
      <c r="F2051" t="inlineStr">
        <is>
          <t>2026-01-22</t>
        </is>
      </c>
      <c r="G2051" t="n">
        <v>163</v>
      </c>
      <c r="H2051" t="inlineStr">
        <is>
          <t>Y</t>
        </is>
      </c>
      <c r="I2051">
        <f>HYPERLINK("https://admin.shopify.com/store/ge-beauty-cosmeticos/customers/10079099781440","abrir")</f>
        <v/>
      </c>
      <c r="J2051">
        <f>HYPERLINK("https://www.gebeauty.com.br/products/primer-cachos-definidos?ref=review","review")</f>
        <v/>
      </c>
      <c r="K2051" t="inlineStr">
        <is>
          <t>SEND</t>
        </is>
      </c>
    </row>
    <row r="2052">
      <c r="A2052" t="inlineStr">
        <is>
          <t>Daniele</t>
        </is>
      </c>
      <c r="B2052" t="inlineStr">
        <is>
          <t>+5521981545454</t>
        </is>
      </c>
      <c r="C2052" t="inlineStr">
        <is>
          <t>Refill</t>
        </is>
      </c>
      <c r="D2052" t="inlineStr">
        <is>
          <t>Primer Cachos</t>
        </is>
      </c>
      <c r="E2052" t="n">
        <v>1</v>
      </c>
      <c r="F2052" t="inlineStr">
        <is>
          <t>2026-01-22</t>
        </is>
      </c>
      <c r="G2052" t="n">
        <v>163</v>
      </c>
      <c r="H2052" t="inlineStr">
        <is>
          <t>Y</t>
        </is>
      </c>
      <c r="I2052">
        <f>HYPERLINK("https://admin.shopify.com/store/ge-beauty-cosmeticos/customers/9991437353280","abrir")</f>
        <v/>
      </c>
      <c r="J2052">
        <f>HYPERLINK("https://www.gebeauty.com.br/products/primer-cachos-definidos?ref=review","review")</f>
        <v/>
      </c>
      <c r="K2052" t="inlineStr">
        <is>
          <t>SEND</t>
        </is>
      </c>
    </row>
    <row r="2053">
      <c r="A2053" t="inlineStr">
        <is>
          <t>Cláudia</t>
        </is>
      </c>
      <c r="B2053" t="inlineStr">
        <is>
          <t>+5535999037926</t>
        </is>
      </c>
      <c r="C2053" t="inlineStr">
        <is>
          <t>Refill</t>
        </is>
      </c>
      <c r="D2053" t="inlineStr">
        <is>
          <t>Primer Cachos</t>
        </is>
      </c>
      <c r="E2053" t="n">
        <v>1</v>
      </c>
      <c r="F2053" t="inlineStr">
        <is>
          <t>2026-01-22</t>
        </is>
      </c>
      <c r="G2053" t="n">
        <v>163</v>
      </c>
      <c r="H2053" t="inlineStr">
        <is>
          <t>Y</t>
        </is>
      </c>
      <c r="I2053">
        <f>HYPERLINK("https://admin.shopify.com/store/ge-beauty-cosmeticos/customers/10079134515520","abrir")</f>
        <v/>
      </c>
      <c r="J2053">
        <f>HYPERLINK("https://www.gebeauty.com.br/products/primer-cachos-definidos?ref=review","review")</f>
        <v/>
      </c>
      <c r="K2053" t="inlineStr">
        <is>
          <t>SEND</t>
        </is>
      </c>
    </row>
    <row r="2054">
      <c r="A2054" t="inlineStr">
        <is>
          <t>Bruna Cristina</t>
        </is>
      </c>
      <c r="B2054" t="inlineStr">
        <is>
          <t>+5547991141903</t>
        </is>
      </c>
      <c r="C2054" t="inlineStr">
        <is>
          <t>Refill</t>
        </is>
      </c>
      <c r="D2054" t="inlineStr">
        <is>
          <t>Primer Cachos</t>
        </is>
      </c>
      <c r="E2054" t="n">
        <v>1</v>
      </c>
      <c r="F2054" t="inlineStr">
        <is>
          <t>2026-01-22</t>
        </is>
      </c>
      <c r="G2054" t="n">
        <v>163</v>
      </c>
      <c r="H2054" t="inlineStr">
        <is>
          <t>Y</t>
        </is>
      </c>
      <c r="I2054">
        <f>HYPERLINK("https://admin.shopify.com/store/ge-beauty-cosmeticos/customers/10077044670784","abrir")</f>
        <v/>
      </c>
      <c r="J2054">
        <f>HYPERLINK("https://www.gebeauty.com.br/products/primer-cachos-definidos?ref=review","review")</f>
        <v/>
      </c>
      <c r="K2054" t="inlineStr">
        <is>
          <t>SEND</t>
        </is>
      </c>
    </row>
    <row r="2055">
      <c r="A2055" t="inlineStr">
        <is>
          <t>Milena</t>
        </is>
      </c>
      <c r="B2055" t="inlineStr">
        <is>
          <t>+5512982730102</t>
        </is>
      </c>
      <c r="C2055" t="inlineStr">
        <is>
          <t>Refill</t>
        </is>
      </c>
      <c r="D2055" t="inlineStr">
        <is>
          <t>Primer Cachos</t>
        </is>
      </c>
      <c r="E2055" t="n">
        <v>1</v>
      </c>
      <c r="F2055" t="inlineStr">
        <is>
          <t>2026-01-23</t>
        </is>
      </c>
      <c r="G2055" t="n">
        <v>162</v>
      </c>
      <c r="H2055" t="inlineStr">
        <is>
          <t>Y</t>
        </is>
      </c>
      <c r="I2055">
        <f>HYPERLINK("https://admin.shopify.com/store/ge-beauty-cosmeticos/customers/10075623719232","abrir")</f>
        <v/>
      </c>
      <c r="J2055">
        <f>HYPERLINK("https://www.gebeauty.com.br/products/primer-cachos-definidos?ref=review","review")</f>
        <v/>
      </c>
      <c r="K2055" t="inlineStr">
        <is>
          <t>SEND</t>
        </is>
      </c>
    </row>
    <row r="2056">
      <c r="A2056" t="inlineStr">
        <is>
          <t>Jussara</t>
        </is>
      </c>
      <c r="B2056" t="inlineStr">
        <is>
          <t>+5561996400327</t>
        </is>
      </c>
      <c r="C2056" t="inlineStr">
        <is>
          <t>Refill</t>
        </is>
      </c>
      <c r="D2056" t="inlineStr">
        <is>
          <t>Primer Cachos</t>
        </is>
      </c>
      <c r="E2056" t="n">
        <v>1</v>
      </c>
      <c r="F2056" t="inlineStr">
        <is>
          <t>2026-01-23</t>
        </is>
      </c>
      <c r="G2056" t="n">
        <v>162</v>
      </c>
      <c r="H2056" t="inlineStr">
        <is>
          <t>Y</t>
        </is>
      </c>
      <c r="I2056">
        <f>HYPERLINK("https://admin.shopify.com/store/ge-beauty-cosmeticos/customers/10079184978240","abrir")</f>
        <v/>
      </c>
      <c r="J2056">
        <f>HYPERLINK("https://www.gebeauty.com.br/products/primer-cachos-definidos?ref=review","review")</f>
        <v/>
      </c>
      <c r="K2056" t="inlineStr">
        <is>
          <t>SEND</t>
        </is>
      </c>
    </row>
    <row r="2057">
      <c r="A2057" t="inlineStr">
        <is>
          <t>Teresa</t>
        </is>
      </c>
      <c r="B2057" t="inlineStr">
        <is>
          <t>+5519991991090</t>
        </is>
      </c>
      <c r="C2057" t="inlineStr">
        <is>
          <t>Refill</t>
        </is>
      </c>
      <c r="D2057" t="inlineStr">
        <is>
          <t>Primer Cachos</t>
        </is>
      </c>
      <c r="E2057" t="n">
        <v>1</v>
      </c>
      <c r="F2057" t="inlineStr">
        <is>
          <t>2026-01-23</t>
        </is>
      </c>
      <c r="G2057" t="n">
        <v>162</v>
      </c>
      <c r="H2057" t="inlineStr">
        <is>
          <t>Y</t>
        </is>
      </c>
      <c r="I2057">
        <f>HYPERLINK("https://admin.shopify.com/store/ge-beauty-cosmeticos/customers/10074243891520","abrir")</f>
        <v/>
      </c>
      <c r="J2057">
        <f>HYPERLINK("https://www.gebeauty.com.br/products/primer-cachos-definidos?ref=review","review")</f>
        <v/>
      </c>
      <c r="K2057" t="inlineStr">
        <is>
          <t>SEND</t>
        </is>
      </c>
    </row>
    <row r="2058">
      <c r="A2058" t="inlineStr">
        <is>
          <t>Sibeli</t>
        </is>
      </c>
      <c r="B2058" t="inlineStr">
        <is>
          <t>+5566981181207</t>
        </is>
      </c>
      <c r="C2058" t="inlineStr">
        <is>
          <t>Refill</t>
        </is>
      </c>
      <c r="D2058" t="inlineStr">
        <is>
          <t>Primer Cachos</t>
        </is>
      </c>
      <c r="E2058" t="n">
        <v>1</v>
      </c>
      <c r="F2058" t="inlineStr">
        <is>
          <t>2026-01-23</t>
        </is>
      </c>
      <c r="G2058" t="n">
        <v>162</v>
      </c>
      <c r="H2058" t="inlineStr">
        <is>
          <t>Y</t>
        </is>
      </c>
      <c r="I2058">
        <f>HYPERLINK("https://admin.shopify.com/store/ge-beauty-cosmeticos/customers/10079180357952","abrir")</f>
        <v/>
      </c>
      <c r="J2058">
        <f>HYPERLINK("https://www.gebeauty.com.br/products/primer-cachos-definidos?ref=review","review")</f>
        <v/>
      </c>
      <c r="K2058" t="inlineStr">
        <is>
          <t>HOLDOUT</t>
        </is>
      </c>
    </row>
    <row r="2059">
      <c r="A2059" t="inlineStr">
        <is>
          <t>Claudia</t>
        </is>
      </c>
      <c r="B2059" t="inlineStr">
        <is>
          <t>+5521976155958</t>
        </is>
      </c>
      <c r="C2059" t="inlineStr">
        <is>
          <t>Refill</t>
        </is>
      </c>
      <c r="D2059" t="inlineStr">
        <is>
          <t>Primer Cachos</t>
        </is>
      </c>
      <c r="E2059" t="n">
        <v>1</v>
      </c>
      <c r="F2059" t="inlineStr">
        <is>
          <t>2026-01-23</t>
        </is>
      </c>
      <c r="G2059" t="n">
        <v>162</v>
      </c>
      <c r="H2059" t="inlineStr">
        <is>
          <t>Y</t>
        </is>
      </c>
      <c r="I2059">
        <f>HYPERLINK("https://admin.shopify.com/store/ge-beauty-cosmeticos/customers/10079208735040","abrir")</f>
        <v/>
      </c>
      <c r="J2059">
        <f>HYPERLINK("https://www.gebeauty.com.br/products/primer-cachos-definidos?ref=review","review")</f>
        <v/>
      </c>
      <c r="K2059" t="inlineStr">
        <is>
          <t>SEND</t>
        </is>
      </c>
    </row>
    <row r="2060">
      <c r="A2060" t="inlineStr">
        <is>
          <t>Michelle</t>
        </is>
      </c>
      <c r="B2060" t="inlineStr">
        <is>
          <t>+5565999793365</t>
        </is>
      </c>
      <c r="C2060" t="inlineStr">
        <is>
          <t>Refill</t>
        </is>
      </c>
      <c r="D2060" t="inlineStr">
        <is>
          <t>Primer Cachos</t>
        </is>
      </c>
      <c r="E2060" t="n">
        <v>1</v>
      </c>
      <c r="F2060" t="inlineStr">
        <is>
          <t>2026-01-23</t>
        </is>
      </c>
      <c r="G2060" t="n">
        <v>162</v>
      </c>
      <c r="H2060" t="inlineStr">
        <is>
          <t>Y</t>
        </is>
      </c>
      <c r="I2060">
        <f>HYPERLINK("https://admin.shopify.com/store/ge-beauty-cosmeticos/customers/10079247237440","abrir")</f>
        <v/>
      </c>
      <c r="J2060">
        <f>HYPERLINK("https://www.gebeauty.com.br/products/primer-cachos-definidos?ref=review","review")</f>
        <v/>
      </c>
      <c r="K2060" t="inlineStr">
        <is>
          <t>SEND</t>
        </is>
      </c>
    </row>
    <row r="2061">
      <c r="A2061" t="inlineStr">
        <is>
          <t>Claudia</t>
        </is>
      </c>
      <c r="B2061" t="inlineStr">
        <is>
          <t>+5551998387185</t>
        </is>
      </c>
      <c r="C2061" t="inlineStr">
        <is>
          <t>Refill</t>
        </is>
      </c>
      <c r="D2061" t="inlineStr">
        <is>
          <t>Primer Cachos</t>
        </is>
      </c>
      <c r="E2061" t="n">
        <v>1</v>
      </c>
      <c r="F2061" t="inlineStr">
        <is>
          <t>2026-01-23</t>
        </is>
      </c>
      <c r="G2061" t="n">
        <v>162</v>
      </c>
      <c r="H2061" t="inlineStr">
        <is>
          <t>Y</t>
        </is>
      </c>
      <c r="I2061">
        <f>HYPERLINK("https://admin.shopify.com/store/ge-beauty-cosmeticos/customers/10079240618304","abrir")</f>
        <v/>
      </c>
      <c r="J2061">
        <f>HYPERLINK("https://www.gebeauty.com.br/products/primer-cachos-definidos?ref=review","review")</f>
        <v/>
      </c>
      <c r="K2061" t="inlineStr">
        <is>
          <t>HOLDOUT</t>
        </is>
      </c>
    </row>
    <row r="2062">
      <c r="A2062" t="inlineStr">
        <is>
          <t>Renata</t>
        </is>
      </c>
      <c r="B2062" t="inlineStr">
        <is>
          <t>+5566999770226</t>
        </is>
      </c>
      <c r="C2062" t="inlineStr">
        <is>
          <t>Refill</t>
        </is>
      </c>
      <c r="D2062" t="inlineStr">
        <is>
          <t>Primer Cachos</t>
        </is>
      </c>
      <c r="E2062" t="n">
        <v>1</v>
      </c>
      <c r="F2062" t="inlineStr">
        <is>
          <t>2026-01-23</t>
        </is>
      </c>
      <c r="G2062" t="n">
        <v>162</v>
      </c>
      <c r="H2062" t="inlineStr">
        <is>
          <t>Y</t>
        </is>
      </c>
      <c r="I2062">
        <f>HYPERLINK("https://admin.shopify.com/store/ge-beauty-cosmeticos/customers/10079269126464","abrir")</f>
        <v/>
      </c>
      <c r="J2062">
        <f>HYPERLINK("https://www.gebeauty.com.br/products/primer-cachos-definidos?ref=review","review")</f>
        <v/>
      </c>
      <c r="K2062" t="inlineStr">
        <is>
          <t>SEND</t>
        </is>
      </c>
    </row>
    <row r="2063">
      <c r="A2063" t="inlineStr">
        <is>
          <t>Danielle</t>
        </is>
      </c>
      <c r="B2063" t="inlineStr">
        <is>
          <t>+5511942451489</t>
        </is>
      </c>
      <c r="C2063" t="inlineStr">
        <is>
          <t>Refill</t>
        </is>
      </c>
      <c r="D2063" t="inlineStr">
        <is>
          <t>Primer Cachos</t>
        </is>
      </c>
      <c r="E2063" t="n">
        <v>1</v>
      </c>
      <c r="F2063" t="inlineStr">
        <is>
          <t>2026-01-23</t>
        </is>
      </c>
      <c r="G2063" t="n">
        <v>162</v>
      </c>
      <c r="H2063" t="inlineStr">
        <is>
          <t>Y</t>
        </is>
      </c>
      <c r="I2063">
        <f>HYPERLINK("https://admin.shopify.com/store/ge-beauty-cosmeticos/customers/10079298879808","abrir")</f>
        <v/>
      </c>
      <c r="J2063">
        <f>HYPERLINK("https://www.gebeauty.com.br/products/primer-cachos-definidos?ref=review","review")</f>
        <v/>
      </c>
      <c r="K2063" t="inlineStr">
        <is>
          <t>SEND</t>
        </is>
      </c>
    </row>
    <row r="2064">
      <c r="A2064" t="inlineStr">
        <is>
          <t>Carla</t>
        </is>
      </c>
      <c r="B2064" t="inlineStr">
        <is>
          <t>+5511982567570</t>
        </is>
      </c>
      <c r="C2064" t="inlineStr">
        <is>
          <t>Refill</t>
        </is>
      </c>
      <c r="D2064" t="inlineStr">
        <is>
          <t>Primer Cachos</t>
        </is>
      </c>
      <c r="E2064" t="n">
        <v>1</v>
      </c>
      <c r="F2064" t="inlineStr">
        <is>
          <t>2026-01-23</t>
        </is>
      </c>
      <c r="G2064" t="n">
        <v>162</v>
      </c>
      <c r="H2064" t="inlineStr">
        <is>
          <t>Y</t>
        </is>
      </c>
      <c r="I2064">
        <f>HYPERLINK("https://admin.shopify.com/store/ge-beauty-cosmeticos/customers/10076827386176","abrir")</f>
        <v/>
      </c>
      <c r="J2064">
        <f>HYPERLINK("https://www.gebeauty.com.br/products/primer-cachos-definidos?ref=review","review")</f>
        <v/>
      </c>
      <c r="K2064" t="inlineStr">
        <is>
          <t>SEND</t>
        </is>
      </c>
    </row>
    <row r="2065">
      <c r="A2065" t="inlineStr">
        <is>
          <t>Andreza</t>
        </is>
      </c>
      <c r="B2065" t="inlineStr">
        <is>
          <t>+5522998110091</t>
        </is>
      </c>
      <c r="C2065" t="inlineStr">
        <is>
          <t>Refill</t>
        </is>
      </c>
      <c r="D2065" t="inlineStr">
        <is>
          <t>Primer Cachos</t>
        </is>
      </c>
      <c r="E2065" t="n">
        <v>1</v>
      </c>
      <c r="F2065" t="inlineStr">
        <is>
          <t>2026-01-23</t>
        </is>
      </c>
      <c r="G2065" t="n">
        <v>162</v>
      </c>
      <c r="H2065" t="inlineStr">
        <is>
          <t>Y</t>
        </is>
      </c>
      <c r="I2065">
        <f>HYPERLINK("https://admin.shopify.com/store/ge-beauty-cosmeticos/customers/10079373197632","abrir")</f>
        <v/>
      </c>
      <c r="J2065">
        <f>HYPERLINK("https://www.gebeauty.com.br/products/primer-cachos-definidos?ref=review","review")</f>
        <v/>
      </c>
      <c r="K2065" t="inlineStr">
        <is>
          <t>SEND</t>
        </is>
      </c>
    </row>
    <row r="2066">
      <c r="A2066" t="inlineStr">
        <is>
          <t>Raquel</t>
        </is>
      </c>
      <c r="B2066" t="inlineStr">
        <is>
          <t>+5521973009199</t>
        </is>
      </c>
      <c r="C2066" t="inlineStr">
        <is>
          <t>Refill</t>
        </is>
      </c>
      <c r="D2066" t="inlineStr">
        <is>
          <t>Primer Cachos</t>
        </is>
      </c>
      <c r="E2066" t="n">
        <v>1</v>
      </c>
      <c r="F2066" t="inlineStr">
        <is>
          <t>2026-01-23</t>
        </is>
      </c>
      <c r="G2066" t="n">
        <v>162</v>
      </c>
      <c r="H2066" t="inlineStr">
        <is>
          <t>Y</t>
        </is>
      </c>
      <c r="I2066">
        <f>HYPERLINK("https://admin.shopify.com/store/ge-beauty-cosmeticos/customers/10079417598272","abrir")</f>
        <v/>
      </c>
      <c r="J2066">
        <f>HYPERLINK("https://www.gebeauty.com.br/products/primer-cachos-definidos?ref=review","review")</f>
        <v/>
      </c>
      <c r="K2066" t="inlineStr">
        <is>
          <t>SEND</t>
        </is>
      </c>
    </row>
    <row r="2067">
      <c r="A2067" t="inlineStr">
        <is>
          <t>Daniela</t>
        </is>
      </c>
      <c r="B2067" t="inlineStr">
        <is>
          <t>+5567992171824</t>
        </is>
      </c>
      <c r="C2067" t="inlineStr">
        <is>
          <t>Refill</t>
        </is>
      </c>
      <c r="D2067" t="inlineStr">
        <is>
          <t>Primer Cachos</t>
        </is>
      </c>
      <c r="E2067" t="n">
        <v>1</v>
      </c>
      <c r="F2067" t="inlineStr">
        <is>
          <t>2026-01-23</t>
        </is>
      </c>
      <c r="G2067" t="n">
        <v>162</v>
      </c>
      <c r="H2067" t="inlineStr">
        <is>
          <t>Y</t>
        </is>
      </c>
      <c r="I2067">
        <f>HYPERLINK("https://admin.shopify.com/store/ge-beauty-cosmeticos/customers/10079416385856","abrir")</f>
        <v/>
      </c>
      <c r="J2067">
        <f>HYPERLINK("https://www.gebeauty.com.br/products/primer-cachos-definidos?ref=review","review")</f>
        <v/>
      </c>
      <c r="K2067" t="inlineStr">
        <is>
          <t>SEND</t>
        </is>
      </c>
    </row>
    <row r="2068">
      <c r="A2068" t="inlineStr">
        <is>
          <t>Diana</t>
        </is>
      </c>
      <c r="B2068" t="inlineStr">
        <is>
          <t>+5511993014606</t>
        </is>
      </c>
      <c r="C2068" t="inlineStr">
        <is>
          <t>Refill</t>
        </is>
      </c>
      <c r="D2068" t="inlineStr">
        <is>
          <t>Primer Cachos</t>
        </is>
      </c>
      <c r="E2068" t="n">
        <v>1</v>
      </c>
      <c r="F2068" t="inlineStr">
        <is>
          <t>2026-01-23</t>
        </is>
      </c>
      <c r="G2068" t="n">
        <v>162</v>
      </c>
      <c r="H2068" t="inlineStr">
        <is>
          <t>N</t>
        </is>
      </c>
      <c r="I2068">
        <f>HYPERLINK("https://admin.shopify.com/store/ge-beauty-cosmeticos/customers/10009805291840","abrir")</f>
        <v/>
      </c>
      <c r="J2068">
        <f>HYPERLINK("https://www.gebeauty.com.br/products/primer-cachos-definidos?ref=review","review")</f>
        <v/>
      </c>
      <c r="K2068" t="inlineStr">
        <is>
          <t>SEND</t>
        </is>
      </c>
    </row>
    <row r="2069">
      <c r="A2069" t="inlineStr">
        <is>
          <t>Priscilla</t>
        </is>
      </c>
      <c r="B2069" t="inlineStr">
        <is>
          <t>+5521972882519</t>
        </is>
      </c>
      <c r="C2069" t="inlineStr">
        <is>
          <t>Refill</t>
        </is>
      </c>
      <c r="D2069" t="inlineStr">
        <is>
          <t>Primer Cachos</t>
        </is>
      </c>
      <c r="E2069" t="n">
        <v>1</v>
      </c>
      <c r="F2069" t="inlineStr">
        <is>
          <t>2026-01-23</t>
        </is>
      </c>
      <c r="G2069" t="n">
        <v>162</v>
      </c>
      <c r="H2069" t="inlineStr">
        <is>
          <t>Y</t>
        </is>
      </c>
      <c r="I2069">
        <f>HYPERLINK("https://admin.shopify.com/store/ge-beauty-cosmeticos/customers/7762617041216","abrir")</f>
        <v/>
      </c>
      <c r="J2069">
        <f>HYPERLINK("https://www.gebeauty.com.br/products/primer-cachos-definidos?ref=review","review")</f>
        <v/>
      </c>
      <c r="K2069" t="inlineStr">
        <is>
          <t>HOLDOUT</t>
        </is>
      </c>
    </row>
    <row r="2070">
      <c r="A2070" t="inlineStr">
        <is>
          <t>Victoria</t>
        </is>
      </c>
      <c r="B2070" t="inlineStr">
        <is>
          <t>+5579998827124</t>
        </is>
      </c>
      <c r="C2070" t="inlineStr">
        <is>
          <t>Refill</t>
        </is>
      </c>
      <c r="D2070" t="inlineStr">
        <is>
          <t>Primer Cachos</t>
        </is>
      </c>
      <c r="E2070" t="n">
        <v>1</v>
      </c>
      <c r="F2070" t="inlineStr">
        <is>
          <t>2026-01-23</t>
        </is>
      </c>
      <c r="G2070" t="n">
        <v>162</v>
      </c>
      <c r="H2070" t="inlineStr">
        <is>
          <t>Y</t>
        </is>
      </c>
      <c r="I2070">
        <f>HYPERLINK("https://admin.shopify.com/store/ge-beauty-cosmeticos/customers/10079775654208","abrir")</f>
        <v/>
      </c>
      <c r="J2070">
        <f>HYPERLINK("https://www.gebeauty.com.br/products/primer-cachos-definidos?ref=review","review")</f>
        <v/>
      </c>
      <c r="K2070" t="inlineStr">
        <is>
          <t>SEND</t>
        </is>
      </c>
    </row>
    <row r="2071">
      <c r="A2071" t="inlineStr">
        <is>
          <t>Mariana</t>
        </is>
      </c>
      <c r="B2071" t="inlineStr">
        <is>
          <t>+5527981772227</t>
        </is>
      </c>
      <c r="C2071" t="inlineStr">
        <is>
          <t>Refill</t>
        </is>
      </c>
      <c r="D2071" t="inlineStr">
        <is>
          <t>Primer Cachos</t>
        </is>
      </c>
      <c r="E2071" t="n">
        <v>1</v>
      </c>
      <c r="F2071" t="inlineStr">
        <is>
          <t>2026-01-23</t>
        </is>
      </c>
      <c r="G2071" t="n">
        <v>162</v>
      </c>
      <c r="H2071" t="inlineStr">
        <is>
          <t>Y</t>
        </is>
      </c>
      <c r="I2071">
        <f>HYPERLINK("https://admin.shopify.com/store/ge-beauty-cosmeticos/customers/10079876022592","abrir")</f>
        <v/>
      </c>
      <c r="J2071">
        <f>HYPERLINK("https://www.gebeauty.com.br/products/primer-cachos-definidos?ref=review","review")</f>
        <v/>
      </c>
      <c r="K2071" t="inlineStr">
        <is>
          <t>SEND</t>
        </is>
      </c>
    </row>
    <row r="2072">
      <c r="A2072" t="inlineStr">
        <is>
          <t>Clarissa</t>
        </is>
      </c>
      <c r="B2072" t="inlineStr">
        <is>
          <t>+5541991748888</t>
        </is>
      </c>
      <c r="C2072" t="inlineStr">
        <is>
          <t>Refill</t>
        </is>
      </c>
      <c r="D2072" t="inlineStr">
        <is>
          <t>Primer Cachos</t>
        </is>
      </c>
      <c r="E2072" t="n">
        <v>1</v>
      </c>
      <c r="F2072" t="inlineStr">
        <is>
          <t>2026-01-23</t>
        </is>
      </c>
      <c r="G2072" t="n">
        <v>162</v>
      </c>
      <c r="H2072" t="inlineStr">
        <is>
          <t>Y</t>
        </is>
      </c>
      <c r="I2072">
        <f>HYPERLINK("https://admin.shopify.com/store/ge-beauty-cosmeticos/customers/10079907021120","abrir")</f>
        <v/>
      </c>
      <c r="J2072">
        <f>HYPERLINK("https://www.gebeauty.com.br/products/primer-cachos-definidos?ref=review","review")</f>
        <v/>
      </c>
      <c r="K2072" t="inlineStr">
        <is>
          <t>SEND</t>
        </is>
      </c>
    </row>
    <row r="2073">
      <c r="A2073" t="inlineStr">
        <is>
          <t>Joana</t>
        </is>
      </c>
      <c r="B2073" t="inlineStr">
        <is>
          <t>+5511954785178</t>
        </is>
      </c>
      <c r="C2073" t="inlineStr">
        <is>
          <t>Refill</t>
        </is>
      </c>
      <c r="D2073" t="inlineStr">
        <is>
          <t>Primer Cachos</t>
        </is>
      </c>
      <c r="E2073" t="n">
        <v>1</v>
      </c>
      <c r="F2073" t="inlineStr">
        <is>
          <t>2026-01-23</t>
        </is>
      </c>
      <c r="G2073" t="n">
        <v>162</v>
      </c>
      <c r="H2073" t="inlineStr">
        <is>
          <t>Y</t>
        </is>
      </c>
      <c r="I2073">
        <f>HYPERLINK("https://admin.shopify.com/store/ge-beauty-cosmeticos/customers/10074974945600","abrir")</f>
        <v/>
      </c>
      <c r="J2073">
        <f>HYPERLINK("https://www.gebeauty.com.br/products/primer-cachos-definidos?ref=review","review")</f>
        <v/>
      </c>
      <c r="K2073" t="inlineStr">
        <is>
          <t>SEND</t>
        </is>
      </c>
    </row>
    <row r="2074">
      <c r="A2074" t="inlineStr">
        <is>
          <t>Betina</t>
        </is>
      </c>
      <c r="B2074" t="inlineStr">
        <is>
          <t>+5541999743321</t>
        </is>
      </c>
      <c r="C2074" t="inlineStr">
        <is>
          <t>Refill</t>
        </is>
      </c>
      <c r="D2074" t="inlineStr">
        <is>
          <t>Primer Cachos</t>
        </is>
      </c>
      <c r="E2074" t="n">
        <v>1</v>
      </c>
      <c r="F2074" t="inlineStr">
        <is>
          <t>2026-01-23</t>
        </is>
      </c>
      <c r="G2074" t="n">
        <v>162</v>
      </c>
      <c r="H2074" t="inlineStr">
        <is>
          <t>Y</t>
        </is>
      </c>
      <c r="I2074">
        <f>HYPERLINK("https://admin.shopify.com/store/ge-beauty-cosmeticos/customers/10079968821568","abrir")</f>
        <v/>
      </c>
      <c r="J2074">
        <f>HYPERLINK("https://www.gebeauty.com.br/products/primer-cachos-definidos?ref=review","review")</f>
        <v/>
      </c>
      <c r="K2074" t="inlineStr">
        <is>
          <t>SEND</t>
        </is>
      </c>
    </row>
    <row r="2075">
      <c r="A2075" t="inlineStr">
        <is>
          <t>Fabiana</t>
        </is>
      </c>
      <c r="B2075" t="inlineStr">
        <is>
          <t>+5515981438284</t>
        </is>
      </c>
      <c r="C2075" t="inlineStr">
        <is>
          <t>Refill</t>
        </is>
      </c>
      <c r="D2075" t="inlineStr">
        <is>
          <t>Primer Cachos</t>
        </is>
      </c>
      <c r="E2075" t="n">
        <v>1</v>
      </c>
      <c r="F2075" t="inlineStr">
        <is>
          <t>2026-01-23</t>
        </is>
      </c>
      <c r="G2075" t="n">
        <v>162</v>
      </c>
      <c r="H2075" t="inlineStr">
        <is>
          <t>Y</t>
        </is>
      </c>
      <c r="I2075">
        <f>HYPERLINK("https://admin.shopify.com/store/ge-beauty-cosmeticos/customers/10079983960384","abrir")</f>
        <v/>
      </c>
      <c r="J2075">
        <f>HYPERLINK("https://www.gebeauty.com.br/products/primer-cachos-definidos?ref=review","review")</f>
        <v/>
      </c>
      <c r="K2075" t="inlineStr">
        <is>
          <t>HOLDOUT</t>
        </is>
      </c>
    </row>
    <row r="2076">
      <c r="A2076" t="inlineStr">
        <is>
          <t>Elisabete</t>
        </is>
      </c>
      <c r="B2076" t="inlineStr">
        <is>
          <t>+5511989930343</t>
        </is>
      </c>
      <c r="C2076" t="inlineStr">
        <is>
          <t>Refill</t>
        </is>
      </c>
      <c r="D2076" t="inlineStr">
        <is>
          <t>Primer Cachos</t>
        </is>
      </c>
      <c r="E2076" t="n">
        <v>1</v>
      </c>
      <c r="F2076" t="inlineStr">
        <is>
          <t>2026-01-23</t>
        </is>
      </c>
      <c r="G2076" t="n">
        <v>162</v>
      </c>
      <c r="H2076" t="inlineStr">
        <is>
          <t>Y</t>
        </is>
      </c>
      <c r="I2076">
        <f>HYPERLINK("https://admin.shopify.com/store/ge-beauty-cosmeticos/customers/10080010404160","abrir")</f>
        <v/>
      </c>
      <c r="J2076">
        <f>HYPERLINK("https://www.gebeauty.com.br/products/primer-cachos-definidos?ref=review","review")</f>
        <v/>
      </c>
      <c r="K2076" t="inlineStr">
        <is>
          <t>SEND</t>
        </is>
      </c>
    </row>
    <row r="2077">
      <c r="A2077" t="inlineStr">
        <is>
          <t>Barbara</t>
        </is>
      </c>
      <c r="B2077" t="inlineStr">
        <is>
          <t>+5582996620747</t>
        </is>
      </c>
      <c r="C2077" t="inlineStr">
        <is>
          <t>Refill</t>
        </is>
      </c>
      <c r="D2077" t="inlineStr">
        <is>
          <t>Primer Cachos</t>
        </is>
      </c>
      <c r="E2077" t="n">
        <v>1</v>
      </c>
      <c r="F2077" t="inlineStr">
        <is>
          <t>2026-01-23</t>
        </is>
      </c>
      <c r="G2077" t="n">
        <v>162</v>
      </c>
      <c r="H2077" t="inlineStr">
        <is>
          <t>Y</t>
        </is>
      </c>
      <c r="I2077">
        <f>HYPERLINK("https://admin.shopify.com/store/ge-beauty-cosmeticos/customers/9486164459840","abrir")</f>
        <v/>
      </c>
      <c r="J2077">
        <f>HYPERLINK("https://www.gebeauty.com.br/products/primer-cachos-definidos?ref=review","review")</f>
        <v/>
      </c>
      <c r="K2077" t="inlineStr">
        <is>
          <t>SEND</t>
        </is>
      </c>
    </row>
    <row r="2078">
      <c r="A2078" t="inlineStr">
        <is>
          <t>Lúcia</t>
        </is>
      </c>
      <c r="B2078" t="inlineStr">
        <is>
          <t>+5513974075947</t>
        </is>
      </c>
      <c r="C2078" t="inlineStr">
        <is>
          <t>Refill</t>
        </is>
      </c>
      <c r="D2078" t="inlineStr">
        <is>
          <t>Primer Cachos</t>
        </is>
      </c>
      <c r="E2078" t="n">
        <v>1</v>
      </c>
      <c r="F2078" t="inlineStr">
        <is>
          <t>2026-01-23</t>
        </is>
      </c>
      <c r="G2078" t="n">
        <v>162</v>
      </c>
      <c r="H2078" t="inlineStr">
        <is>
          <t>Y</t>
        </is>
      </c>
      <c r="I2078">
        <f>HYPERLINK("https://admin.shopify.com/store/ge-beauty-cosmeticos/customers/10080068305216","abrir")</f>
        <v/>
      </c>
      <c r="J2078">
        <f>HYPERLINK("https://www.gebeauty.com.br/products/primer-cachos-definidos?ref=review","review")</f>
        <v/>
      </c>
      <c r="K2078" t="inlineStr">
        <is>
          <t>SEND</t>
        </is>
      </c>
    </row>
    <row r="2079">
      <c r="A2079" t="inlineStr">
        <is>
          <t>Mariana</t>
        </is>
      </c>
      <c r="B2079" t="inlineStr">
        <is>
          <t>+5519981077507</t>
        </is>
      </c>
      <c r="C2079" t="inlineStr">
        <is>
          <t>Refill</t>
        </is>
      </c>
      <c r="D2079" t="inlineStr">
        <is>
          <t>Primer Cachos</t>
        </is>
      </c>
      <c r="E2079" t="n">
        <v>1</v>
      </c>
      <c r="F2079" t="inlineStr">
        <is>
          <t>2026-01-23</t>
        </is>
      </c>
      <c r="G2079" t="n">
        <v>162</v>
      </c>
      <c r="H2079" t="inlineStr">
        <is>
          <t>Y</t>
        </is>
      </c>
      <c r="I2079">
        <f>HYPERLINK("https://admin.shopify.com/store/ge-beauty-cosmeticos/customers/10080066470208","abrir")</f>
        <v/>
      </c>
      <c r="J2079">
        <f>HYPERLINK("https://www.gebeauty.com.br/products/primer-cachos-definidos?ref=review","review")</f>
        <v/>
      </c>
      <c r="K2079" t="inlineStr">
        <is>
          <t>SEND</t>
        </is>
      </c>
    </row>
    <row r="2080">
      <c r="A2080" t="inlineStr">
        <is>
          <t>Nubia</t>
        </is>
      </c>
      <c r="B2080" t="inlineStr">
        <is>
          <t>+5541999417075</t>
        </is>
      </c>
      <c r="C2080" t="inlineStr">
        <is>
          <t>Refill</t>
        </is>
      </c>
      <c r="D2080" t="inlineStr">
        <is>
          <t>Primer Cachos</t>
        </is>
      </c>
      <c r="E2080" t="n">
        <v>1</v>
      </c>
      <c r="F2080" t="inlineStr">
        <is>
          <t>2026-01-23</t>
        </is>
      </c>
      <c r="G2080" t="n">
        <v>162</v>
      </c>
      <c r="H2080" t="inlineStr">
        <is>
          <t>Y</t>
        </is>
      </c>
      <c r="I2080">
        <f>HYPERLINK("https://admin.shopify.com/store/ge-beauty-cosmeticos/customers/10080080036160","abrir")</f>
        <v/>
      </c>
      <c r="J2080">
        <f>HYPERLINK("https://www.gebeauty.com.br/products/primer-cachos-definidos?ref=review","review")</f>
        <v/>
      </c>
      <c r="K2080" t="inlineStr">
        <is>
          <t>SEND</t>
        </is>
      </c>
    </row>
    <row r="2081">
      <c r="A2081" t="inlineStr">
        <is>
          <t>Wanessa</t>
        </is>
      </c>
      <c r="B2081" t="inlineStr">
        <is>
          <t>+5561993119112</t>
        </is>
      </c>
      <c r="C2081" t="inlineStr">
        <is>
          <t>Refill</t>
        </is>
      </c>
      <c r="D2081" t="inlineStr">
        <is>
          <t>Primer Cachos</t>
        </is>
      </c>
      <c r="E2081" t="n">
        <v>1</v>
      </c>
      <c r="F2081" t="inlineStr">
        <is>
          <t>2026-01-23</t>
        </is>
      </c>
      <c r="G2081" t="n">
        <v>162</v>
      </c>
      <c r="H2081" t="inlineStr">
        <is>
          <t>Y</t>
        </is>
      </c>
      <c r="I2081">
        <f>HYPERLINK("https://admin.shopify.com/store/ge-beauty-cosmeticos/customers/10080073646400","abrir")</f>
        <v/>
      </c>
      <c r="J2081">
        <f>HYPERLINK("https://www.gebeauty.com.br/products/primer-cachos-definidos?ref=review","review")</f>
        <v/>
      </c>
      <c r="K2081" t="inlineStr">
        <is>
          <t>SEND</t>
        </is>
      </c>
    </row>
    <row r="2082">
      <c r="A2082" t="inlineStr">
        <is>
          <t>Laís</t>
        </is>
      </c>
      <c r="B2082" t="inlineStr">
        <is>
          <t>+5561991813931</t>
        </is>
      </c>
      <c r="C2082" t="inlineStr">
        <is>
          <t>Refill</t>
        </is>
      </c>
      <c r="D2082" t="inlineStr">
        <is>
          <t>Primer Cachos</t>
        </is>
      </c>
      <c r="E2082" t="n">
        <v>1</v>
      </c>
      <c r="F2082" t="inlineStr">
        <is>
          <t>2026-01-23</t>
        </is>
      </c>
      <c r="G2082" t="n">
        <v>162</v>
      </c>
      <c r="H2082" t="inlineStr">
        <is>
          <t>Y</t>
        </is>
      </c>
      <c r="I2082">
        <f>HYPERLINK("https://admin.shopify.com/store/ge-beauty-cosmeticos/customers/10080106217792","abrir")</f>
        <v/>
      </c>
      <c r="J2082">
        <f>HYPERLINK("https://www.gebeauty.com.br/products/primer-cachos-definidos?ref=review","review")</f>
        <v/>
      </c>
      <c r="K2082" t="inlineStr">
        <is>
          <t>SEND</t>
        </is>
      </c>
    </row>
    <row r="2083">
      <c r="A2083" t="inlineStr">
        <is>
          <t>Simone</t>
        </is>
      </c>
      <c r="B2083" t="inlineStr">
        <is>
          <t>+5511989432145</t>
        </is>
      </c>
      <c r="C2083" t="inlineStr">
        <is>
          <t>Refill</t>
        </is>
      </c>
      <c r="D2083" t="inlineStr">
        <is>
          <t>Primer Cachos</t>
        </is>
      </c>
      <c r="E2083" t="n">
        <v>1</v>
      </c>
      <c r="F2083" t="inlineStr">
        <is>
          <t>2026-01-23</t>
        </is>
      </c>
      <c r="G2083" t="n">
        <v>162</v>
      </c>
      <c r="H2083" t="inlineStr">
        <is>
          <t>Y</t>
        </is>
      </c>
      <c r="I2083">
        <f>HYPERLINK("https://admin.shopify.com/store/ge-beauty-cosmeticos/customers/10074010714432","abrir")</f>
        <v/>
      </c>
      <c r="J2083">
        <f>HYPERLINK("https://www.gebeauty.com.br/products/primer-cachos-definidos?ref=review","review")</f>
        <v/>
      </c>
      <c r="K2083" t="inlineStr">
        <is>
          <t>SEND</t>
        </is>
      </c>
    </row>
    <row r="2084">
      <c r="A2084" t="inlineStr">
        <is>
          <t>Tatiana</t>
        </is>
      </c>
      <c r="B2084" t="inlineStr">
        <is>
          <t>+5511933803090</t>
        </is>
      </c>
      <c r="C2084" t="inlineStr">
        <is>
          <t>Refill</t>
        </is>
      </c>
      <c r="D2084" t="inlineStr">
        <is>
          <t>Primer Cachos</t>
        </is>
      </c>
      <c r="E2084" t="n">
        <v>1</v>
      </c>
      <c r="F2084" t="inlineStr">
        <is>
          <t>2026-01-23</t>
        </is>
      </c>
      <c r="G2084" t="n">
        <v>162</v>
      </c>
      <c r="H2084" t="inlineStr">
        <is>
          <t>Y</t>
        </is>
      </c>
      <c r="I2084">
        <f>HYPERLINK("https://admin.shopify.com/store/ge-beauty-cosmeticos/customers/10080125518144","abrir")</f>
        <v/>
      </c>
      <c r="J2084">
        <f>HYPERLINK("https://www.gebeauty.com.br/products/primer-cachos-definidos?ref=review","review")</f>
        <v/>
      </c>
      <c r="K2084" t="inlineStr">
        <is>
          <t>SEND</t>
        </is>
      </c>
    </row>
    <row r="2085">
      <c r="A2085" t="inlineStr">
        <is>
          <t>Laucilane</t>
        </is>
      </c>
      <c r="B2085" t="inlineStr">
        <is>
          <t>+5585999066389</t>
        </is>
      </c>
      <c r="C2085" t="inlineStr">
        <is>
          <t>Refill</t>
        </is>
      </c>
      <c r="D2085" t="inlineStr">
        <is>
          <t>Primer Cachos</t>
        </is>
      </c>
      <c r="E2085" t="n">
        <v>1</v>
      </c>
      <c r="F2085" t="inlineStr">
        <is>
          <t>2026-01-23</t>
        </is>
      </c>
      <c r="G2085" t="n">
        <v>162</v>
      </c>
      <c r="H2085" t="inlineStr">
        <is>
          <t>Y</t>
        </is>
      </c>
      <c r="I2085">
        <f>HYPERLINK("https://admin.shopify.com/store/ge-beauty-cosmeticos/customers/10080124502336","abrir")</f>
        <v/>
      </c>
      <c r="J2085">
        <f>HYPERLINK("https://www.gebeauty.com.br/products/primer-cachos-definidos?ref=review","review")</f>
        <v/>
      </c>
      <c r="K2085" t="inlineStr">
        <is>
          <t>SEND</t>
        </is>
      </c>
    </row>
    <row r="2086">
      <c r="A2086" t="inlineStr">
        <is>
          <t>Rafaela</t>
        </is>
      </c>
      <c r="B2086" t="inlineStr">
        <is>
          <t>+5511963193560</t>
        </is>
      </c>
      <c r="C2086" t="inlineStr">
        <is>
          <t>Refill</t>
        </is>
      </c>
      <c r="D2086" t="inlineStr">
        <is>
          <t>Primer Cachos</t>
        </is>
      </c>
      <c r="E2086" t="n">
        <v>1</v>
      </c>
      <c r="F2086" t="inlineStr">
        <is>
          <t>2026-01-23</t>
        </is>
      </c>
      <c r="G2086" t="n">
        <v>162</v>
      </c>
      <c r="H2086" t="inlineStr">
        <is>
          <t>Y</t>
        </is>
      </c>
      <c r="I2086">
        <f>HYPERLINK("https://admin.shopify.com/store/ge-beauty-cosmeticos/customers/10080126959936","abrir")</f>
        <v/>
      </c>
      <c r="J2086">
        <f>HYPERLINK("https://www.gebeauty.com.br/products/primer-cachos-definidos?ref=review","review")</f>
        <v/>
      </c>
      <c r="K2086" t="inlineStr">
        <is>
          <t>HOLDOUT</t>
        </is>
      </c>
    </row>
    <row r="2087">
      <c r="A2087" t="inlineStr">
        <is>
          <t>Eliane</t>
        </is>
      </c>
      <c r="B2087" t="inlineStr">
        <is>
          <t>+5511996478513</t>
        </is>
      </c>
      <c r="C2087" t="inlineStr">
        <is>
          <t>Refill</t>
        </is>
      </c>
      <c r="D2087" t="inlineStr">
        <is>
          <t>Primer Cachos</t>
        </is>
      </c>
      <c r="E2087" t="n">
        <v>1</v>
      </c>
      <c r="F2087" t="inlineStr">
        <is>
          <t>2026-01-23</t>
        </is>
      </c>
      <c r="G2087" t="n">
        <v>162</v>
      </c>
      <c r="H2087" t="inlineStr">
        <is>
          <t>Y</t>
        </is>
      </c>
      <c r="I2087">
        <f>HYPERLINK("https://admin.shopify.com/store/ge-beauty-cosmeticos/customers/10077018652992","abrir")</f>
        <v/>
      </c>
      <c r="J2087">
        <f>HYPERLINK("https://www.gebeauty.com.br/products/primer-cachos-definidos?ref=review","review")</f>
        <v/>
      </c>
      <c r="K2087" t="inlineStr">
        <is>
          <t>SEND</t>
        </is>
      </c>
    </row>
    <row r="2088">
      <c r="A2088" t="inlineStr">
        <is>
          <t>Amanda</t>
        </is>
      </c>
      <c r="B2088" t="inlineStr">
        <is>
          <t>+5511996123434</t>
        </is>
      </c>
      <c r="C2088" t="inlineStr">
        <is>
          <t>Refill</t>
        </is>
      </c>
      <c r="D2088" t="inlineStr">
        <is>
          <t>Primer Cachos</t>
        </is>
      </c>
      <c r="E2088" t="n">
        <v>1</v>
      </c>
      <c r="F2088" t="inlineStr">
        <is>
          <t>2026-01-23</t>
        </is>
      </c>
      <c r="G2088" t="n">
        <v>162</v>
      </c>
      <c r="H2088" t="inlineStr">
        <is>
          <t>Y</t>
        </is>
      </c>
      <c r="I2088">
        <f>HYPERLINK("https://admin.shopify.com/store/ge-beauty-cosmeticos/customers/10080146751808","abrir")</f>
        <v/>
      </c>
      <c r="J2088">
        <f>HYPERLINK("https://www.gebeauty.com.br/products/primer-cachos-definidos?ref=review","review")</f>
        <v/>
      </c>
      <c r="K2088" t="inlineStr">
        <is>
          <t>SEND</t>
        </is>
      </c>
    </row>
    <row r="2089">
      <c r="A2089" t="inlineStr">
        <is>
          <t>Renata</t>
        </is>
      </c>
      <c r="B2089" t="inlineStr">
        <is>
          <t>+5585981041232</t>
        </is>
      </c>
      <c r="C2089" t="inlineStr">
        <is>
          <t>Refill</t>
        </is>
      </c>
      <c r="D2089" t="inlineStr">
        <is>
          <t>Primer Cachos</t>
        </is>
      </c>
      <c r="E2089" t="n">
        <v>1</v>
      </c>
      <c r="F2089" t="inlineStr">
        <is>
          <t>2026-01-23</t>
        </is>
      </c>
      <c r="G2089" t="n">
        <v>162</v>
      </c>
      <c r="H2089" t="inlineStr">
        <is>
          <t>Y</t>
        </is>
      </c>
      <c r="I2089">
        <f>HYPERLINK("https://admin.shopify.com/store/ge-beauty-cosmeticos/customers/9017196839232","abrir")</f>
        <v/>
      </c>
      <c r="J2089">
        <f>HYPERLINK("https://www.gebeauty.com.br/products/primer-cachos-definidos?ref=review","review")</f>
        <v/>
      </c>
      <c r="K2089" t="inlineStr">
        <is>
          <t>SEND</t>
        </is>
      </c>
    </row>
    <row r="2090">
      <c r="A2090" t="inlineStr">
        <is>
          <t>Cátia</t>
        </is>
      </c>
      <c r="B2090" t="inlineStr">
        <is>
          <t>+5581981828092</t>
        </is>
      </c>
      <c r="C2090" t="inlineStr">
        <is>
          <t>Refill</t>
        </is>
      </c>
      <c r="D2090" t="inlineStr">
        <is>
          <t>Primer Cachos</t>
        </is>
      </c>
      <c r="E2090" t="n">
        <v>1</v>
      </c>
      <c r="F2090" t="inlineStr">
        <is>
          <t>2026-01-23</t>
        </is>
      </c>
      <c r="G2090" t="n">
        <v>162</v>
      </c>
      <c r="H2090" t="inlineStr">
        <is>
          <t>Y</t>
        </is>
      </c>
      <c r="I2090">
        <f>HYPERLINK("https://admin.shopify.com/store/ge-beauty-cosmeticos/customers/10080197902656","abrir")</f>
        <v/>
      </c>
      <c r="J2090">
        <f>HYPERLINK("https://www.gebeauty.com.br/products/primer-cachos-definidos?ref=review","review")</f>
        <v/>
      </c>
      <c r="K2090" t="inlineStr">
        <is>
          <t>SEND</t>
        </is>
      </c>
    </row>
    <row r="2091">
      <c r="A2091" t="inlineStr">
        <is>
          <t>Juliana</t>
        </is>
      </c>
      <c r="B2091" t="inlineStr">
        <is>
          <t>+5531986367675</t>
        </is>
      </c>
      <c r="C2091" t="inlineStr">
        <is>
          <t>Refill</t>
        </is>
      </c>
      <c r="D2091" t="inlineStr">
        <is>
          <t>Primer Cachos</t>
        </is>
      </c>
      <c r="E2091" t="n">
        <v>1</v>
      </c>
      <c r="F2091" t="inlineStr">
        <is>
          <t>2026-01-23</t>
        </is>
      </c>
      <c r="G2091" t="n">
        <v>162</v>
      </c>
      <c r="H2091" t="inlineStr">
        <is>
          <t>Y</t>
        </is>
      </c>
      <c r="I2091">
        <f>HYPERLINK("https://admin.shopify.com/store/ge-beauty-cosmeticos/customers/10080197280064","abrir")</f>
        <v/>
      </c>
      <c r="J2091">
        <f>HYPERLINK("https://www.gebeauty.com.br/products/primer-cachos-definidos?ref=review","review")</f>
        <v/>
      </c>
      <c r="K2091" t="inlineStr">
        <is>
          <t>SEND</t>
        </is>
      </c>
    </row>
    <row r="2092">
      <c r="A2092" t="inlineStr">
        <is>
          <t>Daniela</t>
        </is>
      </c>
      <c r="B2092" t="inlineStr">
        <is>
          <t>+5532984233969</t>
        </is>
      </c>
      <c r="C2092" t="inlineStr">
        <is>
          <t>Refill</t>
        </is>
      </c>
      <c r="D2092" t="inlineStr">
        <is>
          <t>Primer Cachos</t>
        </is>
      </c>
      <c r="E2092" t="n">
        <v>1</v>
      </c>
      <c r="F2092" t="inlineStr">
        <is>
          <t>2026-01-23</t>
        </is>
      </c>
      <c r="G2092" t="n">
        <v>162</v>
      </c>
      <c r="H2092" t="inlineStr">
        <is>
          <t>Y</t>
        </is>
      </c>
      <c r="I2092">
        <f>HYPERLINK("https://admin.shopify.com/store/ge-beauty-cosmeticos/customers/9973109588288","abrir")</f>
        <v/>
      </c>
      <c r="J2092">
        <f>HYPERLINK("https://www.gebeauty.com.br/products/primer-cachos-definidos?ref=review","review")</f>
        <v/>
      </c>
      <c r="K2092" t="inlineStr">
        <is>
          <t>SEND</t>
        </is>
      </c>
    </row>
    <row r="2093">
      <c r="A2093" t="inlineStr">
        <is>
          <t>Luisa</t>
        </is>
      </c>
      <c r="B2093" t="inlineStr">
        <is>
          <t>+5519994292800</t>
        </is>
      </c>
      <c r="C2093" t="inlineStr">
        <is>
          <t>Refill</t>
        </is>
      </c>
      <c r="D2093" t="inlineStr">
        <is>
          <t>Primer Cachos</t>
        </is>
      </c>
      <c r="E2093" t="n">
        <v>1</v>
      </c>
      <c r="F2093" t="inlineStr">
        <is>
          <t>2026-01-23</t>
        </is>
      </c>
      <c r="G2093" t="n">
        <v>162</v>
      </c>
      <c r="H2093" t="inlineStr">
        <is>
          <t>Y</t>
        </is>
      </c>
      <c r="I2093">
        <f>HYPERLINK("https://admin.shopify.com/store/ge-beauty-cosmeticos/customers/10073273696576","abrir")</f>
        <v/>
      </c>
      <c r="J2093">
        <f>HYPERLINK("https://www.gebeauty.com.br/products/primer-cachos-definidos?ref=review","review")</f>
        <v/>
      </c>
      <c r="K2093" t="inlineStr">
        <is>
          <t>SEND</t>
        </is>
      </c>
    </row>
    <row r="2094">
      <c r="A2094" t="inlineStr">
        <is>
          <t>Fernanda</t>
        </is>
      </c>
      <c r="B2094" t="inlineStr">
        <is>
          <t>+5511988085252</t>
        </is>
      </c>
      <c r="C2094" t="inlineStr">
        <is>
          <t>Refill</t>
        </is>
      </c>
      <c r="D2094" t="inlineStr">
        <is>
          <t>Primer Cachos</t>
        </is>
      </c>
      <c r="E2094" t="n">
        <v>1</v>
      </c>
      <c r="F2094" t="inlineStr">
        <is>
          <t>2026-01-23</t>
        </is>
      </c>
      <c r="G2094" t="n">
        <v>162</v>
      </c>
      <c r="H2094" t="inlineStr">
        <is>
          <t>Y</t>
        </is>
      </c>
      <c r="I2094">
        <f>HYPERLINK("https://admin.shopify.com/store/ge-beauty-cosmeticos/customers/9650629902656","abrir")</f>
        <v/>
      </c>
      <c r="J2094">
        <f>HYPERLINK("https://www.gebeauty.com.br/products/primer-cachos-definidos?ref=review","review")</f>
        <v/>
      </c>
      <c r="K2094" t="inlineStr">
        <is>
          <t>SEND</t>
        </is>
      </c>
    </row>
    <row r="2095">
      <c r="A2095" t="inlineStr">
        <is>
          <t>Elaine</t>
        </is>
      </c>
      <c r="B2095" t="inlineStr">
        <is>
          <t>+5518996338717</t>
        </is>
      </c>
      <c r="C2095" t="inlineStr">
        <is>
          <t>Refill</t>
        </is>
      </c>
      <c r="D2095" t="inlineStr">
        <is>
          <t>Primer Cachos</t>
        </is>
      </c>
      <c r="E2095" t="n">
        <v>1</v>
      </c>
      <c r="F2095" t="inlineStr">
        <is>
          <t>2026-01-23</t>
        </is>
      </c>
      <c r="G2095" t="n">
        <v>162</v>
      </c>
      <c r="H2095" t="inlineStr">
        <is>
          <t>Y</t>
        </is>
      </c>
      <c r="I2095">
        <f>HYPERLINK("https://admin.shopify.com/store/ge-beauty-cosmeticos/customers/10074993852736","abrir")</f>
        <v/>
      </c>
      <c r="J2095">
        <f>HYPERLINK("https://www.gebeauty.com.br/products/primer-cachos-definidos?ref=review","review")</f>
        <v/>
      </c>
      <c r="K2095" t="inlineStr">
        <is>
          <t>SEND</t>
        </is>
      </c>
    </row>
    <row r="2096">
      <c r="A2096" t="inlineStr">
        <is>
          <t>Shirlei</t>
        </is>
      </c>
      <c r="B2096" t="inlineStr">
        <is>
          <t>+5511968658850</t>
        </is>
      </c>
      <c r="C2096" t="inlineStr">
        <is>
          <t>Refill</t>
        </is>
      </c>
      <c r="D2096" t="inlineStr">
        <is>
          <t>Primer Cachos</t>
        </is>
      </c>
      <c r="E2096" t="n">
        <v>1</v>
      </c>
      <c r="F2096" t="inlineStr">
        <is>
          <t>2026-01-23</t>
        </is>
      </c>
      <c r="G2096" t="n">
        <v>162</v>
      </c>
      <c r="H2096" t="inlineStr">
        <is>
          <t>Y</t>
        </is>
      </c>
      <c r="I2096">
        <f>HYPERLINK("https://admin.shopify.com/store/ge-beauty-cosmeticos/customers/10080230867264","abrir")</f>
        <v/>
      </c>
      <c r="J2096">
        <f>HYPERLINK("https://www.gebeauty.com.br/products/primer-cachos-definidos?ref=review","review")</f>
        <v/>
      </c>
      <c r="K2096" t="inlineStr">
        <is>
          <t>SEND</t>
        </is>
      </c>
    </row>
    <row r="2097">
      <c r="A2097" t="inlineStr">
        <is>
          <t>Aneliza</t>
        </is>
      </c>
      <c r="B2097" t="inlineStr">
        <is>
          <t>+5511985665032</t>
        </is>
      </c>
      <c r="C2097" t="inlineStr">
        <is>
          <t>Refill</t>
        </is>
      </c>
      <c r="D2097" t="inlineStr">
        <is>
          <t>Primer Cachos</t>
        </is>
      </c>
      <c r="E2097" t="n">
        <v>1</v>
      </c>
      <c r="F2097" t="inlineStr">
        <is>
          <t>2026-01-23</t>
        </is>
      </c>
      <c r="G2097" t="n">
        <v>162</v>
      </c>
      <c r="H2097" t="inlineStr">
        <is>
          <t>Y</t>
        </is>
      </c>
      <c r="I2097">
        <f>HYPERLINK("https://admin.shopify.com/store/ge-beauty-cosmeticos/customers/9485224739136","abrir")</f>
        <v/>
      </c>
      <c r="J2097">
        <f>HYPERLINK("https://www.gebeauty.com.br/products/primer-cachos-definidos?ref=review","review")</f>
        <v/>
      </c>
      <c r="K2097" t="inlineStr">
        <is>
          <t>SEND</t>
        </is>
      </c>
    </row>
    <row r="2098">
      <c r="A2098" t="inlineStr">
        <is>
          <t>Marly</t>
        </is>
      </c>
      <c r="B2098" t="inlineStr">
        <is>
          <t>+5511996000569</t>
        </is>
      </c>
      <c r="C2098" t="inlineStr">
        <is>
          <t>Refill</t>
        </is>
      </c>
      <c r="D2098" t="inlineStr">
        <is>
          <t>Primer Cachos</t>
        </is>
      </c>
      <c r="E2098" t="n">
        <v>1</v>
      </c>
      <c r="F2098" t="inlineStr">
        <is>
          <t>2026-01-23</t>
        </is>
      </c>
      <c r="G2098" t="n">
        <v>162</v>
      </c>
      <c r="H2098" t="inlineStr">
        <is>
          <t>Y</t>
        </is>
      </c>
      <c r="I2098">
        <f>HYPERLINK("https://admin.shopify.com/store/ge-beauty-cosmeticos/customers/10079144476992","abrir")</f>
        <v/>
      </c>
      <c r="J2098">
        <f>HYPERLINK("https://www.gebeauty.com.br/products/primer-cachos-definidos?ref=review","review")</f>
        <v/>
      </c>
      <c r="K2098" t="inlineStr">
        <is>
          <t>HOLDOUT</t>
        </is>
      </c>
    </row>
    <row r="2099">
      <c r="A2099" t="inlineStr">
        <is>
          <t>Laryssa</t>
        </is>
      </c>
      <c r="B2099" t="inlineStr">
        <is>
          <t>+5534991035990</t>
        </is>
      </c>
      <c r="C2099" t="inlineStr">
        <is>
          <t>Refill</t>
        </is>
      </c>
      <c r="D2099" t="inlineStr">
        <is>
          <t>Primer Cachos</t>
        </is>
      </c>
      <c r="E2099" t="n">
        <v>1</v>
      </c>
      <c r="F2099" t="inlineStr">
        <is>
          <t>2026-01-23</t>
        </is>
      </c>
      <c r="G2099" t="n">
        <v>162</v>
      </c>
      <c r="H2099" t="inlineStr">
        <is>
          <t>Y</t>
        </is>
      </c>
      <c r="I2099">
        <f>HYPERLINK("https://admin.shopify.com/store/ge-beauty-cosmeticos/customers/10080231063872","abrir")</f>
        <v/>
      </c>
      <c r="J2099">
        <f>HYPERLINK("https://www.gebeauty.com.br/products/primer-cachos-definidos?ref=review","review")</f>
        <v/>
      </c>
      <c r="K2099" t="inlineStr">
        <is>
          <t>SEND</t>
        </is>
      </c>
    </row>
    <row r="2100">
      <c r="A2100" t="inlineStr">
        <is>
          <t>Tatiana</t>
        </is>
      </c>
      <c r="B2100" t="inlineStr">
        <is>
          <t>+5521981821727</t>
        </is>
      </c>
      <c r="C2100" t="inlineStr">
        <is>
          <t>Refill</t>
        </is>
      </c>
      <c r="D2100" t="inlineStr">
        <is>
          <t>Primer Cachos</t>
        </is>
      </c>
      <c r="E2100" t="n">
        <v>1</v>
      </c>
      <c r="F2100" t="inlineStr">
        <is>
          <t>2026-01-23</t>
        </is>
      </c>
      <c r="G2100" t="n">
        <v>162</v>
      </c>
      <c r="H2100" t="inlineStr">
        <is>
          <t>Y</t>
        </is>
      </c>
      <c r="I2100">
        <f>HYPERLINK("https://admin.shopify.com/store/ge-beauty-cosmeticos/customers/10080275235136","abrir")</f>
        <v/>
      </c>
      <c r="J2100">
        <f>HYPERLINK("https://www.gebeauty.com.br/products/primer-cachos-definidos?ref=review","review")</f>
        <v/>
      </c>
      <c r="K2100" t="inlineStr">
        <is>
          <t>SEND</t>
        </is>
      </c>
    </row>
    <row r="2101">
      <c r="A2101" t="inlineStr">
        <is>
          <t>Debora</t>
        </is>
      </c>
      <c r="B2101" t="inlineStr">
        <is>
          <t>+5511981654818</t>
        </is>
      </c>
      <c r="C2101" t="inlineStr">
        <is>
          <t>Refill</t>
        </is>
      </c>
      <c r="D2101" t="inlineStr">
        <is>
          <t>Primer Cachos</t>
        </is>
      </c>
      <c r="E2101" t="n">
        <v>1</v>
      </c>
      <c r="F2101" t="inlineStr">
        <is>
          <t>2026-01-23</t>
        </is>
      </c>
      <c r="G2101" t="n">
        <v>162</v>
      </c>
      <c r="H2101" t="inlineStr">
        <is>
          <t>Y</t>
        </is>
      </c>
      <c r="I2101">
        <f>HYPERLINK("https://admin.shopify.com/store/ge-beauty-cosmeticos/customers/10053766283584","abrir")</f>
        <v/>
      </c>
      <c r="J2101">
        <f>HYPERLINK("https://www.gebeauty.com.br/products/primer-cachos-definidos?ref=review","review")</f>
        <v/>
      </c>
      <c r="K2101" t="inlineStr">
        <is>
          <t>SEND</t>
        </is>
      </c>
    </row>
    <row r="2102">
      <c r="A2102" t="inlineStr">
        <is>
          <t>Gabriela</t>
        </is>
      </c>
      <c r="B2102" t="inlineStr">
        <is>
          <t>+5571991950676</t>
        </is>
      </c>
      <c r="C2102" t="inlineStr">
        <is>
          <t>Refill</t>
        </is>
      </c>
      <c r="D2102" t="inlineStr">
        <is>
          <t>Primer Cachos</t>
        </is>
      </c>
      <c r="E2102" t="n">
        <v>1</v>
      </c>
      <c r="F2102" t="inlineStr">
        <is>
          <t>2026-01-23</t>
        </is>
      </c>
      <c r="G2102" t="n">
        <v>162</v>
      </c>
      <c r="H2102" t="inlineStr">
        <is>
          <t>Y</t>
        </is>
      </c>
      <c r="I2102">
        <f>HYPERLINK("https://admin.shopify.com/store/ge-beauty-cosmeticos/customers/10079867109696","abrir")</f>
        <v/>
      </c>
      <c r="J2102">
        <f>HYPERLINK("https://www.gebeauty.com.br/products/primer-cachos-definidos?ref=review","review")</f>
        <v/>
      </c>
      <c r="K2102" t="inlineStr">
        <is>
          <t>SEND</t>
        </is>
      </c>
    </row>
    <row r="2103">
      <c r="A2103" t="inlineStr">
        <is>
          <t>Kely</t>
        </is>
      </c>
      <c r="B2103" t="inlineStr">
        <is>
          <t>+5541999725300</t>
        </is>
      </c>
      <c r="C2103" t="inlineStr">
        <is>
          <t>Refill</t>
        </is>
      </c>
      <c r="D2103" t="inlineStr">
        <is>
          <t>Primer Cachos</t>
        </is>
      </c>
      <c r="E2103" t="n">
        <v>1</v>
      </c>
      <c r="F2103" t="inlineStr">
        <is>
          <t>2026-01-23</t>
        </is>
      </c>
      <c r="G2103" t="n">
        <v>162</v>
      </c>
      <c r="H2103" t="inlineStr">
        <is>
          <t>Y</t>
        </is>
      </c>
      <c r="I2103">
        <f>HYPERLINK("https://admin.shopify.com/store/ge-beauty-cosmeticos/customers/10080296206656","abrir")</f>
        <v/>
      </c>
      <c r="J2103">
        <f>HYPERLINK("https://www.gebeauty.com.br/products/primer-cachos-definidos?ref=review","review")</f>
        <v/>
      </c>
      <c r="K2103" t="inlineStr">
        <is>
          <t>SEND</t>
        </is>
      </c>
    </row>
    <row r="2104">
      <c r="A2104" t="inlineStr">
        <is>
          <t>Elaine</t>
        </is>
      </c>
      <c r="B2104" t="inlineStr">
        <is>
          <t>+5521987397889</t>
        </is>
      </c>
      <c r="C2104" t="inlineStr">
        <is>
          <t>Refill</t>
        </is>
      </c>
      <c r="D2104" t="inlineStr">
        <is>
          <t>Primer Cachos</t>
        </is>
      </c>
      <c r="E2104" t="n">
        <v>1</v>
      </c>
      <c r="F2104" t="inlineStr">
        <is>
          <t>2026-01-23</t>
        </is>
      </c>
      <c r="G2104" t="n">
        <v>162</v>
      </c>
      <c r="H2104" t="inlineStr">
        <is>
          <t>Y</t>
        </is>
      </c>
      <c r="I2104">
        <f>HYPERLINK("https://admin.shopify.com/store/ge-beauty-cosmeticos/customers/10080309281088","abrir")</f>
        <v/>
      </c>
      <c r="J2104">
        <f>HYPERLINK("https://www.gebeauty.com.br/products/primer-cachos-definidos?ref=review","review")</f>
        <v/>
      </c>
      <c r="K2104" t="inlineStr">
        <is>
          <t>SEND</t>
        </is>
      </c>
    </row>
    <row r="2105">
      <c r="A2105" t="inlineStr">
        <is>
          <t>Monalisa</t>
        </is>
      </c>
      <c r="B2105" t="inlineStr">
        <is>
          <t>+5537999825168</t>
        </is>
      </c>
      <c r="C2105" t="inlineStr">
        <is>
          <t>Refill</t>
        </is>
      </c>
      <c r="D2105" t="inlineStr">
        <is>
          <t>Primer Cachos</t>
        </is>
      </c>
      <c r="E2105" t="n">
        <v>1</v>
      </c>
      <c r="F2105" t="inlineStr">
        <is>
          <t>2026-01-23</t>
        </is>
      </c>
      <c r="G2105" t="n">
        <v>162</v>
      </c>
      <c r="H2105" t="inlineStr">
        <is>
          <t>Y</t>
        </is>
      </c>
      <c r="I2105">
        <f>HYPERLINK("https://admin.shopify.com/store/ge-beauty-cosmeticos/customers/10080312033600","abrir")</f>
        <v/>
      </c>
      <c r="J2105">
        <f>HYPERLINK("https://www.gebeauty.com.br/products/primer-cachos-definidos?ref=review","review")</f>
        <v/>
      </c>
      <c r="K2105" t="inlineStr">
        <is>
          <t>SEND</t>
        </is>
      </c>
    </row>
    <row r="2106">
      <c r="A2106" t="inlineStr">
        <is>
          <t>Ludmila</t>
        </is>
      </c>
      <c r="B2106" t="inlineStr">
        <is>
          <t>+5562984769279</t>
        </is>
      </c>
      <c r="C2106" t="inlineStr">
        <is>
          <t>Refill</t>
        </is>
      </c>
      <c r="D2106" t="inlineStr">
        <is>
          <t>Primer Cachos</t>
        </is>
      </c>
      <c r="E2106" t="n">
        <v>1</v>
      </c>
      <c r="F2106" t="inlineStr">
        <is>
          <t>2026-01-23</t>
        </is>
      </c>
      <c r="G2106" t="n">
        <v>162</v>
      </c>
      <c r="H2106" t="inlineStr">
        <is>
          <t>Y</t>
        </is>
      </c>
      <c r="I2106">
        <f>HYPERLINK("https://admin.shopify.com/store/ge-beauty-cosmeticos/customers/10080319701312","abrir")</f>
        <v/>
      </c>
      <c r="J2106">
        <f>HYPERLINK("https://www.gebeauty.com.br/products/primer-cachos-definidos?ref=review","review")</f>
        <v/>
      </c>
      <c r="K2106" t="inlineStr">
        <is>
          <t>SEND</t>
        </is>
      </c>
    </row>
    <row r="2107">
      <c r="A2107" t="inlineStr">
        <is>
          <t>Rochelle</t>
        </is>
      </c>
      <c r="B2107" t="inlineStr">
        <is>
          <t>+5519992225304</t>
        </is>
      </c>
      <c r="C2107" t="inlineStr">
        <is>
          <t>Refill</t>
        </is>
      </c>
      <c r="D2107" t="inlineStr">
        <is>
          <t>Primer Cachos</t>
        </is>
      </c>
      <c r="E2107" t="n">
        <v>1</v>
      </c>
      <c r="F2107" t="inlineStr">
        <is>
          <t>2026-01-23</t>
        </is>
      </c>
      <c r="G2107" t="n">
        <v>162</v>
      </c>
      <c r="H2107" t="inlineStr">
        <is>
          <t>Y</t>
        </is>
      </c>
      <c r="I2107">
        <f>HYPERLINK("https://admin.shopify.com/store/ge-beauty-cosmeticos/customers/10080333300032","abrir")</f>
        <v/>
      </c>
      <c r="J2107">
        <f>HYPERLINK("https://www.gebeauty.com.br/products/primer-cachos-definidos?ref=review","review")</f>
        <v/>
      </c>
      <c r="K2107" t="inlineStr">
        <is>
          <t>SEND</t>
        </is>
      </c>
    </row>
    <row r="2108">
      <c r="A2108" t="inlineStr">
        <is>
          <t>Adriana</t>
        </is>
      </c>
      <c r="B2108" t="inlineStr">
        <is>
          <t>+5585987854125</t>
        </is>
      </c>
      <c r="C2108" t="inlineStr">
        <is>
          <t>Refill</t>
        </is>
      </c>
      <c r="D2108" t="inlineStr">
        <is>
          <t>Primer Cachos</t>
        </is>
      </c>
      <c r="E2108" t="n">
        <v>1</v>
      </c>
      <c r="F2108" t="inlineStr">
        <is>
          <t>2026-01-23</t>
        </is>
      </c>
      <c r="G2108" t="n">
        <v>162</v>
      </c>
      <c r="H2108" t="inlineStr">
        <is>
          <t>Y</t>
        </is>
      </c>
      <c r="I2108">
        <f>HYPERLINK("https://admin.shopify.com/store/ge-beauty-cosmeticos/customers/10080351355200","abrir")</f>
        <v/>
      </c>
      <c r="J2108">
        <f>HYPERLINK("https://www.gebeauty.com.br/products/primer-cachos-definidos?ref=review","review")</f>
        <v/>
      </c>
      <c r="K2108" t="inlineStr">
        <is>
          <t>SEND</t>
        </is>
      </c>
    </row>
    <row r="2109">
      <c r="A2109" t="inlineStr">
        <is>
          <t>Cristiane</t>
        </is>
      </c>
      <c r="B2109" t="inlineStr">
        <is>
          <t>+5551998187799</t>
        </is>
      </c>
      <c r="C2109" t="inlineStr">
        <is>
          <t>Refill</t>
        </is>
      </c>
      <c r="D2109" t="inlineStr">
        <is>
          <t>Primer Cachos</t>
        </is>
      </c>
      <c r="E2109" t="n">
        <v>1</v>
      </c>
      <c r="F2109" t="inlineStr">
        <is>
          <t>2026-01-23</t>
        </is>
      </c>
      <c r="G2109" t="n">
        <v>162</v>
      </c>
      <c r="H2109" t="inlineStr">
        <is>
          <t>Y</t>
        </is>
      </c>
      <c r="I2109">
        <f>HYPERLINK("https://admin.shopify.com/store/ge-beauty-cosmeticos/customers/10074043777344","abrir")</f>
        <v/>
      </c>
      <c r="J2109">
        <f>HYPERLINK("https://www.gebeauty.com.br/products/primer-cachos-definidos?ref=review","review")</f>
        <v/>
      </c>
      <c r="K2109" t="inlineStr">
        <is>
          <t>SEND</t>
        </is>
      </c>
    </row>
    <row r="2110">
      <c r="A2110" t="inlineStr">
        <is>
          <t>Patricia</t>
        </is>
      </c>
      <c r="B2110" t="inlineStr">
        <is>
          <t>+5521999230732</t>
        </is>
      </c>
      <c r="C2110" t="inlineStr">
        <is>
          <t>Refill</t>
        </is>
      </c>
      <c r="D2110" t="inlineStr">
        <is>
          <t>Primer Cachos</t>
        </is>
      </c>
      <c r="E2110" t="n">
        <v>1</v>
      </c>
      <c r="F2110" t="inlineStr">
        <is>
          <t>2026-01-23</t>
        </is>
      </c>
      <c r="G2110" t="n">
        <v>162</v>
      </c>
      <c r="H2110" t="inlineStr">
        <is>
          <t>Y</t>
        </is>
      </c>
      <c r="I2110">
        <f>HYPERLINK("https://admin.shopify.com/store/ge-beauty-cosmeticos/customers/10080386777408","abrir")</f>
        <v/>
      </c>
      <c r="J2110">
        <f>HYPERLINK("https://www.gebeauty.com.br/products/primer-cachos-definidos?ref=review","review")</f>
        <v/>
      </c>
      <c r="K2110" t="inlineStr">
        <is>
          <t>SEND</t>
        </is>
      </c>
    </row>
    <row r="2111">
      <c r="A2111" t="inlineStr">
        <is>
          <t>Gabriella</t>
        </is>
      </c>
      <c r="B2111" t="inlineStr">
        <is>
          <t>+5562981014615</t>
        </is>
      </c>
      <c r="C2111" t="inlineStr">
        <is>
          <t>Refill</t>
        </is>
      </c>
      <c r="D2111" t="inlineStr">
        <is>
          <t>Primer Cachos</t>
        </is>
      </c>
      <c r="E2111" t="n">
        <v>1</v>
      </c>
      <c r="F2111" t="inlineStr">
        <is>
          <t>2026-01-23</t>
        </is>
      </c>
      <c r="G2111" t="n">
        <v>162</v>
      </c>
      <c r="H2111" t="inlineStr">
        <is>
          <t>Y</t>
        </is>
      </c>
      <c r="I2111">
        <f>HYPERLINK("https://admin.shopify.com/store/ge-beauty-cosmeticos/customers/10080395002176","abrir")</f>
        <v/>
      </c>
      <c r="J2111">
        <f>HYPERLINK("https://www.gebeauty.com.br/products/primer-cachos-definidos?ref=review","review")</f>
        <v/>
      </c>
      <c r="K2111" t="inlineStr">
        <is>
          <t>SEND</t>
        </is>
      </c>
    </row>
    <row r="2112">
      <c r="A2112" t="inlineStr">
        <is>
          <t>Angélica</t>
        </is>
      </c>
      <c r="B2112" t="inlineStr">
        <is>
          <t>+5521981772277</t>
        </is>
      </c>
      <c r="C2112" t="inlineStr">
        <is>
          <t>Refill</t>
        </is>
      </c>
      <c r="D2112" t="inlineStr">
        <is>
          <t>Primer Cachos</t>
        </is>
      </c>
      <c r="E2112" t="n">
        <v>1</v>
      </c>
      <c r="F2112" t="inlineStr">
        <is>
          <t>2026-01-23</t>
        </is>
      </c>
      <c r="G2112" t="n">
        <v>162</v>
      </c>
      <c r="H2112" t="inlineStr">
        <is>
          <t>Y</t>
        </is>
      </c>
      <c r="I2112">
        <f>HYPERLINK("https://admin.shopify.com/store/ge-beauty-cosmeticos/customers/10080045891904","abrir")</f>
        <v/>
      </c>
      <c r="J2112">
        <f>HYPERLINK("https://www.gebeauty.com.br/products/primer-cachos-definidos?ref=review","review")</f>
        <v/>
      </c>
      <c r="K2112" t="inlineStr">
        <is>
          <t>SEND</t>
        </is>
      </c>
    </row>
    <row r="2113">
      <c r="A2113" t="inlineStr">
        <is>
          <t>Maria Rita</t>
        </is>
      </c>
      <c r="B2113" t="inlineStr">
        <is>
          <t>+5516999626622</t>
        </is>
      </c>
      <c r="C2113" t="inlineStr">
        <is>
          <t>Refill</t>
        </is>
      </c>
      <c r="D2113" t="inlineStr">
        <is>
          <t>Primer Cachos</t>
        </is>
      </c>
      <c r="E2113" t="n">
        <v>1</v>
      </c>
      <c r="F2113" t="inlineStr">
        <is>
          <t>2026-01-23</t>
        </is>
      </c>
      <c r="G2113" t="n">
        <v>162</v>
      </c>
      <c r="H2113" t="inlineStr">
        <is>
          <t>Y</t>
        </is>
      </c>
      <c r="I2113">
        <f>HYPERLINK("https://admin.shopify.com/store/ge-beauty-cosmeticos/customers/10080420921664","abrir")</f>
        <v/>
      </c>
      <c r="J2113">
        <f>HYPERLINK("https://www.gebeauty.com.br/products/primer-cachos-definidos?ref=review","review")</f>
        <v/>
      </c>
      <c r="K2113" t="inlineStr">
        <is>
          <t>SEND</t>
        </is>
      </c>
    </row>
    <row r="2114">
      <c r="A2114" t="inlineStr">
        <is>
          <t>Bianca</t>
        </is>
      </c>
      <c r="B2114" t="inlineStr">
        <is>
          <t>+5521988523430</t>
        </is>
      </c>
      <c r="C2114" t="inlineStr">
        <is>
          <t>Refill</t>
        </is>
      </c>
      <c r="D2114" t="inlineStr">
        <is>
          <t>Primer Cachos</t>
        </is>
      </c>
      <c r="E2114" t="n">
        <v>1</v>
      </c>
      <c r="F2114" t="inlineStr">
        <is>
          <t>2026-01-23</t>
        </is>
      </c>
      <c r="G2114" t="n">
        <v>162</v>
      </c>
      <c r="H2114" t="inlineStr">
        <is>
          <t>Y</t>
        </is>
      </c>
      <c r="I2114">
        <f>HYPERLINK("https://admin.shopify.com/store/ge-beauty-cosmeticos/customers/10080426524992","abrir")</f>
        <v/>
      </c>
      <c r="J2114">
        <f>HYPERLINK("https://www.gebeauty.com.br/products/primer-cachos-definidos?ref=review","review")</f>
        <v/>
      </c>
      <c r="K2114" t="inlineStr">
        <is>
          <t>HOLDOUT</t>
        </is>
      </c>
    </row>
    <row r="2115">
      <c r="A2115" t="inlineStr">
        <is>
          <t>Andrea</t>
        </is>
      </c>
      <c r="B2115" t="inlineStr">
        <is>
          <t>+5531993252753</t>
        </is>
      </c>
      <c r="C2115" t="inlineStr">
        <is>
          <t>Refill</t>
        </is>
      </c>
      <c r="D2115" t="inlineStr">
        <is>
          <t>Primer Cachos</t>
        </is>
      </c>
      <c r="E2115" t="n">
        <v>1</v>
      </c>
      <c r="F2115" t="inlineStr">
        <is>
          <t>2026-01-23</t>
        </is>
      </c>
      <c r="G2115" t="n">
        <v>162</v>
      </c>
      <c r="H2115" t="inlineStr">
        <is>
          <t>Y</t>
        </is>
      </c>
      <c r="I2115">
        <f>HYPERLINK("https://admin.shopify.com/store/ge-beauty-cosmeticos/customers/10077100048704","abrir")</f>
        <v/>
      </c>
      <c r="J2115">
        <f>HYPERLINK("https://www.gebeauty.com.br/products/primer-cachos-definidos?ref=review","review")</f>
        <v/>
      </c>
      <c r="K2115" t="inlineStr">
        <is>
          <t>HOLDOUT</t>
        </is>
      </c>
    </row>
    <row r="2116">
      <c r="A2116" t="inlineStr">
        <is>
          <t>Flavia</t>
        </is>
      </c>
      <c r="B2116" t="inlineStr">
        <is>
          <t>+5511991028889</t>
        </is>
      </c>
      <c r="C2116" t="inlineStr">
        <is>
          <t>Refill</t>
        </is>
      </c>
      <c r="D2116" t="inlineStr">
        <is>
          <t>Primer Cachos</t>
        </is>
      </c>
      <c r="E2116" t="n">
        <v>1</v>
      </c>
      <c r="F2116" t="inlineStr">
        <is>
          <t>2026-01-23</t>
        </is>
      </c>
      <c r="G2116" t="n">
        <v>162</v>
      </c>
      <c r="H2116" t="inlineStr">
        <is>
          <t>Y</t>
        </is>
      </c>
      <c r="I2116">
        <f>HYPERLINK("https://admin.shopify.com/store/ge-beauty-cosmeticos/customers/10080423805248","abrir")</f>
        <v/>
      </c>
      <c r="J2116">
        <f>HYPERLINK("https://www.gebeauty.com.br/products/primer-cachos-definidos?ref=review","review")</f>
        <v/>
      </c>
      <c r="K2116" t="inlineStr">
        <is>
          <t>SEND</t>
        </is>
      </c>
    </row>
    <row r="2117">
      <c r="A2117" t="inlineStr">
        <is>
          <t>Helena</t>
        </is>
      </c>
      <c r="B2117" t="inlineStr">
        <is>
          <t>+5585999920727</t>
        </is>
      </c>
      <c r="C2117" t="inlineStr">
        <is>
          <t>Refill</t>
        </is>
      </c>
      <c r="D2117" t="inlineStr">
        <is>
          <t>Primer Cachos</t>
        </is>
      </c>
      <c r="E2117" t="n">
        <v>1</v>
      </c>
      <c r="F2117" t="inlineStr">
        <is>
          <t>2026-01-23</t>
        </is>
      </c>
      <c r="G2117" t="n">
        <v>162</v>
      </c>
      <c r="H2117" t="inlineStr">
        <is>
          <t>Y</t>
        </is>
      </c>
      <c r="I2117">
        <f>HYPERLINK("https://admin.shopify.com/store/ge-beauty-cosmeticos/customers/9253409587520","abrir")</f>
        <v/>
      </c>
      <c r="J2117">
        <f>HYPERLINK("https://www.gebeauty.com.br/products/primer-cachos-definidos?ref=review","review")</f>
        <v/>
      </c>
      <c r="K2117" t="inlineStr">
        <is>
          <t>SEND</t>
        </is>
      </c>
    </row>
    <row r="2118">
      <c r="A2118" t="inlineStr">
        <is>
          <t>Lucilene</t>
        </is>
      </c>
      <c r="B2118" t="inlineStr">
        <is>
          <t>+5521980542000</t>
        </is>
      </c>
      <c r="C2118" t="inlineStr">
        <is>
          <t>Refill</t>
        </is>
      </c>
      <c r="D2118" t="inlineStr">
        <is>
          <t>Primer Cachos</t>
        </is>
      </c>
      <c r="E2118" t="n">
        <v>1</v>
      </c>
      <c r="F2118" t="inlineStr">
        <is>
          <t>2026-01-23</t>
        </is>
      </c>
      <c r="G2118" t="n">
        <v>162</v>
      </c>
      <c r="H2118" t="inlineStr">
        <is>
          <t>Y</t>
        </is>
      </c>
      <c r="I2118">
        <f>HYPERLINK("https://admin.shopify.com/store/ge-beauty-cosmeticos/customers/10080477544768","abrir")</f>
        <v/>
      </c>
      <c r="J2118">
        <f>HYPERLINK("https://www.gebeauty.com.br/products/primer-cachos-definidos?ref=review","review")</f>
        <v/>
      </c>
      <c r="K2118" t="inlineStr">
        <is>
          <t>SEND</t>
        </is>
      </c>
    </row>
    <row r="2119">
      <c r="A2119" t="inlineStr">
        <is>
          <t>Raquel Mara</t>
        </is>
      </c>
      <c r="B2119" t="inlineStr">
        <is>
          <t>+5531992610731</t>
        </is>
      </c>
      <c r="C2119" t="inlineStr">
        <is>
          <t>Refill</t>
        </is>
      </c>
      <c r="D2119" t="inlineStr">
        <is>
          <t>Primer Cachos</t>
        </is>
      </c>
      <c r="E2119" t="n">
        <v>1</v>
      </c>
      <c r="F2119" t="inlineStr">
        <is>
          <t>2026-01-23</t>
        </is>
      </c>
      <c r="G2119" t="n">
        <v>162</v>
      </c>
      <c r="H2119" t="inlineStr">
        <is>
          <t>Y</t>
        </is>
      </c>
      <c r="I2119">
        <f>HYPERLINK("https://admin.shopify.com/store/ge-beauty-cosmeticos/customers/10080472990016","abrir")</f>
        <v/>
      </c>
      <c r="J2119">
        <f>HYPERLINK("https://www.gebeauty.com.br/products/primer-cachos-definidos?ref=review","review")</f>
        <v/>
      </c>
      <c r="K2119" t="inlineStr">
        <is>
          <t>SEND</t>
        </is>
      </c>
    </row>
    <row r="2120">
      <c r="A2120" t="inlineStr">
        <is>
          <t>Ana Carolina</t>
        </is>
      </c>
      <c r="B2120" t="inlineStr">
        <is>
          <t>+5561992331294</t>
        </is>
      </c>
      <c r="C2120" t="inlineStr">
        <is>
          <t>Refill</t>
        </is>
      </c>
      <c r="D2120" t="inlineStr">
        <is>
          <t>Primer Cachos</t>
        </is>
      </c>
      <c r="E2120" t="n">
        <v>1</v>
      </c>
      <c r="F2120" t="inlineStr">
        <is>
          <t>2026-01-23</t>
        </is>
      </c>
      <c r="G2120" t="n">
        <v>162</v>
      </c>
      <c r="H2120" t="inlineStr">
        <is>
          <t>Y</t>
        </is>
      </c>
      <c r="I2120">
        <f>HYPERLINK("https://admin.shopify.com/store/ge-beauty-cosmeticos/customers/10080489832768","abrir")</f>
        <v/>
      </c>
      <c r="J2120">
        <f>HYPERLINK("https://www.gebeauty.com.br/products/primer-cachos-definidos?ref=review","review")</f>
        <v/>
      </c>
      <c r="K2120" t="inlineStr">
        <is>
          <t>SEND</t>
        </is>
      </c>
    </row>
    <row r="2121">
      <c r="A2121" t="inlineStr">
        <is>
          <t>Nicolle</t>
        </is>
      </c>
      <c r="B2121" t="inlineStr">
        <is>
          <t>+5585992282207</t>
        </is>
      </c>
      <c r="C2121" t="inlineStr">
        <is>
          <t>Refill</t>
        </is>
      </c>
      <c r="D2121" t="inlineStr">
        <is>
          <t>Primer Cachos</t>
        </is>
      </c>
      <c r="E2121" t="n">
        <v>1</v>
      </c>
      <c r="F2121" t="inlineStr">
        <is>
          <t>2026-01-23</t>
        </is>
      </c>
      <c r="G2121" t="n">
        <v>162</v>
      </c>
      <c r="H2121" t="inlineStr">
        <is>
          <t>Y</t>
        </is>
      </c>
      <c r="I2121">
        <f>HYPERLINK("https://admin.shopify.com/store/ge-beauty-cosmeticos/customers/9485788119360","abrir")</f>
        <v/>
      </c>
      <c r="J2121">
        <f>HYPERLINK("https://www.gebeauty.com.br/products/primer-cachos-definidos?ref=review","review")</f>
        <v/>
      </c>
      <c r="K2121" t="inlineStr">
        <is>
          <t>SEND</t>
        </is>
      </c>
    </row>
    <row r="2122">
      <c r="A2122" t="inlineStr">
        <is>
          <t>Adriana</t>
        </is>
      </c>
      <c r="B2122" t="inlineStr">
        <is>
          <t>+5564999831119</t>
        </is>
      </c>
      <c r="C2122" t="inlineStr">
        <is>
          <t>Refill</t>
        </is>
      </c>
      <c r="D2122" t="inlineStr">
        <is>
          <t>Primer Cachos</t>
        </is>
      </c>
      <c r="E2122" t="n">
        <v>1</v>
      </c>
      <c r="F2122" t="inlineStr">
        <is>
          <t>2026-01-23</t>
        </is>
      </c>
      <c r="G2122" t="n">
        <v>162</v>
      </c>
      <c r="H2122" t="inlineStr">
        <is>
          <t>Y</t>
        </is>
      </c>
      <c r="I2122">
        <f>HYPERLINK("https://admin.shopify.com/store/ge-beauty-cosmeticos/customers/10080523878720","abrir")</f>
        <v/>
      </c>
      <c r="J2122">
        <f>HYPERLINK("https://www.gebeauty.com.br/products/primer-cachos-definidos?ref=review","review")</f>
        <v/>
      </c>
      <c r="K2122" t="inlineStr">
        <is>
          <t>SEND</t>
        </is>
      </c>
    </row>
    <row r="2123">
      <c r="A2123" t="inlineStr">
        <is>
          <t>Camila</t>
        </is>
      </c>
      <c r="B2123" t="inlineStr">
        <is>
          <t>+5581991666127</t>
        </is>
      </c>
      <c r="C2123" t="inlineStr">
        <is>
          <t>Refill</t>
        </is>
      </c>
      <c r="D2123" t="inlineStr">
        <is>
          <t>Primer Cachos</t>
        </is>
      </c>
      <c r="E2123" t="n">
        <v>1</v>
      </c>
      <c r="F2123" t="inlineStr">
        <is>
          <t>2026-01-23</t>
        </is>
      </c>
      <c r="G2123" t="n">
        <v>162</v>
      </c>
      <c r="H2123" t="inlineStr">
        <is>
          <t>Y</t>
        </is>
      </c>
      <c r="I2123">
        <f>HYPERLINK("https://admin.shopify.com/store/ge-beauty-cosmeticos/customers/9486201258304","abrir")</f>
        <v/>
      </c>
      <c r="J2123">
        <f>HYPERLINK("https://www.gebeauty.com.br/products/primer-cachos-definidos?ref=review","review")</f>
        <v/>
      </c>
      <c r="K2123" t="inlineStr">
        <is>
          <t>SEND</t>
        </is>
      </c>
    </row>
    <row r="2124">
      <c r="A2124" t="inlineStr">
        <is>
          <t>Jéssica</t>
        </is>
      </c>
      <c r="B2124" t="inlineStr">
        <is>
          <t>+5519991256220</t>
        </is>
      </c>
      <c r="C2124" t="inlineStr">
        <is>
          <t>Refill</t>
        </is>
      </c>
      <c r="D2124" t="inlineStr">
        <is>
          <t>Primer Cachos</t>
        </is>
      </c>
      <c r="E2124" t="n">
        <v>1</v>
      </c>
      <c r="F2124" t="inlineStr">
        <is>
          <t>2026-01-23</t>
        </is>
      </c>
      <c r="G2124" t="n">
        <v>162</v>
      </c>
      <c r="H2124" t="inlineStr">
        <is>
          <t>Y</t>
        </is>
      </c>
      <c r="I2124">
        <f>HYPERLINK("https://admin.shopify.com/store/ge-beauty-cosmeticos/customers/10060212109632","abrir")</f>
        <v/>
      </c>
      <c r="J2124">
        <f>HYPERLINK("https://www.gebeauty.com.br/products/primer-cachos-definidos?ref=review","review")</f>
        <v/>
      </c>
      <c r="K2124" t="inlineStr">
        <is>
          <t>SEND</t>
        </is>
      </c>
    </row>
    <row r="2125">
      <c r="A2125" t="inlineStr">
        <is>
          <t>Ágata</t>
        </is>
      </c>
      <c r="B2125" t="inlineStr">
        <is>
          <t>+5511986968393</t>
        </is>
      </c>
      <c r="C2125" t="inlineStr">
        <is>
          <t>Refill</t>
        </is>
      </c>
      <c r="D2125" t="inlineStr">
        <is>
          <t>Primer Cachos</t>
        </is>
      </c>
      <c r="E2125" t="n">
        <v>1</v>
      </c>
      <c r="F2125" t="inlineStr">
        <is>
          <t>2026-01-23</t>
        </is>
      </c>
      <c r="G2125" t="n">
        <v>162</v>
      </c>
      <c r="H2125" t="inlineStr">
        <is>
          <t>Y</t>
        </is>
      </c>
      <c r="I2125">
        <f>HYPERLINK("https://admin.shopify.com/store/ge-beauty-cosmeticos/customers/10079238324544","abrir")</f>
        <v/>
      </c>
      <c r="J2125">
        <f>HYPERLINK("https://www.gebeauty.com.br/products/primer-cachos-definidos?ref=review","review")</f>
        <v/>
      </c>
      <c r="K2125" t="inlineStr">
        <is>
          <t>SEND</t>
        </is>
      </c>
    </row>
    <row r="2126">
      <c r="A2126" t="inlineStr">
        <is>
          <t>Heloisa</t>
        </is>
      </c>
      <c r="B2126" t="inlineStr">
        <is>
          <t>+5514997524479</t>
        </is>
      </c>
      <c r="C2126" t="inlineStr">
        <is>
          <t>Refill</t>
        </is>
      </c>
      <c r="D2126" t="inlineStr">
        <is>
          <t>Primer Cachos</t>
        </is>
      </c>
      <c r="E2126" t="n">
        <v>1</v>
      </c>
      <c r="F2126" t="inlineStr">
        <is>
          <t>2026-01-23</t>
        </is>
      </c>
      <c r="G2126" t="n">
        <v>162</v>
      </c>
      <c r="H2126" t="inlineStr">
        <is>
          <t>Y</t>
        </is>
      </c>
      <c r="I2126">
        <f>HYPERLINK("https://admin.shopify.com/store/ge-beauty-cosmeticos/customers/10080577061184","abrir")</f>
        <v/>
      </c>
      <c r="J2126">
        <f>HYPERLINK("https://www.gebeauty.com.br/products/primer-cachos-definidos?ref=review","review")</f>
        <v/>
      </c>
      <c r="K2126" t="inlineStr">
        <is>
          <t>SEND</t>
        </is>
      </c>
    </row>
    <row r="2127">
      <c r="A2127" t="inlineStr">
        <is>
          <t>Carolina</t>
        </is>
      </c>
      <c r="B2127" t="inlineStr">
        <is>
          <t>+5511981428008</t>
        </is>
      </c>
      <c r="C2127" t="inlineStr">
        <is>
          <t>Refill</t>
        </is>
      </c>
      <c r="D2127" t="inlineStr">
        <is>
          <t>Primer Cachos</t>
        </is>
      </c>
      <c r="E2127" t="n">
        <v>1</v>
      </c>
      <c r="F2127" t="inlineStr">
        <is>
          <t>2026-01-23</t>
        </is>
      </c>
      <c r="G2127" t="n">
        <v>162</v>
      </c>
      <c r="H2127" t="inlineStr">
        <is>
          <t>Y</t>
        </is>
      </c>
      <c r="I2127">
        <f>HYPERLINK("https://admin.shopify.com/store/ge-beauty-cosmeticos/customers/10078936826176","abrir")</f>
        <v/>
      </c>
      <c r="J2127">
        <f>HYPERLINK("https://www.gebeauty.com.br/products/primer-cachos-definidos?ref=review","review")</f>
        <v/>
      </c>
      <c r="K2127" t="inlineStr">
        <is>
          <t>SEND</t>
        </is>
      </c>
    </row>
    <row r="2128">
      <c r="A2128" t="inlineStr">
        <is>
          <t>Beatriz</t>
        </is>
      </c>
      <c r="B2128" t="inlineStr">
        <is>
          <t>+5511959867034</t>
        </is>
      </c>
      <c r="C2128" t="inlineStr">
        <is>
          <t>Refill</t>
        </is>
      </c>
      <c r="D2128" t="inlineStr">
        <is>
          <t>Primer Cachos</t>
        </is>
      </c>
      <c r="E2128" t="n">
        <v>1</v>
      </c>
      <c r="F2128" t="inlineStr">
        <is>
          <t>2026-01-23</t>
        </is>
      </c>
      <c r="G2128" t="n">
        <v>162</v>
      </c>
      <c r="H2128" t="inlineStr">
        <is>
          <t>N</t>
        </is>
      </c>
      <c r="I2128">
        <f>HYPERLINK("https://admin.shopify.com/store/ge-beauty-cosmeticos/customers/10080583090496","abrir")</f>
        <v/>
      </c>
      <c r="J2128">
        <f>HYPERLINK("https://www.gebeauty.com.br/products/primer-cachos-definidos?ref=review","review")</f>
        <v/>
      </c>
      <c r="K2128" t="inlineStr">
        <is>
          <t>SEND</t>
        </is>
      </c>
    </row>
    <row r="2129">
      <c r="A2129" t="inlineStr">
        <is>
          <t>Karla</t>
        </is>
      </c>
      <c r="B2129" t="inlineStr">
        <is>
          <t>+5547988499599</t>
        </is>
      </c>
      <c r="C2129" t="inlineStr">
        <is>
          <t>Refill</t>
        </is>
      </c>
      <c r="D2129" t="inlineStr">
        <is>
          <t>Primer Cachos</t>
        </is>
      </c>
      <c r="E2129" t="n">
        <v>1</v>
      </c>
      <c r="F2129" t="inlineStr">
        <is>
          <t>2026-01-23</t>
        </is>
      </c>
      <c r="G2129" t="n">
        <v>162</v>
      </c>
      <c r="H2129" t="inlineStr">
        <is>
          <t>Y</t>
        </is>
      </c>
      <c r="I2129">
        <f>HYPERLINK("https://admin.shopify.com/store/ge-beauty-cosmeticos/customers/8352803324224","abrir")</f>
        <v/>
      </c>
      <c r="J2129">
        <f>HYPERLINK("https://www.gebeauty.com.br/products/primer-cachos-definidos?ref=review","review")</f>
        <v/>
      </c>
      <c r="K2129" t="inlineStr">
        <is>
          <t>HOLDOUT</t>
        </is>
      </c>
    </row>
    <row r="2130">
      <c r="A2130" t="inlineStr">
        <is>
          <t>Eugenia</t>
        </is>
      </c>
      <c r="B2130" t="inlineStr">
        <is>
          <t>+551932431045</t>
        </is>
      </c>
      <c r="C2130" t="inlineStr">
        <is>
          <t>Refill</t>
        </is>
      </c>
      <c r="D2130" t="inlineStr">
        <is>
          <t>Primer Cachos</t>
        </is>
      </c>
      <c r="E2130" t="n">
        <v>1</v>
      </c>
      <c r="F2130" t="inlineStr">
        <is>
          <t>2026-01-23</t>
        </is>
      </c>
      <c r="G2130" t="n">
        <v>162</v>
      </c>
      <c r="H2130" t="inlineStr">
        <is>
          <t>Y</t>
        </is>
      </c>
      <c r="I2130">
        <f>HYPERLINK("https://admin.shopify.com/store/ge-beauty-cosmeticos/customers/10080618053952","abrir")</f>
        <v/>
      </c>
      <c r="J2130">
        <f>HYPERLINK("https://www.gebeauty.com.br/products/primer-cachos-definidos?ref=review","review")</f>
        <v/>
      </c>
      <c r="K2130" t="inlineStr">
        <is>
          <t>SEND</t>
        </is>
      </c>
    </row>
    <row r="2131">
      <c r="A2131" t="inlineStr">
        <is>
          <t>Flavia</t>
        </is>
      </c>
      <c r="B2131" t="inlineStr">
        <is>
          <t>+5511994149164</t>
        </is>
      </c>
      <c r="C2131" t="inlineStr">
        <is>
          <t>Refill</t>
        </is>
      </c>
      <c r="D2131" t="inlineStr">
        <is>
          <t>Primer Cachos</t>
        </is>
      </c>
      <c r="E2131" t="n">
        <v>1</v>
      </c>
      <c r="F2131" t="inlineStr">
        <is>
          <t>2026-01-23</t>
        </is>
      </c>
      <c r="G2131" t="n">
        <v>162</v>
      </c>
      <c r="H2131" t="inlineStr">
        <is>
          <t>Y</t>
        </is>
      </c>
      <c r="I2131">
        <f>HYPERLINK("https://admin.shopify.com/store/ge-beauty-cosmeticos/customers/8277384954176","abrir")</f>
        <v/>
      </c>
      <c r="J2131">
        <f>HYPERLINK("https://www.gebeauty.com.br/products/primer-cachos-definidos?ref=review","review")</f>
        <v/>
      </c>
      <c r="K2131" t="inlineStr">
        <is>
          <t>SEND</t>
        </is>
      </c>
    </row>
    <row r="2132">
      <c r="A2132" t="inlineStr">
        <is>
          <t>Ana</t>
        </is>
      </c>
      <c r="B2132" t="inlineStr">
        <is>
          <t>+5581988602607</t>
        </is>
      </c>
      <c r="C2132" t="inlineStr">
        <is>
          <t>Refill</t>
        </is>
      </c>
      <c r="D2132" t="inlineStr">
        <is>
          <t>Primer Cachos</t>
        </is>
      </c>
      <c r="E2132" t="n">
        <v>1</v>
      </c>
      <c r="F2132" t="inlineStr">
        <is>
          <t>2026-01-23</t>
        </is>
      </c>
      <c r="G2132" t="n">
        <v>162</v>
      </c>
      <c r="H2132" t="inlineStr">
        <is>
          <t>Y</t>
        </is>
      </c>
      <c r="I2132">
        <f>HYPERLINK("https://admin.shopify.com/store/ge-beauty-cosmeticos/customers/10080626114880","abrir")</f>
        <v/>
      </c>
      <c r="J2132">
        <f>HYPERLINK("https://www.gebeauty.com.br/products/primer-cachos-definidos?ref=review","review")</f>
        <v/>
      </c>
      <c r="K2132" t="inlineStr">
        <is>
          <t>SEND</t>
        </is>
      </c>
    </row>
    <row r="2133">
      <c r="A2133" t="inlineStr">
        <is>
          <t>Rosane de Fatima</t>
        </is>
      </c>
      <c r="B2133" t="inlineStr">
        <is>
          <t>+5548984134332</t>
        </is>
      </c>
      <c r="C2133" t="inlineStr">
        <is>
          <t>Refill</t>
        </is>
      </c>
      <c r="D2133" t="inlineStr">
        <is>
          <t>Primer Cachos</t>
        </is>
      </c>
      <c r="E2133" t="n">
        <v>1</v>
      </c>
      <c r="F2133" t="inlineStr">
        <is>
          <t>2026-01-23</t>
        </is>
      </c>
      <c r="G2133" t="n">
        <v>162</v>
      </c>
      <c r="H2133" t="inlineStr">
        <is>
          <t>Y</t>
        </is>
      </c>
      <c r="I2133">
        <f>HYPERLINK("https://admin.shopify.com/store/ge-beauty-cosmeticos/customers/10080677200192","abrir")</f>
        <v/>
      </c>
      <c r="J2133">
        <f>HYPERLINK("https://www.gebeauty.com.br/products/primer-cachos-definidos?ref=review","review")</f>
        <v/>
      </c>
      <c r="K2133" t="inlineStr">
        <is>
          <t>SEND</t>
        </is>
      </c>
    </row>
    <row r="2134">
      <c r="A2134" t="inlineStr">
        <is>
          <t>Karina</t>
        </is>
      </c>
      <c r="B2134" t="inlineStr">
        <is>
          <t>+5541999987704</t>
        </is>
      </c>
      <c r="C2134" t="inlineStr">
        <is>
          <t>Refill</t>
        </is>
      </c>
      <c r="D2134" t="inlineStr">
        <is>
          <t>Primer Cachos</t>
        </is>
      </c>
      <c r="E2134" t="n">
        <v>1</v>
      </c>
      <c r="F2134" t="inlineStr">
        <is>
          <t>2026-01-23</t>
        </is>
      </c>
      <c r="G2134" t="n">
        <v>162</v>
      </c>
      <c r="H2134" t="inlineStr">
        <is>
          <t>Y</t>
        </is>
      </c>
      <c r="I2134">
        <f>HYPERLINK("https://admin.shopify.com/store/ge-beauty-cosmeticos/customers/10074147324224","abrir")</f>
        <v/>
      </c>
      <c r="J2134">
        <f>HYPERLINK("https://www.gebeauty.com.br/products/primer-cachos-definidos?ref=review","review")</f>
        <v/>
      </c>
      <c r="K2134" t="inlineStr">
        <is>
          <t>SEND</t>
        </is>
      </c>
    </row>
    <row r="2135">
      <c r="A2135" t="inlineStr">
        <is>
          <t>Cleide</t>
        </is>
      </c>
      <c r="B2135" t="inlineStr">
        <is>
          <t>+5511981030712</t>
        </is>
      </c>
      <c r="C2135" t="inlineStr">
        <is>
          <t>Refill</t>
        </is>
      </c>
      <c r="D2135" t="inlineStr">
        <is>
          <t>Primer Cachos</t>
        </is>
      </c>
      <c r="E2135" t="n">
        <v>1</v>
      </c>
      <c r="F2135" t="inlineStr">
        <is>
          <t>2026-01-23</t>
        </is>
      </c>
      <c r="G2135" t="n">
        <v>162</v>
      </c>
      <c r="H2135" t="inlineStr">
        <is>
          <t>Y</t>
        </is>
      </c>
      <c r="I2135">
        <f>HYPERLINK("https://admin.shopify.com/store/ge-beauty-cosmeticos/customers/10075160379712","abrir")</f>
        <v/>
      </c>
      <c r="J2135">
        <f>HYPERLINK("https://www.gebeauty.com.br/products/primer-cachos-definidos?ref=review","review")</f>
        <v/>
      </c>
      <c r="K2135" t="inlineStr">
        <is>
          <t>SEND</t>
        </is>
      </c>
    </row>
    <row r="2136">
      <c r="A2136" t="inlineStr">
        <is>
          <t>Luciana</t>
        </is>
      </c>
      <c r="B2136" t="inlineStr">
        <is>
          <t>+5521996183671</t>
        </is>
      </c>
      <c r="C2136" t="inlineStr">
        <is>
          <t>Refill</t>
        </is>
      </c>
      <c r="D2136" t="inlineStr">
        <is>
          <t>Primer Cachos</t>
        </is>
      </c>
      <c r="E2136" t="n">
        <v>1</v>
      </c>
      <c r="F2136" t="inlineStr">
        <is>
          <t>2026-01-23</t>
        </is>
      </c>
      <c r="G2136" t="n">
        <v>162</v>
      </c>
      <c r="H2136" t="inlineStr">
        <is>
          <t>Y</t>
        </is>
      </c>
      <c r="I2136">
        <f>HYPERLINK("https://admin.shopify.com/store/ge-beauty-cosmeticos/customers/10075126432064","abrir")</f>
        <v/>
      </c>
      <c r="J2136">
        <f>HYPERLINK("https://www.gebeauty.com.br/products/primer-cachos-definidos?ref=review","review")</f>
        <v/>
      </c>
      <c r="K2136" t="inlineStr">
        <is>
          <t>SEND</t>
        </is>
      </c>
    </row>
    <row r="2137">
      <c r="A2137" t="inlineStr">
        <is>
          <t>Samanta</t>
        </is>
      </c>
      <c r="B2137" t="inlineStr">
        <is>
          <t>+5511971510664</t>
        </is>
      </c>
      <c r="C2137" t="inlineStr">
        <is>
          <t>Refill</t>
        </is>
      </c>
      <c r="D2137" t="inlineStr">
        <is>
          <t>Primer Cachos</t>
        </is>
      </c>
      <c r="E2137" t="n">
        <v>1</v>
      </c>
      <c r="F2137" t="inlineStr">
        <is>
          <t>2026-01-23</t>
        </is>
      </c>
      <c r="G2137" t="n">
        <v>162</v>
      </c>
      <c r="H2137" t="inlineStr">
        <is>
          <t>Y</t>
        </is>
      </c>
      <c r="I2137">
        <f>HYPERLINK("https://admin.shopify.com/store/ge-beauty-cosmeticos/customers/10080728514880","abrir")</f>
        <v/>
      </c>
      <c r="J2137">
        <f>HYPERLINK("https://www.gebeauty.com.br/products/primer-cachos-definidos?ref=review","review")</f>
        <v/>
      </c>
      <c r="K2137" t="inlineStr">
        <is>
          <t>SEND</t>
        </is>
      </c>
    </row>
    <row r="2138">
      <c r="A2138" t="inlineStr">
        <is>
          <t>Renata</t>
        </is>
      </c>
      <c r="B2138" t="inlineStr">
        <is>
          <t>+5581988891987</t>
        </is>
      </c>
      <c r="C2138" t="inlineStr">
        <is>
          <t>Refill</t>
        </is>
      </c>
      <c r="D2138" t="inlineStr">
        <is>
          <t>Primer Cachos</t>
        </is>
      </c>
      <c r="E2138" t="n">
        <v>1</v>
      </c>
      <c r="F2138" t="inlineStr">
        <is>
          <t>2026-01-23</t>
        </is>
      </c>
      <c r="G2138" t="n">
        <v>162</v>
      </c>
      <c r="H2138" t="inlineStr">
        <is>
          <t>Y</t>
        </is>
      </c>
      <c r="I2138">
        <f>HYPERLINK("https://admin.shopify.com/store/ge-beauty-cosmeticos/customers/10080761610560","abrir")</f>
        <v/>
      </c>
      <c r="J2138">
        <f>HYPERLINK("https://www.gebeauty.com.br/products/primer-cachos-definidos?ref=review","review")</f>
        <v/>
      </c>
      <c r="K2138" t="inlineStr">
        <is>
          <t>SEND</t>
        </is>
      </c>
    </row>
    <row r="2139">
      <c r="A2139" t="inlineStr">
        <is>
          <t>Marina</t>
        </is>
      </c>
      <c r="B2139" t="inlineStr">
        <is>
          <t>+5511916544789</t>
        </is>
      </c>
      <c r="C2139" t="inlineStr">
        <is>
          <t>Refill</t>
        </is>
      </c>
      <c r="D2139" t="inlineStr">
        <is>
          <t>Primer Cachos</t>
        </is>
      </c>
      <c r="E2139" t="n">
        <v>1</v>
      </c>
      <c r="F2139" t="inlineStr">
        <is>
          <t>2026-01-23</t>
        </is>
      </c>
      <c r="G2139" t="n">
        <v>162</v>
      </c>
      <c r="H2139" t="inlineStr">
        <is>
          <t>Y</t>
        </is>
      </c>
      <c r="I2139">
        <f>HYPERLINK("https://admin.shopify.com/store/ge-beauty-cosmeticos/customers/10080779174208","abrir")</f>
        <v/>
      </c>
      <c r="J2139">
        <f>HYPERLINK("https://www.gebeauty.com.br/products/primer-cachos-definidos?ref=review","review")</f>
        <v/>
      </c>
      <c r="K2139" t="inlineStr">
        <is>
          <t>SEND</t>
        </is>
      </c>
    </row>
    <row r="2140">
      <c r="A2140" t="inlineStr">
        <is>
          <t>Diones</t>
        </is>
      </c>
      <c r="B2140" t="inlineStr">
        <is>
          <t>+5531984633802</t>
        </is>
      </c>
      <c r="C2140" t="inlineStr">
        <is>
          <t>Refill</t>
        </is>
      </c>
      <c r="D2140" t="inlineStr">
        <is>
          <t>Primer Cachos</t>
        </is>
      </c>
      <c r="E2140" t="n">
        <v>1</v>
      </c>
      <c r="F2140" t="inlineStr">
        <is>
          <t>2026-01-23</t>
        </is>
      </c>
      <c r="G2140" t="n">
        <v>162</v>
      </c>
      <c r="H2140" t="inlineStr">
        <is>
          <t>Y</t>
        </is>
      </c>
      <c r="I2140">
        <f>HYPERLINK("https://admin.shopify.com/store/ge-beauty-cosmeticos/customers/10080727925056","abrir")</f>
        <v/>
      </c>
      <c r="J2140">
        <f>HYPERLINK("https://www.gebeauty.com.br/products/primer-cachos-definidos?ref=review","review")</f>
        <v/>
      </c>
      <c r="K2140" t="inlineStr">
        <is>
          <t>SEND</t>
        </is>
      </c>
    </row>
    <row r="2141">
      <c r="A2141" t="inlineStr">
        <is>
          <t>Renata</t>
        </is>
      </c>
      <c r="B2141" t="inlineStr">
        <is>
          <t>+5561981633715</t>
        </is>
      </c>
      <c r="C2141" t="inlineStr">
        <is>
          <t>Refill</t>
        </is>
      </c>
      <c r="D2141" t="inlineStr">
        <is>
          <t>Primer Cachos</t>
        </is>
      </c>
      <c r="E2141" t="n">
        <v>1</v>
      </c>
      <c r="F2141" t="inlineStr">
        <is>
          <t>2026-01-23</t>
        </is>
      </c>
      <c r="G2141" t="n">
        <v>162</v>
      </c>
      <c r="H2141" t="inlineStr">
        <is>
          <t>Y</t>
        </is>
      </c>
      <c r="I2141">
        <f>HYPERLINK("https://admin.shopify.com/store/ge-beauty-cosmeticos/customers/9485084787008","abrir")</f>
        <v/>
      </c>
      <c r="J2141">
        <f>HYPERLINK("https://www.gebeauty.com.br/products/primer-cachos-definidos?ref=review","review")</f>
        <v/>
      </c>
      <c r="K2141" t="inlineStr">
        <is>
          <t>SEND</t>
        </is>
      </c>
    </row>
    <row r="2142">
      <c r="A2142" t="inlineStr">
        <is>
          <t>Duda</t>
        </is>
      </c>
      <c r="B2142" t="inlineStr">
        <is>
          <t>+5511982233676</t>
        </is>
      </c>
      <c r="C2142" t="inlineStr">
        <is>
          <t>Refill</t>
        </is>
      </c>
      <c r="D2142" t="inlineStr">
        <is>
          <t>Primer Cachos</t>
        </is>
      </c>
      <c r="E2142" t="n">
        <v>1</v>
      </c>
      <c r="F2142" t="inlineStr">
        <is>
          <t>2026-01-23</t>
        </is>
      </c>
      <c r="G2142" t="n">
        <v>162</v>
      </c>
      <c r="H2142" t="inlineStr">
        <is>
          <t>Y</t>
        </is>
      </c>
      <c r="I2142">
        <f>HYPERLINK("https://admin.shopify.com/store/ge-beauty-cosmeticos/customers/10080740868416","abrir")</f>
        <v/>
      </c>
      <c r="J2142">
        <f>HYPERLINK("https://www.gebeauty.com.br/products/primer-cachos-definidos?ref=review","review")</f>
        <v/>
      </c>
      <c r="K2142" t="inlineStr">
        <is>
          <t>SEND</t>
        </is>
      </c>
    </row>
    <row r="2143">
      <c r="A2143" t="inlineStr">
        <is>
          <t>Poliana</t>
        </is>
      </c>
      <c r="B2143" t="inlineStr">
        <is>
          <t>+5544999166190</t>
        </is>
      </c>
      <c r="C2143" t="inlineStr">
        <is>
          <t>Refill</t>
        </is>
      </c>
      <c r="D2143" t="inlineStr">
        <is>
          <t>Primer Cachos</t>
        </is>
      </c>
      <c r="E2143" t="n">
        <v>1</v>
      </c>
      <c r="F2143" t="inlineStr">
        <is>
          <t>2026-01-23</t>
        </is>
      </c>
      <c r="G2143" t="n">
        <v>162</v>
      </c>
      <c r="H2143" t="inlineStr">
        <is>
          <t>Y</t>
        </is>
      </c>
      <c r="I2143">
        <f>HYPERLINK("https://admin.shopify.com/store/ge-beauty-cosmeticos/customers/10080804045120","abrir")</f>
        <v/>
      </c>
      <c r="J2143">
        <f>HYPERLINK("https://www.gebeauty.com.br/products/primer-cachos-definidos?ref=review","review")</f>
        <v/>
      </c>
      <c r="K2143" t="inlineStr">
        <is>
          <t>SEND</t>
        </is>
      </c>
    </row>
    <row r="2144">
      <c r="A2144" t="inlineStr">
        <is>
          <t>Raquel</t>
        </is>
      </c>
      <c r="B2144" t="inlineStr">
        <is>
          <t>+5548996247105</t>
        </is>
      </c>
      <c r="C2144" t="inlineStr">
        <is>
          <t>Refill</t>
        </is>
      </c>
      <c r="D2144" t="inlineStr">
        <is>
          <t>Primer Cachos</t>
        </is>
      </c>
      <c r="E2144" t="n">
        <v>1</v>
      </c>
      <c r="F2144" t="inlineStr">
        <is>
          <t>2026-01-23</t>
        </is>
      </c>
      <c r="G2144" t="n">
        <v>162</v>
      </c>
      <c r="H2144" t="inlineStr">
        <is>
          <t>Y</t>
        </is>
      </c>
      <c r="I2144">
        <f>HYPERLINK("https://admin.shopify.com/store/ge-beauty-cosmeticos/customers/10080832782656","abrir")</f>
        <v/>
      </c>
      <c r="J2144">
        <f>HYPERLINK("https://www.gebeauty.com.br/products/primer-cachos-definidos?ref=review","review")</f>
        <v/>
      </c>
      <c r="K2144" t="inlineStr">
        <is>
          <t>SEND</t>
        </is>
      </c>
    </row>
    <row r="2145">
      <c r="A2145" t="inlineStr">
        <is>
          <t>Maria</t>
        </is>
      </c>
      <c r="B2145" t="inlineStr">
        <is>
          <t>+5585999018430</t>
        </is>
      </c>
      <c r="C2145" t="inlineStr">
        <is>
          <t>Refill</t>
        </is>
      </c>
      <c r="D2145" t="inlineStr">
        <is>
          <t>Primer Cachos</t>
        </is>
      </c>
      <c r="E2145" t="n">
        <v>1</v>
      </c>
      <c r="F2145" t="inlineStr">
        <is>
          <t>2026-01-23</t>
        </is>
      </c>
      <c r="G2145" t="n">
        <v>162</v>
      </c>
      <c r="H2145" t="inlineStr">
        <is>
          <t>Y</t>
        </is>
      </c>
      <c r="I2145">
        <f>HYPERLINK("https://admin.shopify.com/store/ge-beauty-cosmeticos/customers/10080836419904","abrir")</f>
        <v/>
      </c>
      <c r="J2145">
        <f>HYPERLINK("https://www.gebeauty.com.br/products/primer-cachos-definidos?ref=review","review")</f>
        <v/>
      </c>
      <c r="K2145" t="inlineStr">
        <is>
          <t>SEND</t>
        </is>
      </c>
    </row>
    <row r="2146">
      <c r="A2146" t="inlineStr">
        <is>
          <t>Lilian</t>
        </is>
      </c>
      <c r="B2146" t="inlineStr">
        <is>
          <t>+5511997424786</t>
        </is>
      </c>
      <c r="C2146" t="inlineStr">
        <is>
          <t>Refill</t>
        </is>
      </c>
      <c r="D2146" t="inlineStr">
        <is>
          <t>Primer Cachos</t>
        </is>
      </c>
      <c r="E2146" t="n">
        <v>1</v>
      </c>
      <c r="F2146" t="inlineStr">
        <is>
          <t>2026-01-23</t>
        </is>
      </c>
      <c r="G2146" t="n">
        <v>162</v>
      </c>
      <c r="H2146" t="inlineStr">
        <is>
          <t>Y</t>
        </is>
      </c>
      <c r="I2146">
        <f>HYPERLINK("https://admin.shopify.com/store/ge-beauty-cosmeticos/customers/10080848838976","abrir")</f>
        <v/>
      </c>
      <c r="J2146">
        <f>HYPERLINK("https://www.gebeauty.com.br/products/primer-cachos-definidos?ref=review","review")</f>
        <v/>
      </c>
      <c r="K2146" t="inlineStr">
        <is>
          <t>SEND</t>
        </is>
      </c>
    </row>
    <row r="2147">
      <c r="A2147" t="inlineStr">
        <is>
          <t>Ingrid</t>
        </is>
      </c>
      <c r="B2147" t="inlineStr">
        <is>
          <t>+5521979459990</t>
        </is>
      </c>
      <c r="C2147" t="inlineStr">
        <is>
          <t>Refill</t>
        </is>
      </c>
      <c r="D2147" t="inlineStr">
        <is>
          <t>Primer Cachos</t>
        </is>
      </c>
      <c r="E2147" t="n">
        <v>1</v>
      </c>
      <c r="F2147" t="inlineStr">
        <is>
          <t>2026-01-23</t>
        </is>
      </c>
      <c r="G2147" t="n">
        <v>162</v>
      </c>
      <c r="H2147" t="inlineStr">
        <is>
          <t>N</t>
        </is>
      </c>
      <c r="I2147">
        <f>HYPERLINK("https://admin.shopify.com/store/ge-beauty-cosmeticos/customers/10080873120064","abrir")</f>
        <v/>
      </c>
      <c r="J2147">
        <f>HYPERLINK("https://www.gebeauty.com.br/products/primer-cachos-definidos?ref=review","review")</f>
        <v/>
      </c>
      <c r="K2147" t="inlineStr">
        <is>
          <t>SEND</t>
        </is>
      </c>
    </row>
    <row r="2148">
      <c r="A2148" t="inlineStr">
        <is>
          <t>Julia</t>
        </is>
      </c>
      <c r="B2148" t="inlineStr">
        <is>
          <t>+5581987974394</t>
        </is>
      </c>
      <c r="C2148" t="inlineStr">
        <is>
          <t>Refill</t>
        </is>
      </c>
      <c r="D2148" t="inlineStr">
        <is>
          <t>Primer Cachos</t>
        </is>
      </c>
      <c r="E2148" t="n">
        <v>1</v>
      </c>
      <c r="F2148" t="inlineStr">
        <is>
          <t>2026-01-23</t>
        </is>
      </c>
      <c r="G2148" t="n">
        <v>162</v>
      </c>
      <c r="H2148" t="inlineStr">
        <is>
          <t>Y</t>
        </is>
      </c>
      <c r="I2148">
        <f>HYPERLINK("https://admin.shopify.com/store/ge-beauty-cosmeticos/customers/10080881803584","abrir")</f>
        <v/>
      </c>
      <c r="J2148">
        <f>HYPERLINK("https://www.gebeauty.com.br/products/primer-cachos-definidos?ref=review","review")</f>
        <v/>
      </c>
      <c r="K2148" t="inlineStr">
        <is>
          <t>SEND</t>
        </is>
      </c>
    </row>
    <row r="2149">
      <c r="A2149" t="inlineStr">
        <is>
          <t>Greice</t>
        </is>
      </c>
      <c r="B2149" t="inlineStr">
        <is>
          <t>+5551981737272</t>
        </is>
      </c>
      <c r="C2149" t="inlineStr">
        <is>
          <t>Refill</t>
        </is>
      </c>
      <c r="D2149" t="inlineStr">
        <is>
          <t>Primer Cachos</t>
        </is>
      </c>
      <c r="E2149" t="n">
        <v>1</v>
      </c>
      <c r="F2149" t="inlineStr">
        <is>
          <t>2026-01-23</t>
        </is>
      </c>
      <c r="G2149" t="n">
        <v>162</v>
      </c>
      <c r="H2149" t="inlineStr">
        <is>
          <t>Y</t>
        </is>
      </c>
      <c r="I2149">
        <f>HYPERLINK("https://admin.shopify.com/store/ge-beauty-cosmeticos/customers/10080705675584","abrir")</f>
        <v/>
      </c>
      <c r="J2149">
        <f>HYPERLINK("https://www.gebeauty.com.br/products/primer-cachos-definidos?ref=review","review")</f>
        <v/>
      </c>
      <c r="K2149" t="inlineStr">
        <is>
          <t>HOLDOUT</t>
        </is>
      </c>
    </row>
    <row r="2150">
      <c r="A2150" t="inlineStr">
        <is>
          <t>Angela</t>
        </is>
      </c>
      <c r="B2150" t="inlineStr">
        <is>
          <t>+5531984432878</t>
        </is>
      </c>
      <c r="C2150" t="inlineStr">
        <is>
          <t>Refill</t>
        </is>
      </c>
      <c r="D2150" t="inlineStr">
        <is>
          <t>Primer Cachos</t>
        </is>
      </c>
      <c r="E2150" t="n">
        <v>1</v>
      </c>
      <c r="F2150" t="inlineStr">
        <is>
          <t>2026-01-23</t>
        </is>
      </c>
      <c r="G2150" t="n">
        <v>162</v>
      </c>
      <c r="H2150" t="inlineStr">
        <is>
          <t>N</t>
        </is>
      </c>
      <c r="I2150">
        <f>HYPERLINK("https://admin.shopify.com/store/ge-beauty-cosmeticos/customers/10080846709056","abrir")</f>
        <v/>
      </c>
      <c r="J2150">
        <f>HYPERLINK("https://www.gebeauty.com.br/products/primer-cachos-definidos?ref=review","review")</f>
        <v/>
      </c>
      <c r="K2150" t="inlineStr">
        <is>
          <t>SEND</t>
        </is>
      </c>
    </row>
    <row r="2151">
      <c r="A2151" t="inlineStr">
        <is>
          <t>Sofia</t>
        </is>
      </c>
      <c r="B2151" t="inlineStr">
        <is>
          <t>+5579999847458</t>
        </is>
      </c>
      <c r="C2151" t="inlineStr">
        <is>
          <t>Refill</t>
        </is>
      </c>
      <c r="D2151" t="inlineStr">
        <is>
          <t>Primer Cachos</t>
        </is>
      </c>
      <c r="E2151" t="n">
        <v>1</v>
      </c>
      <c r="F2151" t="inlineStr">
        <is>
          <t>2026-01-23</t>
        </is>
      </c>
      <c r="G2151" t="n">
        <v>162</v>
      </c>
      <c r="H2151" t="inlineStr">
        <is>
          <t>Y</t>
        </is>
      </c>
      <c r="I2151">
        <f>HYPERLINK("https://admin.shopify.com/store/ge-beauty-cosmeticos/customers/10080940687680","abrir")</f>
        <v/>
      </c>
      <c r="J2151">
        <f>HYPERLINK("https://www.gebeauty.com.br/products/primer-cachos-definidos?ref=review","review")</f>
        <v/>
      </c>
      <c r="K2151" t="inlineStr">
        <is>
          <t>SEND</t>
        </is>
      </c>
    </row>
    <row r="2152">
      <c r="A2152" t="inlineStr">
        <is>
          <t>Gabriela</t>
        </is>
      </c>
      <c r="B2152" t="inlineStr">
        <is>
          <t>+5551999167701</t>
        </is>
      </c>
      <c r="C2152" t="inlineStr">
        <is>
          <t>Refill</t>
        </is>
      </c>
      <c r="D2152" t="inlineStr">
        <is>
          <t>Primer Cachos</t>
        </is>
      </c>
      <c r="E2152" t="n">
        <v>1</v>
      </c>
      <c r="F2152" t="inlineStr">
        <is>
          <t>2026-01-23</t>
        </is>
      </c>
      <c r="G2152" t="n">
        <v>162</v>
      </c>
      <c r="H2152" t="inlineStr">
        <is>
          <t>Y</t>
        </is>
      </c>
      <c r="I2152">
        <f>HYPERLINK("https://admin.shopify.com/store/ge-beauty-cosmeticos/customers/8485663277376","abrir")</f>
        <v/>
      </c>
      <c r="J2152">
        <f>HYPERLINK("https://www.gebeauty.com.br/products/primer-cachos-definidos?ref=review","review")</f>
        <v/>
      </c>
      <c r="K2152" t="inlineStr">
        <is>
          <t>SEND</t>
        </is>
      </c>
    </row>
    <row r="2153">
      <c r="A2153" t="inlineStr">
        <is>
          <t>Lucia</t>
        </is>
      </c>
      <c r="B2153" t="inlineStr">
        <is>
          <t>+5511985787466</t>
        </is>
      </c>
      <c r="C2153" t="inlineStr">
        <is>
          <t>Refill</t>
        </is>
      </c>
      <c r="D2153" t="inlineStr">
        <is>
          <t>Primer Cachos</t>
        </is>
      </c>
      <c r="E2153" t="n">
        <v>1</v>
      </c>
      <c r="F2153" t="inlineStr">
        <is>
          <t>2026-01-23</t>
        </is>
      </c>
      <c r="G2153" t="n">
        <v>162</v>
      </c>
      <c r="H2153" t="inlineStr">
        <is>
          <t>Y</t>
        </is>
      </c>
      <c r="I2153">
        <f>HYPERLINK("https://admin.shopify.com/store/ge-beauty-cosmeticos/customers/10080968507712","abrir")</f>
        <v/>
      </c>
      <c r="J2153">
        <f>HYPERLINK("https://www.gebeauty.com.br/products/primer-cachos-definidos?ref=review","review")</f>
        <v/>
      </c>
      <c r="K2153" t="inlineStr">
        <is>
          <t>SEND</t>
        </is>
      </c>
    </row>
    <row r="2154">
      <c r="A2154" t="inlineStr">
        <is>
          <t>Malena</t>
        </is>
      </c>
      <c r="B2154" t="inlineStr">
        <is>
          <t>+5511998333658</t>
        </is>
      </c>
      <c r="C2154" t="inlineStr">
        <is>
          <t>Refill</t>
        </is>
      </c>
      <c r="D2154" t="inlineStr">
        <is>
          <t>Primer Cachos</t>
        </is>
      </c>
      <c r="E2154" t="n">
        <v>1</v>
      </c>
      <c r="F2154" t="inlineStr">
        <is>
          <t>2026-01-23</t>
        </is>
      </c>
      <c r="G2154" t="n">
        <v>162</v>
      </c>
      <c r="H2154" t="inlineStr">
        <is>
          <t>Y</t>
        </is>
      </c>
      <c r="I2154">
        <f>HYPERLINK("https://admin.shopify.com/store/ge-beauty-cosmeticos/customers/10080992952640","abrir")</f>
        <v/>
      </c>
      <c r="J2154">
        <f>HYPERLINK("https://www.gebeauty.com.br/products/primer-cachos-definidos?ref=review","review")</f>
        <v/>
      </c>
      <c r="K2154" t="inlineStr">
        <is>
          <t>SEND</t>
        </is>
      </c>
    </row>
    <row r="2155">
      <c r="A2155" t="inlineStr">
        <is>
          <t>Thaís</t>
        </is>
      </c>
      <c r="B2155" t="inlineStr">
        <is>
          <t>+5537998417585</t>
        </is>
      </c>
      <c r="C2155" t="inlineStr">
        <is>
          <t>Refill</t>
        </is>
      </c>
      <c r="D2155" t="inlineStr">
        <is>
          <t>Primer Cachos</t>
        </is>
      </c>
      <c r="E2155" t="n">
        <v>1</v>
      </c>
      <c r="F2155" t="inlineStr">
        <is>
          <t>2026-01-23</t>
        </is>
      </c>
      <c r="G2155" t="n">
        <v>162</v>
      </c>
      <c r="H2155" t="inlineStr">
        <is>
          <t>Y</t>
        </is>
      </c>
      <c r="I2155">
        <f>HYPERLINK("https://admin.shopify.com/store/ge-beauty-cosmeticos/customers/10080987414848","abrir")</f>
        <v/>
      </c>
      <c r="J2155">
        <f>HYPERLINK("https://www.gebeauty.com.br/products/primer-cachos-definidos?ref=review","review")</f>
        <v/>
      </c>
      <c r="K2155" t="inlineStr">
        <is>
          <t>SEND</t>
        </is>
      </c>
    </row>
    <row r="2156">
      <c r="A2156" t="inlineStr">
        <is>
          <t>Ana Lucia</t>
        </is>
      </c>
      <c r="B2156" t="inlineStr">
        <is>
          <t>+5579988098042</t>
        </is>
      </c>
      <c r="C2156" t="inlineStr">
        <is>
          <t>Refill</t>
        </is>
      </c>
      <c r="D2156" t="inlineStr">
        <is>
          <t>Primer Cachos</t>
        </is>
      </c>
      <c r="E2156" t="n">
        <v>1</v>
      </c>
      <c r="F2156" t="inlineStr">
        <is>
          <t>2026-01-23</t>
        </is>
      </c>
      <c r="G2156" t="n">
        <v>162</v>
      </c>
      <c r="H2156" t="inlineStr">
        <is>
          <t>Y</t>
        </is>
      </c>
      <c r="I2156">
        <f>HYPERLINK("https://admin.shopify.com/store/ge-beauty-cosmeticos/customers/10080995934528","abrir")</f>
        <v/>
      </c>
      <c r="J2156">
        <f>HYPERLINK("https://www.gebeauty.com.br/products/primer-cachos-definidos?ref=review","review")</f>
        <v/>
      </c>
      <c r="K2156" t="inlineStr">
        <is>
          <t>SEND</t>
        </is>
      </c>
    </row>
    <row r="2157">
      <c r="A2157" t="inlineStr">
        <is>
          <t>Luciana</t>
        </is>
      </c>
      <c r="B2157" t="inlineStr">
        <is>
          <t>+5521981775123</t>
        </is>
      </c>
      <c r="C2157" t="inlineStr">
        <is>
          <t>Refill</t>
        </is>
      </c>
      <c r="D2157" t="inlineStr">
        <is>
          <t>Primer Cachos</t>
        </is>
      </c>
      <c r="E2157" t="n">
        <v>1</v>
      </c>
      <c r="F2157" t="inlineStr">
        <is>
          <t>2026-01-23</t>
        </is>
      </c>
      <c r="G2157" t="n">
        <v>162</v>
      </c>
      <c r="H2157" t="inlineStr">
        <is>
          <t>Y</t>
        </is>
      </c>
      <c r="I2157">
        <f>HYPERLINK("https://admin.shopify.com/store/ge-beauty-cosmeticos/customers/10080467190080","abrir")</f>
        <v/>
      </c>
      <c r="J2157">
        <f>HYPERLINK("https://www.gebeauty.com.br/products/primer-cachos-definidos?ref=review","review")</f>
        <v/>
      </c>
      <c r="K2157" t="inlineStr">
        <is>
          <t>SEND</t>
        </is>
      </c>
    </row>
    <row r="2158">
      <c r="A2158" t="inlineStr">
        <is>
          <t>Lia Flavia</t>
        </is>
      </c>
      <c r="B2158" t="inlineStr">
        <is>
          <t>+5561993679776</t>
        </is>
      </c>
      <c r="C2158" t="inlineStr">
        <is>
          <t>Refill</t>
        </is>
      </c>
      <c r="D2158" t="inlineStr">
        <is>
          <t>Primer Cachos</t>
        </is>
      </c>
      <c r="E2158" t="n">
        <v>1</v>
      </c>
      <c r="F2158" t="inlineStr">
        <is>
          <t>2026-01-23</t>
        </is>
      </c>
      <c r="G2158" t="n">
        <v>162</v>
      </c>
      <c r="H2158" t="inlineStr">
        <is>
          <t>Y</t>
        </is>
      </c>
      <c r="I2158">
        <f>HYPERLINK("https://admin.shopify.com/store/ge-beauty-cosmeticos/customers/10081023787328","abrir")</f>
        <v/>
      </c>
      <c r="J2158">
        <f>HYPERLINK("https://www.gebeauty.com.br/products/primer-cachos-definidos?ref=review","review")</f>
        <v/>
      </c>
      <c r="K2158" t="inlineStr">
        <is>
          <t>SEND</t>
        </is>
      </c>
    </row>
    <row r="2159">
      <c r="A2159" t="inlineStr">
        <is>
          <t>Marilda</t>
        </is>
      </c>
      <c r="B2159" t="inlineStr">
        <is>
          <t>+5511994311422</t>
        </is>
      </c>
      <c r="C2159" t="inlineStr">
        <is>
          <t>Refill</t>
        </is>
      </c>
      <c r="D2159" t="inlineStr">
        <is>
          <t>Primer Cachos</t>
        </is>
      </c>
      <c r="E2159" t="n">
        <v>1</v>
      </c>
      <c r="F2159" t="inlineStr">
        <is>
          <t>2026-01-23</t>
        </is>
      </c>
      <c r="G2159" t="n">
        <v>162</v>
      </c>
      <c r="H2159" t="inlineStr">
        <is>
          <t>Y</t>
        </is>
      </c>
      <c r="I2159">
        <f>HYPERLINK("https://admin.shopify.com/store/ge-beauty-cosmeticos/customers/10081053507904","abrir")</f>
        <v/>
      </c>
      <c r="J2159">
        <f>HYPERLINK("https://www.gebeauty.com.br/products/primer-cachos-definidos?ref=review","review")</f>
        <v/>
      </c>
      <c r="K2159" t="inlineStr">
        <is>
          <t>SEND</t>
        </is>
      </c>
    </row>
    <row r="2160">
      <c r="A2160" t="inlineStr">
        <is>
          <t>Bruna</t>
        </is>
      </c>
      <c r="B2160" t="inlineStr">
        <is>
          <t>+5537999838757</t>
        </is>
      </c>
      <c r="C2160" t="inlineStr">
        <is>
          <t>Refill</t>
        </is>
      </c>
      <c r="D2160" t="inlineStr">
        <is>
          <t>Primer Cachos</t>
        </is>
      </c>
      <c r="E2160" t="n">
        <v>1</v>
      </c>
      <c r="F2160" t="inlineStr">
        <is>
          <t>2026-01-23</t>
        </is>
      </c>
      <c r="G2160" t="n">
        <v>162</v>
      </c>
      <c r="H2160" t="inlineStr">
        <is>
          <t>Y</t>
        </is>
      </c>
      <c r="I2160">
        <f>HYPERLINK("https://admin.shopify.com/store/ge-beauty-cosmeticos/customers/10081054458176","abrir")</f>
        <v/>
      </c>
      <c r="J2160">
        <f>HYPERLINK("https://www.gebeauty.com.br/products/primer-cachos-definidos?ref=review","review")</f>
        <v/>
      </c>
      <c r="K2160" t="inlineStr">
        <is>
          <t>SEND</t>
        </is>
      </c>
    </row>
    <row r="2161">
      <c r="A2161" t="inlineStr">
        <is>
          <t>Arini</t>
        </is>
      </c>
      <c r="B2161" t="inlineStr">
        <is>
          <t>+5534988979940</t>
        </is>
      </c>
      <c r="C2161" t="inlineStr">
        <is>
          <t>Refill</t>
        </is>
      </c>
      <c r="D2161" t="inlineStr">
        <is>
          <t>Primer Cachos</t>
        </is>
      </c>
      <c r="E2161" t="n">
        <v>1</v>
      </c>
      <c r="F2161" t="inlineStr">
        <is>
          <t>2026-01-23</t>
        </is>
      </c>
      <c r="G2161" t="n">
        <v>162</v>
      </c>
      <c r="H2161" t="inlineStr">
        <is>
          <t>Y</t>
        </is>
      </c>
      <c r="I2161">
        <f>HYPERLINK("https://admin.shopify.com/store/ge-beauty-cosmeticos/customers/10081059307840","abrir")</f>
        <v/>
      </c>
      <c r="J2161">
        <f>HYPERLINK("https://www.gebeauty.com.br/products/primer-cachos-definidos?ref=review","review")</f>
        <v/>
      </c>
      <c r="K2161" t="inlineStr">
        <is>
          <t>SEND</t>
        </is>
      </c>
    </row>
    <row r="2162">
      <c r="A2162" t="inlineStr">
        <is>
          <t>Maria</t>
        </is>
      </c>
      <c r="B2162" t="inlineStr">
        <is>
          <t>+5561982832070</t>
        </is>
      </c>
      <c r="C2162" t="inlineStr">
        <is>
          <t>Refill</t>
        </is>
      </c>
      <c r="D2162" t="inlineStr">
        <is>
          <t>Primer Cachos</t>
        </is>
      </c>
      <c r="E2162" t="n">
        <v>1</v>
      </c>
      <c r="F2162" t="inlineStr">
        <is>
          <t>2026-01-23</t>
        </is>
      </c>
      <c r="G2162" t="n">
        <v>162</v>
      </c>
      <c r="H2162" t="inlineStr">
        <is>
          <t>Y</t>
        </is>
      </c>
      <c r="I2162">
        <f>HYPERLINK("https://admin.shopify.com/store/ge-beauty-cosmeticos/customers/7761380933952","abrir")</f>
        <v/>
      </c>
      <c r="J2162">
        <f>HYPERLINK("https://www.gebeauty.com.br/products/primer-cachos-definidos?ref=review","review")</f>
        <v/>
      </c>
      <c r="K2162" t="inlineStr">
        <is>
          <t>SEND</t>
        </is>
      </c>
    </row>
    <row r="2163">
      <c r="A2163" t="inlineStr">
        <is>
          <t>Luana</t>
        </is>
      </c>
      <c r="B2163" t="inlineStr">
        <is>
          <t>+5531992026822</t>
        </is>
      </c>
      <c r="C2163" t="inlineStr">
        <is>
          <t>Refill</t>
        </is>
      </c>
      <c r="D2163" t="inlineStr">
        <is>
          <t>Primer Cachos</t>
        </is>
      </c>
      <c r="E2163" t="n">
        <v>1</v>
      </c>
      <c r="F2163" t="inlineStr">
        <is>
          <t>2026-01-23</t>
        </is>
      </c>
      <c r="G2163" t="n">
        <v>162</v>
      </c>
      <c r="H2163" t="inlineStr">
        <is>
          <t>Y</t>
        </is>
      </c>
      <c r="I2163">
        <f>HYPERLINK("https://admin.shopify.com/store/ge-beauty-cosmeticos/customers/10081088110912","abrir")</f>
        <v/>
      </c>
      <c r="J2163">
        <f>HYPERLINK("https://www.gebeauty.com.br/products/primer-cachos-definidos?ref=review","review")</f>
        <v/>
      </c>
      <c r="K2163" t="inlineStr">
        <is>
          <t>SEND</t>
        </is>
      </c>
    </row>
    <row r="2164">
      <c r="A2164" t="inlineStr">
        <is>
          <t>Victoria</t>
        </is>
      </c>
      <c r="B2164" t="inlineStr">
        <is>
          <t>+5511985224308</t>
        </is>
      </c>
      <c r="C2164" t="inlineStr">
        <is>
          <t>Refill</t>
        </is>
      </c>
      <c r="D2164" t="inlineStr">
        <is>
          <t>Primer Cachos</t>
        </is>
      </c>
      <c r="E2164" t="n">
        <v>1</v>
      </c>
      <c r="F2164" t="inlineStr">
        <is>
          <t>2026-01-23</t>
        </is>
      </c>
      <c r="G2164" t="n">
        <v>162</v>
      </c>
      <c r="H2164" t="inlineStr">
        <is>
          <t>Y</t>
        </is>
      </c>
      <c r="I2164">
        <f>HYPERLINK("https://admin.shopify.com/store/ge-beauty-cosmeticos/customers/10081083228480","abrir")</f>
        <v/>
      </c>
      <c r="J2164">
        <f>HYPERLINK("https://www.gebeauty.com.br/products/primer-cachos-definidos?ref=review","review")</f>
        <v/>
      </c>
      <c r="K2164" t="inlineStr">
        <is>
          <t>SEND</t>
        </is>
      </c>
    </row>
    <row r="2165">
      <c r="A2165" t="inlineStr">
        <is>
          <t>Caroline</t>
        </is>
      </c>
      <c r="B2165" t="inlineStr">
        <is>
          <t>+5521997811984</t>
        </is>
      </c>
      <c r="C2165" t="inlineStr">
        <is>
          <t>Refill</t>
        </is>
      </c>
      <c r="D2165" t="inlineStr">
        <is>
          <t>Primer Cachos</t>
        </is>
      </c>
      <c r="E2165" t="n">
        <v>1</v>
      </c>
      <c r="F2165" t="inlineStr">
        <is>
          <t>2026-01-23</t>
        </is>
      </c>
      <c r="G2165" t="n">
        <v>162</v>
      </c>
      <c r="H2165" t="inlineStr">
        <is>
          <t>Y</t>
        </is>
      </c>
      <c r="I2165">
        <f>HYPERLINK("https://admin.shopify.com/store/ge-beauty-cosmeticos/customers/9800166179136","abrir")</f>
        <v/>
      </c>
      <c r="J2165">
        <f>HYPERLINK("https://www.gebeauty.com.br/products/primer-cachos-definidos?ref=review","review")</f>
        <v/>
      </c>
      <c r="K2165" t="inlineStr">
        <is>
          <t>SEND</t>
        </is>
      </c>
    </row>
    <row r="2166">
      <c r="A2166" t="inlineStr">
        <is>
          <t>Thais</t>
        </is>
      </c>
      <c r="B2166" t="inlineStr">
        <is>
          <t>+5511999519022</t>
        </is>
      </c>
      <c r="C2166" t="inlineStr">
        <is>
          <t>Refill</t>
        </is>
      </c>
      <c r="D2166" t="inlineStr">
        <is>
          <t>Primer Cachos</t>
        </is>
      </c>
      <c r="E2166" t="n">
        <v>1</v>
      </c>
      <c r="F2166" t="inlineStr">
        <is>
          <t>2026-01-23</t>
        </is>
      </c>
      <c r="G2166" t="n">
        <v>162</v>
      </c>
      <c r="H2166" t="inlineStr">
        <is>
          <t>Y</t>
        </is>
      </c>
      <c r="I2166">
        <f>HYPERLINK("https://admin.shopify.com/store/ge-beauty-cosmeticos/customers/10081134444864","abrir")</f>
        <v/>
      </c>
      <c r="J2166">
        <f>HYPERLINK("https://www.gebeauty.com.br/products/primer-cachos-definidos?ref=review","review")</f>
        <v/>
      </c>
      <c r="K2166" t="inlineStr">
        <is>
          <t>SEND</t>
        </is>
      </c>
    </row>
    <row r="2167">
      <c r="A2167" t="inlineStr">
        <is>
          <t>Olívia</t>
        </is>
      </c>
      <c r="B2167" t="inlineStr">
        <is>
          <t>+5521979508300</t>
        </is>
      </c>
      <c r="C2167" t="inlineStr">
        <is>
          <t>Refill</t>
        </is>
      </c>
      <c r="D2167" t="inlineStr">
        <is>
          <t>Primer Cachos</t>
        </is>
      </c>
      <c r="E2167" t="n">
        <v>1</v>
      </c>
      <c r="F2167" t="inlineStr">
        <is>
          <t>2026-01-30</t>
        </is>
      </c>
      <c r="G2167" t="n">
        <v>155</v>
      </c>
      <c r="H2167" t="inlineStr">
        <is>
          <t>Y</t>
        </is>
      </c>
      <c r="I2167">
        <f>HYPERLINK("https://admin.shopify.com/store/ge-beauty-cosmeticos/customers/10081139851584","abrir")</f>
        <v/>
      </c>
      <c r="J2167">
        <f>HYPERLINK("https://www.gebeauty.com.br/products/primer-cachos-definidos?ref=review","review")</f>
        <v/>
      </c>
      <c r="K2167" t="inlineStr">
        <is>
          <t>SEND</t>
        </is>
      </c>
    </row>
    <row r="2168">
      <c r="A2168" t="inlineStr">
        <is>
          <t>Maria</t>
        </is>
      </c>
      <c r="B2168" t="inlineStr">
        <is>
          <t>+5519994161641</t>
        </is>
      </c>
      <c r="C2168" t="inlineStr">
        <is>
          <t>Refill</t>
        </is>
      </c>
      <c r="D2168" t="inlineStr">
        <is>
          <t>Primer Cachos</t>
        </is>
      </c>
      <c r="E2168" t="n">
        <v>1</v>
      </c>
      <c r="F2168" t="inlineStr">
        <is>
          <t>2026-01-24</t>
        </is>
      </c>
      <c r="G2168" t="n">
        <v>161</v>
      </c>
      <c r="H2168" t="inlineStr">
        <is>
          <t>Y</t>
        </is>
      </c>
      <c r="I2168">
        <f>HYPERLINK("https://admin.shopify.com/store/ge-beauty-cosmeticos/customers/10081146634560","abrir")</f>
        <v/>
      </c>
      <c r="J2168">
        <f>HYPERLINK("https://www.gebeauty.com.br/products/primer-cachos-definidos?ref=review","review")</f>
        <v/>
      </c>
      <c r="K2168" t="inlineStr">
        <is>
          <t>HOLDOUT</t>
        </is>
      </c>
    </row>
    <row r="2169">
      <c r="A2169" t="inlineStr">
        <is>
          <t>Tânia Lilian de Paula</t>
        </is>
      </c>
      <c r="B2169" t="inlineStr">
        <is>
          <t>+5511993150299</t>
        </is>
      </c>
      <c r="C2169" t="inlineStr">
        <is>
          <t>Refill</t>
        </is>
      </c>
      <c r="D2169" t="inlineStr">
        <is>
          <t>Primer Cachos</t>
        </is>
      </c>
      <c r="E2169" t="n">
        <v>1</v>
      </c>
      <c r="F2169" t="inlineStr">
        <is>
          <t>2026-01-24</t>
        </is>
      </c>
      <c r="G2169" t="n">
        <v>161</v>
      </c>
      <c r="H2169" t="inlineStr">
        <is>
          <t>Y</t>
        </is>
      </c>
      <c r="I2169">
        <f>HYPERLINK("https://admin.shopify.com/store/ge-beauty-cosmeticos/customers/10074499612992","abrir")</f>
        <v/>
      </c>
      <c r="J2169">
        <f>HYPERLINK("https://www.gebeauty.com.br/products/primer-cachos-definidos?ref=review","review")</f>
        <v/>
      </c>
      <c r="K2169" t="inlineStr">
        <is>
          <t>SEND</t>
        </is>
      </c>
    </row>
    <row r="2170">
      <c r="A2170" t="inlineStr">
        <is>
          <t>Ariany</t>
        </is>
      </c>
      <c r="B2170" t="inlineStr">
        <is>
          <t>+5544997239529</t>
        </is>
      </c>
      <c r="C2170" t="inlineStr">
        <is>
          <t>Refill</t>
        </is>
      </c>
      <c r="D2170" t="inlineStr">
        <is>
          <t>Primer Cachos</t>
        </is>
      </c>
      <c r="E2170" t="n">
        <v>1</v>
      </c>
      <c r="F2170" t="inlineStr">
        <is>
          <t>2026-01-24</t>
        </is>
      </c>
      <c r="G2170" t="n">
        <v>161</v>
      </c>
      <c r="H2170" t="inlineStr">
        <is>
          <t>N</t>
        </is>
      </c>
      <c r="I2170">
        <f>HYPERLINK("https://admin.shopify.com/store/ge-beauty-cosmeticos/customers/10081168228672","abrir")</f>
        <v/>
      </c>
      <c r="J2170">
        <f>HYPERLINK("https://www.gebeauty.com.br/products/primer-cachos-definidos?ref=review","review")</f>
        <v/>
      </c>
      <c r="K2170" t="inlineStr">
        <is>
          <t>SEND</t>
        </is>
      </c>
    </row>
    <row r="2171">
      <c r="A2171" t="inlineStr">
        <is>
          <t>Bárbara</t>
        </is>
      </c>
      <c r="B2171" t="inlineStr">
        <is>
          <t>+5577981264161</t>
        </is>
      </c>
      <c r="C2171" t="inlineStr">
        <is>
          <t>Refill</t>
        </is>
      </c>
      <c r="D2171" t="inlineStr">
        <is>
          <t>Primer Cachos</t>
        </is>
      </c>
      <c r="E2171" t="n">
        <v>1</v>
      </c>
      <c r="F2171" t="inlineStr">
        <is>
          <t>2026-01-24</t>
        </is>
      </c>
      <c r="G2171" t="n">
        <v>161</v>
      </c>
      <c r="H2171" t="inlineStr">
        <is>
          <t>Y</t>
        </is>
      </c>
      <c r="I2171">
        <f>HYPERLINK("https://admin.shopify.com/store/ge-beauty-cosmeticos/customers/10081186971968","abrir")</f>
        <v/>
      </c>
      <c r="J2171">
        <f>HYPERLINK("https://www.gebeauty.com.br/products/primer-cachos-definidos?ref=review","review")</f>
        <v/>
      </c>
      <c r="K2171" t="inlineStr">
        <is>
          <t>SEND</t>
        </is>
      </c>
    </row>
    <row r="2172">
      <c r="A2172" t="inlineStr">
        <is>
          <t>Yuri</t>
        </is>
      </c>
      <c r="B2172" t="inlineStr">
        <is>
          <t>+5511997340909</t>
        </is>
      </c>
      <c r="C2172" t="inlineStr">
        <is>
          <t>Refill</t>
        </is>
      </c>
      <c r="D2172" t="inlineStr">
        <is>
          <t>Primer Cachos</t>
        </is>
      </c>
      <c r="E2172" t="n">
        <v>1</v>
      </c>
      <c r="F2172" t="inlineStr">
        <is>
          <t>2026-01-24</t>
        </is>
      </c>
      <c r="G2172" t="n">
        <v>161</v>
      </c>
      <c r="H2172" t="inlineStr">
        <is>
          <t>Y</t>
        </is>
      </c>
      <c r="I2172">
        <f>HYPERLINK("https://admin.shopify.com/store/ge-beauty-cosmeticos/customers/10081140834624","abrir")</f>
        <v/>
      </c>
      <c r="J2172">
        <f>HYPERLINK("https://www.gebeauty.com.br/products/primer-cachos-definidos?ref=review","review")</f>
        <v/>
      </c>
      <c r="K2172" t="inlineStr">
        <is>
          <t>SEND</t>
        </is>
      </c>
    </row>
    <row r="2173">
      <c r="A2173" t="inlineStr">
        <is>
          <t>Elaine Cristina</t>
        </is>
      </c>
      <c r="B2173" t="inlineStr">
        <is>
          <t>+5511982895020</t>
        </is>
      </c>
      <c r="C2173" t="inlineStr">
        <is>
          <t>Refill</t>
        </is>
      </c>
      <c r="D2173" t="inlineStr">
        <is>
          <t>Primer Cachos</t>
        </is>
      </c>
      <c r="E2173" t="n">
        <v>1</v>
      </c>
      <c r="F2173" t="inlineStr">
        <is>
          <t>2026-01-24</t>
        </is>
      </c>
      <c r="G2173" t="n">
        <v>161</v>
      </c>
      <c r="H2173" t="inlineStr">
        <is>
          <t>Y</t>
        </is>
      </c>
      <c r="I2173">
        <f>HYPERLINK("https://admin.shopify.com/store/ge-beauty-cosmeticos/customers/10081193951552","abrir")</f>
        <v/>
      </c>
      <c r="J2173">
        <f>HYPERLINK("https://www.gebeauty.com.br/products/primer-cachos-definidos?ref=review","review")</f>
        <v/>
      </c>
      <c r="K2173" t="inlineStr">
        <is>
          <t>SEND</t>
        </is>
      </c>
    </row>
    <row r="2174">
      <c r="A2174" t="inlineStr">
        <is>
          <t>Larissa</t>
        </is>
      </c>
      <c r="B2174" t="inlineStr">
        <is>
          <t>+5535991411037</t>
        </is>
      </c>
      <c r="C2174" t="inlineStr">
        <is>
          <t>Refill</t>
        </is>
      </c>
      <c r="D2174" t="inlineStr">
        <is>
          <t>Primer Cachos</t>
        </is>
      </c>
      <c r="E2174" t="n">
        <v>1</v>
      </c>
      <c r="F2174" t="inlineStr">
        <is>
          <t>2026-01-24</t>
        </is>
      </c>
      <c r="G2174" t="n">
        <v>161</v>
      </c>
      <c r="H2174" t="inlineStr">
        <is>
          <t>Y</t>
        </is>
      </c>
      <c r="I2174">
        <f>HYPERLINK("https://admin.shopify.com/store/ge-beauty-cosmeticos/customers/10081176879424","abrir")</f>
        <v/>
      </c>
      <c r="J2174">
        <f>HYPERLINK("https://www.gebeauty.com.br/products/primer-cachos-definidos?ref=review","review")</f>
        <v/>
      </c>
      <c r="K2174" t="inlineStr">
        <is>
          <t>SEND</t>
        </is>
      </c>
    </row>
    <row r="2175">
      <c r="A2175" t="inlineStr">
        <is>
          <t>Irini</t>
        </is>
      </c>
      <c r="B2175" t="inlineStr">
        <is>
          <t>+5521995590088</t>
        </is>
      </c>
      <c r="C2175" t="inlineStr">
        <is>
          <t>Refill</t>
        </is>
      </c>
      <c r="D2175" t="inlineStr">
        <is>
          <t>Primer Cachos</t>
        </is>
      </c>
      <c r="E2175" t="n">
        <v>1</v>
      </c>
      <c r="F2175" t="inlineStr">
        <is>
          <t>2026-01-24</t>
        </is>
      </c>
      <c r="G2175" t="n">
        <v>161</v>
      </c>
      <c r="H2175" t="inlineStr">
        <is>
          <t>Y</t>
        </is>
      </c>
      <c r="I2175">
        <f>HYPERLINK("https://admin.shopify.com/store/ge-beauty-cosmeticos/customers/10081219215680","abrir")</f>
        <v/>
      </c>
      <c r="J2175">
        <f>HYPERLINK("https://www.gebeauty.com.br/products/primer-cachos-definidos?ref=review","review")</f>
        <v/>
      </c>
      <c r="K2175" t="inlineStr">
        <is>
          <t>SEND</t>
        </is>
      </c>
    </row>
    <row r="2176">
      <c r="A2176" t="inlineStr">
        <is>
          <t>Rosi Meire</t>
        </is>
      </c>
      <c r="B2176" t="inlineStr">
        <is>
          <t>+5511997984261</t>
        </is>
      </c>
      <c r="C2176" t="inlineStr">
        <is>
          <t>Refill</t>
        </is>
      </c>
      <c r="D2176" t="inlineStr">
        <is>
          <t>Primer Cachos</t>
        </is>
      </c>
      <c r="E2176" t="n">
        <v>1</v>
      </c>
      <c r="F2176" t="inlineStr">
        <is>
          <t>2026-01-24</t>
        </is>
      </c>
      <c r="G2176" t="n">
        <v>161</v>
      </c>
      <c r="H2176" t="inlineStr">
        <is>
          <t>Y</t>
        </is>
      </c>
      <c r="I2176">
        <f>HYPERLINK("https://admin.shopify.com/store/ge-beauty-cosmeticos/customers/10081226260800","abrir")</f>
        <v/>
      </c>
      <c r="J2176">
        <f>HYPERLINK("https://www.gebeauty.com.br/products/primer-cachos-definidos?ref=review","review")</f>
        <v/>
      </c>
      <c r="K2176" t="inlineStr">
        <is>
          <t>SEND</t>
        </is>
      </c>
    </row>
    <row r="2177">
      <c r="A2177" t="inlineStr">
        <is>
          <t>Marina</t>
        </is>
      </c>
      <c r="B2177" t="inlineStr">
        <is>
          <t>+5511997920229</t>
        </is>
      </c>
      <c r="C2177" t="inlineStr">
        <is>
          <t>Refill</t>
        </is>
      </c>
      <c r="D2177" t="inlineStr">
        <is>
          <t>Primer Cachos</t>
        </is>
      </c>
      <c r="E2177" t="n">
        <v>1</v>
      </c>
      <c r="F2177" t="inlineStr">
        <is>
          <t>2026-01-24</t>
        </is>
      </c>
      <c r="G2177" t="n">
        <v>161</v>
      </c>
      <c r="H2177" t="inlineStr">
        <is>
          <t>Y</t>
        </is>
      </c>
      <c r="I2177">
        <f>HYPERLINK("https://admin.shopify.com/store/ge-beauty-cosmeticos/customers/10074102137152","abrir")</f>
        <v/>
      </c>
      <c r="J2177">
        <f>HYPERLINK("https://www.gebeauty.com.br/products/primer-cachos-definidos?ref=review","review")</f>
        <v/>
      </c>
      <c r="K2177" t="inlineStr">
        <is>
          <t>SEND</t>
        </is>
      </c>
    </row>
    <row r="2178">
      <c r="A2178" t="inlineStr">
        <is>
          <t>Danielle</t>
        </is>
      </c>
      <c r="B2178" t="inlineStr">
        <is>
          <t>+5521972083800</t>
        </is>
      </c>
      <c r="C2178" t="inlineStr">
        <is>
          <t>Refill</t>
        </is>
      </c>
      <c r="D2178" t="inlineStr">
        <is>
          <t>Primer Cachos</t>
        </is>
      </c>
      <c r="E2178" t="n">
        <v>1</v>
      </c>
      <c r="F2178" t="inlineStr">
        <is>
          <t>2026-01-24</t>
        </is>
      </c>
      <c r="G2178" t="n">
        <v>161</v>
      </c>
      <c r="H2178" t="inlineStr">
        <is>
          <t>Y</t>
        </is>
      </c>
      <c r="I2178">
        <f>HYPERLINK("https://admin.shopify.com/store/ge-beauty-cosmeticos/customers/10039329358144","abrir")</f>
        <v/>
      </c>
      <c r="J2178">
        <f>HYPERLINK("https://www.gebeauty.com.br/products/primer-cachos-definidos?ref=review","review")</f>
        <v/>
      </c>
      <c r="K2178" t="inlineStr">
        <is>
          <t>HOLDOUT</t>
        </is>
      </c>
    </row>
    <row r="2179">
      <c r="A2179" t="inlineStr">
        <is>
          <t>Sandra</t>
        </is>
      </c>
      <c r="B2179" t="inlineStr">
        <is>
          <t>+5592991044415</t>
        </is>
      </c>
      <c r="C2179" t="inlineStr">
        <is>
          <t>Refill</t>
        </is>
      </c>
      <c r="D2179" t="inlineStr">
        <is>
          <t>Primer Cachos</t>
        </is>
      </c>
      <c r="E2179" t="n">
        <v>1</v>
      </c>
      <c r="F2179" t="inlineStr">
        <is>
          <t>2026-01-24</t>
        </is>
      </c>
      <c r="G2179" t="n">
        <v>161</v>
      </c>
      <c r="H2179" t="inlineStr">
        <is>
          <t>Y</t>
        </is>
      </c>
      <c r="I2179">
        <f>HYPERLINK("https://admin.shopify.com/store/ge-beauty-cosmeticos/customers/10081476182336","abrir")</f>
        <v/>
      </c>
      <c r="J2179">
        <f>HYPERLINK("https://www.gebeauty.com.br/products/primer-cachos-definidos?ref=review","review")</f>
        <v/>
      </c>
      <c r="K2179" t="inlineStr">
        <is>
          <t>SEND</t>
        </is>
      </c>
    </row>
    <row r="2180">
      <c r="A2180" t="inlineStr">
        <is>
          <t>Barbara</t>
        </is>
      </c>
      <c r="B2180" t="inlineStr">
        <is>
          <t>+5521979824442</t>
        </is>
      </c>
      <c r="C2180" t="inlineStr">
        <is>
          <t>Refill</t>
        </is>
      </c>
      <c r="D2180" t="inlineStr">
        <is>
          <t>Primer Cachos</t>
        </is>
      </c>
      <c r="E2180" t="n">
        <v>1</v>
      </c>
      <c r="F2180" t="inlineStr">
        <is>
          <t>2026-01-24</t>
        </is>
      </c>
      <c r="G2180" t="n">
        <v>161</v>
      </c>
      <c r="H2180" t="inlineStr">
        <is>
          <t>N</t>
        </is>
      </c>
      <c r="I2180">
        <f>HYPERLINK("https://admin.shopify.com/store/ge-beauty-cosmeticos/customers/7762159173952","abrir")</f>
        <v/>
      </c>
      <c r="J2180">
        <f>HYPERLINK("https://www.gebeauty.com.br/products/primer-cachos-definidos?ref=review","review")</f>
        <v/>
      </c>
      <c r="K2180" t="inlineStr">
        <is>
          <t>SEND</t>
        </is>
      </c>
    </row>
    <row r="2181">
      <c r="A2181" t="inlineStr">
        <is>
          <t>Adriana</t>
        </is>
      </c>
      <c r="B2181" t="inlineStr">
        <is>
          <t>+5541998180035</t>
        </is>
      </c>
      <c r="C2181" t="inlineStr">
        <is>
          <t>Refill</t>
        </is>
      </c>
      <c r="D2181" t="inlineStr">
        <is>
          <t>Primer Cachos</t>
        </is>
      </c>
      <c r="E2181" t="n">
        <v>1</v>
      </c>
      <c r="F2181" t="inlineStr">
        <is>
          <t>2026-01-24</t>
        </is>
      </c>
      <c r="G2181" t="n">
        <v>161</v>
      </c>
      <c r="H2181" t="inlineStr">
        <is>
          <t>Y</t>
        </is>
      </c>
      <c r="I2181">
        <f>HYPERLINK("https://admin.shopify.com/store/ge-beauty-cosmeticos/customers/9085136142656","abrir")</f>
        <v/>
      </c>
      <c r="J2181">
        <f>HYPERLINK("https://www.gebeauty.com.br/products/primer-cachos-definidos?ref=review","review")</f>
        <v/>
      </c>
      <c r="K2181" t="inlineStr">
        <is>
          <t>SEND</t>
        </is>
      </c>
    </row>
    <row r="2182">
      <c r="A2182" t="inlineStr">
        <is>
          <t>Ana Paula</t>
        </is>
      </c>
      <c r="B2182" t="inlineStr">
        <is>
          <t>+5555981627728</t>
        </is>
      </c>
      <c r="C2182" t="inlineStr">
        <is>
          <t>Refill</t>
        </is>
      </c>
      <c r="D2182" t="inlineStr">
        <is>
          <t>Primer Cachos</t>
        </is>
      </c>
      <c r="E2182" t="n">
        <v>1</v>
      </c>
      <c r="F2182" t="inlineStr">
        <is>
          <t>2026-01-24</t>
        </is>
      </c>
      <c r="G2182" t="n">
        <v>161</v>
      </c>
      <c r="H2182" t="inlineStr">
        <is>
          <t>Y</t>
        </is>
      </c>
      <c r="I2182">
        <f>HYPERLINK("https://admin.shopify.com/store/ge-beauty-cosmeticos/customers/10081589526848","abrir")</f>
        <v/>
      </c>
      <c r="J2182">
        <f>HYPERLINK("https://www.gebeauty.com.br/products/primer-cachos-definidos?ref=review","review")</f>
        <v/>
      </c>
      <c r="K2182" t="inlineStr">
        <is>
          <t>SEND</t>
        </is>
      </c>
    </row>
    <row r="2183">
      <c r="A2183" t="inlineStr">
        <is>
          <t>Paula</t>
        </is>
      </c>
      <c r="B2183" t="inlineStr">
        <is>
          <t>+5521985861085</t>
        </is>
      </c>
      <c r="C2183" t="inlineStr">
        <is>
          <t>Refill</t>
        </is>
      </c>
      <c r="D2183" t="inlineStr">
        <is>
          <t>Primer Cachos</t>
        </is>
      </c>
      <c r="E2183" t="n">
        <v>1</v>
      </c>
      <c r="F2183" t="inlineStr">
        <is>
          <t>2026-01-24</t>
        </is>
      </c>
      <c r="G2183" t="n">
        <v>161</v>
      </c>
      <c r="H2183" t="inlineStr">
        <is>
          <t>Y</t>
        </is>
      </c>
      <c r="I2183">
        <f>HYPERLINK("https://admin.shopify.com/store/ge-beauty-cosmeticos/customers/10081698382144","abrir")</f>
        <v/>
      </c>
      <c r="J2183">
        <f>HYPERLINK("https://www.gebeauty.com.br/products/primer-cachos-definidos?ref=review","review")</f>
        <v/>
      </c>
      <c r="K2183" t="inlineStr">
        <is>
          <t>SEND</t>
        </is>
      </c>
    </row>
    <row r="2184">
      <c r="A2184" t="inlineStr">
        <is>
          <t>Andréia</t>
        </is>
      </c>
      <c r="B2184" t="inlineStr">
        <is>
          <t>+5544999208436</t>
        </is>
      </c>
      <c r="C2184" t="inlineStr">
        <is>
          <t>Refill</t>
        </is>
      </c>
      <c r="D2184" t="inlineStr">
        <is>
          <t>Primer Cachos</t>
        </is>
      </c>
      <c r="E2184" t="n">
        <v>1</v>
      </c>
      <c r="F2184" t="inlineStr">
        <is>
          <t>2026-01-24</t>
        </is>
      </c>
      <c r="G2184" t="n">
        <v>161</v>
      </c>
      <c r="H2184" t="inlineStr">
        <is>
          <t>Y</t>
        </is>
      </c>
      <c r="I2184">
        <f>HYPERLINK("https://admin.shopify.com/store/ge-beauty-cosmeticos/customers/10081955905856","abrir")</f>
        <v/>
      </c>
      <c r="J2184">
        <f>HYPERLINK("https://www.gebeauty.com.br/products/primer-cachos-definidos?ref=review","review")</f>
        <v/>
      </c>
      <c r="K2184" t="inlineStr">
        <is>
          <t>SEND</t>
        </is>
      </c>
    </row>
    <row r="2185">
      <c r="A2185" t="inlineStr">
        <is>
          <t>Ioneide</t>
        </is>
      </c>
      <c r="B2185" t="inlineStr">
        <is>
          <t>+5516992086771</t>
        </is>
      </c>
      <c r="C2185" t="inlineStr">
        <is>
          <t>Refill</t>
        </is>
      </c>
      <c r="D2185" t="inlineStr">
        <is>
          <t>Primer Cachos</t>
        </is>
      </c>
      <c r="E2185" t="n">
        <v>1</v>
      </c>
      <c r="F2185" t="inlineStr">
        <is>
          <t>2026-01-24</t>
        </is>
      </c>
      <c r="G2185" t="n">
        <v>161</v>
      </c>
      <c r="H2185" t="inlineStr">
        <is>
          <t>Y</t>
        </is>
      </c>
      <c r="I2185">
        <f>HYPERLINK("https://admin.shopify.com/store/ge-beauty-cosmeticos/customers/10081965965632","abrir")</f>
        <v/>
      </c>
      <c r="J2185">
        <f>HYPERLINK("https://www.gebeauty.com.br/products/primer-cachos-definidos?ref=review","review")</f>
        <v/>
      </c>
      <c r="K2185" t="inlineStr">
        <is>
          <t>HOLDOUT</t>
        </is>
      </c>
    </row>
    <row r="2186">
      <c r="A2186" t="inlineStr">
        <is>
          <t>Rosangela</t>
        </is>
      </c>
      <c r="B2186" t="inlineStr">
        <is>
          <t>+5542999904333</t>
        </is>
      </c>
      <c r="C2186" t="inlineStr">
        <is>
          <t>Refill</t>
        </is>
      </c>
      <c r="D2186" t="inlineStr">
        <is>
          <t>Primer Cachos</t>
        </is>
      </c>
      <c r="E2186" t="n">
        <v>1</v>
      </c>
      <c r="F2186" t="inlineStr">
        <is>
          <t>2026-01-24</t>
        </is>
      </c>
      <c r="G2186" t="n">
        <v>161</v>
      </c>
      <c r="H2186" t="inlineStr">
        <is>
          <t>Y</t>
        </is>
      </c>
      <c r="I2186">
        <f>HYPERLINK("https://admin.shopify.com/store/ge-beauty-cosmeticos/customers/10082054930752","abrir")</f>
        <v/>
      </c>
      <c r="J2186">
        <f>HYPERLINK("https://www.gebeauty.com.br/products/primer-cachos-definidos?ref=review","review")</f>
        <v/>
      </c>
      <c r="K2186" t="inlineStr">
        <is>
          <t>HOLDOUT</t>
        </is>
      </c>
    </row>
    <row r="2187">
      <c r="A2187" t="inlineStr">
        <is>
          <t>Ana</t>
        </is>
      </c>
      <c r="B2187" t="inlineStr">
        <is>
          <t>+5518988152080</t>
        </is>
      </c>
      <c r="C2187" t="inlineStr">
        <is>
          <t>Refill</t>
        </is>
      </c>
      <c r="D2187" t="inlineStr">
        <is>
          <t>Primer Cachos</t>
        </is>
      </c>
      <c r="E2187" t="n">
        <v>1</v>
      </c>
      <c r="F2187" t="inlineStr">
        <is>
          <t>2026-01-24</t>
        </is>
      </c>
      <c r="G2187" t="n">
        <v>161</v>
      </c>
      <c r="H2187" t="inlineStr">
        <is>
          <t>Y</t>
        </is>
      </c>
      <c r="I2187">
        <f>HYPERLINK("https://admin.shopify.com/store/ge-beauty-cosmeticos/customers/10082049458496","abrir")</f>
        <v/>
      </c>
      <c r="J2187">
        <f>HYPERLINK("https://www.gebeauty.com.br/products/primer-cachos-definidos?ref=review","review")</f>
        <v/>
      </c>
      <c r="K2187" t="inlineStr">
        <is>
          <t>SEND</t>
        </is>
      </c>
    </row>
    <row r="2188">
      <c r="A2188" t="inlineStr">
        <is>
          <t>Marília</t>
        </is>
      </c>
      <c r="B2188" t="inlineStr">
        <is>
          <t>+5531999920964</t>
        </is>
      </c>
      <c r="C2188" t="inlineStr">
        <is>
          <t>Refill</t>
        </is>
      </c>
      <c r="D2188" t="inlineStr">
        <is>
          <t>Primer Cachos</t>
        </is>
      </c>
      <c r="E2188" t="n">
        <v>1</v>
      </c>
      <c r="F2188" t="inlineStr">
        <is>
          <t>2026-01-24</t>
        </is>
      </c>
      <c r="G2188" t="n">
        <v>161</v>
      </c>
      <c r="H2188" t="inlineStr">
        <is>
          <t>Y</t>
        </is>
      </c>
      <c r="I2188">
        <f>HYPERLINK("https://admin.shopify.com/store/ge-beauty-cosmeticos/customers/10081004028224","abrir")</f>
        <v/>
      </c>
      <c r="J2188">
        <f>HYPERLINK("https://www.gebeauty.com.br/products/primer-cachos-definidos?ref=review","review")</f>
        <v/>
      </c>
      <c r="K2188" t="inlineStr">
        <is>
          <t>SEND</t>
        </is>
      </c>
    </row>
    <row r="2189">
      <c r="A2189" t="inlineStr">
        <is>
          <t>Maria Helena</t>
        </is>
      </c>
      <c r="B2189" t="inlineStr">
        <is>
          <t>+5577998060077</t>
        </is>
      </c>
      <c r="C2189" t="inlineStr">
        <is>
          <t>Refill</t>
        </is>
      </c>
      <c r="D2189" t="inlineStr">
        <is>
          <t>Primer Cachos</t>
        </is>
      </c>
      <c r="E2189" t="n">
        <v>1</v>
      </c>
      <c r="F2189" t="inlineStr">
        <is>
          <t>2026-01-24</t>
        </is>
      </c>
      <c r="G2189" t="n">
        <v>161</v>
      </c>
      <c r="H2189" t="inlineStr">
        <is>
          <t>Y</t>
        </is>
      </c>
      <c r="I2189">
        <f>HYPERLINK("https://admin.shopify.com/store/ge-beauty-cosmeticos/customers/10082073739584","abrir")</f>
        <v/>
      </c>
      <c r="J2189">
        <f>HYPERLINK("https://www.gebeauty.com.br/products/primer-cachos-definidos?ref=review","review")</f>
        <v/>
      </c>
      <c r="K2189" t="inlineStr">
        <is>
          <t>SEND</t>
        </is>
      </c>
    </row>
    <row r="2190">
      <c r="A2190" t="inlineStr">
        <is>
          <t>Silvania</t>
        </is>
      </c>
      <c r="B2190" t="inlineStr">
        <is>
          <t>+5519993496004</t>
        </is>
      </c>
      <c r="C2190" t="inlineStr">
        <is>
          <t>Refill</t>
        </is>
      </c>
      <c r="D2190" t="inlineStr">
        <is>
          <t>Primer Cachos</t>
        </is>
      </c>
      <c r="E2190" t="n">
        <v>1</v>
      </c>
      <c r="F2190" t="inlineStr">
        <is>
          <t>2026-01-24</t>
        </is>
      </c>
      <c r="G2190" t="n">
        <v>161</v>
      </c>
      <c r="H2190" t="inlineStr">
        <is>
          <t>Y</t>
        </is>
      </c>
      <c r="I2190">
        <f>HYPERLINK("https://admin.shopify.com/store/ge-beauty-cosmeticos/customers/10081014513984","abrir")</f>
        <v/>
      </c>
      <c r="J2190">
        <f>HYPERLINK("https://www.gebeauty.com.br/products/primer-cachos-definidos?ref=review","review")</f>
        <v/>
      </c>
      <c r="K2190" t="inlineStr">
        <is>
          <t>SEND</t>
        </is>
      </c>
    </row>
    <row r="2191">
      <c r="A2191" t="inlineStr">
        <is>
          <t>Karine</t>
        </is>
      </c>
      <c r="B2191" t="inlineStr">
        <is>
          <t>+5521986441384</t>
        </is>
      </c>
      <c r="C2191" t="inlineStr">
        <is>
          <t>Refill</t>
        </is>
      </c>
      <c r="D2191" t="inlineStr">
        <is>
          <t>Primer Cachos</t>
        </is>
      </c>
      <c r="E2191" t="n">
        <v>1</v>
      </c>
      <c r="F2191" t="inlineStr">
        <is>
          <t>2026-01-24</t>
        </is>
      </c>
      <c r="G2191" t="n">
        <v>161</v>
      </c>
      <c r="H2191" t="inlineStr">
        <is>
          <t>Y</t>
        </is>
      </c>
      <c r="I2191">
        <f>HYPERLINK("https://admin.shopify.com/store/ge-beauty-cosmeticos/customers/8500680851776","abrir")</f>
        <v/>
      </c>
      <c r="J2191">
        <f>HYPERLINK("https://www.gebeauty.com.br/products/primer-cachos-definidos?ref=review","review")</f>
        <v/>
      </c>
      <c r="K2191" t="inlineStr">
        <is>
          <t>SEND</t>
        </is>
      </c>
    </row>
    <row r="2192">
      <c r="A2192" t="inlineStr">
        <is>
          <t>Renata</t>
        </is>
      </c>
      <c r="B2192" t="inlineStr">
        <is>
          <t>+5511988496555</t>
        </is>
      </c>
      <c r="C2192" t="inlineStr">
        <is>
          <t>Refill</t>
        </is>
      </c>
      <c r="D2192" t="inlineStr">
        <is>
          <t>Primer Cachos</t>
        </is>
      </c>
      <c r="E2192" t="n">
        <v>1</v>
      </c>
      <c r="F2192" t="inlineStr">
        <is>
          <t>2026-01-24</t>
        </is>
      </c>
      <c r="G2192" t="n">
        <v>161</v>
      </c>
      <c r="H2192" t="inlineStr">
        <is>
          <t>Y</t>
        </is>
      </c>
      <c r="I2192">
        <f>HYPERLINK("https://admin.shopify.com/store/ge-beauty-cosmeticos/customers/10082123088192","abrir")</f>
        <v/>
      </c>
      <c r="J2192">
        <f>HYPERLINK("https://www.gebeauty.com.br/products/primer-cachos-definidos?ref=review","review")</f>
        <v/>
      </c>
      <c r="K2192" t="inlineStr">
        <is>
          <t>SEND</t>
        </is>
      </c>
    </row>
    <row r="2193">
      <c r="A2193" t="inlineStr">
        <is>
          <t>Larissa</t>
        </is>
      </c>
      <c r="B2193" t="inlineStr">
        <is>
          <t>+5511992569015</t>
        </is>
      </c>
      <c r="C2193" t="inlineStr">
        <is>
          <t>Refill</t>
        </is>
      </c>
      <c r="D2193" t="inlineStr">
        <is>
          <t>Primer Cachos</t>
        </is>
      </c>
      <c r="E2193" t="n">
        <v>1</v>
      </c>
      <c r="F2193" t="inlineStr">
        <is>
          <t>2026-01-24</t>
        </is>
      </c>
      <c r="G2193" t="n">
        <v>161</v>
      </c>
      <c r="H2193" t="inlineStr">
        <is>
          <t>Y</t>
        </is>
      </c>
      <c r="I2193">
        <f>HYPERLINK("https://admin.shopify.com/store/ge-beauty-cosmeticos/customers/9486060093760","abrir")</f>
        <v/>
      </c>
      <c r="J2193">
        <f>HYPERLINK("https://www.gebeauty.com.br/products/primer-cachos-definidos?ref=review","review")</f>
        <v/>
      </c>
      <c r="K2193" t="inlineStr">
        <is>
          <t>SEND</t>
        </is>
      </c>
    </row>
    <row r="2194">
      <c r="A2194" t="inlineStr">
        <is>
          <t>Marta</t>
        </is>
      </c>
      <c r="B2194" t="inlineStr">
        <is>
          <t>+5579999962744</t>
        </is>
      </c>
      <c r="C2194" t="inlineStr">
        <is>
          <t>Refill</t>
        </is>
      </c>
      <c r="D2194" t="inlineStr">
        <is>
          <t>Primer Cachos</t>
        </is>
      </c>
      <c r="E2194" t="n">
        <v>1</v>
      </c>
      <c r="F2194" t="inlineStr">
        <is>
          <t>2026-01-24</t>
        </is>
      </c>
      <c r="G2194" t="n">
        <v>161</v>
      </c>
      <c r="H2194" t="inlineStr">
        <is>
          <t>Y</t>
        </is>
      </c>
      <c r="I2194">
        <f>HYPERLINK("https://admin.shopify.com/store/ge-beauty-cosmeticos/customers/10082126299456","abrir")</f>
        <v/>
      </c>
      <c r="J2194">
        <f>HYPERLINK("https://www.gebeauty.com.br/products/primer-cachos-definidos?ref=review","review")</f>
        <v/>
      </c>
      <c r="K2194" t="inlineStr">
        <is>
          <t>SEND</t>
        </is>
      </c>
    </row>
    <row r="2195">
      <c r="A2195" t="inlineStr">
        <is>
          <t>Luciana</t>
        </is>
      </c>
      <c r="B2195" t="inlineStr">
        <is>
          <t>+5561984951755</t>
        </is>
      </c>
      <c r="C2195" t="inlineStr">
        <is>
          <t>Refill</t>
        </is>
      </c>
      <c r="D2195" t="inlineStr">
        <is>
          <t>Primer Cachos</t>
        </is>
      </c>
      <c r="E2195" t="n">
        <v>1</v>
      </c>
      <c r="F2195" t="inlineStr">
        <is>
          <t>2026-01-24</t>
        </is>
      </c>
      <c r="G2195" t="n">
        <v>161</v>
      </c>
      <c r="H2195" t="inlineStr">
        <is>
          <t>Y</t>
        </is>
      </c>
      <c r="I2195">
        <f>HYPERLINK("https://admin.shopify.com/store/ge-beauty-cosmeticos/customers/10082136392000","abrir")</f>
        <v/>
      </c>
      <c r="J2195">
        <f>HYPERLINK("https://www.gebeauty.com.br/products/primer-cachos-definidos?ref=review","review")</f>
        <v/>
      </c>
      <c r="K2195" t="inlineStr">
        <is>
          <t>SEND</t>
        </is>
      </c>
    </row>
    <row r="2196">
      <c r="A2196" t="inlineStr">
        <is>
          <t>Laura</t>
        </is>
      </c>
      <c r="B2196" t="inlineStr">
        <is>
          <t>+5555984251729</t>
        </is>
      </c>
      <c r="C2196" t="inlineStr">
        <is>
          <t>Refill</t>
        </is>
      </c>
      <c r="D2196" t="inlineStr">
        <is>
          <t>Primer Cachos</t>
        </is>
      </c>
      <c r="E2196" t="n">
        <v>1</v>
      </c>
      <c r="F2196" t="inlineStr">
        <is>
          <t>2026-01-24</t>
        </is>
      </c>
      <c r="G2196" t="n">
        <v>161</v>
      </c>
      <c r="H2196" t="inlineStr">
        <is>
          <t>Y</t>
        </is>
      </c>
      <c r="I2196">
        <f>HYPERLINK("https://admin.shopify.com/store/ge-beauty-cosmeticos/customers/10082226733376","abrir")</f>
        <v/>
      </c>
      <c r="J2196">
        <f>HYPERLINK("https://www.gebeauty.com.br/products/primer-cachos-definidos?ref=review","review")</f>
        <v/>
      </c>
      <c r="K2196" t="inlineStr">
        <is>
          <t>SEND</t>
        </is>
      </c>
    </row>
    <row r="2197">
      <c r="A2197" t="inlineStr">
        <is>
          <t>Karina</t>
        </is>
      </c>
      <c r="B2197" t="inlineStr">
        <is>
          <t>+5511996203240</t>
        </is>
      </c>
      <c r="C2197" t="inlineStr">
        <is>
          <t>Refill</t>
        </is>
      </c>
      <c r="D2197" t="inlineStr">
        <is>
          <t>Primer Cachos</t>
        </is>
      </c>
      <c r="E2197" t="n">
        <v>1</v>
      </c>
      <c r="F2197" t="inlineStr">
        <is>
          <t>2026-01-24</t>
        </is>
      </c>
      <c r="G2197" t="n">
        <v>161</v>
      </c>
      <c r="H2197" t="inlineStr">
        <is>
          <t>Y</t>
        </is>
      </c>
      <c r="I2197">
        <f>HYPERLINK("https://admin.shopify.com/store/ge-beauty-cosmeticos/customers/10074038763840","abrir")</f>
        <v/>
      </c>
      <c r="J2197">
        <f>HYPERLINK("https://www.gebeauty.com.br/products/primer-cachos-definidos?ref=review","review")</f>
        <v/>
      </c>
      <c r="K2197" t="inlineStr">
        <is>
          <t>SEND</t>
        </is>
      </c>
    </row>
    <row r="2198">
      <c r="A2198" t="inlineStr">
        <is>
          <t>Karin</t>
        </is>
      </c>
      <c r="B2198" t="inlineStr">
        <is>
          <t>+5519999998947</t>
        </is>
      </c>
      <c r="C2198" t="inlineStr">
        <is>
          <t>Refill</t>
        </is>
      </c>
      <c r="D2198" t="inlineStr">
        <is>
          <t>Primer Cachos</t>
        </is>
      </c>
      <c r="E2198" t="n">
        <v>1</v>
      </c>
      <c r="F2198" t="inlineStr">
        <is>
          <t>2026-01-24</t>
        </is>
      </c>
      <c r="G2198" t="n">
        <v>161</v>
      </c>
      <c r="H2198" t="inlineStr">
        <is>
          <t>Y</t>
        </is>
      </c>
      <c r="I2198">
        <f>HYPERLINK("https://admin.shopify.com/store/ge-beauty-cosmeticos/customers/10082296463680","abrir")</f>
        <v/>
      </c>
      <c r="J2198">
        <f>HYPERLINK("https://www.gebeauty.com.br/products/primer-cachos-definidos?ref=review","review")</f>
        <v/>
      </c>
      <c r="K2198" t="inlineStr">
        <is>
          <t>SEND</t>
        </is>
      </c>
    </row>
    <row r="2199">
      <c r="A2199" t="inlineStr">
        <is>
          <t>Katia</t>
        </is>
      </c>
      <c r="B2199" t="inlineStr">
        <is>
          <t>+5581996655025</t>
        </is>
      </c>
      <c r="C2199" t="inlineStr">
        <is>
          <t>Refill</t>
        </is>
      </c>
      <c r="D2199" t="inlineStr">
        <is>
          <t>Primer Cachos</t>
        </is>
      </c>
      <c r="E2199" t="n">
        <v>1</v>
      </c>
      <c r="F2199" t="inlineStr">
        <is>
          <t>2026-01-24</t>
        </is>
      </c>
      <c r="G2199" t="n">
        <v>161</v>
      </c>
      <c r="H2199" t="inlineStr">
        <is>
          <t>Y</t>
        </is>
      </c>
      <c r="I2199">
        <f>HYPERLINK("https://admin.shopify.com/store/ge-beauty-cosmeticos/customers/10082283159872","abrir")</f>
        <v/>
      </c>
      <c r="J2199">
        <f>HYPERLINK("https://www.gebeauty.com.br/products/primer-cachos-definidos?ref=review","review")</f>
        <v/>
      </c>
      <c r="K2199" t="inlineStr">
        <is>
          <t>SEND</t>
        </is>
      </c>
    </row>
    <row r="2200">
      <c r="A2200" t="inlineStr">
        <is>
          <t>Glaucia</t>
        </is>
      </c>
      <c r="B2200" t="inlineStr">
        <is>
          <t>+5531992923470</t>
        </is>
      </c>
      <c r="C2200" t="inlineStr">
        <is>
          <t>Refill</t>
        </is>
      </c>
      <c r="D2200" t="inlineStr">
        <is>
          <t>Primer Cachos</t>
        </is>
      </c>
      <c r="E2200" t="n">
        <v>1</v>
      </c>
      <c r="F2200" t="inlineStr">
        <is>
          <t>2026-01-24</t>
        </is>
      </c>
      <c r="G2200" t="n">
        <v>161</v>
      </c>
      <c r="H2200" t="inlineStr">
        <is>
          <t>Y</t>
        </is>
      </c>
      <c r="I2200">
        <f>HYPERLINK("https://admin.shopify.com/store/ge-beauty-cosmeticos/customers/10082336145728","abrir")</f>
        <v/>
      </c>
      <c r="J2200">
        <f>HYPERLINK("https://www.gebeauty.com.br/products/primer-cachos-definidos?ref=review","review")</f>
        <v/>
      </c>
      <c r="K2200" t="inlineStr">
        <is>
          <t>SEND</t>
        </is>
      </c>
    </row>
    <row r="2201">
      <c r="A2201" t="inlineStr">
        <is>
          <t>Daniele</t>
        </is>
      </c>
      <c r="B2201" t="inlineStr">
        <is>
          <t>+5531992128362</t>
        </is>
      </c>
      <c r="C2201" t="inlineStr">
        <is>
          <t>Refill</t>
        </is>
      </c>
      <c r="D2201" t="inlineStr">
        <is>
          <t>Primer Cachos</t>
        </is>
      </c>
      <c r="E2201" t="n">
        <v>1</v>
      </c>
      <c r="F2201" t="inlineStr">
        <is>
          <t>2026-01-24</t>
        </is>
      </c>
      <c r="G2201" t="n">
        <v>161</v>
      </c>
      <c r="H2201" t="inlineStr">
        <is>
          <t>Y</t>
        </is>
      </c>
      <c r="I2201">
        <f>HYPERLINK("https://admin.shopify.com/store/ge-beauty-cosmeticos/customers/10082336899392","abrir")</f>
        <v/>
      </c>
      <c r="J2201">
        <f>HYPERLINK("https://www.gebeauty.com.br/products/primer-cachos-definidos?ref=review","review")</f>
        <v/>
      </c>
      <c r="K2201" t="inlineStr">
        <is>
          <t>SEND</t>
        </is>
      </c>
    </row>
    <row r="2202">
      <c r="A2202" t="inlineStr">
        <is>
          <t>Quênia</t>
        </is>
      </c>
      <c r="B2202" t="inlineStr">
        <is>
          <t>+5513996166726</t>
        </is>
      </c>
      <c r="C2202" t="inlineStr">
        <is>
          <t>Refill</t>
        </is>
      </c>
      <c r="D2202" t="inlineStr">
        <is>
          <t>Primer Cachos</t>
        </is>
      </c>
      <c r="E2202" t="n">
        <v>1</v>
      </c>
      <c r="F2202" t="inlineStr">
        <is>
          <t>2026-01-24</t>
        </is>
      </c>
      <c r="G2202" t="n">
        <v>161</v>
      </c>
      <c r="H2202" t="inlineStr">
        <is>
          <t>Y</t>
        </is>
      </c>
      <c r="I2202">
        <f>HYPERLINK("https://admin.shopify.com/store/ge-beauty-cosmeticos/customers/9688900469056","abrir")</f>
        <v/>
      </c>
      <c r="J2202">
        <f>HYPERLINK("https://www.gebeauty.com.br/products/primer-cachos-definidos?ref=review","review")</f>
        <v/>
      </c>
      <c r="K2202" t="inlineStr">
        <is>
          <t>SEND</t>
        </is>
      </c>
    </row>
    <row r="2203">
      <c r="A2203" t="inlineStr">
        <is>
          <t>Michelle</t>
        </is>
      </c>
      <c r="B2203" t="inlineStr">
        <is>
          <t>+5581996612377</t>
        </is>
      </c>
      <c r="C2203" t="inlineStr">
        <is>
          <t>Refill</t>
        </is>
      </c>
      <c r="D2203" t="inlineStr">
        <is>
          <t>Primer Cachos</t>
        </is>
      </c>
      <c r="E2203" t="n">
        <v>1</v>
      </c>
      <c r="F2203" t="inlineStr">
        <is>
          <t>2026-01-24</t>
        </is>
      </c>
      <c r="G2203" t="n">
        <v>161</v>
      </c>
      <c r="H2203" t="inlineStr">
        <is>
          <t>Y</t>
        </is>
      </c>
      <c r="I2203">
        <f>HYPERLINK("https://admin.shopify.com/store/ge-beauty-cosmeticos/customers/10082355118400","abrir")</f>
        <v/>
      </c>
      <c r="J2203">
        <f>HYPERLINK("https://www.gebeauty.com.br/products/primer-cachos-definidos?ref=review","review")</f>
        <v/>
      </c>
      <c r="K2203" t="inlineStr">
        <is>
          <t>SEND</t>
        </is>
      </c>
    </row>
    <row r="2204">
      <c r="A2204" t="inlineStr">
        <is>
          <t>Dorothea</t>
        </is>
      </c>
      <c r="B2204" t="inlineStr">
        <is>
          <t>+5511999303750</t>
        </is>
      </c>
      <c r="C2204" t="inlineStr">
        <is>
          <t>Refill</t>
        </is>
      </c>
      <c r="D2204" t="inlineStr">
        <is>
          <t>Primer Cachos</t>
        </is>
      </c>
      <c r="E2204" t="n">
        <v>1</v>
      </c>
      <c r="F2204" t="inlineStr">
        <is>
          <t>2026-01-24</t>
        </is>
      </c>
      <c r="G2204" t="n">
        <v>161</v>
      </c>
      <c r="H2204" t="inlineStr">
        <is>
          <t>Y</t>
        </is>
      </c>
      <c r="I2204">
        <f>HYPERLINK("https://admin.shopify.com/store/ge-beauty-cosmeticos/customers/10082370322752","abrir")</f>
        <v/>
      </c>
      <c r="J2204">
        <f>HYPERLINK("https://www.gebeauty.com.br/products/primer-cachos-definidos?ref=review","review")</f>
        <v/>
      </c>
      <c r="K2204" t="inlineStr">
        <is>
          <t>SEND</t>
        </is>
      </c>
    </row>
    <row r="2205">
      <c r="A2205" t="inlineStr">
        <is>
          <t>Tatiane</t>
        </is>
      </c>
      <c r="B2205" t="inlineStr">
        <is>
          <t>+5537999418380</t>
        </is>
      </c>
      <c r="C2205" t="inlineStr">
        <is>
          <t>Refill</t>
        </is>
      </c>
      <c r="D2205" t="inlineStr">
        <is>
          <t>Primer Cachos</t>
        </is>
      </c>
      <c r="E2205" t="n">
        <v>1</v>
      </c>
      <c r="F2205" t="inlineStr">
        <is>
          <t>2026-01-24</t>
        </is>
      </c>
      <c r="G2205" t="n">
        <v>161</v>
      </c>
      <c r="H2205" t="inlineStr">
        <is>
          <t>Y</t>
        </is>
      </c>
      <c r="I2205">
        <f>HYPERLINK("https://admin.shopify.com/store/ge-beauty-cosmeticos/customers/9486173897024","abrir")</f>
        <v/>
      </c>
      <c r="J2205">
        <f>HYPERLINK("https://www.gebeauty.com.br/products/primer-cachos-definidos?ref=review","review")</f>
        <v/>
      </c>
      <c r="K2205" t="inlineStr">
        <is>
          <t>SEND</t>
        </is>
      </c>
    </row>
    <row r="2206">
      <c r="A2206" t="inlineStr">
        <is>
          <t>Marisia</t>
        </is>
      </c>
      <c r="B2206" t="inlineStr">
        <is>
          <t>+5555999849824</t>
        </is>
      </c>
      <c r="C2206" t="inlineStr">
        <is>
          <t>Refill</t>
        </is>
      </c>
      <c r="D2206" t="inlineStr">
        <is>
          <t>Primer Cachos</t>
        </is>
      </c>
      <c r="E2206" t="n">
        <v>1</v>
      </c>
      <c r="F2206" t="inlineStr">
        <is>
          <t>2026-01-24</t>
        </is>
      </c>
      <c r="G2206" t="n">
        <v>161</v>
      </c>
      <c r="H2206" t="inlineStr">
        <is>
          <t>Y</t>
        </is>
      </c>
      <c r="I2206">
        <f>HYPERLINK("https://admin.shopify.com/store/ge-beauty-cosmeticos/customers/10081479590208","abrir")</f>
        <v/>
      </c>
      <c r="J2206">
        <f>HYPERLINK("https://www.gebeauty.com.br/products/primer-cachos-definidos?ref=review","review")</f>
        <v/>
      </c>
      <c r="K2206" t="inlineStr">
        <is>
          <t>SEND</t>
        </is>
      </c>
    </row>
    <row r="2207">
      <c r="A2207" t="inlineStr">
        <is>
          <t>Nina</t>
        </is>
      </c>
      <c r="B2207" t="inlineStr">
        <is>
          <t>+5521988828000</t>
        </is>
      </c>
      <c r="C2207" t="inlineStr">
        <is>
          <t>Refill</t>
        </is>
      </c>
      <c r="D2207" t="inlineStr">
        <is>
          <t>Primer Cachos</t>
        </is>
      </c>
      <c r="E2207" t="n">
        <v>1</v>
      </c>
      <c r="F2207" t="inlineStr">
        <is>
          <t>2026-01-24</t>
        </is>
      </c>
      <c r="G2207" t="n">
        <v>161</v>
      </c>
      <c r="H2207" t="inlineStr">
        <is>
          <t>Y</t>
        </is>
      </c>
      <c r="I2207">
        <f>HYPERLINK("https://admin.shopify.com/store/ge-beauty-cosmeticos/customers/8126528782656","abrir")</f>
        <v/>
      </c>
      <c r="J2207">
        <f>HYPERLINK("https://www.gebeauty.com.br/products/primer-cachos-definidos?ref=review","review")</f>
        <v/>
      </c>
      <c r="K2207" t="inlineStr">
        <is>
          <t>HOLDOUT</t>
        </is>
      </c>
    </row>
    <row r="2208">
      <c r="A2208" t="inlineStr">
        <is>
          <t>Ana Luiza</t>
        </is>
      </c>
      <c r="B2208" t="inlineStr">
        <is>
          <t>+5511975751954</t>
        </is>
      </c>
      <c r="C2208" t="inlineStr">
        <is>
          <t>Refill</t>
        </is>
      </c>
      <c r="D2208" t="inlineStr">
        <is>
          <t>Primer Cachos</t>
        </is>
      </c>
      <c r="E2208" t="n">
        <v>1</v>
      </c>
      <c r="F2208" t="inlineStr">
        <is>
          <t>2026-01-24</t>
        </is>
      </c>
      <c r="G2208" t="n">
        <v>161</v>
      </c>
      <c r="H2208" t="inlineStr">
        <is>
          <t>Y</t>
        </is>
      </c>
      <c r="I2208">
        <f>HYPERLINK("https://admin.shopify.com/store/ge-beauty-cosmeticos/customers/10082416525632","abrir")</f>
        <v/>
      </c>
      <c r="J2208">
        <f>HYPERLINK("https://www.gebeauty.com.br/products/primer-cachos-definidos?ref=review","review")</f>
        <v/>
      </c>
      <c r="K2208" t="inlineStr">
        <is>
          <t>SEND</t>
        </is>
      </c>
    </row>
    <row r="2209">
      <c r="A2209" t="inlineStr">
        <is>
          <t>Erica</t>
        </is>
      </c>
      <c r="B2209" t="inlineStr">
        <is>
          <t>+5516981490634</t>
        </is>
      </c>
      <c r="C2209" t="inlineStr">
        <is>
          <t>Refill</t>
        </is>
      </c>
      <c r="D2209" t="inlineStr">
        <is>
          <t>Primer Cachos</t>
        </is>
      </c>
      <c r="E2209" t="n">
        <v>1</v>
      </c>
      <c r="F2209" t="inlineStr">
        <is>
          <t>2026-01-24</t>
        </is>
      </c>
      <c r="G2209" t="n">
        <v>161</v>
      </c>
      <c r="H2209" t="inlineStr">
        <is>
          <t>Y</t>
        </is>
      </c>
      <c r="I2209">
        <f>HYPERLINK("https://admin.shopify.com/store/ge-beauty-cosmeticos/customers/10082464072000","abrir")</f>
        <v/>
      </c>
      <c r="J2209">
        <f>HYPERLINK("https://www.gebeauty.com.br/products/primer-cachos-definidos?ref=review","review")</f>
        <v/>
      </c>
      <c r="K2209" t="inlineStr">
        <is>
          <t>SEND</t>
        </is>
      </c>
    </row>
    <row r="2210">
      <c r="A2210" t="inlineStr">
        <is>
          <t>Cristiani</t>
        </is>
      </c>
      <c r="B2210" t="inlineStr">
        <is>
          <t>+5511981045015</t>
        </is>
      </c>
      <c r="C2210" t="inlineStr">
        <is>
          <t>Refill</t>
        </is>
      </c>
      <c r="D2210" t="inlineStr">
        <is>
          <t>Primer Cachos</t>
        </is>
      </c>
      <c r="E2210" t="n">
        <v>1</v>
      </c>
      <c r="F2210" t="inlineStr">
        <is>
          <t>2026-01-24</t>
        </is>
      </c>
      <c r="G2210" t="n">
        <v>161</v>
      </c>
      <c r="H2210" t="inlineStr">
        <is>
          <t>Y</t>
        </is>
      </c>
      <c r="I2210">
        <f>HYPERLINK("https://admin.shopify.com/store/ge-beauty-cosmeticos/customers/10082472821056","abrir")</f>
        <v/>
      </c>
      <c r="J2210">
        <f>HYPERLINK("https://www.gebeauty.com.br/products/primer-cachos-definidos?ref=review","review")</f>
        <v/>
      </c>
      <c r="K2210" t="inlineStr">
        <is>
          <t>SEND</t>
        </is>
      </c>
    </row>
    <row r="2211">
      <c r="A2211" t="inlineStr">
        <is>
          <t>Roseli</t>
        </is>
      </c>
      <c r="B2211" t="inlineStr">
        <is>
          <t>+5511996010890</t>
        </is>
      </c>
      <c r="C2211" t="inlineStr">
        <is>
          <t>Refill</t>
        </is>
      </c>
      <c r="D2211" t="inlineStr">
        <is>
          <t>Primer Cachos</t>
        </is>
      </c>
      <c r="E2211" t="n">
        <v>1</v>
      </c>
      <c r="F2211" t="inlineStr">
        <is>
          <t>2026-01-24</t>
        </is>
      </c>
      <c r="G2211" t="n">
        <v>161</v>
      </c>
      <c r="H2211" t="inlineStr">
        <is>
          <t>Y</t>
        </is>
      </c>
      <c r="I2211">
        <f>HYPERLINK("https://admin.shopify.com/store/ge-beauty-cosmeticos/customers/10082459320640","abrir")</f>
        <v/>
      </c>
      <c r="J2211">
        <f>HYPERLINK("https://www.gebeauty.com.br/products/primer-cachos-definidos?ref=review","review")</f>
        <v/>
      </c>
      <c r="K2211" t="inlineStr">
        <is>
          <t>SEND</t>
        </is>
      </c>
    </row>
    <row r="2212">
      <c r="A2212" t="inlineStr">
        <is>
          <t>Kerla</t>
        </is>
      </c>
      <c r="B2212" t="inlineStr">
        <is>
          <t>+5544988029049</t>
        </is>
      </c>
      <c r="C2212" t="inlineStr">
        <is>
          <t>Refill</t>
        </is>
      </c>
      <c r="D2212" t="inlineStr">
        <is>
          <t>Primer Cachos</t>
        </is>
      </c>
      <c r="E2212" t="n">
        <v>1</v>
      </c>
      <c r="F2212" t="inlineStr">
        <is>
          <t>2026-01-24</t>
        </is>
      </c>
      <c r="G2212" t="n">
        <v>161</v>
      </c>
      <c r="H2212" t="inlineStr">
        <is>
          <t>Y</t>
        </is>
      </c>
      <c r="I2212">
        <f>HYPERLINK("https://admin.shopify.com/store/ge-beauty-cosmeticos/customers/10076946432320","abrir")</f>
        <v/>
      </c>
      <c r="J2212">
        <f>HYPERLINK("https://www.gebeauty.com.br/products/primer-cachos-definidos?ref=review","review")</f>
        <v/>
      </c>
      <c r="K2212" t="inlineStr">
        <is>
          <t>HOLDOUT</t>
        </is>
      </c>
    </row>
    <row r="2213">
      <c r="A2213" t="inlineStr">
        <is>
          <t>Bianca</t>
        </is>
      </c>
      <c r="B2213" t="inlineStr">
        <is>
          <t>+5511910850088</t>
        </is>
      </c>
      <c r="C2213" t="inlineStr">
        <is>
          <t>Refill</t>
        </is>
      </c>
      <c r="D2213" t="inlineStr">
        <is>
          <t>Primer Cachos</t>
        </is>
      </c>
      <c r="E2213" t="n">
        <v>1</v>
      </c>
      <c r="F2213" t="inlineStr">
        <is>
          <t>2026-01-24</t>
        </is>
      </c>
      <c r="G2213" t="n">
        <v>161</v>
      </c>
      <c r="H2213" t="inlineStr">
        <is>
          <t>Y</t>
        </is>
      </c>
      <c r="I2213">
        <f>HYPERLINK("https://admin.shopify.com/store/ge-beauty-cosmeticos/customers/10082562638144","abrir")</f>
        <v/>
      </c>
      <c r="J2213">
        <f>HYPERLINK("https://www.gebeauty.com.br/products/primer-cachos-definidos?ref=review","review")</f>
        <v/>
      </c>
      <c r="K2213" t="inlineStr">
        <is>
          <t>SEND</t>
        </is>
      </c>
    </row>
    <row r="2214">
      <c r="A2214" t="inlineStr">
        <is>
          <t>Bárbara</t>
        </is>
      </c>
      <c r="B2214" t="inlineStr">
        <is>
          <t>+5547996546702</t>
        </is>
      </c>
      <c r="C2214" t="inlineStr">
        <is>
          <t>Refill</t>
        </is>
      </c>
      <c r="D2214" t="inlineStr">
        <is>
          <t>Primer Cachos</t>
        </is>
      </c>
      <c r="E2214" t="n">
        <v>1</v>
      </c>
      <c r="F2214" t="inlineStr">
        <is>
          <t>2026-01-24</t>
        </is>
      </c>
      <c r="G2214" t="n">
        <v>161</v>
      </c>
      <c r="H2214" t="inlineStr">
        <is>
          <t>Y</t>
        </is>
      </c>
      <c r="I2214">
        <f>HYPERLINK("https://admin.shopify.com/store/ge-beauty-cosmeticos/customers/10082473247040","abrir")</f>
        <v/>
      </c>
      <c r="J2214">
        <f>HYPERLINK("https://www.gebeauty.com.br/products/primer-cachos-definidos?ref=review","review")</f>
        <v/>
      </c>
      <c r="K2214" t="inlineStr">
        <is>
          <t>SEND</t>
        </is>
      </c>
    </row>
    <row r="2215">
      <c r="A2215" t="inlineStr">
        <is>
          <t>Fernanda</t>
        </is>
      </c>
      <c r="B2215" t="inlineStr">
        <is>
          <t>+5521994343996</t>
        </is>
      </c>
      <c r="C2215" t="inlineStr">
        <is>
          <t>Refill</t>
        </is>
      </c>
      <c r="D2215" t="inlineStr">
        <is>
          <t>Primer Cachos</t>
        </is>
      </c>
      <c r="E2215" t="n">
        <v>1</v>
      </c>
      <c r="F2215" t="inlineStr">
        <is>
          <t>2026-01-24</t>
        </is>
      </c>
      <c r="G2215" t="n">
        <v>161</v>
      </c>
      <c r="H2215" t="inlineStr">
        <is>
          <t>Y</t>
        </is>
      </c>
      <c r="I2215">
        <f>HYPERLINK("https://admin.shopify.com/store/ge-beauty-cosmeticos/customers/10082621391168","abrir")</f>
        <v/>
      </c>
      <c r="J2215">
        <f>HYPERLINK("https://www.gebeauty.com.br/products/primer-cachos-definidos?ref=review","review")</f>
        <v/>
      </c>
      <c r="K2215" t="inlineStr">
        <is>
          <t>SEND</t>
        </is>
      </c>
    </row>
    <row r="2216">
      <c r="A2216" t="inlineStr">
        <is>
          <t>Ana</t>
        </is>
      </c>
      <c r="B2216" t="inlineStr">
        <is>
          <t>+5511994099143</t>
        </is>
      </c>
      <c r="C2216" t="inlineStr">
        <is>
          <t>Refill</t>
        </is>
      </c>
      <c r="D2216" t="inlineStr">
        <is>
          <t>Primer Cachos</t>
        </is>
      </c>
      <c r="E2216" t="n">
        <v>1</v>
      </c>
      <c r="F2216" t="inlineStr">
        <is>
          <t>2026-01-24</t>
        </is>
      </c>
      <c r="G2216" t="n">
        <v>161</v>
      </c>
      <c r="H2216" t="inlineStr">
        <is>
          <t>Y</t>
        </is>
      </c>
      <c r="I2216">
        <f>HYPERLINK("https://admin.shopify.com/store/ge-beauty-cosmeticos/customers/10082656321856","abrir")</f>
        <v/>
      </c>
      <c r="J2216">
        <f>HYPERLINK("https://www.gebeauty.com.br/products/primer-cachos-definidos?ref=review","review")</f>
        <v/>
      </c>
      <c r="K2216" t="inlineStr">
        <is>
          <t>SEND</t>
        </is>
      </c>
    </row>
    <row r="2217">
      <c r="A2217" t="inlineStr">
        <is>
          <t>Thaís</t>
        </is>
      </c>
      <c r="B2217" t="inlineStr">
        <is>
          <t>+5561993111017</t>
        </is>
      </c>
      <c r="C2217" t="inlineStr">
        <is>
          <t>Refill</t>
        </is>
      </c>
      <c r="D2217" t="inlineStr">
        <is>
          <t>Primer Cachos</t>
        </is>
      </c>
      <c r="E2217" t="n">
        <v>1</v>
      </c>
      <c r="F2217" t="inlineStr">
        <is>
          <t>2026-01-24</t>
        </is>
      </c>
      <c r="G2217" t="n">
        <v>161</v>
      </c>
      <c r="H2217" t="inlineStr">
        <is>
          <t>Y</t>
        </is>
      </c>
      <c r="I2217">
        <f>HYPERLINK("https://admin.shopify.com/store/ge-beauty-cosmeticos/customers/10082652913984","abrir")</f>
        <v/>
      </c>
      <c r="J2217">
        <f>HYPERLINK("https://www.gebeauty.com.br/products/primer-cachos-definidos?ref=review","review")</f>
        <v/>
      </c>
      <c r="K2217" t="inlineStr">
        <is>
          <t>SEND</t>
        </is>
      </c>
    </row>
    <row r="2218">
      <c r="A2218" t="inlineStr">
        <is>
          <t>María</t>
        </is>
      </c>
      <c r="B2218" t="inlineStr">
        <is>
          <t>+5511986228131</t>
        </is>
      </c>
      <c r="C2218" t="inlineStr">
        <is>
          <t>Refill</t>
        </is>
      </c>
      <c r="D2218" t="inlineStr">
        <is>
          <t>Primer Cachos</t>
        </is>
      </c>
      <c r="E2218" t="n">
        <v>1</v>
      </c>
      <c r="F2218" t="inlineStr">
        <is>
          <t>2026-01-24</t>
        </is>
      </c>
      <c r="G2218" t="n">
        <v>161</v>
      </c>
      <c r="H2218" t="inlineStr">
        <is>
          <t>Y</t>
        </is>
      </c>
      <c r="I2218">
        <f>HYPERLINK("https://admin.shopify.com/store/ge-beauty-cosmeticos/customers/10082611855680","abrir")</f>
        <v/>
      </c>
      <c r="J2218">
        <f>HYPERLINK("https://www.gebeauty.com.br/products/primer-cachos-definidos?ref=review","review")</f>
        <v/>
      </c>
      <c r="K2218" t="inlineStr">
        <is>
          <t>SEND</t>
        </is>
      </c>
    </row>
    <row r="2219">
      <c r="A2219" t="inlineStr">
        <is>
          <t>Neiva</t>
        </is>
      </c>
      <c r="B2219" t="inlineStr">
        <is>
          <t>+5512997563885</t>
        </is>
      </c>
      <c r="C2219" t="inlineStr">
        <is>
          <t>Refill</t>
        </is>
      </c>
      <c r="D2219" t="inlineStr">
        <is>
          <t>Primer Cachos</t>
        </is>
      </c>
      <c r="E2219" t="n">
        <v>1</v>
      </c>
      <c r="F2219" t="inlineStr">
        <is>
          <t>2026-01-24</t>
        </is>
      </c>
      <c r="G2219" t="n">
        <v>161</v>
      </c>
      <c r="H2219" t="inlineStr">
        <is>
          <t>Y</t>
        </is>
      </c>
      <c r="I2219">
        <f>HYPERLINK("https://admin.shopify.com/store/ge-beauty-cosmeticos/customers/10082696364352","abrir")</f>
        <v/>
      </c>
      <c r="J2219">
        <f>HYPERLINK("https://www.gebeauty.com.br/products/primer-cachos-definidos?ref=review","review")</f>
        <v/>
      </c>
      <c r="K2219" t="inlineStr">
        <is>
          <t>SEND</t>
        </is>
      </c>
    </row>
    <row r="2220">
      <c r="A2220" t="inlineStr">
        <is>
          <t>Patricia</t>
        </is>
      </c>
      <c r="B2220" t="inlineStr">
        <is>
          <t>+5534999624516</t>
        </is>
      </c>
      <c r="C2220" t="inlineStr">
        <is>
          <t>Refill</t>
        </is>
      </c>
      <c r="D2220" t="inlineStr">
        <is>
          <t>Primer Cachos</t>
        </is>
      </c>
      <c r="E2220" t="n">
        <v>1</v>
      </c>
      <c r="F2220" t="inlineStr">
        <is>
          <t>2026-01-24</t>
        </is>
      </c>
      <c r="G2220" t="n">
        <v>161</v>
      </c>
      <c r="H2220" t="inlineStr">
        <is>
          <t>Y</t>
        </is>
      </c>
      <c r="I2220">
        <f>HYPERLINK("https://admin.shopify.com/store/ge-beauty-cosmeticos/customers/10082715009344","abrir")</f>
        <v/>
      </c>
      <c r="J2220">
        <f>HYPERLINK("https://www.gebeauty.com.br/products/primer-cachos-definidos?ref=review","review")</f>
        <v/>
      </c>
      <c r="K2220" t="inlineStr">
        <is>
          <t>HOLDOUT</t>
        </is>
      </c>
    </row>
    <row r="2221">
      <c r="A2221" t="inlineStr">
        <is>
          <t>Thais</t>
        </is>
      </c>
      <c r="B2221" t="inlineStr">
        <is>
          <t>+5511953057452</t>
        </is>
      </c>
      <c r="C2221" t="inlineStr">
        <is>
          <t>Refill</t>
        </is>
      </c>
      <c r="D2221" t="inlineStr">
        <is>
          <t>Primer Cachos</t>
        </is>
      </c>
      <c r="E2221" t="n">
        <v>1</v>
      </c>
      <c r="F2221" t="inlineStr">
        <is>
          <t>2026-01-24</t>
        </is>
      </c>
      <c r="G2221" t="n">
        <v>161</v>
      </c>
      <c r="H2221" t="inlineStr">
        <is>
          <t>Y</t>
        </is>
      </c>
      <c r="I2221">
        <f>HYPERLINK("https://admin.shopify.com/store/ge-beauty-cosmeticos/customers/8111925002560","abrir")</f>
        <v/>
      </c>
      <c r="J2221">
        <f>HYPERLINK("https://www.gebeauty.com.br/products/primer-cachos-definidos?ref=review","review")</f>
        <v/>
      </c>
      <c r="K2221" t="inlineStr">
        <is>
          <t>SEND</t>
        </is>
      </c>
    </row>
    <row r="2222">
      <c r="A2222" t="inlineStr">
        <is>
          <t>Bruna</t>
        </is>
      </c>
      <c r="B2222" t="inlineStr">
        <is>
          <t>+5511948143058</t>
        </is>
      </c>
      <c r="C2222" t="inlineStr">
        <is>
          <t>Refill</t>
        </is>
      </c>
      <c r="D2222" t="inlineStr">
        <is>
          <t>Primer Cachos</t>
        </is>
      </c>
      <c r="E2222" t="n">
        <v>1</v>
      </c>
      <c r="F2222" t="inlineStr">
        <is>
          <t>2026-01-24</t>
        </is>
      </c>
      <c r="G2222" t="n">
        <v>161</v>
      </c>
      <c r="H2222" t="inlineStr">
        <is>
          <t>Y</t>
        </is>
      </c>
      <c r="I2222">
        <f>HYPERLINK("https://admin.shopify.com/store/ge-beauty-cosmeticos/customers/9940772159808","abrir")</f>
        <v/>
      </c>
      <c r="J2222">
        <f>HYPERLINK("https://www.gebeauty.com.br/products/primer-cachos-definidos?ref=review","review")</f>
        <v/>
      </c>
      <c r="K2222" t="inlineStr">
        <is>
          <t>SEND</t>
        </is>
      </c>
    </row>
    <row r="2223">
      <c r="A2223" t="inlineStr">
        <is>
          <t>Carolina</t>
        </is>
      </c>
      <c r="B2223" t="inlineStr">
        <is>
          <t>+5519991835792</t>
        </is>
      </c>
      <c r="C2223" t="inlineStr">
        <is>
          <t>Refill</t>
        </is>
      </c>
      <c r="D2223" t="inlineStr">
        <is>
          <t>Primer Cachos</t>
        </is>
      </c>
      <c r="E2223" t="n">
        <v>1</v>
      </c>
      <c r="F2223" t="inlineStr">
        <is>
          <t>2026-01-24</t>
        </is>
      </c>
      <c r="G2223" t="n">
        <v>161</v>
      </c>
      <c r="H2223" t="inlineStr">
        <is>
          <t>Y</t>
        </is>
      </c>
      <c r="I2223">
        <f>HYPERLINK("https://admin.shopify.com/store/ge-beauty-cosmeticos/customers/10082758525248","abrir")</f>
        <v/>
      </c>
      <c r="J2223">
        <f>HYPERLINK("https://www.gebeauty.com.br/products/primer-cachos-definidos?ref=review","review")</f>
        <v/>
      </c>
      <c r="K2223" t="inlineStr">
        <is>
          <t>SEND</t>
        </is>
      </c>
    </row>
    <row r="2224">
      <c r="A2224" t="inlineStr">
        <is>
          <t>Patrícia</t>
        </is>
      </c>
      <c r="B2224" t="inlineStr">
        <is>
          <t>+5511967830178</t>
        </is>
      </c>
      <c r="C2224" t="inlineStr">
        <is>
          <t>Refill</t>
        </is>
      </c>
      <c r="D2224" t="inlineStr">
        <is>
          <t>Primer Cachos</t>
        </is>
      </c>
      <c r="E2224" t="n">
        <v>1</v>
      </c>
      <c r="F2224" t="inlineStr">
        <is>
          <t>2026-01-24</t>
        </is>
      </c>
      <c r="G2224" t="n">
        <v>161</v>
      </c>
      <c r="H2224" t="inlineStr">
        <is>
          <t>Y</t>
        </is>
      </c>
      <c r="I2224">
        <f>HYPERLINK("https://admin.shopify.com/store/ge-beauty-cosmeticos/customers/10082813935936","abrir")</f>
        <v/>
      </c>
      <c r="J2224">
        <f>HYPERLINK("https://www.gebeauty.com.br/products/primer-cachos-definidos?ref=review","review")</f>
        <v/>
      </c>
      <c r="K2224" t="inlineStr">
        <is>
          <t>SEND</t>
        </is>
      </c>
    </row>
    <row r="2225">
      <c r="A2225" t="inlineStr">
        <is>
          <t>Maria Teresa</t>
        </is>
      </c>
      <c r="B2225" t="inlineStr">
        <is>
          <t>+5531992395459</t>
        </is>
      </c>
      <c r="C2225" t="inlineStr">
        <is>
          <t>Refill</t>
        </is>
      </c>
      <c r="D2225" t="inlineStr">
        <is>
          <t>Primer Cachos</t>
        </is>
      </c>
      <c r="E2225" t="n">
        <v>1</v>
      </c>
      <c r="F2225" t="inlineStr">
        <is>
          <t>2026-01-24</t>
        </is>
      </c>
      <c r="G2225" t="n">
        <v>161</v>
      </c>
      <c r="H2225" t="inlineStr">
        <is>
          <t>Y</t>
        </is>
      </c>
      <c r="I2225">
        <f>HYPERLINK("https://admin.shopify.com/store/ge-beauty-cosmeticos/customers/10082827141440","abrir")</f>
        <v/>
      </c>
      <c r="J2225">
        <f>HYPERLINK("https://www.gebeauty.com.br/products/primer-cachos-definidos?ref=review","review")</f>
        <v/>
      </c>
      <c r="K2225" t="inlineStr">
        <is>
          <t>SEND</t>
        </is>
      </c>
    </row>
    <row r="2226">
      <c r="A2226" t="inlineStr">
        <is>
          <t>Fernanda</t>
        </is>
      </c>
      <c r="B2226" t="inlineStr">
        <is>
          <t>+5519993185699</t>
        </is>
      </c>
      <c r="C2226" t="inlineStr">
        <is>
          <t>Refill</t>
        </is>
      </c>
      <c r="D2226" t="inlineStr">
        <is>
          <t>Primer Cachos</t>
        </is>
      </c>
      <c r="E2226" t="n">
        <v>1</v>
      </c>
      <c r="F2226" t="inlineStr">
        <is>
          <t>2026-01-24</t>
        </is>
      </c>
      <c r="G2226" t="n">
        <v>161</v>
      </c>
      <c r="H2226" t="inlineStr">
        <is>
          <t>Y</t>
        </is>
      </c>
      <c r="I2226">
        <f>HYPERLINK("https://admin.shopify.com/store/ge-beauty-cosmeticos/customers/10082766782784","abrir")</f>
        <v/>
      </c>
      <c r="J2226">
        <f>HYPERLINK("https://www.gebeauty.com.br/products/primer-cachos-definidos?ref=review","review")</f>
        <v/>
      </c>
      <c r="K2226" t="inlineStr">
        <is>
          <t>SEND</t>
        </is>
      </c>
    </row>
    <row r="2227">
      <c r="A2227" t="inlineStr">
        <is>
          <t>Renata</t>
        </is>
      </c>
      <c r="B2227" t="inlineStr">
        <is>
          <t>+5581987166132</t>
        </is>
      </c>
      <c r="C2227" t="inlineStr">
        <is>
          <t>Refill</t>
        </is>
      </c>
      <c r="D2227" t="inlineStr">
        <is>
          <t>Primer Cachos</t>
        </is>
      </c>
      <c r="E2227" t="n">
        <v>1</v>
      </c>
      <c r="F2227" t="inlineStr">
        <is>
          <t>2026-01-24</t>
        </is>
      </c>
      <c r="G2227" t="n">
        <v>161</v>
      </c>
      <c r="H2227" t="inlineStr">
        <is>
          <t>Y</t>
        </is>
      </c>
      <c r="I2227">
        <f>HYPERLINK("https://admin.shopify.com/store/ge-beauty-cosmeticos/customers/10082856010048","abrir")</f>
        <v/>
      </c>
      <c r="J2227">
        <f>HYPERLINK("https://www.gebeauty.com.br/products/primer-cachos-definidos?ref=review","review")</f>
        <v/>
      </c>
      <c r="K2227" t="inlineStr">
        <is>
          <t>SEND</t>
        </is>
      </c>
    </row>
    <row r="2228">
      <c r="A2228" t="inlineStr">
        <is>
          <t>Juliana</t>
        </is>
      </c>
      <c r="B2228" t="inlineStr">
        <is>
          <t>+5511994077079</t>
        </is>
      </c>
      <c r="C2228" t="inlineStr">
        <is>
          <t>Refill</t>
        </is>
      </c>
      <c r="D2228" t="inlineStr">
        <is>
          <t>Primer Cachos</t>
        </is>
      </c>
      <c r="E2228" t="n">
        <v>1</v>
      </c>
      <c r="F2228" t="inlineStr">
        <is>
          <t>2026-01-24</t>
        </is>
      </c>
      <c r="G2228" t="n">
        <v>161</v>
      </c>
      <c r="H2228" t="inlineStr">
        <is>
          <t>Y</t>
        </is>
      </c>
      <c r="I2228">
        <f>HYPERLINK("https://admin.shopify.com/store/ge-beauty-cosmeticos/customers/8254113677632","abrir")</f>
        <v/>
      </c>
      <c r="J2228">
        <f>HYPERLINK("https://www.gebeauty.com.br/products/primer-cachos-definidos?ref=review","review")</f>
        <v/>
      </c>
      <c r="K2228" t="inlineStr">
        <is>
          <t>SEND</t>
        </is>
      </c>
    </row>
    <row r="2229">
      <c r="A2229" t="inlineStr">
        <is>
          <t>Isadora</t>
        </is>
      </c>
      <c r="B2229" t="inlineStr">
        <is>
          <t>+5585996941582</t>
        </is>
      </c>
      <c r="C2229" t="inlineStr">
        <is>
          <t>Refill</t>
        </is>
      </c>
      <c r="D2229" t="inlineStr">
        <is>
          <t>Primer Cachos</t>
        </is>
      </c>
      <c r="E2229" t="n">
        <v>1</v>
      </c>
      <c r="F2229" t="inlineStr">
        <is>
          <t>2026-01-24</t>
        </is>
      </c>
      <c r="G2229" t="n">
        <v>161</v>
      </c>
      <c r="H2229" t="inlineStr">
        <is>
          <t>Y</t>
        </is>
      </c>
      <c r="I2229">
        <f>HYPERLINK("https://admin.shopify.com/store/ge-beauty-cosmeticos/customers/10082928984384","abrir")</f>
        <v/>
      </c>
      <c r="J2229">
        <f>HYPERLINK("https://www.gebeauty.com.br/products/primer-cachos-definidos?ref=review","review")</f>
        <v/>
      </c>
      <c r="K2229" t="inlineStr">
        <is>
          <t>SEND</t>
        </is>
      </c>
    </row>
    <row r="2230">
      <c r="A2230" t="inlineStr">
        <is>
          <t>Karina</t>
        </is>
      </c>
      <c r="B2230" t="inlineStr">
        <is>
          <t>+5519981945906</t>
        </is>
      </c>
      <c r="C2230" t="inlineStr">
        <is>
          <t>Refill</t>
        </is>
      </c>
      <c r="D2230" t="inlineStr">
        <is>
          <t>Primer Cachos</t>
        </is>
      </c>
      <c r="E2230" t="n">
        <v>1</v>
      </c>
      <c r="F2230" t="inlineStr">
        <is>
          <t>2026-01-24</t>
        </is>
      </c>
      <c r="G2230" t="n">
        <v>161</v>
      </c>
      <c r="H2230" t="inlineStr">
        <is>
          <t>Y</t>
        </is>
      </c>
      <c r="I2230">
        <f>HYPERLINK("https://admin.shopify.com/store/ge-beauty-cosmeticos/customers/10082942189888","abrir")</f>
        <v/>
      </c>
      <c r="J2230">
        <f>HYPERLINK("https://www.gebeauty.com.br/products/primer-cachos-definidos?ref=review","review")</f>
        <v/>
      </c>
      <c r="K2230" t="inlineStr">
        <is>
          <t>SEND</t>
        </is>
      </c>
    </row>
    <row r="2231">
      <c r="A2231" t="inlineStr">
        <is>
          <t>Fernanda</t>
        </is>
      </c>
      <c r="B2231" t="inlineStr">
        <is>
          <t>+5521971912814</t>
        </is>
      </c>
      <c r="C2231" t="inlineStr">
        <is>
          <t>Refill</t>
        </is>
      </c>
      <c r="D2231" t="inlineStr">
        <is>
          <t>Primer Cachos</t>
        </is>
      </c>
      <c r="E2231" t="n">
        <v>1</v>
      </c>
      <c r="F2231" t="inlineStr">
        <is>
          <t>2026-01-24</t>
        </is>
      </c>
      <c r="G2231" t="n">
        <v>161</v>
      </c>
      <c r="H2231" t="inlineStr">
        <is>
          <t>Y</t>
        </is>
      </c>
      <c r="I2231">
        <f>HYPERLINK("https://admin.shopify.com/store/ge-beauty-cosmeticos/customers/10082912141632","abrir")</f>
        <v/>
      </c>
      <c r="J2231">
        <f>HYPERLINK("https://www.gebeauty.com.br/products/primer-cachos-definidos?ref=review","review")</f>
        <v/>
      </c>
      <c r="K2231" t="inlineStr">
        <is>
          <t>SEND</t>
        </is>
      </c>
    </row>
    <row r="2232">
      <c r="A2232" t="inlineStr">
        <is>
          <t>Laura</t>
        </is>
      </c>
      <c r="B2232" t="inlineStr">
        <is>
          <t>+5511992607680</t>
        </is>
      </c>
      <c r="C2232" t="inlineStr">
        <is>
          <t>Refill</t>
        </is>
      </c>
      <c r="D2232" t="inlineStr">
        <is>
          <t>Primer Cachos</t>
        </is>
      </c>
      <c r="E2232" t="n">
        <v>1</v>
      </c>
      <c r="F2232" t="inlineStr">
        <is>
          <t>2026-01-24</t>
        </is>
      </c>
      <c r="G2232" t="n">
        <v>161</v>
      </c>
      <c r="H2232" t="inlineStr">
        <is>
          <t>Y</t>
        </is>
      </c>
      <c r="I2232">
        <f>HYPERLINK("https://admin.shopify.com/store/ge-beauty-cosmeticos/customers/10082950611264","abrir")</f>
        <v/>
      </c>
      <c r="J2232">
        <f>HYPERLINK("https://www.gebeauty.com.br/products/primer-cachos-definidos?ref=review","review")</f>
        <v/>
      </c>
      <c r="K2232" t="inlineStr">
        <is>
          <t>SEND</t>
        </is>
      </c>
    </row>
    <row r="2233">
      <c r="A2233" t="inlineStr">
        <is>
          <t>Lindka</t>
        </is>
      </c>
      <c r="B2233" t="inlineStr">
        <is>
          <t>+5521980528369</t>
        </is>
      </c>
      <c r="C2233" t="inlineStr">
        <is>
          <t>Refill</t>
        </is>
      </c>
      <c r="D2233" t="inlineStr">
        <is>
          <t>Primer Cachos</t>
        </is>
      </c>
      <c r="E2233" t="n">
        <v>1</v>
      </c>
      <c r="F2233" t="inlineStr">
        <is>
          <t>2026-01-24</t>
        </is>
      </c>
      <c r="G2233" t="n">
        <v>161</v>
      </c>
      <c r="H2233" t="inlineStr">
        <is>
          <t>Y</t>
        </is>
      </c>
      <c r="I2233">
        <f>HYPERLINK("https://admin.shopify.com/store/ge-beauty-cosmeticos/customers/10082971386176","abrir")</f>
        <v/>
      </c>
      <c r="J2233">
        <f>HYPERLINK("https://www.gebeauty.com.br/products/primer-cachos-definidos?ref=review","review")</f>
        <v/>
      </c>
      <c r="K2233" t="inlineStr">
        <is>
          <t>SEND</t>
        </is>
      </c>
    </row>
    <row r="2234">
      <c r="A2234" t="inlineStr">
        <is>
          <t>Mariana</t>
        </is>
      </c>
      <c r="B2234" t="inlineStr">
        <is>
          <t>+5511996247547</t>
        </is>
      </c>
      <c r="C2234" t="inlineStr">
        <is>
          <t>Refill</t>
        </is>
      </c>
      <c r="D2234" t="inlineStr">
        <is>
          <t>Primer Cachos</t>
        </is>
      </c>
      <c r="E2234" t="n">
        <v>1</v>
      </c>
      <c r="F2234" t="inlineStr">
        <is>
          <t>2026-01-24</t>
        </is>
      </c>
      <c r="G2234" t="n">
        <v>161</v>
      </c>
      <c r="H2234" t="inlineStr">
        <is>
          <t>Y</t>
        </is>
      </c>
      <c r="I2234">
        <f>HYPERLINK("https://admin.shopify.com/store/ge-beauty-cosmeticos/customers/10077610213696","abrir")</f>
        <v/>
      </c>
      <c r="J2234">
        <f>HYPERLINK("https://www.gebeauty.com.br/products/primer-cachos-definidos?ref=review","review")</f>
        <v/>
      </c>
      <c r="K2234" t="inlineStr">
        <is>
          <t>SEND</t>
        </is>
      </c>
    </row>
    <row r="2235">
      <c r="A2235" t="inlineStr">
        <is>
          <t>Gabriela</t>
        </is>
      </c>
      <c r="B2235" t="inlineStr">
        <is>
          <t>+5561986365009</t>
        </is>
      </c>
      <c r="C2235" t="inlineStr">
        <is>
          <t>Refill</t>
        </is>
      </c>
      <c r="D2235" t="inlineStr">
        <is>
          <t>Primer Cachos</t>
        </is>
      </c>
      <c r="E2235" t="n">
        <v>1</v>
      </c>
      <c r="F2235" t="inlineStr">
        <is>
          <t>2026-01-24</t>
        </is>
      </c>
      <c r="G2235" t="n">
        <v>161</v>
      </c>
      <c r="H2235" t="inlineStr">
        <is>
          <t>Y</t>
        </is>
      </c>
      <c r="I2235">
        <f>HYPERLINK("https://admin.shopify.com/store/ge-beauty-cosmeticos/customers/9485959496000","abrir")</f>
        <v/>
      </c>
      <c r="J2235">
        <f>HYPERLINK("https://www.gebeauty.com.br/products/primer-cachos-definidos?ref=review","review")</f>
        <v/>
      </c>
      <c r="K2235" t="inlineStr">
        <is>
          <t>SEND</t>
        </is>
      </c>
    </row>
    <row r="2236">
      <c r="A2236" t="inlineStr">
        <is>
          <t>Mariana</t>
        </is>
      </c>
      <c r="B2236" t="inlineStr">
        <is>
          <t>+5584994419063</t>
        </is>
      </c>
      <c r="C2236" t="inlineStr">
        <is>
          <t>Refill</t>
        </is>
      </c>
      <c r="D2236" t="inlineStr">
        <is>
          <t>Primer Cachos</t>
        </is>
      </c>
      <c r="E2236" t="n">
        <v>1</v>
      </c>
      <c r="F2236" t="inlineStr">
        <is>
          <t>2026-01-24</t>
        </is>
      </c>
      <c r="G2236" t="n">
        <v>161</v>
      </c>
      <c r="H2236" t="inlineStr">
        <is>
          <t>Y</t>
        </is>
      </c>
      <c r="I2236">
        <f>HYPERLINK("https://admin.shopify.com/store/ge-beauty-cosmeticos/customers/9916668870976","abrir")</f>
        <v/>
      </c>
      <c r="J2236">
        <f>HYPERLINK("https://www.gebeauty.com.br/products/primer-cachos-definidos?ref=review","review")</f>
        <v/>
      </c>
      <c r="K2236" t="inlineStr">
        <is>
          <t>SEND</t>
        </is>
      </c>
    </row>
    <row r="2237">
      <c r="A2237" t="inlineStr">
        <is>
          <t>Alice</t>
        </is>
      </c>
      <c r="B2237" t="inlineStr">
        <is>
          <t>+5511975856444</t>
        </is>
      </c>
      <c r="C2237" t="inlineStr">
        <is>
          <t>Refill</t>
        </is>
      </c>
      <c r="D2237" t="inlineStr">
        <is>
          <t>Primer Cachos</t>
        </is>
      </c>
      <c r="E2237" t="n">
        <v>1</v>
      </c>
      <c r="F2237" t="inlineStr">
        <is>
          <t>2026-01-24</t>
        </is>
      </c>
      <c r="G2237" t="n">
        <v>161</v>
      </c>
      <c r="H2237" t="inlineStr">
        <is>
          <t>Y</t>
        </is>
      </c>
      <c r="I2237">
        <f>HYPERLINK("https://admin.shopify.com/store/ge-beauty-cosmeticos/customers/8231521452352","abrir")</f>
        <v/>
      </c>
      <c r="J2237">
        <f>HYPERLINK("https://www.gebeauty.com.br/products/primer-cachos-definidos?ref=review","review")</f>
        <v/>
      </c>
      <c r="K2237" t="inlineStr">
        <is>
          <t>SEND</t>
        </is>
      </c>
    </row>
    <row r="2238">
      <c r="A2238" t="inlineStr">
        <is>
          <t>Edna</t>
        </is>
      </c>
      <c r="B2238" t="inlineStr">
        <is>
          <t>+5511999530095</t>
        </is>
      </c>
      <c r="C2238" t="inlineStr">
        <is>
          <t>Refill</t>
        </is>
      </c>
      <c r="D2238" t="inlineStr">
        <is>
          <t>Primer Cachos</t>
        </is>
      </c>
      <c r="E2238" t="n">
        <v>1</v>
      </c>
      <c r="F2238" t="inlineStr">
        <is>
          <t>2026-01-24</t>
        </is>
      </c>
      <c r="G2238" t="n">
        <v>161</v>
      </c>
      <c r="H2238" t="inlineStr">
        <is>
          <t>Y</t>
        </is>
      </c>
      <c r="I2238">
        <f>HYPERLINK("https://admin.shopify.com/store/ge-beauty-cosmeticos/customers/10083071099200","abrir")</f>
        <v/>
      </c>
      <c r="J2238">
        <f>HYPERLINK("https://www.gebeauty.com.br/products/primer-cachos-definidos?ref=review","review")</f>
        <v/>
      </c>
      <c r="K2238" t="inlineStr">
        <is>
          <t>SEND</t>
        </is>
      </c>
    </row>
    <row r="2239">
      <c r="A2239" t="inlineStr">
        <is>
          <t>Dafne</t>
        </is>
      </c>
      <c r="B2239" t="inlineStr">
        <is>
          <t>+5511993198998</t>
        </is>
      </c>
      <c r="C2239" t="inlineStr">
        <is>
          <t>Refill</t>
        </is>
      </c>
      <c r="D2239" t="inlineStr">
        <is>
          <t>Primer Cachos</t>
        </is>
      </c>
      <c r="E2239" t="n">
        <v>1</v>
      </c>
      <c r="F2239" t="inlineStr">
        <is>
          <t>2026-01-24</t>
        </is>
      </c>
      <c r="G2239" t="n">
        <v>161</v>
      </c>
      <c r="H2239" t="inlineStr">
        <is>
          <t>Y</t>
        </is>
      </c>
      <c r="I2239">
        <f>HYPERLINK("https://admin.shopify.com/store/ge-beauty-cosmeticos/customers/10083074376000","abrir")</f>
        <v/>
      </c>
      <c r="J2239">
        <f>HYPERLINK("https://www.gebeauty.com.br/products/primer-cachos-definidos?ref=review","review")</f>
        <v/>
      </c>
      <c r="K2239" t="inlineStr">
        <is>
          <t>SEND</t>
        </is>
      </c>
    </row>
    <row r="2240">
      <c r="A2240" t="inlineStr">
        <is>
          <t>Silvia</t>
        </is>
      </c>
      <c r="B2240" t="inlineStr">
        <is>
          <t>+5511985261577</t>
        </is>
      </c>
      <c r="C2240" t="inlineStr">
        <is>
          <t>Refill</t>
        </is>
      </c>
      <c r="D2240" t="inlineStr">
        <is>
          <t>Primer Cachos</t>
        </is>
      </c>
      <c r="E2240" t="n">
        <v>1</v>
      </c>
      <c r="F2240" t="inlineStr">
        <is>
          <t>2026-01-24</t>
        </is>
      </c>
      <c r="G2240" t="n">
        <v>161</v>
      </c>
      <c r="H2240" t="inlineStr">
        <is>
          <t>Y</t>
        </is>
      </c>
      <c r="I2240">
        <f>HYPERLINK("https://admin.shopify.com/store/ge-beauty-cosmeticos/customers/10083076145472","abrir")</f>
        <v/>
      </c>
      <c r="J2240">
        <f>HYPERLINK("https://www.gebeauty.com.br/products/primer-cachos-definidos?ref=review","review")</f>
        <v/>
      </c>
      <c r="K2240" t="inlineStr">
        <is>
          <t>SEND</t>
        </is>
      </c>
    </row>
    <row r="2241">
      <c r="A2241" t="inlineStr">
        <is>
          <t>Marina</t>
        </is>
      </c>
      <c r="B2241" t="inlineStr">
        <is>
          <t>+5511974946266</t>
        </is>
      </c>
      <c r="C2241" t="inlineStr">
        <is>
          <t>Refill</t>
        </is>
      </c>
      <c r="D2241" t="inlineStr">
        <is>
          <t>Primer Cachos</t>
        </is>
      </c>
      <c r="E2241" t="n">
        <v>1</v>
      </c>
      <c r="F2241" t="inlineStr">
        <is>
          <t>2026-01-24</t>
        </is>
      </c>
      <c r="G2241" t="n">
        <v>161</v>
      </c>
      <c r="H2241" t="inlineStr">
        <is>
          <t>Y</t>
        </is>
      </c>
      <c r="I2241">
        <f>HYPERLINK("https://admin.shopify.com/store/ge-beauty-cosmeticos/customers/8387953459520","abrir")</f>
        <v/>
      </c>
      <c r="J2241">
        <f>HYPERLINK("https://www.gebeauty.com.br/products/primer-cachos-definidos?ref=review","review")</f>
        <v/>
      </c>
      <c r="K2241" t="inlineStr">
        <is>
          <t>SEND</t>
        </is>
      </c>
    </row>
    <row r="2242">
      <c r="A2242" t="inlineStr">
        <is>
          <t>Fernanda</t>
        </is>
      </c>
      <c r="B2242" t="inlineStr">
        <is>
          <t>+5511999444659</t>
        </is>
      </c>
      <c r="C2242" t="inlineStr">
        <is>
          <t>Refill</t>
        </is>
      </c>
      <c r="D2242" t="inlineStr">
        <is>
          <t>Primer Cachos</t>
        </is>
      </c>
      <c r="E2242" t="n">
        <v>1</v>
      </c>
      <c r="F2242" t="inlineStr">
        <is>
          <t>2026-01-24</t>
        </is>
      </c>
      <c r="G2242" t="n">
        <v>161</v>
      </c>
      <c r="H2242" t="inlineStr">
        <is>
          <t>Y</t>
        </is>
      </c>
      <c r="I2242">
        <f>HYPERLINK("https://admin.shopify.com/store/ge-beauty-cosmeticos/customers/10083155542336","abrir")</f>
        <v/>
      </c>
      <c r="J2242">
        <f>HYPERLINK("https://www.gebeauty.com.br/products/primer-cachos-definidos?ref=review","review")</f>
        <v/>
      </c>
      <c r="K2242" t="inlineStr">
        <is>
          <t>SEND</t>
        </is>
      </c>
    </row>
    <row r="2243">
      <c r="A2243" t="inlineStr">
        <is>
          <t>Nina</t>
        </is>
      </c>
      <c r="B2243" t="inlineStr">
        <is>
          <t>+5534991163606</t>
        </is>
      </c>
      <c r="C2243" t="inlineStr">
        <is>
          <t>Refill</t>
        </is>
      </c>
      <c r="D2243" t="inlineStr">
        <is>
          <t>Primer Cachos</t>
        </is>
      </c>
      <c r="E2243" t="n">
        <v>1</v>
      </c>
      <c r="F2243" t="inlineStr">
        <is>
          <t>2026-01-24</t>
        </is>
      </c>
      <c r="G2243" t="n">
        <v>161</v>
      </c>
      <c r="H2243" t="inlineStr">
        <is>
          <t>Y</t>
        </is>
      </c>
      <c r="I2243">
        <f>HYPERLINK("https://admin.shopify.com/store/ge-beauty-cosmeticos/customers/10077925212480","abrir")</f>
        <v/>
      </c>
      <c r="J2243">
        <f>HYPERLINK("https://www.gebeauty.com.br/products/primer-cachos-definidos?ref=review","review")</f>
        <v/>
      </c>
      <c r="K2243" t="inlineStr">
        <is>
          <t>SEND</t>
        </is>
      </c>
    </row>
    <row r="2244">
      <c r="A2244" t="inlineStr">
        <is>
          <t>Raquel</t>
        </is>
      </c>
      <c r="B2244" t="inlineStr">
        <is>
          <t>+5599991533212</t>
        </is>
      </c>
      <c r="C2244" t="inlineStr">
        <is>
          <t>Refill</t>
        </is>
      </c>
      <c r="D2244" t="inlineStr">
        <is>
          <t>Primer Cachos</t>
        </is>
      </c>
      <c r="E2244" t="n">
        <v>1</v>
      </c>
      <c r="F2244" t="inlineStr">
        <is>
          <t>2026-01-24</t>
        </is>
      </c>
      <c r="G2244" t="n">
        <v>161</v>
      </c>
      <c r="H2244" t="inlineStr">
        <is>
          <t>Y</t>
        </is>
      </c>
      <c r="I2244">
        <f>HYPERLINK("https://admin.shopify.com/store/ge-beauty-cosmeticos/customers/10083186803008","abrir")</f>
        <v/>
      </c>
      <c r="J2244">
        <f>HYPERLINK("https://www.gebeauty.com.br/products/primer-cachos-definidos?ref=review","review")</f>
        <v/>
      </c>
      <c r="K2244" t="inlineStr">
        <is>
          <t>SEND</t>
        </is>
      </c>
    </row>
    <row r="2245">
      <c r="A2245" t="inlineStr">
        <is>
          <t>Carolina</t>
        </is>
      </c>
      <c r="B2245" t="inlineStr">
        <is>
          <t>+5511996291848</t>
        </is>
      </c>
      <c r="C2245" t="inlineStr">
        <is>
          <t>Refill</t>
        </is>
      </c>
      <c r="D2245" t="inlineStr">
        <is>
          <t>Primer Cachos</t>
        </is>
      </c>
      <c r="E2245" t="n">
        <v>1</v>
      </c>
      <c r="F2245" t="inlineStr">
        <is>
          <t>2026-01-24</t>
        </is>
      </c>
      <c r="G2245" t="n">
        <v>161</v>
      </c>
      <c r="H2245" t="inlineStr">
        <is>
          <t>Y</t>
        </is>
      </c>
      <c r="I2245">
        <f>HYPERLINK("https://admin.shopify.com/store/ge-beauty-cosmeticos/customers/10083214229824","abrir")</f>
        <v/>
      </c>
      <c r="J2245">
        <f>HYPERLINK("https://www.gebeauty.com.br/products/primer-cachos-definidos?ref=review","review")</f>
        <v/>
      </c>
      <c r="K2245" t="inlineStr">
        <is>
          <t>SEND</t>
        </is>
      </c>
    </row>
    <row r="2246">
      <c r="A2246" t="inlineStr">
        <is>
          <t>Claudia</t>
        </is>
      </c>
      <c r="B2246" t="inlineStr">
        <is>
          <t>+5554996279640</t>
        </is>
      </c>
      <c r="C2246" t="inlineStr">
        <is>
          <t>Refill</t>
        </is>
      </c>
      <c r="D2246" t="inlineStr">
        <is>
          <t>Primer Cachos</t>
        </is>
      </c>
      <c r="E2246" t="n">
        <v>1</v>
      </c>
      <c r="F2246" t="inlineStr">
        <is>
          <t>2026-01-24</t>
        </is>
      </c>
      <c r="G2246" t="n">
        <v>161</v>
      </c>
      <c r="H2246" t="inlineStr">
        <is>
          <t>Y</t>
        </is>
      </c>
      <c r="I2246">
        <f>HYPERLINK("https://admin.shopify.com/store/ge-beauty-cosmeticos/customers/10083243589952","abrir")</f>
        <v/>
      </c>
      <c r="J2246">
        <f>HYPERLINK("https://www.gebeauty.com.br/products/primer-cachos-definidos?ref=review","review")</f>
        <v/>
      </c>
      <c r="K2246" t="inlineStr">
        <is>
          <t>SEND</t>
        </is>
      </c>
    </row>
    <row r="2247">
      <c r="A2247" t="inlineStr">
        <is>
          <t>Luana</t>
        </is>
      </c>
      <c r="B2247" t="inlineStr">
        <is>
          <t>+5585981305001</t>
        </is>
      </c>
      <c r="C2247" t="inlineStr">
        <is>
          <t>Refill</t>
        </is>
      </c>
      <c r="D2247" t="inlineStr">
        <is>
          <t>Primer Cachos</t>
        </is>
      </c>
      <c r="E2247" t="n">
        <v>1</v>
      </c>
      <c r="F2247" t="inlineStr">
        <is>
          <t>2026-01-24</t>
        </is>
      </c>
      <c r="G2247" t="n">
        <v>161</v>
      </c>
      <c r="H2247" t="inlineStr">
        <is>
          <t>Y</t>
        </is>
      </c>
      <c r="I2247">
        <f>HYPERLINK("https://admin.shopify.com/store/ge-beauty-cosmeticos/customers/10083250438464","abrir")</f>
        <v/>
      </c>
      <c r="J2247">
        <f>HYPERLINK("https://www.gebeauty.com.br/products/primer-cachos-definidos?ref=review","review")</f>
        <v/>
      </c>
      <c r="K2247" t="inlineStr">
        <is>
          <t>HOLDOUT</t>
        </is>
      </c>
    </row>
    <row r="2248">
      <c r="A2248" t="inlineStr">
        <is>
          <t>Rosilaine</t>
        </is>
      </c>
      <c r="B2248" t="inlineStr">
        <is>
          <t>+5527998500969</t>
        </is>
      </c>
      <c r="C2248" t="inlineStr">
        <is>
          <t>Refill</t>
        </is>
      </c>
      <c r="D2248" t="inlineStr">
        <is>
          <t>Primer Cachos</t>
        </is>
      </c>
      <c r="E2248" t="n">
        <v>1</v>
      </c>
      <c r="F2248" t="inlineStr">
        <is>
          <t>2026-01-24</t>
        </is>
      </c>
      <c r="G2248" t="n">
        <v>161</v>
      </c>
      <c r="H2248" t="inlineStr">
        <is>
          <t>Y</t>
        </is>
      </c>
      <c r="I2248">
        <f>HYPERLINK("https://admin.shopify.com/store/ge-beauty-cosmeticos/customers/10083271934272","abrir")</f>
        <v/>
      </c>
      <c r="J2248">
        <f>HYPERLINK("https://www.gebeauty.com.br/products/primer-cachos-definidos?ref=review","review")</f>
        <v/>
      </c>
      <c r="K2248" t="inlineStr">
        <is>
          <t>SEND</t>
        </is>
      </c>
    </row>
    <row r="2249">
      <c r="A2249" t="inlineStr">
        <is>
          <t>Ariela</t>
        </is>
      </c>
      <c r="B2249" t="inlineStr">
        <is>
          <t>+5518997992321</t>
        </is>
      </c>
      <c r="C2249" t="inlineStr">
        <is>
          <t>Refill</t>
        </is>
      </c>
      <c r="D2249" t="inlineStr">
        <is>
          <t>Primer Cachos</t>
        </is>
      </c>
      <c r="E2249" t="n">
        <v>1</v>
      </c>
      <c r="F2249" t="inlineStr">
        <is>
          <t>2026-01-24</t>
        </is>
      </c>
      <c r="G2249" t="n">
        <v>161</v>
      </c>
      <c r="H2249" t="inlineStr">
        <is>
          <t>Y</t>
        </is>
      </c>
      <c r="I2249">
        <f>HYPERLINK("https://admin.shopify.com/store/ge-beauty-cosmeticos/customers/10083296575808","abrir")</f>
        <v/>
      </c>
      <c r="J2249">
        <f>HYPERLINK("https://www.gebeauty.com.br/products/primer-cachos-definidos?ref=review","review")</f>
        <v/>
      </c>
      <c r="K2249" t="inlineStr">
        <is>
          <t>SEND</t>
        </is>
      </c>
    </row>
    <row r="2250">
      <c r="A2250" t="inlineStr">
        <is>
          <t>Sandra</t>
        </is>
      </c>
      <c r="B2250" t="inlineStr">
        <is>
          <t>+5516997128687</t>
        </is>
      </c>
      <c r="C2250" t="inlineStr">
        <is>
          <t>Refill</t>
        </is>
      </c>
      <c r="D2250" t="inlineStr">
        <is>
          <t>Primer Cachos</t>
        </is>
      </c>
      <c r="E2250" t="n">
        <v>1</v>
      </c>
      <c r="F2250" t="inlineStr">
        <is>
          <t>2026-01-24</t>
        </is>
      </c>
      <c r="G2250" t="n">
        <v>161</v>
      </c>
      <c r="H2250" t="inlineStr">
        <is>
          <t>Y</t>
        </is>
      </c>
      <c r="I2250">
        <f>HYPERLINK("https://admin.shopify.com/store/ge-beauty-cosmeticos/customers/10083318169920","abrir")</f>
        <v/>
      </c>
      <c r="J2250">
        <f>HYPERLINK("https://www.gebeauty.com.br/products/primer-cachos-definidos?ref=review","review")</f>
        <v/>
      </c>
      <c r="K2250" t="inlineStr">
        <is>
          <t>HOLDOUT</t>
        </is>
      </c>
    </row>
    <row r="2251">
      <c r="A2251" t="inlineStr">
        <is>
          <t>Lana</t>
        </is>
      </c>
      <c r="B2251" t="inlineStr">
        <is>
          <t>+5554999931791</t>
        </is>
      </c>
      <c r="C2251" t="inlineStr">
        <is>
          <t>Refill</t>
        </is>
      </c>
      <c r="D2251" t="inlineStr">
        <is>
          <t>Primer Cachos</t>
        </is>
      </c>
      <c r="E2251" t="n">
        <v>1</v>
      </c>
      <c r="F2251" t="inlineStr">
        <is>
          <t>2026-01-25</t>
        </is>
      </c>
      <c r="G2251" t="n">
        <v>160</v>
      </c>
      <c r="H2251" t="inlineStr">
        <is>
          <t>Y</t>
        </is>
      </c>
      <c r="I2251">
        <f>HYPERLINK("https://admin.shopify.com/store/ge-beauty-cosmeticos/customers/10083328491840","abrir")</f>
        <v/>
      </c>
      <c r="J2251">
        <f>HYPERLINK("https://www.gebeauty.com.br/products/primer-cachos-definidos?ref=review","review")</f>
        <v/>
      </c>
      <c r="K2251" t="inlineStr">
        <is>
          <t>SEND</t>
        </is>
      </c>
    </row>
    <row r="2252">
      <c r="A2252" t="inlineStr">
        <is>
          <t>Cynthia</t>
        </is>
      </c>
      <c r="B2252" t="inlineStr">
        <is>
          <t>+5511996292389</t>
        </is>
      </c>
      <c r="C2252" t="inlineStr">
        <is>
          <t>Refill</t>
        </is>
      </c>
      <c r="D2252" t="inlineStr">
        <is>
          <t>Primer Cachos</t>
        </is>
      </c>
      <c r="E2252" t="n">
        <v>1</v>
      </c>
      <c r="F2252" t="inlineStr">
        <is>
          <t>2026-01-25</t>
        </is>
      </c>
      <c r="G2252" t="n">
        <v>160</v>
      </c>
      <c r="H2252" t="inlineStr">
        <is>
          <t>Y</t>
        </is>
      </c>
      <c r="I2252">
        <f>HYPERLINK("https://admin.shopify.com/store/ge-beauty-cosmeticos/customers/10083336028480","abrir")</f>
        <v/>
      </c>
      <c r="J2252">
        <f>HYPERLINK("https://www.gebeauty.com.br/products/primer-cachos-definidos?ref=review","review")</f>
        <v/>
      </c>
      <c r="K2252" t="inlineStr">
        <is>
          <t>SEND</t>
        </is>
      </c>
    </row>
    <row r="2253">
      <c r="A2253" t="inlineStr">
        <is>
          <t>Mariana</t>
        </is>
      </c>
      <c r="B2253" t="inlineStr">
        <is>
          <t>+5581995460303</t>
        </is>
      </c>
      <c r="C2253" t="inlineStr">
        <is>
          <t>Refill</t>
        </is>
      </c>
      <c r="D2253" t="inlineStr">
        <is>
          <t>Primer Cachos</t>
        </is>
      </c>
      <c r="E2253" t="n">
        <v>1</v>
      </c>
      <c r="F2253" t="inlineStr">
        <is>
          <t>2026-01-25</t>
        </is>
      </c>
      <c r="G2253" t="n">
        <v>160</v>
      </c>
      <c r="H2253" t="inlineStr">
        <is>
          <t>Y</t>
        </is>
      </c>
      <c r="I2253">
        <f>HYPERLINK("https://admin.shopify.com/store/ge-beauty-cosmeticos/customers/10083355656512","abrir")</f>
        <v/>
      </c>
      <c r="J2253">
        <f>HYPERLINK("https://www.gebeauty.com.br/products/primer-cachos-definidos?ref=review","review")</f>
        <v/>
      </c>
      <c r="K2253" t="inlineStr">
        <is>
          <t>SEND</t>
        </is>
      </c>
    </row>
    <row r="2254">
      <c r="A2254" t="inlineStr">
        <is>
          <t>Cintia</t>
        </is>
      </c>
      <c r="B2254" t="inlineStr">
        <is>
          <t>+5511959858410</t>
        </is>
      </c>
      <c r="C2254" t="inlineStr">
        <is>
          <t>Refill</t>
        </is>
      </c>
      <c r="D2254" t="inlineStr">
        <is>
          <t>Primer Cachos</t>
        </is>
      </c>
      <c r="E2254" t="n">
        <v>1</v>
      </c>
      <c r="F2254" t="inlineStr">
        <is>
          <t>2026-01-25</t>
        </is>
      </c>
      <c r="G2254" t="n">
        <v>160</v>
      </c>
      <c r="H2254" t="inlineStr">
        <is>
          <t>Y</t>
        </is>
      </c>
      <c r="I2254">
        <f>HYPERLINK("https://admin.shopify.com/store/ge-beauty-cosmeticos/customers/10083313942848","abrir")</f>
        <v/>
      </c>
      <c r="J2254">
        <f>HYPERLINK("https://www.gebeauty.com.br/products/primer-cachos-definidos?ref=review","review")</f>
        <v/>
      </c>
      <c r="K2254" t="inlineStr">
        <is>
          <t>SEND</t>
        </is>
      </c>
    </row>
    <row r="2255">
      <c r="A2255" t="inlineStr">
        <is>
          <t>Ana</t>
        </is>
      </c>
      <c r="B2255" t="inlineStr">
        <is>
          <t>+5511999204080</t>
        </is>
      </c>
      <c r="C2255" t="inlineStr">
        <is>
          <t>Refill</t>
        </is>
      </c>
      <c r="D2255" t="inlineStr">
        <is>
          <t>Primer Cachos</t>
        </is>
      </c>
      <c r="E2255" t="n">
        <v>1</v>
      </c>
      <c r="F2255" t="inlineStr">
        <is>
          <t>2026-01-25</t>
        </is>
      </c>
      <c r="G2255" t="n">
        <v>160</v>
      </c>
      <c r="H2255" t="inlineStr">
        <is>
          <t>Y</t>
        </is>
      </c>
      <c r="I2255">
        <f>HYPERLINK("https://admin.shopify.com/store/ge-beauty-cosmeticos/customers/9484329910592","abrir")</f>
        <v/>
      </c>
      <c r="J2255">
        <f>HYPERLINK("https://www.gebeauty.com.br/products/primer-cachos-definidos?ref=review","review")</f>
        <v/>
      </c>
      <c r="K2255" t="inlineStr">
        <is>
          <t>SEND</t>
        </is>
      </c>
    </row>
    <row r="2256">
      <c r="A2256" t="inlineStr">
        <is>
          <t>Karla</t>
        </is>
      </c>
      <c r="B2256" t="inlineStr">
        <is>
          <t>+5513997882730</t>
        </is>
      </c>
      <c r="C2256" t="inlineStr">
        <is>
          <t>Refill</t>
        </is>
      </c>
      <c r="D2256" t="inlineStr">
        <is>
          <t>Primer Cachos</t>
        </is>
      </c>
      <c r="E2256" t="n">
        <v>1</v>
      </c>
      <c r="F2256" t="inlineStr">
        <is>
          <t>2026-01-25</t>
        </is>
      </c>
      <c r="G2256" t="n">
        <v>160</v>
      </c>
      <c r="H2256" t="inlineStr">
        <is>
          <t>Y</t>
        </is>
      </c>
      <c r="I2256">
        <f>HYPERLINK("https://admin.shopify.com/store/ge-beauty-cosmeticos/customers/10083378889024","abrir")</f>
        <v/>
      </c>
      <c r="J2256">
        <f>HYPERLINK("https://www.gebeauty.com.br/products/primer-cachos-definidos?ref=review","review")</f>
        <v/>
      </c>
      <c r="K2256" t="inlineStr">
        <is>
          <t>SEND</t>
        </is>
      </c>
    </row>
    <row r="2257">
      <c r="A2257" t="inlineStr">
        <is>
          <t>Fabiana</t>
        </is>
      </c>
      <c r="B2257" t="inlineStr">
        <is>
          <t>+5531999494424</t>
        </is>
      </c>
      <c r="C2257" t="inlineStr">
        <is>
          <t>Refill</t>
        </is>
      </c>
      <c r="D2257" t="inlineStr">
        <is>
          <t>Primer Cachos</t>
        </is>
      </c>
      <c r="E2257" t="n">
        <v>1</v>
      </c>
      <c r="F2257" t="inlineStr">
        <is>
          <t>2026-01-25</t>
        </is>
      </c>
      <c r="G2257" t="n">
        <v>160</v>
      </c>
      <c r="H2257" t="inlineStr">
        <is>
          <t>Y</t>
        </is>
      </c>
      <c r="I2257">
        <f>HYPERLINK("https://admin.shopify.com/store/ge-beauty-cosmeticos/customers/10083434266944","abrir")</f>
        <v/>
      </c>
      <c r="J2257">
        <f>HYPERLINK("https://www.gebeauty.com.br/products/primer-cachos-definidos?ref=review","review")</f>
        <v/>
      </c>
      <c r="K2257" t="inlineStr">
        <is>
          <t>SEND</t>
        </is>
      </c>
    </row>
    <row r="2258">
      <c r="A2258" t="inlineStr">
        <is>
          <t>Vanessa</t>
        </is>
      </c>
      <c r="B2258" t="inlineStr">
        <is>
          <t>+5511985197777</t>
        </is>
      </c>
      <c r="C2258" t="inlineStr">
        <is>
          <t>Refill</t>
        </is>
      </c>
      <c r="D2258" t="inlineStr">
        <is>
          <t>Primer Cachos</t>
        </is>
      </c>
      <c r="E2258" t="n">
        <v>1</v>
      </c>
      <c r="F2258" t="inlineStr">
        <is>
          <t>2026-01-25</t>
        </is>
      </c>
      <c r="G2258" t="n">
        <v>160</v>
      </c>
      <c r="H2258" t="inlineStr">
        <is>
          <t>Y</t>
        </is>
      </c>
      <c r="I2258">
        <f>HYPERLINK("https://admin.shopify.com/store/ge-beauty-cosmeticos/customers/10083419423040","abrir")</f>
        <v/>
      </c>
      <c r="J2258">
        <f>HYPERLINK("https://www.gebeauty.com.br/products/primer-cachos-definidos?ref=review","review")</f>
        <v/>
      </c>
      <c r="K2258" t="inlineStr">
        <is>
          <t>SEND</t>
        </is>
      </c>
    </row>
    <row r="2259">
      <c r="A2259" t="inlineStr">
        <is>
          <t>Ana</t>
        </is>
      </c>
      <c r="B2259" t="inlineStr">
        <is>
          <t>+5541992372701</t>
        </is>
      </c>
      <c r="C2259" t="inlineStr">
        <is>
          <t>Refill</t>
        </is>
      </c>
      <c r="D2259" t="inlineStr">
        <is>
          <t>Primer Cachos</t>
        </is>
      </c>
      <c r="E2259" t="n">
        <v>1</v>
      </c>
      <c r="F2259" t="inlineStr">
        <is>
          <t>2026-01-25</t>
        </is>
      </c>
      <c r="G2259" t="n">
        <v>160</v>
      </c>
      <c r="H2259" t="inlineStr">
        <is>
          <t>Y</t>
        </is>
      </c>
      <c r="I2259">
        <f>HYPERLINK("https://admin.shopify.com/store/ge-beauty-cosmeticos/customers/10083442131264","abrir")</f>
        <v/>
      </c>
      <c r="J2259">
        <f>HYPERLINK("https://www.gebeauty.com.br/products/primer-cachos-definidos?ref=review","review")</f>
        <v/>
      </c>
      <c r="K2259" t="inlineStr">
        <is>
          <t>SEND</t>
        </is>
      </c>
    </row>
    <row r="2260">
      <c r="A2260" t="inlineStr">
        <is>
          <t>Sarah</t>
        </is>
      </c>
      <c r="B2260" t="inlineStr">
        <is>
          <t>+5561998510413</t>
        </is>
      </c>
      <c r="C2260" t="inlineStr">
        <is>
          <t>Refill</t>
        </is>
      </c>
      <c r="D2260" t="inlineStr">
        <is>
          <t>Primer Cachos</t>
        </is>
      </c>
      <c r="E2260" t="n">
        <v>1</v>
      </c>
      <c r="F2260" t="inlineStr">
        <is>
          <t>2026-01-25</t>
        </is>
      </c>
      <c r="G2260" t="n">
        <v>160</v>
      </c>
      <c r="H2260" t="inlineStr">
        <is>
          <t>Y</t>
        </is>
      </c>
      <c r="I2260">
        <f>HYPERLINK("https://admin.shopify.com/store/ge-beauty-cosmeticos/customers/9016010309952","abrir")</f>
        <v/>
      </c>
      <c r="J2260">
        <f>HYPERLINK("https://www.gebeauty.com.br/products/primer-cachos-definidos?ref=review","review")</f>
        <v/>
      </c>
      <c r="K2260" t="inlineStr">
        <is>
          <t>HOLDOUT</t>
        </is>
      </c>
    </row>
    <row r="2261">
      <c r="A2261" t="inlineStr">
        <is>
          <t>Stella</t>
        </is>
      </c>
      <c r="B2261" t="inlineStr">
        <is>
          <t>+5511997725990</t>
        </is>
      </c>
      <c r="C2261" t="inlineStr">
        <is>
          <t>Refill</t>
        </is>
      </c>
      <c r="D2261" t="inlineStr">
        <is>
          <t>Primer Cachos</t>
        </is>
      </c>
      <c r="E2261" t="n">
        <v>1</v>
      </c>
      <c r="F2261" t="inlineStr">
        <is>
          <t>2026-01-25</t>
        </is>
      </c>
      <c r="G2261" t="n">
        <v>160</v>
      </c>
      <c r="H2261" t="inlineStr">
        <is>
          <t>Y</t>
        </is>
      </c>
      <c r="I2261">
        <f>HYPERLINK("https://admin.shopify.com/store/ge-beauty-cosmeticos/customers/10083472048448","abrir")</f>
        <v/>
      </c>
      <c r="J2261">
        <f>HYPERLINK("https://www.gebeauty.com.br/products/primer-cachos-definidos?ref=review","review")</f>
        <v/>
      </c>
      <c r="K2261" t="inlineStr">
        <is>
          <t>SEND</t>
        </is>
      </c>
    </row>
    <row r="2262">
      <c r="A2262" t="inlineStr">
        <is>
          <t>Jessika</t>
        </is>
      </c>
      <c r="B2262" t="inlineStr">
        <is>
          <t>+5511934671705</t>
        </is>
      </c>
      <c r="C2262" t="inlineStr">
        <is>
          <t>Refill</t>
        </is>
      </c>
      <c r="D2262" t="inlineStr">
        <is>
          <t>Primer Cachos</t>
        </is>
      </c>
      <c r="E2262" t="n">
        <v>1</v>
      </c>
      <c r="F2262" t="inlineStr">
        <is>
          <t>2026-01-25</t>
        </is>
      </c>
      <c r="G2262" t="n">
        <v>160</v>
      </c>
      <c r="H2262" t="inlineStr">
        <is>
          <t>Y</t>
        </is>
      </c>
      <c r="I2262">
        <f>HYPERLINK("https://admin.shopify.com/store/ge-beauty-cosmeticos/customers/10083468378432","abrir")</f>
        <v/>
      </c>
      <c r="J2262">
        <f>HYPERLINK("https://www.gebeauty.com.br/products/primer-cachos-definidos?ref=review","review")</f>
        <v/>
      </c>
      <c r="K2262" t="inlineStr">
        <is>
          <t>SEND</t>
        </is>
      </c>
    </row>
    <row r="2263">
      <c r="A2263" t="inlineStr">
        <is>
          <t>Isabela</t>
        </is>
      </c>
      <c r="B2263" t="inlineStr">
        <is>
          <t>+5517991075122</t>
        </is>
      </c>
      <c r="C2263" t="inlineStr">
        <is>
          <t>Refill</t>
        </is>
      </c>
      <c r="D2263" t="inlineStr">
        <is>
          <t>Primer Cachos</t>
        </is>
      </c>
      <c r="E2263" t="n">
        <v>1</v>
      </c>
      <c r="F2263" t="inlineStr">
        <is>
          <t>2026-01-25</t>
        </is>
      </c>
      <c r="G2263" t="n">
        <v>160</v>
      </c>
      <c r="H2263" t="inlineStr">
        <is>
          <t>Y</t>
        </is>
      </c>
      <c r="I2263">
        <f>HYPERLINK("https://admin.shopify.com/store/ge-beauty-cosmeticos/customers/10083483124032","abrir")</f>
        <v/>
      </c>
      <c r="J2263">
        <f>HYPERLINK("https://www.gebeauty.com.br/products/primer-cachos-definidos?ref=review","review")</f>
        <v/>
      </c>
      <c r="K2263" t="inlineStr">
        <is>
          <t>SEND</t>
        </is>
      </c>
    </row>
    <row r="2264">
      <c r="A2264" t="inlineStr">
        <is>
          <t>Vanise</t>
        </is>
      </c>
      <c r="B2264" t="inlineStr">
        <is>
          <t>+5563984654880</t>
        </is>
      </c>
      <c r="C2264" t="inlineStr">
        <is>
          <t>Refill</t>
        </is>
      </c>
      <c r="D2264" t="inlineStr">
        <is>
          <t>Primer Cachos</t>
        </is>
      </c>
      <c r="E2264" t="n">
        <v>1</v>
      </c>
      <c r="F2264" t="inlineStr">
        <is>
          <t>2026-01-25</t>
        </is>
      </c>
      <c r="G2264" t="n">
        <v>160</v>
      </c>
      <c r="H2264" t="inlineStr">
        <is>
          <t>Y</t>
        </is>
      </c>
      <c r="I2264">
        <f>HYPERLINK("https://admin.shopify.com/store/ge-beauty-cosmeticos/customers/10083552198976","abrir")</f>
        <v/>
      </c>
      <c r="J2264">
        <f>HYPERLINK("https://www.gebeauty.com.br/products/primer-cachos-definidos?ref=review","review")</f>
        <v/>
      </c>
      <c r="K2264" t="inlineStr">
        <is>
          <t>HOLDOUT</t>
        </is>
      </c>
    </row>
    <row r="2265">
      <c r="A2265" t="inlineStr">
        <is>
          <t>Amanda</t>
        </is>
      </c>
      <c r="B2265" t="inlineStr">
        <is>
          <t>+5545991437604</t>
        </is>
      </c>
      <c r="C2265" t="inlineStr">
        <is>
          <t>Refill</t>
        </is>
      </c>
      <c r="D2265" t="inlineStr">
        <is>
          <t>Primer Cachos</t>
        </is>
      </c>
      <c r="E2265" t="n">
        <v>1</v>
      </c>
      <c r="F2265" t="inlineStr">
        <is>
          <t>2026-01-25</t>
        </is>
      </c>
      <c r="G2265" t="n">
        <v>160</v>
      </c>
      <c r="H2265" t="inlineStr">
        <is>
          <t>Y</t>
        </is>
      </c>
      <c r="I2265">
        <f>HYPERLINK("https://admin.shopify.com/store/ge-beauty-cosmeticos/customers/10083379937600","abrir")</f>
        <v/>
      </c>
      <c r="J2265">
        <f>HYPERLINK("https://www.gebeauty.com.br/products/primer-cachos-definidos?ref=review","review")</f>
        <v/>
      </c>
      <c r="K2265" t="inlineStr">
        <is>
          <t>SEND</t>
        </is>
      </c>
    </row>
    <row r="2266">
      <c r="A2266" t="inlineStr">
        <is>
          <t>Caroline</t>
        </is>
      </c>
      <c r="B2266" t="inlineStr">
        <is>
          <t>+5567992924353</t>
        </is>
      </c>
      <c r="C2266" t="inlineStr">
        <is>
          <t>Refill</t>
        </is>
      </c>
      <c r="D2266" t="inlineStr">
        <is>
          <t>Primer Cachos</t>
        </is>
      </c>
      <c r="E2266" t="n">
        <v>1</v>
      </c>
      <c r="F2266" t="inlineStr">
        <is>
          <t>2026-01-25</t>
        </is>
      </c>
      <c r="G2266" t="n">
        <v>160</v>
      </c>
      <c r="H2266" t="inlineStr">
        <is>
          <t>Y</t>
        </is>
      </c>
      <c r="I2266">
        <f>HYPERLINK("https://admin.shopify.com/store/ge-beauty-cosmeticos/customers/10083157901632","abrir")</f>
        <v/>
      </c>
      <c r="J2266">
        <f>HYPERLINK("https://www.gebeauty.com.br/products/primer-cachos-definidos?ref=review","review")</f>
        <v/>
      </c>
      <c r="K2266" t="inlineStr">
        <is>
          <t>SEND</t>
        </is>
      </c>
    </row>
    <row r="2267">
      <c r="A2267" t="inlineStr">
        <is>
          <t>Bianca</t>
        </is>
      </c>
      <c r="B2267" t="inlineStr">
        <is>
          <t>+5519997181240</t>
        </is>
      </c>
      <c r="C2267" t="inlineStr">
        <is>
          <t>Refill</t>
        </is>
      </c>
      <c r="D2267" t="inlineStr">
        <is>
          <t>Primer Cachos</t>
        </is>
      </c>
      <c r="E2267" t="n">
        <v>1</v>
      </c>
      <c r="F2267" t="inlineStr">
        <is>
          <t>2026-01-25</t>
        </is>
      </c>
      <c r="G2267" t="n">
        <v>160</v>
      </c>
      <c r="H2267" t="inlineStr">
        <is>
          <t>Y</t>
        </is>
      </c>
      <c r="I2267">
        <f>HYPERLINK("https://admin.shopify.com/store/ge-beauty-cosmeticos/customers/10083859136832","abrir")</f>
        <v/>
      </c>
      <c r="J2267">
        <f>HYPERLINK("https://www.gebeauty.com.br/products/primer-cachos-definidos?ref=review","review")</f>
        <v/>
      </c>
      <c r="K2267" t="inlineStr">
        <is>
          <t>SEND</t>
        </is>
      </c>
    </row>
    <row r="2268">
      <c r="A2268" t="inlineStr">
        <is>
          <t>Fernanda</t>
        </is>
      </c>
      <c r="B2268" t="inlineStr">
        <is>
          <t>+5519971606813</t>
        </is>
      </c>
      <c r="C2268" t="inlineStr">
        <is>
          <t>Refill</t>
        </is>
      </c>
      <c r="D2268" t="inlineStr">
        <is>
          <t>Primer Cachos</t>
        </is>
      </c>
      <c r="E2268" t="n">
        <v>1</v>
      </c>
      <c r="F2268" t="inlineStr">
        <is>
          <t>2026-01-25</t>
        </is>
      </c>
      <c r="G2268" t="n">
        <v>160</v>
      </c>
      <c r="H2268" t="inlineStr">
        <is>
          <t>Y</t>
        </is>
      </c>
      <c r="I2268">
        <f>HYPERLINK("https://admin.shopify.com/store/ge-beauty-cosmeticos/customers/10084038541632","abrir")</f>
        <v/>
      </c>
      <c r="J2268">
        <f>HYPERLINK("https://www.gebeauty.com.br/products/primer-cachos-definidos?ref=review","review")</f>
        <v/>
      </c>
      <c r="K2268" t="inlineStr">
        <is>
          <t>SEND</t>
        </is>
      </c>
    </row>
    <row r="2269">
      <c r="A2269" t="inlineStr">
        <is>
          <t>Estefania</t>
        </is>
      </c>
      <c r="B2269" t="inlineStr">
        <is>
          <t>+5511971304501</t>
        </is>
      </c>
      <c r="C2269" t="inlineStr">
        <is>
          <t>Refill</t>
        </is>
      </c>
      <c r="D2269" t="inlineStr">
        <is>
          <t>Primer Cachos</t>
        </is>
      </c>
      <c r="E2269" t="n">
        <v>1</v>
      </c>
      <c r="F2269" t="inlineStr">
        <is>
          <t>2026-01-25</t>
        </is>
      </c>
      <c r="G2269" t="n">
        <v>160</v>
      </c>
      <c r="H2269" t="inlineStr">
        <is>
          <t>Y</t>
        </is>
      </c>
      <c r="I2269">
        <f>HYPERLINK("https://admin.shopify.com/store/ge-beauty-cosmeticos/customers/10084045160768","abrir")</f>
        <v/>
      </c>
      <c r="J2269">
        <f>HYPERLINK("https://www.gebeauty.com.br/products/primer-cachos-definidos?ref=review","review")</f>
        <v/>
      </c>
      <c r="K2269" t="inlineStr">
        <is>
          <t>SEND</t>
        </is>
      </c>
    </row>
    <row r="2270">
      <c r="A2270" t="inlineStr">
        <is>
          <t>Tavany</t>
        </is>
      </c>
      <c r="B2270" t="inlineStr">
        <is>
          <t>+5519992105675</t>
        </is>
      </c>
      <c r="C2270" t="inlineStr">
        <is>
          <t>Refill</t>
        </is>
      </c>
      <c r="D2270" t="inlineStr">
        <is>
          <t>Primer Cachos</t>
        </is>
      </c>
      <c r="E2270" t="n">
        <v>1</v>
      </c>
      <c r="F2270" t="inlineStr">
        <is>
          <t>2026-01-25</t>
        </is>
      </c>
      <c r="G2270" t="n">
        <v>160</v>
      </c>
      <c r="H2270" t="inlineStr">
        <is>
          <t>Y</t>
        </is>
      </c>
      <c r="I2270">
        <f>HYPERLINK("https://admin.shopify.com/store/ge-beauty-cosmeticos/customers/10084049453376","abrir")</f>
        <v/>
      </c>
      <c r="J2270">
        <f>HYPERLINK("https://www.gebeauty.com.br/products/primer-cachos-definidos?ref=review","review")</f>
        <v/>
      </c>
      <c r="K2270" t="inlineStr">
        <is>
          <t>SEND</t>
        </is>
      </c>
    </row>
    <row r="2271">
      <c r="A2271" t="inlineStr">
        <is>
          <t>Joanna</t>
        </is>
      </c>
      <c r="B2271" t="inlineStr">
        <is>
          <t>+5581994856666</t>
        </is>
      </c>
      <c r="C2271" t="inlineStr">
        <is>
          <t>Refill</t>
        </is>
      </c>
      <c r="D2271" t="inlineStr">
        <is>
          <t>Primer Cachos</t>
        </is>
      </c>
      <c r="E2271" t="n">
        <v>1</v>
      </c>
      <c r="F2271" t="inlineStr">
        <is>
          <t>2026-01-25</t>
        </is>
      </c>
      <c r="G2271" t="n">
        <v>160</v>
      </c>
      <c r="H2271" t="inlineStr">
        <is>
          <t>Y</t>
        </is>
      </c>
      <c r="I2271">
        <f>HYPERLINK("https://admin.shopify.com/store/ge-beauty-cosmeticos/customers/10084084580672","abrir")</f>
        <v/>
      </c>
      <c r="J2271">
        <f>HYPERLINK("https://www.gebeauty.com.br/products/primer-cachos-definidos?ref=review","review")</f>
        <v/>
      </c>
      <c r="K2271" t="inlineStr">
        <is>
          <t>SEND</t>
        </is>
      </c>
    </row>
    <row r="2272">
      <c r="A2272" t="inlineStr">
        <is>
          <t>Juliane</t>
        </is>
      </c>
      <c r="B2272" t="inlineStr">
        <is>
          <t>+5511973686559</t>
        </is>
      </c>
      <c r="C2272" t="inlineStr">
        <is>
          <t>Refill</t>
        </is>
      </c>
      <c r="D2272" t="inlineStr">
        <is>
          <t>Primer Cachos</t>
        </is>
      </c>
      <c r="E2272" t="n">
        <v>1</v>
      </c>
      <c r="F2272" t="inlineStr">
        <is>
          <t>2026-01-25</t>
        </is>
      </c>
      <c r="G2272" t="n">
        <v>160</v>
      </c>
      <c r="H2272" t="inlineStr">
        <is>
          <t>Y</t>
        </is>
      </c>
      <c r="I2272">
        <f>HYPERLINK("https://admin.shopify.com/store/ge-beauty-cosmeticos/customers/10084100112704","abrir")</f>
        <v/>
      </c>
      <c r="J2272">
        <f>HYPERLINK("https://www.gebeauty.com.br/products/primer-cachos-definidos?ref=review","review")</f>
        <v/>
      </c>
      <c r="K2272" t="inlineStr">
        <is>
          <t>SEND</t>
        </is>
      </c>
    </row>
    <row r="2273">
      <c r="A2273" t="inlineStr">
        <is>
          <t>Francelise</t>
        </is>
      </c>
      <c r="B2273" t="inlineStr">
        <is>
          <t>+5522981289417</t>
        </is>
      </c>
      <c r="C2273" t="inlineStr">
        <is>
          <t>Refill</t>
        </is>
      </c>
      <c r="D2273" t="inlineStr">
        <is>
          <t>Primer Cachos</t>
        </is>
      </c>
      <c r="E2273" t="n">
        <v>1</v>
      </c>
      <c r="F2273" t="inlineStr">
        <is>
          <t>2026-01-25</t>
        </is>
      </c>
      <c r="G2273" t="n">
        <v>160</v>
      </c>
      <c r="H2273" t="inlineStr">
        <is>
          <t>Y</t>
        </is>
      </c>
      <c r="I2273">
        <f>HYPERLINK("https://admin.shopify.com/store/ge-beauty-cosmeticos/customers/10084083433792","abrir")</f>
        <v/>
      </c>
      <c r="J2273">
        <f>HYPERLINK("https://www.gebeauty.com.br/products/primer-cachos-definidos?ref=review","review")</f>
        <v/>
      </c>
      <c r="K2273" t="inlineStr">
        <is>
          <t>SEND</t>
        </is>
      </c>
    </row>
    <row r="2274">
      <c r="A2274" t="inlineStr">
        <is>
          <t>Fernanda</t>
        </is>
      </c>
      <c r="B2274" t="inlineStr">
        <is>
          <t>+5528999397653</t>
        </is>
      </c>
      <c r="C2274" t="inlineStr">
        <is>
          <t>Refill</t>
        </is>
      </c>
      <c r="D2274" t="inlineStr">
        <is>
          <t>Primer Cachos</t>
        </is>
      </c>
      <c r="E2274" t="n">
        <v>1</v>
      </c>
      <c r="F2274" t="inlineStr">
        <is>
          <t>2026-01-25</t>
        </is>
      </c>
      <c r="G2274" t="n">
        <v>160</v>
      </c>
      <c r="H2274" t="inlineStr">
        <is>
          <t>Y</t>
        </is>
      </c>
      <c r="I2274">
        <f>HYPERLINK("https://admin.shopify.com/store/ge-beauty-cosmeticos/customers/10084018913600","abrir")</f>
        <v/>
      </c>
      <c r="J2274">
        <f>HYPERLINK("https://www.gebeauty.com.br/products/primer-cachos-definidos?ref=review","review")</f>
        <v/>
      </c>
      <c r="K2274" t="inlineStr">
        <is>
          <t>SEND</t>
        </is>
      </c>
    </row>
    <row r="2275">
      <c r="A2275" t="inlineStr">
        <is>
          <t>Rivone</t>
        </is>
      </c>
      <c r="B2275" t="inlineStr">
        <is>
          <t>+5571993779304</t>
        </is>
      </c>
      <c r="C2275" t="inlineStr">
        <is>
          <t>Refill</t>
        </is>
      </c>
      <c r="D2275" t="inlineStr">
        <is>
          <t>Primer Cachos</t>
        </is>
      </c>
      <c r="E2275" t="n">
        <v>1</v>
      </c>
      <c r="F2275" t="inlineStr">
        <is>
          <t>2026-01-25</t>
        </is>
      </c>
      <c r="G2275" t="n">
        <v>160</v>
      </c>
      <c r="H2275" t="inlineStr">
        <is>
          <t>Y</t>
        </is>
      </c>
      <c r="I2275">
        <f>HYPERLINK("https://admin.shopify.com/store/ge-beauty-cosmeticos/customers/10016495370560","abrir")</f>
        <v/>
      </c>
      <c r="J2275">
        <f>HYPERLINK("https://www.gebeauty.com.br/products/primer-cachos-definidos?ref=review","review")</f>
        <v/>
      </c>
      <c r="K2275" t="inlineStr">
        <is>
          <t>SEND</t>
        </is>
      </c>
    </row>
    <row r="2276">
      <c r="A2276" t="inlineStr">
        <is>
          <t>Bruna</t>
        </is>
      </c>
      <c r="B2276" t="inlineStr">
        <is>
          <t>+5551998663476</t>
        </is>
      </c>
      <c r="C2276" t="inlineStr">
        <is>
          <t>Refill</t>
        </is>
      </c>
      <c r="D2276" t="inlineStr">
        <is>
          <t>Primer Cachos</t>
        </is>
      </c>
      <c r="E2276" t="n">
        <v>1</v>
      </c>
      <c r="F2276" t="inlineStr">
        <is>
          <t>2026-01-25</t>
        </is>
      </c>
      <c r="G2276" t="n">
        <v>160</v>
      </c>
      <c r="H2276" t="inlineStr">
        <is>
          <t>Y</t>
        </is>
      </c>
      <c r="I2276">
        <f>HYPERLINK("https://admin.shopify.com/store/ge-beauty-cosmeticos/customers/10084220109120","abrir")</f>
        <v/>
      </c>
      <c r="J2276">
        <f>HYPERLINK("https://www.gebeauty.com.br/products/primer-cachos-definidos?ref=review","review")</f>
        <v/>
      </c>
      <c r="K2276" t="inlineStr">
        <is>
          <t>SEND</t>
        </is>
      </c>
    </row>
    <row r="2277">
      <c r="A2277" t="inlineStr">
        <is>
          <t>Daniela</t>
        </is>
      </c>
      <c r="B2277" t="inlineStr">
        <is>
          <t>+5521974004790</t>
        </is>
      </c>
      <c r="C2277" t="inlineStr">
        <is>
          <t>Refill</t>
        </is>
      </c>
      <c r="D2277" t="inlineStr">
        <is>
          <t>Primer Cachos</t>
        </is>
      </c>
      <c r="E2277" t="n">
        <v>1</v>
      </c>
      <c r="F2277" t="inlineStr">
        <is>
          <t>2026-01-25</t>
        </is>
      </c>
      <c r="G2277" t="n">
        <v>160</v>
      </c>
      <c r="H2277" t="inlineStr">
        <is>
          <t>Y</t>
        </is>
      </c>
      <c r="I2277">
        <f>HYPERLINK("https://admin.shopify.com/store/ge-beauty-cosmeticos/customers/10084257366336","abrir")</f>
        <v/>
      </c>
      <c r="J2277">
        <f>HYPERLINK("https://www.gebeauty.com.br/products/primer-cachos-definidos?ref=review","review")</f>
        <v/>
      </c>
      <c r="K2277" t="inlineStr">
        <is>
          <t>SEND</t>
        </is>
      </c>
    </row>
    <row r="2278">
      <c r="A2278" t="inlineStr">
        <is>
          <t>Ione</t>
        </is>
      </c>
      <c r="B2278" t="inlineStr">
        <is>
          <t>+5511984442274</t>
        </is>
      </c>
      <c r="C2278" t="inlineStr">
        <is>
          <t>Refill</t>
        </is>
      </c>
      <c r="D2278" t="inlineStr">
        <is>
          <t>Primer Cachos</t>
        </is>
      </c>
      <c r="E2278" t="n">
        <v>1</v>
      </c>
      <c r="F2278" t="inlineStr">
        <is>
          <t>2026-01-25</t>
        </is>
      </c>
      <c r="G2278" t="n">
        <v>160</v>
      </c>
      <c r="H2278" t="inlineStr">
        <is>
          <t>Y</t>
        </is>
      </c>
      <c r="I2278">
        <f>HYPERLINK("https://admin.shopify.com/store/ge-beauty-cosmeticos/customers/10084242129216","abrir")</f>
        <v/>
      </c>
      <c r="J2278">
        <f>HYPERLINK("https://www.gebeauty.com.br/products/primer-cachos-definidos?ref=review","review")</f>
        <v/>
      </c>
      <c r="K2278" t="inlineStr">
        <is>
          <t>SEND</t>
        </is>
      </c>
    </row>
    <row r="2279">
      <c r="A2279" t="inlineStr">
        <is>
          <t>Camila</t>
        </is>
      </c>
      <c r="B2279" t="inlineStr">
        <is>
          <t>+5511995765716</t>
        </is>
      </c>
      <c r="C2279" t="inlineStr">
        <is>
          <t>Refill</t>
        </is>
      </c>
      <c r="D2279" t="inlineStr">
        <is>
          <t>Primer Cachos</t>
        </is>
      </c>
      <c r="E2279" t="n">
        <v>1</v>
      </c>
      <c r="F2279" t="inlineStr">
        <is>
          <t>2026-01-25</t>
        </is>
      </c>
      <c r="G2279" t="n">
        <v>160</v>
      </c>
      <c r="H2279" t="inlineStr">
        <is>
          <t>Y</t>
        </is>
      </c>
      <c r="I2279">
        <f>HYPERLINK("https://admin.shopify.com/store/ge-beauty-cosmeticos/customers/10083136045376","abrir")</f>
        <v/>
      </c>
      <c r="J2279">
        <f>HYPERLINK("https://www.gebeauty.com.br/products/primer-cachos-definidos?ref=review","review")</f>
        <v/>
      </c>
      <c r="K2279" t="inlineStr">
        <is>
          <t>SEND</t>
        </is>
      </c>
    </row>
    <row r="2280">
      <c r="A2280" t="inlineStr">
        <is>
          <t>Natalia</t>
        </is>
      </c>
      <c r="B2280" t="inlineStr">
        <is>
          <t>+5519981657888</t>
        </is>
      </c>
      <c r="C2280" t="inlineStr">
        <is>
          <t>Refill</t>
        </is>
      </c>
      <c r="D2280" t="inlineStr">
        <is>
          <t>Primer Cachos</t>
        </is>
      </c>
      <c r="E2280" t="n">
        <v>1</v>
      </c>
      <c r="F2280" t="inlineStr">
        <is>
          <t>2026-01-25</t>
        </is>
      </c>
      <c r="G2280" t="n">
        <v>160</v>
      </c>
      <c r="H2280" t="inlineStr">
        <is>
          <t>Y</t>
        </is>
      </c>
      <c r="I2280">
        <f>HYPERLINK("https://admin.shopify.com/store/ge-beauty-cosmeticos/customers/10084339876160","abrir")</f>
        <v/>
      </c>
      <c r="J2280">
        <f>HYPERLINK("https://www.gebeauty.com.br/products/primer-cachos-definidos?ref=review","review")</f>
        <v/>
      </c>
      <c r="K2280" t="inlineStr">
        <is>
          <t>SEND</t>
        </is>
      </c>
    </row>
    <row r="2281">
      <c r="A2281" t="inlineStr">
        <is>
          <t>Carolina</t>
        </is>
      </c>
      <c r="B2281" t="inlineStr">
        <is>
          <t>+5516981588025</t>
        </is>
      </c>
      <c r="C2281" t="inlineStr">
        <is>
          <t>Refill</t>
        </is>
      </c>
      <c r="D2281" t="inlineStr">
        <is>
          <t>Primer Cachos</t>
        </is>
      </c>
      <c r="E2281" t="n">
        <v>1</v>
      </c>
      <c r="F2281" t="inlineStr">
        <is>
          <t>2026-01-25</t>
        </is>
      </c>
      <c r="G2281" t="n">
        <v>160</v>
      </c>
      <c r="H2281" t="inlineStr">
        <is>
          <t>Y</t>
        </is>
      </c>
      <c r="I2281">
        <f>HYPERLINK("https://admin.shopify.com/store/ge-beauty-cosmeticos/customers/10084360520000","abrir")</f>
        <v/>
      </c>
      <c r="J2281">
        <f>HYPERLINK("https://www.gebeauty.com.br/products/primer-cachos-definidos?ref=review","review")</f>
        <v/>
      </c>
      <c r="K2281" t="inlineStr">
        <is>
          <t>SEND</t>
        </is>
      </c>
    </row>
    <row r="2282">
      <c r="A2282" t="inlineStr">
        <is>
          <t>Bianca</t>
        </is>
      </c>
      <c r="B2282" t="inlineStr">
        <is>
          <t>+5521995031004</t>
        </is>
      </c>
      <c r="C2282" t="inlineStr">
        <is>
          <t>Refill</t>
        </is>
      </c>
      <c r="D2282" t="inlineStr">
        <is>
          <t>Primer Cachos</t>
        </is>
      </c>
      <c r="E2282" t="n">
        <v>1</v>
      </c>
      <c r="F2282" t="inlineStr">
        <is>
          <t>2026-01-25</t>
        </is>
      </c>
      <c r="G2282" t="n">
        <v>160</v>
      </c>
      <c r="H2282" t="inlineStr">
        <is>
          <t>Y</t>
        </is>
      </c>
      <c r="I2282">
        <f>HYPERLINK("https://admin.shopify.com/store/ge-beauty-cosmeticos/customers/10081048199488","abrir")</f>
        <v/>
      </c>
      <c r="J2282">
        <f>HYPERLINK("https://www.gebeauty.com.br/products/primer-cachos-definidos?ref=review","review")</f>
        <v/>
      </c>
      <c r="K2282" t="inlineStr">
        <is>
          <t>SEND</t>
        </is>
      </c>
    </row>
    <row r="2283">
      <c r="A2283" t="inlineStr">
        <is>
          <t>Nicolly</t>
        </is>
      </c>
      <c r="B2283" t="inlineStr">
        <is>
          <t>+5519991836274</t>
        </is>
      </c>
      <c r="C2283" t="inlineStr">
        <is>
          <t>Refill</t>
        </is>
      </c>
      <c r="D2283" t="inlineStr">
        <is>
          <t>Primer Cachos</t>
        </is>
      </c>
      <c r="E2283" t="n">
        <v>1</v>
      </c>
      <c r="F2283" t="inlineStr">
        <is>
          <t>2026-01-25</t>
        </is>
      </c>
      <c r="G2283" t="n">
        <v>160</v>
      </c>
      <c r="H2283" t="inlineStr">
        <is>
          <t>Y</t>
        </is>
      </c>
      <c r="I2283">
        <f>HYPERLINK("https://admin.shopify.com/store/ge-beauty-cosmeticos/customers/10074127434048","abrir")</f>
        <v/>
      </c>
      <c r="J2283">
        <f>HYPERLINK("https://www.gebeauty.com.br/products/primer-cachos-definidos?ref=review","review")</f>
        <v/>
      </c>
      <c r="K2283" t="inlineStr">
        <is>
          <t>SEND</t>
        </is>
      </c>
    </row>
    <row r="2284">
      <c r="A2284" t="inlineStr">
        <is>
          <t>Isabela</t>
        </is>
      </c>
      <c r="B2284" t="inlineStr">
        <is>
          <t>+5519996969252</t>
        </is>
      </c>
      <c r="C2284" t="inlineStr">
        <is>
          <t>Refill</t>
        </is>
      </c>
      <c r="D2284" t="inlineStr">
        <is>
          <t>Primer Cachos</t>
        </is>
      </c>
      <c r="E2284" t="n">
        <v>1</v>
      </c>
      <c r="F2284" t="inlineStr">
        <is>
          <t>2026-01-25</t>
        </is>
      </c>
      <c r="G2284" t="n">
        <v>160</v>
      </c>
      <c r="H2284" t="inlineStr">
        <is>
          <t>Y</t>
        </is>
      </c>
      <c r="I2284">
        <f>HYPERLINK("https://admin.shopify.com/store/ge-beauty-cosmeticos/customers/10084360913216","abrir")</f>
        <v/>
      </c>
      <c r="J2284">
        <f>HYPERLINK("https://www.gebeauty.com.br/products/primer-cachos-definidos?ref=review","review")</f>
        <v/>
      </c>
      <c r="K2284" t="inlineStr">
        <is>
          <t>SEND</t>
        </is>
      </c>
    </row>
    <row r="2285">
      <c r="A2285" t="inlineStr">
        <is>
          <t>Fernanda</t>
        </is>
      </c>
      <c r="B2285" t="inlineStr">
        <is>
          <t>+5511988310278</t>
        </is>
      </c>
      <c r="C2285" t="inlineStr">
        <is>
          <t>Refill</t>
        </is>
      </c>
      <c r="D2285" t="inlineStr">
        <is>
          <t>Primer Cachos</t>
        </is>
      </c>
      <c r="E2285" t="n">
        <v>1</v>
      </c>
      <c r="F2285" t="inlineStr">
        <is>
          <t>2026-01-25</t>
        </is>
      </c>
      <c r="G2285" t="n">
        <v>160</v>
      </c>
      <c r="H2285" t="inlineStr">
        <is>
          <t>Y</t>
        </is>
      </c>
      <c r="I2285">
        <f>HYPERLINK("https://admin.shopify.com/store/ge-beauty-cosmeticos/customers/10075430420800","abrir")</f>
        <v/>
      </c>
      <c r="J2285">
        <f>HYPERLINK("https://www.gebeauty.com.br/products/primer-cachos-definidos?ref=review","review")</f>
        <v/>
      </c>
      <c r="K2285" t="inlineStr">
        <is>
          <t>SEND</t>
        </is>
      </c>
    </row>
    <row r="2286">
      <c r="A2286" t="inlineStr">
        <is>
          <t>Fabiana</t>
        </is>
      </c>
      <c r="B2286" t="inlineStr">
        <is>
          <t>+5511999430296</t>
        </is>
      </c>
      <c r="C2286" t="inlineStr">
        <is>
          <t>Refill</t>
        </is>
      </c>
      <c r="D2286" t="inlineStr">
        <is>
          <t>Primer Cachos</t>
        </is>
      </c>
      <c r="E2286" t="n">
        <v>1</v>
      </c>
      <c r="F2286" t="inlineStr">
        <is>
          <t>2026-01-25</t>
        </is>
      </c>
      <c r="G2286" t="n">
        <v>160</v>
      </c>
      <c r="H2286" t="inlineStr">
        <is>
          <t>Y</t>
        </is>
      </c>
      <c r="I2286">
        <f>HYPERLINK("https://admin.shopify.com/store/ge-beauty-cosmeticos/customers/10084414914880","abrir")</f>
        <v/>
      </c>
      <c r="J2286">
        <f>HYPERLINK("https://www.gebeauty.com.br/products/primer-cachos-definidos?ref=review","review")</f>
        <v/>
      </c>
      <c r="K2286" t="inlineStr">
        <is>
          <t>SEND</t>
        </is>
      </c>
    </row>
    <row r="2287">
      <c r="A2287" t="inlineStr">
        <is>
          <t>Ana Maria</t>
        </is>
      </c>
      <c r="B2287" t="inlineStr">
        <is>
          <t>+5531984243688</t>
        </is>
      </c>
      <c r="C2287" t="inlineStr">
        <is>
          <t>Refill</t>
        </is>
      </c>
      <c r="D2287" t="inlineStr">
        <is>
          <t>Primer Cachos</t>
        </is>
      </c>
      <c r="E2287" t="n">
        <v>1</v>
      </c>
      <c r="F2287" t="inlineStr">
        <is>
          <t>2026-01-25</t>
        </is>
      </c>
      <c r="G2287" t="n">
        <v>160</v>
      </c>
      <c r="H2287" t="inlineStr">
        <is>
          <t>Y</t>
        </is>
      </c>
      <c r="I2287">
        <f>HYPERLINK("https://admin.shopify.com/store/ge-beauty-cosmeticos/customers/10084434411840","abrir")</f>
        <v/>
      </c>
      <c r="J2287">
        <f>HYPERLINK("https://www.gebeauty.com.br/products/primer-cachos-definidos?ref=review","review")</f>
        <v/>
      </c>
      <c r="K2287" t="inlineStr">
        <is>
          <t>SEND</t>
        </is>
      </c>
    </row>
    <row r="2288">
      <c r="A2288" t="inlineStr">
        <is>
          <t>Ana Carolina</t>
        </is>
      </c>
      <c r="B2288" t="inlineStr">
        <is>
          <t>+5562981180138</t>
        </is>
      </c>
      <c r="C2288" t="inlineStr">
        <is>
          <t>Refill</t>
        </is>
      </c>
      <c r="D2288" t="inlineStr">
        <is>
          <t>Primer Cachos</t>
        </is>
      </c>
      <c r="E2288" t="n">
        <v>1</v>
      </c>
      <c r="F2288" t="inlineStr">
        <is>
          <t>2026-01-25</t>
        </is>
      </c>
      <c r="G2288" t="n">
        <v>160</v>
      </c>
      <c r="H2288" t="inlineStr">
        <is>
          <t>Y</t>
        </is>
      </c>
      <c r="I2288">
        <f>HYPERLINK("https://admin.shopify.com/store/ge-beauty-cosmeticos/customers/10084503290176","abrir")</f>
        <v/>
      </c>
      <c r="J2288">
        <f>HYPERLINK("https://www.gebeauty.com.br/products/primer-cachos-definidos?ref=review","review")</f>
        <v/>
      </c>
      <c r="K2288" t="inlineStr">
        <is>
          <t>SEND</t>
        </is>
      </c>
    </row>
    <row r="2289">
      <c r="A2289" t="inlineStr">
        <is>
          <t>Vitória</t>
        </is>
      </c>
      <c r="B2289" t="inlineStr">
        <is>
          <t>+5516997344501</t>
        </is>
      </c>
      <c r="C2289" t="inlineStr">
        <is>
          <t>Refill</t>
        </is>
      </c>
      <c r="D2289" t="inlineStr">
        <is>
          <t>Primer Cachos</t>
        </is>
      </c>
      <c r="E2289" t="n">
        <v>1</v>
      </c>
      <c r="F2289" t="inlineStr">
        <is>
          <t>2026-01-25</t>
        </is>
      </c>
      <c r="G2289" t="n">
        <v>160</v>
      </c>
      <c r="H2289" t="inlineStr">
        <is>
          <t>Y</t>
        </is>
      </c>
      <c r="I2289">
        <f>HYPERLINK("https://admin.shopify.com/store/ge-beauty-cosmeticos/customers/10084522230080","abrir")</f>
        <v/>
      </c>
      <c r="J2289">
        <f>HYPERLINK("https://www.gebeauty.com.br/products/primer-cachos-definidos?ref=review","review")</f>
        <v/>
      </c>
      <c r="K2289" t="inlineStr">
        <is>
          <t>HOLDOUT</t>
        </is>
      </c>
    </row>
    <row r="2290">
      <c r="A2290" t="inlineStr">
        <is>
          <t>Julia</t>
        </is>
      </c>
      <c r="B2290" t="inlineStr">
        <is>
          <t>+5585988774204</t>
        </is>
      </c>
      <c r="C2290" t="inlineStr">
        <is>
          <t>Refill</t>
        </is>
      </c>
      <c r="D2290" t="inlineStr">
        <is>
          <t>Primer Cachos</t>
        </is>
      </c>
      <c r="E2290" t="n">
        <v>1</v>
      </c>
      <c r="F2290" t="inlineStr">
        <is>
          <t>2026-01-25</t>
        </is>
      </c>
      <c r="G2290" t="n">
        <v>160</v>
      </c>
      <c r="H2290" t="inlineStr">
        <is>
          <t>Y</t>
        </is>
      </c>
      <c r="I2290">
        <f>HYPERLINK("https://admin.shopify.com/store/ge-beauty-cosmeticos/customers/10084576231744","abrir")</f>
        <v/>
      </c>
      <c r="J2290">
        <f>HYPERLINK("https://www.gebeauty.com.br/products/primer-cachos-definidos?ref=review","review")</f>
        <v/>
      </c>
      <c r="K2290" t="inlineStr">
        <is>
          <t>SEND</t>
        </is>
      </c>
    </row>
    <row r="2291">
      <c r="A2291" t="inlineStr">
        <is>
          <t>Danielli</t>
        </is>
      </c>
      <c r="B2291" t="inlineStr">
        <is>
          <t>+5537999670040</t>
        </is>
      </c>
      <c r="C2291" t="inlineStr">
        <is>
          <t>Refill</t>
        </is>
      </c>
      <c r="D2291" t="inlineStr">
        <is>
          <t>Primer Cachos</t>
        </is>
      </c>
      <c r="E2291" t="n">
        <v>1</v>
      </c>
      <c r="F2291" t="inlineStr">
        <is>
          <t>2026-01-25</t>
        </is>
      </c>
      <c r="G2291" t="n">
        <v>160</v>
      </c>
      <c r="H2291" t="inlineStr">
        <is>
          <t>Y</t>
        </is>
      </c>
      <c r="I2291">
        <f>HYPERLINK("https://admin.shopify.com/store/ge-beauty-cosmeticos/customers/10084579737920","abrir")</f>
        <v/>
      </c>
      <c r="J2291">
        <f>HYPERLINK("https://www.gebeauty.com.br/products/primer-cachos-definidos?ref=review","review")</f>
        <v/>
      </c>
      <c r="K2291" t="inlineStr">
        <is>
          <t>SEND</t>
        </is>
      </c>
    </row>
    <row r="2292">
      <c r="A2292" t="inlineStr">
        <is>
          <t>Gabriele</t>
        </is>
      </c>
      <c r="B2292" t="inlineStr">
        <is>
          <t>+5571993160921</t>
        </is>
      </c>
      <c r="C2292" t="inlineStr">
        <is>
          <t>Refill</t>
        </is>
      </c>
      <c r="D2292" t="inlineStr">
        <is>
          <t>Primer Cachos</t>
        </is>
      </c>
      <c r="E2292" t="n">
        <v>1</v>
      </c>
      <c r="F2292" t="inlineStr">
        <is>
          <t>2026-01-25</t>
        </is>
      </c>
      <c r="G2292" t="n">
        <v>160</v>
      </c>
      <c r="H2292" t="inlineStr">
        <is>
          <t>Y</t>
        </is>
      </c>
      <c r="I2292">
        <f>HYPERLINK("https://admin.shopify.com/store/ge-beauty-cosmeticos/customers/10084635803968","abrir")</f>
        <v/>
      </c>
      <c r="J2292">
        <f>HYPERLINK("https://www.gebeauty.com.br/products/primer-cachos-definidos?ref=review","review")</f>
        <v/>
      </c>
      <c r="K2292" t="inlineStr">
        <is>
          <t>HOLDOUT</t>
        </is>
      </c>
    </row>
    <row r="2293">
      <c r="A2293" t="inlineStr">
        <is>
          <t>Amanda</t>
        </is>
      </c>
      <c r="B2293" t="inlineStr">
        <is>
          <t>+5511986515098</t>
        </is>
      </c>
      <c r="C2293" t="inlineStr">
        <is>
          <t>Refill</t>
        </is>
      </c>
      <c r="D2293" t="inlineStr">
        <is>
          <t>Primer Cachos</t>
        </is>
      </c>
      <c r="E2293" t="n">
        <v>1</v>
      </c>
      <c r="F2293" t="inlineStr">
        <is>
          <t>2026-01-25</t>
        </is>
      </c>
      <c r="G2293" t="n">
        <v>160</v>
      </c>
      <c r="H2293" t="inlineStr">
        <is>
          <t>Y</t>
        </is>
      </c>
      <c r="I2293">
        <f>HYPERLINK("https://admin.shopify.com/store/ge-beauty-cosmeticos/customers/10084625219904","abrir")</f>
        <v/>
      </c>
      <c r="J2293">
        <f>HYPERLINK("https://www.gebeauty.com.br/products/primer-cachos-definidos?ref=review","review")</f>
        <v/>
      </c>
      <c r="K2293" t="inlineStr">
        <is>
          <t>SEND</t>
        </is>
      </c>
    </row>
    <row r="2294">
      <c r="A2294" t="inlineStr">
        <is>
          <t>Bruna</t>
        </is>
      </c>
      <c r="B2294" t="inlineStr">
        <is>
          <t>+5521998750806</t>
        </is>
      </c>
      <c r="C2294" t="inlineStr">
        <is>
          <t>Refill</t>
        </is>
      </c>
      <c r="D2294" t="inlineStr">
        <is>
          <t>Primer Cachos</t>
        </is>
      </c>
      <c r="E2294" t="n">
        <v>1</v>
      </c>
      <c r="F2294" t="inlineStr">
        <is>
          <t>2026-01-25</t>
        </is>
      </c>
      <c r="G2294" t="n">
        <v>160</v>
      </c>
      <c r="H2294" t="inlineStr">
        <is>
          <t>Y</t>
        </is>
      </c>
      <c r="I2294">
        <f>HYPERLINK("https://admin.shopify.com/store/ge-beauty-cosmeticos/customers/10084642095424","abrir")</f>
        <v/>
      </c>
      <c r="J2294">
        <f>HYPERLINK("https://www.gebeauty.com.br/products/primer-cachos-definidos?ref=review","review")</f>
        <v/>
      </c>
      <c r="K2294" t="inlineStr">
        <is>
          <t>HOLDOUT</t>
        </is>
      </c>
    </row>
    <row r="2295">
      <c r="A2295" t="inlineStr">
        <is>
          <t>Lourdes</t>
        </is>
      </c>
      <c r="B2295" t="inlineStr">
        <is>
          <t>+5511952474632</t>
        </is>
      </c>
      <c r="C2295" t="inlineStr">
        <is>
          <t>Refill</t>
        </is>
      </c>
      <c r="D2295" t="inlineStr">
        <is>
          <t>Primer Cachos</t>
        </is>
      </c>
      <c r="E2295" t="n">
        <v>1</v>
      </c>
      <c r="F2295" t="inlineStr">
        <is>
          <t>2026-01-25</t>
        </is>
      </c>
      <c r="G2295" t="n">
        <v>160</v>
      </c>
      <c r="H2295" t="inlineStr">
        <is>
          <t>Y</t>
        </is>
      </c>
      <c r="I2295">
        <f>HYPERLINK("https://admin.shopify.com/store/ge-beauty-cosmeticos/customers/10084642423104","abrir")</f>
        <v/>
      </c>
      <c r="J2295">
        <f>HYPERLINK("https://www.gebeauty.com.br/products/primer-cachos-definidos?ref=review","review")</f>
        <v/>
      </c>
      <c r="K2295" t="inlineStr">
        <is>
          <t>SEND</t>
        </is>
      </c>
    </row>
    <row r="2296">
      <c r="A2296" t="inlineStr">
        <is>
          <t>Solange</t>
        </is>
      </c>
      <c r="B2296" t="inlineStr">
        <is>
          <t>+5518997441179</t>
        </is>
      </c>
      <c r="C2296" t="inlineStr">
        <is>
          <t>Refill</t>
        </is>
      </c>
      <c r="D2296" t="inlineStr">
        <is>
          <t>Primer Cachos</t>
        </is>
      </c>
      <c r="E2296" t="n">
        <v>1</v>
      </c>
      <c r="F2296" t="inlineStr">
        <is>
          <t>2026-01-25</t>
        </is>
      </c>
      <c r="G2296" t="n">
        <v>160</v>
      </c>
      <c r="H2296" t="inlineStr">
        <is>
          <t>Y</t>
        </is>
      </c>
      <c r="I2296">
        <f>HYPERLINK("https://admin.shopify.com/store/ge-beauty-cosmeticos/customers/10075649802560","abrir")</f>
        <v/>
      </c>
      <c r="J2296">
        <f>HYPERLINK("https://www.gebeauty.com.br/products/primer-cachos-definidos?ref=review","review")</f>
        <v/>
      </c>
      <c r="K2296" t="inlineStr">
        <is>
          <t>SEND</t>
        </is>
      </c>
    </row>
    <row r="2297">
      <c r="A2297" t="inlineStr">
        <is>
          <t>Karen Sofia</t>
        </is>
      </c>
      <c r="B2297" t="inlineStr">
        <is>
          <t>+5548991180632</t>
        </is>
      </c>
      <c r="C2297" t="inlineStr">
        <is>
          <t>Refill</t>
        </is>
      </c>
      <c r="D2297" t="inlineStr">
        <is>
          <t>Primer Cachos</t>
        </is>
      </c>
      <c r="E2297" t="n">
        <v>1</v>
      </c>
      <c r="F2297" t="inlineStr">
        <is>
          <t>2026-01-25</t>
        </is>
      </c>
      <c r="G2297" t="n">
        <v>160</v>
      </c>
      <c r="H2297" t="inlineStr">
        <is>
          <t>Y</t>
        </is>
      </c>
      <c r="I2297">
        <f>HYPERLINK("https://admin.shopify.com/store/ge-beauty-cosmeticos/customers/10084648124736","abrir")</f>
        <v/>
      </c>
      <c r="J2297">
        <f>HYPERLINK("https://www.gebeauty.com.br/products/primer-cachos-definidos?ref=review","review")</f>
        <v/>
      </c>
      <c r="K2297" t="inlineStr">
        <is>
          <t>SEND</t>
        </is>
      </c>
    </row>
    <row r="2298">
      <c r="A2298" t="inlineStr">
        <is>
          <t>Edicleia</t>
        </is>
      </c>
      <c r="B2298" t="inlineStr">
        <is>
          <t>+5569999087661</t>
        </is>
      </c>
      <c r="C2298" t="inlineStr">
        <is>
          <t>Refill</t>
        </is>
      </c>
      <c r="D2298" t="inlineStr">
        <is>
          <t>Primer Cachos</t>
        </is>
      </c>
      <c r="E2298" t="n">
        <v>1</v>
      </c>
      <c r="F2298" t="inlineStr">
        <is>
          <t>2026-01-25</t>
        </is>
      </c>
      <c r="G2298" t="n">
        <v>160</v>
      </c>
      <c r="H2298" t="inlineStr">
        <is>
          <t>Y</t>
        </is>
      </c>
      <c r="I2298">
        <f>HYPERLINK("https://admin.shopify.com/store/ge-beauty-cosmeticos/customers/10084659036480","abrir")</f>
        <v/>
      </c>
      <c r="J2298">
        <f>HYPERLINK("https://www.gebeauty.com.br/products/primer-cachos-definidos?ref=review","review")</f>
        <v/>
      </c>
      <c r="K2298" t="inlineStr">
        <is>
          <t>SEND</t>
        </is>
      </c>
    </row>
    <row r="2299">
      <c r="A2299" t="inlineStr">
        <is>
          <t>Camila</t>
        </is>
      </c>
      <c r="B2299" t="inlineStr">
        <is>
          <t>+5511967052709</t>
        </is>
      </c>
      <c r="C2299" t="inlineStr">
        <is>
          <t>Refill</t>
        </is>
      </c>
      <c r="D2299" t="inlineStr">
        <is>
          <t>Primer Cachos</t>
        </is>
      </c>
      <c r="E2299" t="n">
        <v>1</v>
      </c>
      <c r="F2299" t="inlineStr">
        <is>
          <t>2026-01-25</t>
        </is>
      </c>
      <c r="G2299" t="n">
        <v>160</v>
      </c>
      <c r="H2299" t="inlineStr">
        <is>
          <t>Y</t>
        </is>
      </c>
      <c r="I2299">
        <f>HYPERLINK("https://admin.shopify.com/store/ge-beauty-cosmeticos/customers/10084663492928","abrir")</f>
        <v/>
      </c>
      <c r="J2299">
        <f>HYPERLINK("https://www.gebeauty.com.br/products/primer-cachos-definidos?ref=review","review")</f>
        <v/>
      </c>
      <c r="K2299" t="inlineStr">
        <is>
          <t>SEND</t>
        </is>
      </c>
    </row>
    <row r="2300">
      <c r="A2300" t="inlineStr">
        <is>
          <t>Kellen</t>
        </is>
      </c>
      <c r="B2300" t="inlineStr">
        <is>
          <t>+5521983960155</t>
        </is>
      </c>
      <c r="C2300" t="inlineStr">
        <is>
          <t>Refill</t>
        </is>
      </c>
      <c r="D2300" t="inlineStr">
        <is>
          <t>Primer Cachos</t>
        </is>
      </c>
      <c r="E2300" t="n">
        <v>1</v>
      </c>
      <c r="F2300" t="inlineStr">
        <is>
          <t>2026-01-25</t>
        </is>
      </c>
      <c r="G2300" t="n">
        <v>160</v>
      </c>
      <c r="H2300" t="inlineStr">
        <is>
          <t>Y</t>
        </is>
      </c>
      <c r="I2300">
        <f>HYPERLINK("https://admin.shopify.com/store/ge-beauty-cosmeticos/customers/9667125379392","abrir")</f>
        <v/>
      </c>
      <c r="J2300">
        <f>HYPERLINK("https://www.gebeauty.com.br/products/primer-cachos-definidos?ref=review","review")</f>
        <v/>
      </c>
      <c r="K2300" t="inlineStr">
        <is>
          <t>HOLDOUT</t>
        </is>
      </c>
    </row>
    <row r="2301">
      <c r="A2301" t="inlineStr">
        <is>
          <t>Ana Lúcia</t>
        </is>
      </c>
      <c r="B2301" t="inlineStr">
        <is>
          <t>+5533988957098</t>
        </is>
      </c>
      <c r="C2301" t="inlineStr">
        <is>
          <t>Refill</t>
        </is>
      </c>
      <c r="D2301" t="inlineStr">
        <is>
          <t>Primer Cachos</t>
        </is>
      </c>
      <c r="E2301" t="n">
        <v>1</v>
      </c>
      <c r="F2301" t="inlineStr">
        <is>
          <t>2026-01-25</t>
        </is>
      </c>
      <c r="G2301" t="n">
        <v>160</v>
      </c>
      <c r="H2301" t="inlineStr">
        <is>
          <t>Y</t>
        </is>
      </c>
      <c r="I2301">
        <f>HYPERLINK("https://admin.shopify.com/store/ge-beauty-cosmeticos/customers/10084734337344","abrir")</f>
        <v/>
      </c>
      <c r="J2301">
        <f>HYPERLINK("https://www.gebeauty.com.br/products/primer-cachos-definidos?ref=review","review")</f>
        <v/>
      </c>
      <c r="K2301" t="inlineStr">
        <is>
          <t>SEND</t>
        </is>
      </c>
    </row>
    <row r="2302">
      <c r="A2302" t="inlineStr">
        <is>
          <t>Ana</t>
        </is>
      </c>
      <c r="B2302" t="inlineStr">
        <is>
          <t>+5541992769668</t>
        </is>
      </c>
      <c r="C2302" t="inlineStr">
        <is>
          <t>Refill</t>
        </is>
      </c>
      <c r="D2302" t="inlineStr">
        <is>
          <t>Primer Cachos</t>
        </is>
      </c>
      <c r="E2302" t="n">
        <v>1</v>
      </c>
      <c r="F2302" t="inlineStr">
        <is>
          <t>2026-01-25</t>
        </is>
      </c>
      <c r="G2302" t="n">
        <v>160</v>
      </c>
      <c r="H2302" t="inlineStr">
        <is>
          <t>Y</t>
        </is>
      </c>
      <c r="I2302">
        <f>HYPERLINK("https://admin.shopify.com/store/ge-beauty-cosmeticos/customers/10029954924864","abrir")</f>
        <v/>
      </c>
      <c r="J2302">
        <f>HYPERLINK("https://www.gebeauty.com.br/products/primer-cachos-definidos?ref=review","review")</f>
        <v/>
      </c>
      <c r="K2302" t="inlineStr">
        <is>
          <t>SEND</t>
        </is>
      </c>
    </row>
    <row r="2303">
      <c r="A2303" t="inlineStr">
        <is>
          <t>Roberta</t>
        </is>
      </c>
      <c r="B2303" t="inlineStr">
        <is>
          <t>+5581993027567</t>
        </is>
      </c>
      <c r="C2303" t="inlineStr">
        <is>
          <t>Refill</t>
        </is>
      </c>
      <c r="D2303" t="inlineStr">
        <is>
          <t>Primer Cachos</t>
        </is>
      </c>
      <c r="E2303" t="n">
        <v>1</v>
      </c>
      <c r="F2303" t="inlineStr">
        <is>
          <t>2026-01-25</t>
        </is>
      </c>
      <c r="G2303" t="n">
        <v>160</v>
      </c>
      <c r="H2303" t="inlineStr">
        <is>
          <t>Y</t>
        </is>
      </c>
      <c r="I2303">
        <f>HYPERLINK("https://admin.shopify.com/store/ge-beauty-cosmeticos/customers/9811668238656","abrir")</f>
        <v/>
      </c>
      <c r="J2303">
        <f>HYPERLINK("https://www.gebeauty.com.br/products/primer-cachos-definidos?ref=review","review")</f>
        <v/>
      </c>
      <c r="K2303" t="inlineStr">
        <is>
          <t>SEND</t>
        </is>
      </c>
    </row>
    <row r="2304">
      <c r="A2304" t="inlineStr">
        <is>
          <t>Patricia</t>
        </is>
      </c>
      <c r="B2304" t="inlineStr">
        <is>
          <t>+5511988692474</t>
        </is>
      </c>
      <c r="C2304" t="inlineStr">
        <is>
          <t>Refill</t>
        </is>
      </c>
      <c r="D2304" t="inlineStr">
        <is>
          <t>Primer Cachos</t>
        </is>
      </c>
      <c r="E2304" t="n">
        <v>1</v>
      </c>
      <c r="F2304" t="inlineStr">
        <is>
          <t>2026-01-25</t>
        </is>
      </c>
      <c r="G2304" t="n">
        <v>160</v>
      </c>
      <c r="H2304" t="inlineStr">
        <is>
          <t>Y</t>
        </is>
      </c>
      <c r="I2304">
        <f>HYPERLINK("https://admin.shopify.com/store/ge-beauty-cosmeticos/customers/10074155581760","abrir")</f>
        <v/>
      </c>
      <c r="J2304">
        <f>HYPERLINK("https://www.gebeauty.com.br/products/primer-cachos-definidos?ref=review","review")</f>
        <v/>
      </c>
      <c r="K2304" t="inlineStr">
        <is>
          <t>SEND</t>
        </is>
      </c>
    </row>
    <row r="2305">
      <c r="A2305" t="inlineStr">
        <is>
          <t>Monique</t>
        </is>
      </c>
      <c r="B2305" t="inlineStr">
        <is>
          <t>+5519997597334</t>
        </is>
      </c>
      <c r="C2305" t="inlineStr">
        <is>
          <t>Refill</t>
        </is>
      </c>
      <c r="D2305" t="inlineStr">
        <is>
          <t>Primer Cachos</t>
        </is>
      </c>
      <c r="E2305" t="n">
        <v>1</v>
      </c>
      <c r="F2305" t="inlineStr">
        <is>
          <t>2026-01-25</t>
        </is>
      </c>
      <c r="G2305" t="n">
        <v>160</v>
      </c>
      <c r="H2305" t="inlineStr">
        <is>
          <t>Y</t>
        </is>
      </c>
      <c r="I2305">
        <f>HYPERLINK("https://admin.shopify.com/store/ge-beauty-cosmeticos/customers/10084776378688","abrir")</f>
        <v/>
      </c>
      <c r="J2305">
        <f>HYPERLINK("https://www.gebeauty.com.br/products/primer-cachos-definidos?ref=review","review")</f>
        <v/>
      </c>
      <c r="K2305" t="inlineStr">
        <is>
          <t>SEND</t>
        </is>
      </c>
    </row>
    <row r="2306">
      <c r="A2306" t="inlineStr">
        <is>
          <t>Maria</t>
        </is>
      </c>
      <c r="B2306" t="inlineStr">
        <is>
          <t>+5538999720503</t>
        </is>
      </c>
      <c r="C2306" t="inlineStr">
        <is>
          <t>Refill</t>
        </is>
      </c>
      <c r="D2306" t="inlineStr">
        <is>
          <t>Primer Cachos</t>
        </is>
      </c>
      <c r="E2306" t="n">
        <v>1</v>
      </c>
      <c r="F2306" t="inlineStr">
        <is>
          <t>2026-01-25</t>
        </is>
      </c>
      <c r="G2306" t="n">
        <v>160</v>
      </c>
      <c r="H2306" t="inlineStr">
        <is>
          <t>Y</t>
        </is>
      </c>
      <c r="I2306">
        <f>HYPERLINK("https://admin.shopify.com/store/ge-beauty-cosmeticos/customers/10084809048384","abrir")</f>
        <v/>
      </c>
      <c r="J2306">
        <f>HYPERLINK("https://www.gebeauty.com.br/products/primer-cachos-definidos?ref=review","review")</f>
        <v/>
      </c>
      <c r="K2306" t="inlineStr">
        <is>
          <t>SEND</t>
        </is>
      </c>
    </row>
    <row r="2307">
      <c r="A2307" t="inlineStr">
        <is>
          <t>Eliane</t>
        </is>
      </c>
      <c r="B2307" t="inlineStr">
        <is>
          <t>+5531999841443</t>
        </is>
      </c>
      <c r="C2307" t="inlineStr">
        <is>
          <t>Refill</t>
        </is>
      </c>
      <c r="D2307" t="inlineStr">
        <is>
          <t>Primer Cachos</t>
        </is>
      </c>
      <c r="E2307" t="n">
        <v>1</v>
      </c>
      <c r="F2307" t="inlineStr">
        <is>
          <t>2026-01-25</t>
        </is>
      </c>
      <c r="G2307" t="n">
        <v>160</v>
      </c>
      <c r="H2307" t="inlineStr">
        <is>
          <t>N</t>
        </is>
      </c>
      <c r="I2307">
        <f>HYPERLINK("https://admin.shopify.com/store/ge-beauty-cosmeticos/customers/9486349762880","abrir")</f>
        <v/>
      </c>
      <c r="J2307">
        <f>HYPERLINK("https://www.gebeauty.com.br/products/primer-cachos-definidos?ref=review","review")</f>
        <v/>
      </c>
      <c r="K2307" t="inlineStr">
        <is>
          <t>SEND</t>
        </is>
      </c>
    </row>
    <row r="2308">
      <c r="A2308" t="inlineStr">
        <is>
          <t>Fernanda</t>
        </is>
      </c>
      <c r="B2308" t="inlineStr">
        <is>
          <t>+5511974711612</t>
        </is>
      </c>
      <c r="C2308" t="inlineStr">
        <is>
          <t>Refill</t>
        </is>
      </c>
      <c r="D2308" t="inlineStr">
        <is>
          <t>Primer Cachos</t>
        </is>
      </c>
      <c r="E2308" t="n">
        <v>1</v>
      </c>
      <c r="F2308" t="inlineStr">
        <is>
          <t>2026-01-25</t>
        </is>
      </c>
      <c r="G2308" t="n">
        <v>160</v>
      </c>
      <c r="H2308" t="inlineStr">
        <is>
          <t>Y</t>
        </is>
      </c>
      <c r="I2308">
        <f>HYPERLINK("https://admin.shopify.com/store/ge-beauty-cosmeticos/customers/10084821401920","abrir")</f>
        <v/>
      </c>
      <c r="J2308">
        <f>HYPERLINK("https://www.gebeauty.com.br/products/primer-cachos-definidos?ref=review","review")</f>
        <v/>
      </c>
      <c r="K2308" t="inlineStr">
        <is>
          <t>SEND</t>
        </is>
      </c>
    </row>
    <row r="2309">
      <c r="A2309" t="inlineStr">
        <is>
          <t>Clara</t>
        </is>
      </c>
      <c r="B2309" t="inlineStr">
        <is>
          <t>+5527998959201</t>
        </is>
      </c>
      <c r="C2309" t="inlineStr">
        <is>
          <t>Refill</t>
        </is>
      </c>
      <c r="D2309" t="inlineStr">
        <is>
          <t>Primer Cachos</t>
        </is>
      </c>
      <c r="E2309" t="n">
        <v>1</v>
      </c>
      <c r="F2309" t="inlineStr">
        <is>
          <t>2026-01-25</t>
        </is>
      </c>
      <c r="G2309" t="n">
        <v>160</v>
      </c>
      <c r="H2309" t="inlineStr">
        <is>
          <t>Y</t>
        </is>
      </c>
      <c r="I2309">
        <f>HYPERLINK("https://admin.shopify.com/store/ge-beauty-cosmeticos/customers/9484829294912","abrir")</f>
        <v/>
      </c>
      <c r="J2309">
        <f>HYPERLINK("https://www.gebeauty.com.br/products/primer-cachos-definidos?ref=review","review")</f>
        <v/>
      </c>
      <c r="K2309" t="inlineStr">
        <is>
          <t>SEND</t>
        </is>
      </c>
    </row>
    <row r="2310">
      <c r="A2310" t="inlineStr">
        <is>
          <t>Glau</t>
        </is>
      </c>
      <c r="B2310" t="inlineStr">
        <is>
          <t>+5519987627810</t>
        </is>
      </c>
      <c r="C2310" t="inlineStr">
        <is>
          <t>Refill</t>
        </is>
      </c>
      <c r="D2310" t="inlineStr">
        <is>
          <t>Primer Cachos</t>
        </is>
      </c>
      <c r="E2310" t="n">
        <v>1</v>
      </c>
      <c r="F2310" t="inlineStr">
        <is>
          <t>2026-01-25</t>
        </is>
      </c>
      <c r="G2310" t="n">
        <v>160</v>
      </c>
      <c r="H2310" t="inlineStr">
        <is>
          <t>Y</t>
        </is>
      </c>
      <c r="I2310">
        <f>HYPERLINK("https://admin.shopify.com/store/ge-beauty-cosmeticos/customers/10084869996864","abrir")</f>
        <v/>
      </c>
      <c r="J2310">
        <f>HYPERLINK("https://www.gebeauty.com.br/products/primer-cachos-definidos?ref=review","review")</f>
        <v/>
      </c>
      <c r="K2310" t="inlineStr">
        <is>
          <t>SEND</t>
        </is>
      </c>
    </row>
    <row r="2311">
      <c r="A2311" t="inlineStr">
        <is>
          <t>Odineiva</t>
        </is>
      </c>
      <c r="B2311" t="inlineStr">
        <is>
          <t>+5565999722904</t>
        </is>
      </c>
      <c r="C2311" t="inlineStr">
        <is>
          <t>Refill</t>
        </is>
      </c>
      <c r="D2311" t="inlineStr">
        <is>
          <t>Primer Cachos</t>
        </is>
      </c>
      <c r="E2311" t="n">
        <v>1</v>
      </c>
      <c r="F2311" t="inlineStr">
        <is>
          <t>2026-01-25</t>
        </is>
      </c>
      <c r="G2311" t="n">
        <v>160</v>
      </c>
      <c r="H2311" t="inlineStr">
        <is>
          <t>Y</t>
        </is>
      </c>
      <c r="I2311">
        <f>HYPERLINK("https://admin.shopify.com/store/ge-beauty-cosmeticos/customers/10084880548160","abrir")</f>
        <v/>
      </c>
      <c r="J2311">
        <f>HYPERLINK("https://www.gebeauty.com.br/products/primer-cachos-definidos?ref=review","review")</f>
        <v/>
      </c>
      <c r="K2311" t="inlineStr">
        <is>
          <t>HOLDOUT</t>
        </is>
      </c>
    </row>
    <row r="2312">
      <c r="A2312" t="inlineStr">
        <is>
          <t>Carolina</t>
        </is>
      </c>
      <c r="B2312" t="inlineStr">
        <is>
          <t>+5561983540700</t>
        </is>
      </c>
      <c r="C2312" t="inlineStr">
        <is>
          <t>Refill</t>
        </is>
      </c>
      <c r="D2312" t="inlineStr">
        <is>
          <t>Primer Cachos</t>
        </is>
      </c>
      <c r="E2312" t="n">
        <v>1</v>
      </c>
      <c r="F2312" t="inlineStr">
        <is>
          <t>2026-01-25</t>
        </is>
      </c>
      <c r="G2312" t="n">
        <v>160</v>
      </c>
      <c r="H2312" t="inlineStr">
        <is>
          <t>Y</t>
        </is>
      </c>
      <c r="I2312">
        <f>HYPERLINK("https://admin.shopify.com/store/ge-beauty-cosmeticos/customers/10075273724224","abrir")</f>
        <v/>
      </c>
      <c r="J2312">
        <f>HYPERLINK("https://www.gebeauty.com.br/products/primer-cachos-definidos?ref=review","review")</f>
        <v/>
      </c>
      <c r="K2312" t="inlineStr">
        <is>
          <t>SEND</t>
        </is>
      </c>
    </row>
    <row r="2313">
      <c r="A2313" t="inlineStr">
        <is>
          <t>Angelica</t>
        </is>
      </c>
      <c r="B2313" t="inlineStr">
        <is>
          <t>+5511973731888</t>
        </is>
      </c>
      <c r="C2313" t="inlineStr">
        <is>
          <t>Refill</t>
        </is>
      </c>
      <c r="D2313" t="inlineStr">
        <is>
          <t>Primer Cachos</t>
        </is>
      </c>
      <c r="E2313" t="n">
        <v>1</v>
      </c>
      <c r="F2313" t="inlineStr">
        <is>
          <t>2026-01-25</t>
        </is>
      </c>
      <c r="G2313" t="n">
        <v>160</v>
      </c>
      <c r="H2313" t="inlineStr">
        <is>
          <t>Y</t>
        </is>
      </c>
      <c r="I2313">
        <f>HYPERLINK("https://admin.shopify.com/store/ge-beauty-cosmeticos/customers/10084899422528","abrir")</f>
        <v/>
      </c>
      <c r="J2313">
        <f>HYPERLINK("https://www.gebeauty.com.br/products/primer-cachos-definidos?ref=review","review")</f>
        <v/>
      </c>
      <c r="K2313" t="inlineStr">
        <is>
          <t>HOLDOUT</t>
        </is>
      </c>
    </row>
    <row r="2314">
      <c r="A2314" t="inlineStr">
        <is>
          <t>Anik</t>
        </is>
      </c>
      <c r="B2314" t="inlineStr">
        <is>
          <t>+5521981669874</t>
        </is>
      </c>
      <c r="C2314" t="inlineStr">
        <is>
          <t>Refill</t>
        </is>
      </c>
      <c r="D2314" t="inlineStr">
        <is>
          <t>Primer Cachos</t>
        </is>
      </c>
      <c r="E2314" t="n">
        <v>1</v>
      </c>
      <c r="F2314" t="inlineStr">
        <is>
          <t>2026-01-25</t>
        </is>
      </c>
      <c r="G2314" t="n">
        <v>160</v>
      </c>
      <c r="H2314" t="inlineStr">
        <is>
          <t>Y</t>
        </is>
      </c>
      <c r="I2314">
        <f>HYPERLINK("https://admin.shopify.com/store/ge-beauty-cosmeticos/customers/10084888052032","abrir")</f>
        <v/>
      </c>
      <c r="J2314">
        <f>HYPERLINK("https://www.gebeauty.com.br/products/primer-cachos-definidos?ref=review","review")</f>
        <v/>
      </c>
      <c r="K2314" t="inlineStr">
        <is>
          <t>SEND</t>
        </is>
      </c>
    </row>
    <row r="2315">
      <c r="A2315" t="inlineStr">
        <is>
          <t>Luciana</t>
        </is>
      </c>
      <c r="B2315" t="inlineStr">
        <is>
          <t>+5573998597684</t>
        </is>
      </c>
      <c r="C2315" t="inlineStr">
        <is>
          <t>Refill</t>
        </is>
      </c>
      <c r="D2315" t="inlineStr">
        <is>
          <t>Primer Cachos</t>
        </is>
      </c>
      <c r="E2315" t="n">
        <v>1</v>
      </c>
      <c r="F2315" t="inlineStr">
        <is>
          <t>2026-01-25</t>
        </is>
      </c>
      <c r="G2315" t="n">
        <v>160</v>
      </c>
      <c r="H2315" t="inlineStr">
        <is>
          <t>Y</t>
        </is>
      </c>
      <c r="I2315">
        <f>HYPERLINK("https://admin.shopify.com/store/ge-beauty-cosmeticos/customers/10084580131136","abrir")</f>
        <v/>
      </c>
      <c r="J2315">
        <f>HYPERLINK("https://www.gebeauty.com.br/products/primer-cachos-definidos?ref=review","review")</f>
        <v/>
      </c>
      <c r="K2315" t="inlineStr">
        <is>
          <t>SEND</t>
        </is>
      </c>
    </row>
    <row r="2316">
      <c r="A2316" t="inlineStr">
        <is>
          <t>Bianca</t>
        </is>
      </c>
      <c r="B2316" t="inlineStr">
        <is>
          <t>+5519991181658</t>
        </is>
      </c>
      <c r="C2316" t="inlineStr">
        <is>
          <t>Refill</t>
        </is>
      </c>
      <c r="D2316" t="inlineStr">
        <is>
          <t>Primer Cachos</t>
        </is>
      </c>
      <c r="E2316" t="n">
        <v>1</v>
      </c>
      <c r="F2316" t="inlineStr">
        <is>
          <t>2026-01-25</t>
        </is>
      </c>
      <c r="G2316" t="n">
        <v>160</v>
      </c>
      <c r="H2316" t="inlineStr">
        <is>
          <t>Y</t>
        </is>
      </c>
      <c r="I2316">
        <f>HYPERLINK("https://admin.shopify.com/store/ge-beauty-cosmeticos/customers/9621086175552","abrir")</f>
        <v/>
      </c>
      <c r="J2316">
        <f>HYPERLINK("https://www.gebeauty.com.br/products/primer-cachos-definidos?ref=review","review")</f>
        <v/>
      </c>
      <c r="K2316" t="inlineStr">
        <is>
          <t>SEND</t>
        </is>
      </c>
    </row>
    <row r="2317">
      <c r="A2317" t="inlineStr">
        <is>
          <t>Marina</t>
        </is>
      </c>
      <c r="B2317" t="inlineStr">
        <is>
          <t>+5519997746778</t>
        </is>
      </c>
      <c r="C2317" t="inlineStr">
        <is>
          <t>Refill</t>
        </is>
      </c>
      <c r="D2317" t="inlineStr">
        <is>
          <t>Primer Cachos</t>
        </is>
      </c>
      <c r="E2317" t="n">
        <v>1</v>
      </c>
      <c r="F2317" t="inlineStr">
        <is>
          <t>2026-01-25</t>
        </is>
      </c>
      <c r="G2317" t="n">
        <v>160</v>
      </c>
      <c r="H2317" t="inlineStr">
        <is>
          <t>Y</t>
        </is>
      </c>
      <c r="I2317">
        <f>HYPERLINK("https://admin.shopify.com/store/ge-beauty-cosmeticos/customers/10084946805056","abrir")</f>
        <v/>
      </c>
      <c r="J2317">
        <f>HYPERLINK("https://www.gebeauty.com.br/products/primer-cachos-definidos?ref=review","review")</f>
        <v/>
      </c>
      <c r="K2317" t="inlineStr">
        <is>
          <t>SEND</t>
        </is>
      </c>
    </row>
    <row r="2318">
      <c r="A2318" t="inlineStr">
        <is>
          <t>Núbia</t>
        </is>
      </c>
      <c r="B2318" t="inlineStr">
        <is>
          <t>+5586999400003</t>
        </is>
      </c>
      <c r="C2318" t="inlineStr">
        <is>
          <t>Refill</t>
        </is>
      </c>
      <c r="D2318" t="inlineStr">
        <is>
          <t>Primer Cachos</t>
        </is>
      </c>
      <c r="E2318" t="n">
        <v>1</v>
      </c>
      <c r="F2318" t="inlineStr">
        <is>
          <t>2026-01-25</t>
        </is>
      </c>
      <c r="G2318" t="n">
        <v>160</v>
      </c>
      <c r="H2318" t="inlineStr">
        <is>
          <t>Y</t>
        </is>
      </c>
      <c r="I2318">
        <f>HYPERLINK("https://admin.shopify.com/store/ge-beauty-cosmeticos/customers/10084943954240","abrir")</f>
        <v/>
      </c>
      <c r="J2318">
        <f>HYPERLINK("https://www.gebeauty.com.br/products/primer-cachos-definidos?ref=review","review")</f>
        <v/>
      </c>
      <c r="K2318" t="inlineStr">
        <is>
          <t>SEND</t>
        </is>
      </c>
    </row>
    <row r="2319">
      <c r="A2319" t="inlineStr">
        <is>
          <t>Yasmin</t>
        </is>
      </c>
      <c r="B2319" t="inlineStr">
        <is>
          <t>+5511997400140</t>
        </is>
      </c>
      <c r="C2319" t="inlineStr">
        <is>
          <t>Refill</t>
        </is>
      </c>
      <c r="D2319" t="inlineStr">
        <is>
          <t>Primer Cachos</t>
        </is>
      </c>
      <c r="E2319" t="n">
        <v>1</v>
      </c>
      <c r="F2319" t="inlineStr">
        <is>
          <t>2026-01-25</t>
        </is>
      </c>
      <c r="G2319" t="n">
        <v>160</v>
      </c>
      <c r="H2319" t="inlineStr">
        <is>
          <t>Y</t>
        </is>
      </c>
      <c r="I2319">
        <f>HYPERLINK("https://admin.shopify.com/store/ge-beauty-cosmeticos/customers/10084814029120","abrir")</f>
        <v/>
      </c>
      <c r="J2319">
        <f>HYPERLINK("https://www.gebeauty.com.br/products/primer-cachos-definidos?ref=review","review")</f>
        <v/>
      </c>
      <c r="K2319" t="inlineStr">
        <is>
          <t>SEND</t>
        </is>
      </c>
    </row>
    <row r="2320">
      <c r="A2320" t="inlineStr">
        <is>
          <t>Fernanda</t>
        </is>
      </c>
      <c r="B2320" t="inlineStr">
        <is>
          <t>+5511999917377</t>
        </is>
      </c>
      <c r="C2320" t="inlineStr">
        <is>
          <t>Refill</t>
        </is>
      </c>
      <c r="D2320" t="inlineStr">
        <is>
          <t>Primer Cachos</t>
        </is>
      </c>
      <c r="E2320" t="n">
        <v>1</v>
      </c>
      <c r="F2320" t="inlineStr">
        <is>
          <t>2026-01-25</t>
        </is>
      </c>
      <c r="G2320" t="n">
        <v>160</v>
      </c>
      <c r="H2320" t="inlineStr">
        <is>
          <t>Y</t>
        </is>
      </c>
      <c r="I2320">
        <f>HYPERLINK("https://admin.shopify.com/store/ge-beauty-cosmeticos/customers/10083314336064","abrir")</f>
        <v/>
      </c>
      <c r="J2320">
        <f>HYPERLINK("https://www.gebeauty.com.br/products/primer-cachos-definidos?ref=review","review")</f>
        <v/>
      </c>
      <c r="K2320" t="inlineStr">
        <is>
          <t>SEND</t>
        </is>
      </c>
    </row>
    <row r="2321">
      <c r="A2321" t="inlineStr">
        <is>
          <t>Alice</t>
        </is>
      </c>
      <c r="B2321" t="inlineStr">
        <is>
          <t>+5511976524483</t>
        </is>
      </c>
      <c r="C2321" t="inlineStr">
        <is>
          <t>Refill</t>
        </is>
      </c>
      <c r="D2321" t="inlineStr">
        <is>
          <t>Primer Cachos</t>
        </is>
      </c>
      <c r="E2321" t="n">
        <v>1</v>
      </c>
      <c r="F2321" t="inlineStr">
        <is>
          <t>2026-01-25</t>
        </is>
      </c>
      <c r="G2321" t="n">
        <v>160</v>
      </c>
      <c r="H2321" t="inlineStr">
        <is>
          <t>Y</t>
        </is>
      </c>
      <c r="I2321">
        <f>HYPERLINK("https://admin.shopify.com/store/ge-beauty-cosmeticos/customers/10085036589376","abrir")</f>
        <v/>
      </c>
      <c r="J2321">
        <f>HYPERLINK("https://www.gebeauty.com.br/products/primer-cachos-definidos?ref=review","review")</f>
        <v/>
      </c>
      <c r="K2321" t="inlineStr">
        <is>
          <t>SEND</t>
        </is>
      </c>
    </row>
    <row r="2322">
      <c r="A2322" t="inlineStr">
        <is>
          <t>Janaina</t>
        </is>
      </c>
      <c r="B2322" t="inlineStr">
        <is>
          <t>+5511984872343</t>
        </is>
      </c>
      <c r="C2322" t="inlineStr">
        <is>
          <t>Refill</t>
        </is>
      </c>
      <c r="D2322" t="inlineStr">
        <is>
          <t>Primer Cachos</t>
        </is>
      </c>
      <c r="E2322" t="n">
        <v>1</v>
      </c>
      <c r="F2322" t="inlineStr">
        <is>
          <t>2026-01-25</t>
        </is>
      </c>
      <c r="G2322" t="n">
        <v>160</v>
      </c>
      <c r="H2322" t="inlineStr">
        <is>
          <t>Y</t>
        </is>
      </c>
      <c r="I2322">
        <f>HYPERLINK("https://admin.shopify.com/store/ge-beauty-cosmeticos/customers/10085045010752","abrir")</f>
        <v/>
      </c>
      <c r="J2322">
        <f>HYPERLINK("https://www.gebeauty.com.br/products/primer-cachos-definidos?ref=review","review")</f>
        <v/>
      </c>
      <c r="K2322" t="inlineStr">
        <is>
          <t>SEND</t>
        </is>
      </c>
    </row>
    <row r="2323">
      <c r="A2323" t="inlineStr">
        <is>
          <t>Fernanda</t>
        </is>
      </c>
      <c r="B2323" t="inlineStr">
        <is>
          <t>+5511999304328</t>
        </is>
      </c>
      <c r="C2323" t="inlineStr">
        <is>
          <t>Refill</t>
        </is>
      </c>
      <c r="D2323" t="inlineStr">
        <is>
          <t>Primer Cachos</t>
        </is>
      </c>
      <c r="E2323" t="n">
        <v>1</v>
      </c>
      <c r="F2323" t="inlineStr">
        <is>
          <t>2026-01-25</t>
        </is>
      </c>
      <c r="G2323" t="n">
        <v>160</v>
      </c>
      <c r="H2323" t="inlineStr">
        <is>
          <t>Y</t>
        </is>
      </c>
      <c r="I2323">
        <f>HYPERLINK("https://admin.shopify.com/store/ge-beauty-cosmeticos/customers/10085053038912","abrir")</f>
        <v/>
      </c>
      <c r="J2323">
        <f>HYPERLINK("https://www.gebeauty.com.br/products/primer-cachos-definidos?ref=review","review")</f>
        <v/>
      </c>
      <c r="K2323" t="inlineStr">
        <is>
          <t>SEND</t>
        </is>
      </c>
    </row>
    <row r="2324">
      <c r="A2324" t="inlineStr">
        <is>
          <t>Thais</t>
        </is>
      </c>
      <c r="B2324" t="inlineStr">
        <is>
          <t>+5521994305475</t>
        </is>
      </c>
      <c r="C2324" t="inlineStr">
        <is>
          <t>Refill</t>
        </is>
      </c>
      <c r="D2324" t="inlineStr">
        <is>
          <t>Primer Cachos</t>
        </is>
      </c>
      <c r="E2324" t="n">
        <v>1</v>
      </c>
      <c r="F2324" t="inlineStr">
        <is>
          <t>2026-01-25</t>
        </is>
      </c>
      <c r="G2324" t="n">
        <v>160</v>
      </c>
      <c r="H2324" t="inlineStr">
        <is>
          <t>Y</t>
        </is>
      </c>
      <c r="I2324">
        <f>HYPERLINK("https://admin.shopify.com/store/ge-beauty-cosmeticos/customers/10085043798336","abrir")</f>
        <v/>
      </c>
      <c r="J2324">
        <f>HYPERLINK("https://www.gebeauty.com.br/products/primer-cachos-definidos?ref=review","review")</f>
        <v/>
      </c>
      <c r="K2324" t="inlineStr">
        <is>
          <t>SEND</t>
        </is>
      </c>
    </row>
    <row r="2325">
      <c r="A2325" t="inlineStr">
        <is>
          <t>Mariana</t>
        </is>
      </c>
      <c r="B2325" t="inlineStr">
        <is>
          <t>+5521999926500</t>
        </is>
      </c>
      <c r="C2325" t="inlineStr">
        <is>
          <t>Refill</t>
        </is>
      </c>
      <c r="D2325" t="inlineStr">
        <is>
          <t>Primer Cachos</t>
        </is>
      </c>
      <c r="E2325" t="n">
        <v>1</v>
      </c>
      <c r="F2325" t="inlineStr">
        <is>
          <t>2026-01-25</t>
        </is>
      </c>
      <c r="G2325" t="n">
        <v>160</v>
      </c>
      <c r="H2325" t="inlineStr">
        <is>
          <t>Y</t>
        </is>
      </c>
      <c r="I2325">
        <f>HYPERLINK("https://admin.shopify.com/store/ge-beauty-cosmeticos/customers/10085071749440","abrir")</f>
        <v/>
      </c>
      <c r="J2325">
        <f>HYPERLINK("https://www.gebeauty.com.br/products/primer-cachos-definidos?ref=review","review")</f>
        <v/>
      </c>
      <c r="K2325" t="inlineStr">
        <is>
          <t>SEND</t>
        </is>
      </c>
    </row>
    <row r="2326">
      <c r="A2326" t="inlineStr">
        <is>
          <t>Thalita</t>
        </is>
      </c>
      <c r="B2326" t="inlineStr">
        <is>
          <t>+5511996079236</t>
        </is>
      </c>
      <c r="C2326" t="inlineStr">
        <is>
          <t>Refill</t>
        </is>
      </c>
      <c r="D2326" t="inlineStr">
        <is>
          <t>Primer Cachos</t>
        </is>
      </c>
      <c r="E2326" t="n">
        <v>1</v>
      </c>
      <c r="F2326" t="inlineStr">
        <is>
          <t>2026-01-25</t>
        </is>
      </c>
      <c r="G2326" t="n">
        <v>160</v>
      </c>
      <c r="H2326" t="inlineStr">
        <is>
          <t>Y</t>
        </is>
      </c>
      <c r="I2326">
        <f>HYPERLINK("https://admin.shopify.com/store/ge-beauty-cosmeticos/customers/10078118052160","abrir")</f>
        <v/>
      </c>
      <c r="J2326">
        <f>HYPERLINK("https://www.gebeauty.com.br/products/primer-cachos-definidos?ref=review","review")</f>
        <v/>
      </c>
      <c r="K2326" t="inlineStr">
        <is>
          <t>SEND</t>
        </is>
      </c>
    </row>
    <row r="2327">
      <c r="A2327" t="inlineStr">
        <is>
          <t>Bruna</t>
        </is>
      </c>
      <c r="B2327" t="inlineStr">
        <is>
          <t>+5582999196686</t>
        </is>
      </c>
      <c r="C2327" t="inlineStr">
        <is>
          <t>Refill</t>
        </is>
      </c>
      <c r="D2327" t="inlineStr">
        <is>
          <t>Primer Cachos</t>
        </is>
      </c>
      <c r="E2327" t="n">
        <v>1</v>
      </c>
      <c r="F2327" t="inlineStr">
        <is>
          <t>2026-01-25</t>
        </is>
      </c>
      <c r="G2327" t="n">
        <v>160</v>
      </c>
      <c r="H2327" t="inlineStr">
        <is>
          <t>Y</t>
        </is>
      </c>
      <c r="I2327">
        <f>HYPERLINK("https://admin.shopify.com/store/ge-beauty-cosmeticos/customers/10082636726592","abrir")</f>
        <v/>
      </c>
      <c r="J2327">
        <f>HYPERLINK("https://www.gebeauty.com.br/products/primer-cachos-definidos?ref=review","review")</f>
        <v/>
      </c>
      <c r="K2327" t="inlineStr">
        <is>
          <t>SEND</t>
        </is>
      </c>
    </row>
    <row r="2328">
      <c r="A2328" t="inlineStr">
        <is>
          <t>Clarissa</t>
        </is>
      </c>
      <c r="B2328" t="inlineStr">
        <is>
          <t>+5584987038145</t>
        </is>
      </c>
      <c r="C2328" t="inlineStr">
        <is>
          <t>Refill</t>
        </is>
      </c>
      <c r="D2328" t="inlineStr">
        <is>
          <t>Primer Cachos</t>
        </is>
      </c>
      <c r="E2328" t="n">
        <v>1</v>
      </c>
      <c r="F2328" t="inlineStr">
        <is>
          <t>2026-01-25</t>
        </is>
      </c>
      <c r="G2328" t="n">
        <v>160</v>
      </c>
      <c r="H2328" t="inlineStr">
        <is>
          <t>Y</t>
        </is>
      </c>
      <c r="I2328">
        <f>HYPERLINK("https://admin.shopify.com/store/ge-beauty-cosmeticos/customers/10085126799680","abrir")</f>
        <v/>
      </c>
      <c r="J2328">
        <f>HYPERLINK("https://www.gebeauty.com.br/products/primer-cachos-definidos?ref=review","review")</f>
        <v/>
      </c>
      <c r="K2328" t="inlineStr">
        <is>
          <t>SEND</t>
        </is>
      </c>
    </row>
    <row r="2329">
      <c r="A2329" t="inlineStr">
        <is>
          <t>Luana</t>
        </is>
      </c>
      <c r="B2329" t="inlineStr">
        <is>
          <t>+5562996293790</t>
        </is>
      </c>
      <c r="C2329" t="inlineStr">
        <is>
          <t>Refill</t>
        </is>
      </c>
      <c r="D2329" t="inlineStr">
        <is>
          <t>Primer Cachos</t>
        </is>
      </c>
      <c r="E2329" t="n">
        <v>1</v>
      </c>
      <c r="F2329" t="inlineStr">
        <is>
          <t>2026-01-25</t>
        </is>
      </c>
      <c r="G2329" t="n">
        <v>160</v>
      </c>
      <c r="H2329" t="inlineStr">
        <is>
          <t>Y</t>
        </is>
      </c>
      <c r="I2329">
        <f>HYPERLINK("https://admin.shopify.com/store/ge-beauty-cosmeticos/customers/10082837692736","abrir")</f>
        <v/>
      </c>
      <c r="J2329">
        <f>HYPERLINK("https://www.gebeauty.com.br/products/primer-cachos-definidos?ref=review","review")</f>
        <v/>
      </c>
      <c r="K2329" t="inlineStr">
        <is>
          <t>SEND</t>
        </is>
      </c>
    </row>
    <row r="2330">
      <c r="A2330" t="inlineStr">
        <is>
          <t>Barbara</t>
        </is>
      </c>
      <c r="B2330" t="inlineStr">
        <is>
          <t>+5547999025057</t>
        </is>
      </c>
      <c r="C2330" t="inlineStr">
        <is>
          <t>Refill</t>
        </is>
      </c>
      <c r="D2330" t="inlineStr">
        <is>
          <t>Primer Cachos</t>
        </is>
      </c>
      <c r="E2330" t="n">
        <v>1</v>
      </c>
      <c r="F2330" t="inlineStr">
        <is>
          <t>2026-01-25</t>
        </is>
      </c>
      <c r="G2330" t="n">
        <v>160</v>
      </c>
      <c r="H2330" t="inlineStr">
        <is>
          <t>Y</t>
        </is>
      </c>
      <c r="I2330">
        <f>HYPERLINK("https://admin.shopify.com/store/ge-beauty-cosmeticos/customers/10085148590400","abrir")</f>
        <v/>
      </c>
      <c r="J2330">
        <f>HYPERLINK("https://www.gebeauty.com.br/products/primer-cachos-definidos?ref=review","review")</f>
        <v/>
      </c>
      <c r="K2330" t="inlineStr">
        <is>
          <t>SEND</t>
        </is>
      </c>
    </row>
    <row r="2331">
      <c r="A2331" t="inlineStr">
        <is>
          <t>Juliana</t>
        </is>
      </c>
      <c r="B2331" t="inlineStr">
        <is>
          <t>+5547991811533</t>
        </is>
      </c>
      <c r="C2331" t="inlineStr">
        <is>
          <t>Refill</t>
        </is>
      </c>
      <c r="D2331" t="inlineStr">
        <is>
          <t>Primer Cachos</t>
        </is>
      </c>
      <c r="E2331" t="n">
        <v>1</v>
      </c>
      <c r="F2331" t="inlineStr">
        <is>
          <t>2026-01-25</t>
        </is>
      </c>
      <c r="G2331" t="n">
        <v>160</v>
      </c>
      <c r="H2331" t="inlineStr">
        <is>
          <t>Y</t>
        </is>
      </c>
      <c r="I2331">
        <f>HYPERLINK("https://admin.shopify.com/store/ge-beauty-cosmeticos/customers/10085151015232","abrir")</f>
        <v/>
      </c>
      <c r="J2331">
        <f>HYPERLINK("https://www.gebeauty.com.br/products/primer-cachos-definidos?ref=review","review")</f>
        <v/>
      </c>
      <c r="K2331" t="inlineStr">
        <is>
          <t>SEND</t>
        </is>
      </c>
    </row>
    <row r="2332">
      <c r="A2332" t="inlineStr">
        <is>
          <t>Scherly</t>
        </is>
      </c>
      <c r="B2332" t="inlineStr">
        <is>
          <t>+5547997399000</t>
        </is>
      </c>
      <c r="C2332" t="inlineStr">
        <is>
          <t>Refill</t>
        </is>
      </c>
      <c r="D2332" t="inlineStr">
        <is>
          <t>Primer Cachos</t>
        </is>
      </c>
      <c r="E2332" t="n">
        <v>1</v>
      </c>
      <c r="F2332" t="inlineStr">
        <is>
          <t>2026-01-25</t>
        </is>
      </c>
      <c r="G2332" t="n">
        <v>160</v>
      </c>
      <c r="H2332" t="inlineStr">
        <is>
          <t>Y</t>
        </is>
      </c>
      <c r="I2332">
        <f>HYPERLINK("https://admin.shopify.com/store/ge-beauty-cosmeticos/customers/10085196038464","abrir")</f>
        <v/>
      </c>
      <c r="J2332">
        <f>HYPERLINK("https://www.gebeauty.com.br/products/primer-cachos-definidos?ref=review","review")</f>
        <v/>
      </c>
      <c r="K2332" t="inlineStr">
        <is>
          <t>SEND</t>
        </is>
      </c>
    </row>
    <row r="2333">
      <c r="A2333" t="inlineStr">
        <is>
          <t>Camile</t>
        </is>
      </c>
      <c r="B2333" t="inlineStr">
        <is>
          <t>+5511996904645</t>
        </is>
      </c>
      <c r="C2333" t="inlineStr">
        <is>
          <t>Refill</t>
        </is>
      </c>
      <c r="D2333" t="inlineStr">
        <is>
          <t>Primer Cachos</t>
        </is>
      </c>
      <c r="E2333" t="n">
        <v>1</v>
      </c>
      <c r="F2333" t="inlineStr">
        <is>
          <t>2026-01-25</t>
        </is>
      </c>
      <c r="G2333" t="n">
        <v>160</v>
      </c>
      <c r="H2333" t="inlineStr">
        <is>
          <t>Y</t>
        </is>
      </c>
      <c r="I2333">
        <f>HYPERLINK("https://admin.shopify.com/store/ge-beauty-cosmeticos/customers/10085163925824","abrir")</f>
        <v/>
      </c>
      <c r="J2333">
        <f>HYPERLINK("https://www.gebeauty.com.br/products/primer-cachos-definidos?ref=review","review")</f>
        <v/>
      </c>
      <c r="K2333" t="inlineStr">
        <is>
          <t>SEND</t>
        </is>
      </c>
    </row>
    <row r="2334">
      <c r="A2334" t="inlineStr">
        <is>
          <t>Catarina</t>
        </is>
      </c>
      <c r="B2334" t="inlineStr">
        <is>
          <t>+5581997350419</t>
        </is>
      </c>
      <c r="C2334" t="inlineStr">
        <is>
          <t>Refill</t>
        </is>
      </c>
      <c r="D2334" t="inlineStr">
        <is>
          <t>Primer Cachos</t>
        </is>
      </c>
      <c r="E2334" t="n">
        <v>1</v>
      </c>
      <c r="F2334" t="inlineStr">
        <is>
          <t>2026-01-25</t>
        </is>
      </c>
      <c r="G2334" t="n">
        <v>160</v>
      </c>
      <c r="H2334" t="inlineStr">
        <is>
          <t>Y</t>
        </is>
      </c>
      <c r="I2334">
        <f>HYPERLINK("https://admin.shopify.com/store/ge-beauty-cosmeticos/customers/10085203542336","abrir")</f>
        <v/>
      </c>
      <c r="J2334">
        <f>HYPERLINK("https://www.gebeauty.com.br/products/primer-cachos-definidos?ref=review","review")</f>
        <v/>
      </c>
      <c r="K2334" t="inlineStr">
        <is>
          <t>SEND</t>
        </is>
      </c>
    </row>
    <row r="2335">
      <c r="A2335" t="inlineStr">
        <is>
          <t>Cláudia</t>
        </is>
      </c>
      <c r="B2335" t="inlineStr">
        <is>
          <t>+5521981126662</t>
        </is>
      </c>
      <c r="C2335" t="inlineStr">
        <is>
          <t>Refill</t>
        </is>
      </c>
      <c r="D2335" t="inlineStr">
        <is>
          <t>Primer Cachos</t>
        </is>
      </c>
      <c r="E2335" t="n">
        <v>1</v>
      </c>
      <c r="F2335" t="inlineStr">
        <is>
          <t>2026-01-25</t>
        </is>
      </c>
      <c r="G2335" t="n">
        <v>160</v>
      </c>
      <c r="H2335" t="inlineStr">
        <is>
          <t>Y</t>
        </is>
      </c>
      <c r="I2335">
        <f>HYPERLINK("https://admin.shopify.com/store/ge-beauty-cosmeticos/customers/10085166481728","abrir")</f>
        <v/>
      </c>
      <c r="J2335">
        <f>HYPERLINK("https://www.gebeauty.com.br/products/primer-cachos-definidos?ref=review","review")</f>
        <v/>
      </c>
      <c r="K2335" t="inlineStr">
        <is>
          <t>SEND</t>
        </is>
      </c>
    </row>
    <row r="2336">
      <c r="A2336" t="inlineStr">
        <is>
          <t>Tuany</t>
        </is>
      </c>
      <c r="B2336" t="inlineStr">
        <is>
          <t>+5511941675074</t>
        </is>
      </c>
      <c r="C2336" t="inlineStr">
        <is>
          <t>Refill</t>
        </is>
      </c>
      <c r="D2336" t="inlineStr">
        <is>
          <t>Primer Cachos</t>
        </is>
      </c>
      <c r="E2336" t="n">
        <v>1</v>
      </c>
      <c r="F2336" t="inlineStr">
        <is>
          <t>2026-01-25</t>
        </is>
      </c>
      <c r="G2336" t="n">
        <v>160</v>
      </c>
      <c r="H2336" t="inlineStr">
        <is>
          <t>Y</t>
        </is>
      </c>
      <c r="I2336">
        <f>HYPERLINK("https://admin.shopify.com/store/ge-beauty-cosmeticos/customers/10085247058240","abrir")</f>
        <v/>
      </c>
      <c r="J2336">
        <f>HYPERLINK("https://www.gebeauty.com.br/products/primer-cachos-definidos?ref=review","review")</f>
        <v/>
      </c>
      <c r="K2336" t="inlineStr">
        <is>
          <t>SEND</t>
        </is>
      </c>
    </row>
    <row r="2337">
      <c r="A2337" t="inlineStr">
        <is>
          <t>Antonieta</t>
        </is>
      </c>
      <c r="B2337" t="inlineStr">
        <is>
          <t>+5598988181198</t>
        </is>
      </c>
      <c r="C2337" t="inlineStr">
        <is>
          <t>Refill</t>
        </is>
      </c>
      <c r="D2337" t="inlineStr">
        <is>
          <t>Primer Cachos</t>
        </is>
      </c>
      <c r="E2337" t="n">
        <v>1</v>
      </c>
      <c r="F2337" t="inlineStr">
        <is>
          <t>2026-01-25</t>
        </is>
      </c>
      <c r="G2337" t="n">
        <v>160</v>
      </c>
      <c r="H2337" t="inlineStr">
        <is>
          <t>Y</t>
        </is>
      </c>
      <c r="I2337">
        <f>HYPERLINK("https://admin.shopify.com/store/ge-beauty-cosmeticos/customers/10085249319232","abrir")</f>
        <v/>
      </c>
      <c r="J2337">
        <f>HYPERLINK("https://www.gebeauty.com.br/products/primer-cachos-definidos?ref=review","review")</f>
        <v/>
      </c>
      <c r="K2337" t="inlineStr">
        <is>
          <t>SEND</t>
        </is>
      </c>
    </row>
    <row r="2338">
      <c r="A2338" t="inlineStr">
        <is>
          <t>Pietra</t>
        </is>
      </c>
      <c r="B2338" t="inlineStr">
        <is>
          <t>+5548999883995</t>
        </is>
      </c>
      <c r="C2338" t="inlineStr">
        <is>
          <t>Refill</t>
        </is>
      </c>
      <c r="D2338" t="inlineStr">
        <is>
          <t>Primer Cachos</t>
        </is>
      </c>
      <c r="E2338" t="n">
        <v>1</v>
      </c>
      <c r="F2338" t="inlineStr">
        <is>
          <t>2026-01-25</t>
        </is>
      </c>
      <c r="G2338" t="n">
        <v>160</v>
      </c>
      <c r="H2338" t="inlineStr">
        <is>
          <t>Y</t>
        </is>
      </c>
      <c r="I2338">
        <f>HYPERLINK("https://admin.shopify.com/store/ge-beauty-cosmeticos/customers/10085256364352","abrir")</f>
        <v/>
      </c>
      <c r="J2338">
        <f>HYPERLINK("https://www.gebeauty.com.br/products/primer-cachos-definidos?ref=review","review")</f>
        <v/>
      </c>
      <c r="K2338" t="inlineStr">
        <is>
          <t>SEND</t>
        </is>
      </c>
    </row>
    <row r="2339">
      <c r="A2339" t="inlineStr">
        <is>
          <t>Michelle</t>
        </is>
      </c>
      <c r="B2339" t="inlineStr">
        <is>
          <t>+5519974118950</t>
        </is>
      </c>
      <c r="C2339" t="inlineStr">
        <is>
          <t>Refill</t>
        </is>
      </c>
      <c r="D2339" t="inlineStr">
        <is>
          <t>Primer Cachos</t>
        </is>
      </c>
      <c r="E2339" t="n">
        <v>1</v>
      </c>
      <c r="F2339" t="inlineStr">
        <is>
          <t>2026-01-25</t>
        </is>
      </c>
      <c r="G2339" t="n">
        <v>160</v>
      </c>
      <c r="H2339" t="inlineStr">
        <is>
          <t>Y</t>
        </is>
      </c>
      <c r="I2339">
        <f>HYPERLINK("https://admin.shopify.com/store/ge-beauty-cosmeticos/customers/9303849763136","abrir")</f>
        <v/>
      </c>
      <c r="J2339">
        <f>HYPERLINK("https://www.gebeauty.com.br/products/primer-cachos-definidos?ref=review","review")</f>
        <v/>
      </c>
      <c r="K2339" t="inlineStr">
        <is>
          <t>SEND</t>
        </is>
      </c>
    </row>
    <row r="2340">
      <c r="A2340" t="inlineStr">
        <is>
          <t>Laise</t>
        </is>
      </c>
      <c r="B2340" t="inlineStr">
        <is>
          <t>+5561984962807</t>
        </is>
      </c>
      <c r="C2340" t="inlineStr">
        <is>
          <t>Refill</t>
        </is>
      </c>
      <c r="D2340" t="inlineStr">
        <is>
          <t>Primer Cachos</t>
        </is>
      </c>
      <c r="E2340" t="n">
        <v>1</v>
      </c>
      <c r="F2340" t="inlineStr">
        <is>
          <t>2026-01-25</t>
        </is>
      </c>
      <c r="G2340" t="n">
        <v>160</v>
      </c>
      <c r="H2340" t="inlineStr">
        <is>
          <t>Y</t>
        </is>
      </c>
      <c r="I2340">
        <f>HYPERLINK("https://admin.shopify.com/store/ge-beauty-cosmeticos/customers/10085324685632","abrir")</f>
        <v/>
      </c>
      <c r="J2340">
        <f>HYPERLINK("https://www.gebeauty.com.br/products/primer-cachos-definidos?ref=review","review")</f>
        <v/>
      </c>
      <c r="K2340" t="inlineStr">
        <is>
          <t>SEND</t>
        </is>
      </c>
    </row>
    <row r="2341">
      <c r="A2341" t="inlineStr">
        <is>
          <t>Tatiane</t>
        </is>
      </c>
      <c r="B2341" t="inlineStr">
        <is>
          <t>+5516982383103</t>
        </is>
      </c>
      <c r="C2341" t="inlineStr">
        <is>
          <t>Refill</t>
        </is>
      </c>
      <c r="D2341" t="inlineStr">
        <is>
          <t>Primer Cachos</t>
        </is>
      </c>
      <c r="E2341" t="n">
        <v>1</v>
      </c>
      <c r="F2341" t="inlineStr">
        <is>
          <t>2026-01-25</t>
        </is>
      </c>
      <c r="G2341" t="n">
        <v>160</v>
      </c>
      <c r="H2341" t="inlineStr">
        <is>
          <t>Y</t>
        </is>
      </c>
      <c r="I2341">
        <f>HYPERLINK("https://admin.shopify.com/store/ge-beauty-cosmeticos/customers/9999245279552","abrir")</f>
        <v/>
      </c>
      <c r="J2341">
        <f>HYPERLINK("https://www.gebeauty.com.br/products/primer-cachos-definidos?ref=review","review")</f>
        <v/>
      </c>
      <c r="K2341" t="inlineStr">
        <is>
          <t>SEND</t>
        </is>
      </c>
    </row>
    <row r="2342">
      <c r="A2342" t="inlineStr">
        <is>
          <t>Cristiana</t>
        </is>
      </c>
      <c r="B2342" t="inlineStr">
        <is>
          <t>+5581991663944</t>
        </is>
      </c>
      <c r="C2342" t="inlineStr">
        <is>
          <t>Refill</t>
        </is>
      </c>
      <c r="D2342" t="inlineStr">
        <is>
          <t>Primer Cachos</t>
        </is>
      </c>
      <c r="E2342" t="n">
        <v>1</v>
      </c>
      <c r="F2342" t="inlineStr">
        <is>
          <t>2026-01-25</t>
        </is>
      </c>
      <c r="G2342" t="n">
        <v>160</v>
      </c>
      <c r="H2342" t="inlineStr">
        <is>
          <t>Y</t>
        </is>
      </c>
      <c r="I2342">
        <f>HYPERLINK("https://admin.shopify.com/store/ge-beauty-cosmeticos/customers/10085330354496","abrir")</f>
        <v/>
      </c>
      <c r="J2342">
        <f>HYPERLINK("https://www.gebeauty.com.br/products/primer-cachos-definidos?ref=review","review")</f>
        <v/>
      </c>
      <c r="K2342" t="inlineStr">
        <is>
          <t>HOLDOUT</t>
        </is>
      </c>
    </row>
    <row r="2343">
      <c r="A2343" t="inlineStr">
        <is>
          <t>Susana</t>
        </is>
      </c>
      <c r="B2343" t="inlineStr">
        <is>
          <t>+5519993038012</t>
        </is>
      </c>
      <c r="C2343" t="inlineStr">
        <is>
          <t>Refill</t>
        </is>
      </c>
      <c r="D2343" t="inlineStr">
        <is>
          <t>Primer Cachos</t>
        </is>
      </c>
      <c r="E2343" t="n">
        <v>1</v>
      </c>
      <c r="F2343" t="inlineStr">
        <is>
          <t>2026-01-26</t>
        </is>
      </c>
      <c r="G2343" t="n">
        <v>159</v>
      </c>
      <c r="H2343" t="inlineStr">
        <is>
          <t>Y</t>
        </is>
      </c>
      <c r="I2343">
        <f>HYPERLINK("https://admin.shopify.com/store/ge-beauty-cosmeticos/customers/10085346050368","abrir")</f>
        <v/>
      </c>
      <c r="J2343">
        <f>HYPERLINK("https://www.gebeauty.com.br/products/primer-cachos-definidos?ref=review","review")</f>
        <v/>
      </c>
      <c r="K2343" t="inlineStr">
        <is>
          <t>SEND</t>
        </is>
      </c>
    </row>
    <row r="2344">
      <c r="A2344" t="inlineStr">
        <is>
          <t>Kiara</t>
        </is>
      </c>
      <c r="B2344" t="inlineStr">
        <is>
          <t>+5511972468769</t>
        </is>
      </c>
      <c r="C2344" t="inlineStr">
        <is>
          <t>Refill</t>
        </is>
      </c>
      <c r="D2344" t="inlineStr">
        <is>
          <t>Primer Cachos</t>
        </is>
      </c>
      <c r="E2344" t="n">
        <v>1</v>
      </c>
      <c r="F2344" t="inlineStr">
        <is>
          <t>2026-01-26</t>
        </is>
      </c>
      <c r="G2344" t="n">
        <v>159</v>
      </c>
      <c r="H2344" t="inlineStr">
        <is>
          <t>Y</t>
        </is>
      </c>
      <c r="I2344">
        <f>HYPERLINK("https://admin.shopify.com/store/ge-beauty-cosmeticos/customers/10083120841024","abrir")</f>
        <v/>
      </c>
      <c r="J2344">
        <f>HYPERLINK("https://www.gebeauty.com.br/products/primer-cachos-definidos?ref=review","review")</f>
        <v/>
      </c>
      <c r="K2344" t="inlineStr">
        <is>
          <t>SEND</t>
        </is>
      </c>
    </row>
    <row r="2345">
      <c r="A2345" t="inlineStr">
        <is>
          <t>Nathalia</t>
        </is>
      </c>
      <c r="B2345" t="inlineStr">
        <is>
          <t>+5511998819652</t>
        </is>
      </c>
      <c r="C2345" t="inlineStr">
        <is>
          <t>Refill</t>
        </is>
      </c>
      <c r="D2345" t="inlineStr">
        <is>
          <t>Primer Cachos</t>
        </is>
      </c>
      <c r="E2345" t="n">
        <v>1</v>
      </c>
      <c r="F2345" t="inlineStr">
        <is>
          <t>2026-01-26</t>
        </is>
      </c>
      <c r="G2345" t="n">
        <v>159</v>
      </c>
      <c r="H2345" t="inlineStr">
        <is>
          <t>Y</t>
        </is>
      </c>
      <c r="I2345">
        <f>HYPERLINK("https://admin.shopify.com/store/ge-beauty-cosmeticos/customers/10085392810304","abrir")</f>
        <v/>
      </c>
      <c r="J2345">
        <f>HYPERLINK("https://www.gebeauty.com.br/products/primer-cachos-definidos?ref=review","review")</f>
        <v/>
      </c>
      <c r="K2345" t="inlineStr">
        <is>
          <t>SEND</t>
        </is>
      </c>
    </row>
    <row r="2346">
      <c r="A2346" t="inlineStr">
        <is>
          <t>Jade</t>
        </is>
      </c>
      <c r="B2346" t="inlineStr">
        <is>
          <t>+5511981587646</t>
        </is>
      </c>
      <c r="C2346" t="inlineStr">
        <is>
          <t>Refill</t>
        </is>
      </c>
      <c r="D2346" t="inlineStr">
        <is>
          <t>Primer Cachos</t>
        </is>
      </c>
      <c r="E2346" t="n">
        <v>1</v>
      </c>
      <c r="F2346" t="inlineStr">
        <is>
          <t>2026-01-26</t>
        </is>
      </c>
      <c r="G2346" t="n">
        <v>159</v>
      </c>
      <c r="H2346" t="inlineStr">
        <is>
          <t>Y</t>
        </is>
      </c>
      <c r="I2346">
        <f>HYPERLINK("https://admin.shopify.com/store/ge-beauty-cosmeticos/customers/10084779458880","abrir")</f>
        <v/>
      </c>
      <c r="J2346">
        <f>HYPERLINK("https://www.gebeauty.com.br/products/primer-cachos-definidos?ref=review","review")</f>
        <v/>
      </c>
      <c r="K2346" t="inlineStr">
        <is>
          <t>SEND</t>
        </is>
      </c>
    </row>
    <row r="2347">
      <c r="A2347" t="inlineStr">
        <is>
          <t>Juliana</t>
        </is>
      </c>
      <c r="B2347" t="inlineStr">
        <is>
          <t>+5511984561362</t>
        </is>
      </c>
      <c r="C2347" t="inlineStr">
        <is>
          <t>Refill</t>
        </is>
      </c>
      <c r="D2347" t="inlineStr">
        <is>
          <t>Primer Cachos</t>
        </is>
      </c>
      <c r="E2347" t="n">
        <v>1</v>
      </c>
      <c r="F2347" t="inlineStr">
        <is>
          <t>2026-01-26</t>
        </is>
      </c>
      <c r="G2347" t="n">
        <v>159</v>
      </c>
      <c r="H2347" t="inlineStr">
        <is>
          <t>Y</t>
        </is>
      </c>
      <c r="I2347">
        <f>HYPERLINK("https://admin.shopify.com/store/ge-beauty-cosmeticos/customers/10085377245504","abrir")</f>
        <v/>
      </c>
      <c r="J2347">
        <f>HYPERLINK("https://www.gebeauty.com.br/products/primer-cachos-definidos?ref=review","review")</f>
        <v/>
      </c>
      <c r="K2347" t="inlineStr">
        <is>
          <t>SEND</t>
        </is>
      </c>
    </row>
    <row r="2348">
      <c r="A2348" t="inlineStr">
        <is>
          <t>Cristina</t>
        </is>
      </c>
      <c r="B2348" t="inlineStr">
        <is>
          <t>+5521982339585</t>
        </is>
      </c>
      <c r="C2348" t="inlineStr">
        <is>
          <t>Refill</t>
        </is>
      </c>
      <c r="D2348" t="inlineStr">
        <is>
          <t>Primer Cachos</t>
        </is>
      </c>
      <c r="E2348" t="n">
        <v>1</v>
      </c>
      <c r="F2348" t="inlineStr">
        <is>
          <t>2026-01-26</t>
        </is>
      </c>
      <c r="G2348" t="n">
        <v>159</v>
      </c>
      <c r="H2348" t="inlineStr">
        <is>
          <t>Y</t>
        </is>
      </c>
      <c r="I2348">
        <f>HYPERLINK("https://admin.shopify.com/store/ge-beauty-cosmeticos/customers/10085413945664","abrir")</f>
        <v/>
      </c>
      <c r="J2348">
        <f>HYPERLINK("https://www.gebeauty.com.br/products/primer-cachos-definidos?ref=review","review")</f>
        <v/>
      </c>
      <c r="K2348" t="inlineStr">
        <is>
          <t>SEND</t>
        </is>
      </c>
    </row>
    <row r="2349">
      <c r="A2349" t="inlineStr">
        <is>
          <t>Ana</t>
        </is>
      </c>
      <c r="B2349" t="inlineStr">
        <is>
          <t>+5577999718285</t>
        </is>
      </c>
      <c r="C2349" t="inlineStr">
        <is>
          <t>Refill</t>
        </is>
      </c>
      <c r="D2349" t="inlineStr">
        <is>
          <t>Primer Cachos</t>
        </is>
      </c>
      <c r="E2349" t="n">
        <v>1</v>
      </c>
      <c r="F2349" t="inlineStr">
        <is>
          <t>2026-01-26</t>
        </is>
      </c>
      <c r="G2349" t="n">
        <v>159</v>
      </c>
      <c r="H2349" t="inlineStr">
        <is>
          <t>Y</t>
        </is>
      </c>
      <c r="I2349">
        <f>HYPERLINK("https://admin.shopify.com/store/ge-beauty-cosmeticos/customers/10085417615680","abrir")</f>
        <v/>
      </c>
      <c r="J2349">
        <f>HYPERLINK("https://www.gebeauty.com.br/products/primer-cachos-definidos?ref=review","review")</f>
        <v/>
      </c>
      <c r="K2349" t="inlineStr">
        <is>
          <t>HOLDOUT</t>
        </is>
      </c>
    </row>
    <row r="2350">
      <c r="A2350" t="inlineStr">
        <is>
          <t>Simone</t>
        </is>
      </c>
      <c r="B2350" t="inlineStr">
        <is>
          <t>+5541992210508</t>
        </is>
      </c>
      <c r="C2350" t="inlineStr">
        <is>
          <t>Refill</t>
        </is>
      </c>
      <c r="D2350" t="inlineStr">
        <is>
          <t>Primer Cachos</t>
        </is>
      </c>
      <c r="E2350" t="n">
        <v>1</v>
      </c>
      <c r="F2350" t="inlineStr">
        <is>
          <t>2026-01-26</t>
        </is>
      </c>
      <c r="G2350" t="n">
        <v>159</v>
      </c>
      <c r="H2350" t="inlineStr">
        <is>
          <t>Y</t>
        </is>
      </c>
      <c r="I2350">
        <f>HYPERLINK("https://admin.shopify.com/store/ge-beauty-cosmeticos/customers/10085403820352","abrir")</f>
        <v/>
      </c>
      <c r="J2350">
        <f>HYPERLINK("https://www.gebeauty.com.br/products/primer-cachos-definidos?ref=review","review")</f>
        <v/>
      </c>
      <c r="K2350" t="inlineStr">
        <is>
          <t>HOLDOUT</t>
        </is>
      </c>
    </row>
    <row r="2351">
      <c r="A2351" t="inlineStr">
        <is>
          <t>Iara</t>
        </is>
      </c>
      <c r="B2351" t="inlineStr">
        <is>
          <t>+5522999682555</t>
        </is>
      </c>
      <c r="C2351" t="inlineStr">
        <is>
          <t>Refill</t>
        </is>
      </c>
      <c r="D2351" t="inlineStr">
        <is>
          <t>Primer Cachos</t>
        </is>
      </c>
      <c r="E2351" t="n">
        <v>1</v>
      </c>
      <c r="F2351" t="inlineStr">
        <is>
          <t>2026-01-26</t>
        </is>
      </c>
      <c r="G2351" t="n">
        <v>159</v>
      </c>
      <c r="H2351" t="inlineStr">
        <is>
          <t>Y</t>
        </is>
      </c>
      <c r="I2351">
        <f>HYPERLINK("https://admin.shopify.com/store/ge-beauty-cosmeticos/customers/10085422268736","abrir")</f>
        <v/>
      </c>
      <c r="J2351">
        <f>HYPERLINK("https://www.gebeauty.com.br/products/primer-cachos-definidos?ref=review","review")</f>
        <v/>
      </c>
      <c r="K2351" t="inlineStr">
        <is>
          <t>SEND</t>
        </is>
      </c>
    </row>
    <row r="2352">
      <c r="A2352" t="inlineStr">
        <is>
          <t>Priscilla</t>
        </is>
      </c>
      <c r="B2352" t="inlineStr">
        <is>
          <t>+5519994678733</t>
        </is>
      </c>
      <c r="C2352" t="inlineStr">
        <is>
          <t>Refill</t>
        </is>
      </c>
      <c r="D2352" t="inlineStr">
        <is>
          <t>Primer Cachos</t>
        </is>
      </c>
      <c r="E2352" t="n">
        <v>1</v>
      </c>
      <c r="F2352" t="inlineStr">
        <is>
          <t>2026-01-26</t>
        </is>
      </c>
      <c r="G2352" t="n">
        <v>159</v>
      </c>
      <c r="H2352" t="inlineStr">
        <is>
          <t>Y</t>
        </is>
      </c>
      <c r="I2352">
        <f>HYPERLINK("https://admin.shopify.com/store/ge-beauty-cosmeticos/customers/10085463621952","abrir")</f>
        <v/>
      </c>
      <c r="J2352">
        <f>HYPERLINK("https://www.gebeauty.com.br/products/primer-cachos-definidos?ref=review","review")</f>
        <v/>
      </c>
      <c r="K2352" t="inlineStr">
        <is>
          <t>SEND</t>
        </is>
      </c>
    </row>
    <row r="2353">
      <c r="A2353" t="inlineStr">
        <is>
          <t>Marina</t>
        </is>
      </c>
      <c r="B2353" t="inlineStr">
        <is>
          <t>+5531993105449</t>
        </is>
      </c>
      <c r="C2353" t="inlineStr">
        <is>
          <t>Refill</t>
        </is>
      </c>
      <c r="D2353" t="inlineStr">
        <is>
          <t>Primer Cachos</t>
        </is>
      </c>
      <c r="E2353" t="n">
        <v>1</v>
      </c>
      <c r="F2353" t="inlineStr">
        <is>
          <t>2026-01-26</t>
        </is>
      </c>
      <c r="G2353" t="n">
        <v>159</v>
      </c>
      <c r="H2353" t="inlineStr">
        <is>
          <t>Y</t>
        </is>
      </c>
      <c r="I2353">
        <f>HYPERLINK("https://admin.shopify.com/store/ge-beauty-cosmeticos/customers/10085507989824","abrir")</f>
        <v/>
      </c>
      <c r="J2353">
        <f>HYPERLINK("https://www.gebeauty.com.br/products/primer-cachos-definidos?ref=review","review")</f>
        <v/>
      </c>
      <c r="K2353" t="inlineStr">
        <is>
          <t>SEND</t>
        </is>
      </c>
    </row>
    <row r="2354">
      <c r="A2354" t="inlineStr">
        <is>
          <t>Isabela</t>
        </is>
      </c>
      <c r="B2354" t="inlineStr">
        <is>
          <t>+5521981050893</t>
        </is>
      </c>
      <c r="C2354" t="inlineStr">
        <is>
          <t>Refill</t>
        </is>
      </c>
      <c r="D2354" t="inlineStr">
        <is>
          <t>Primer Cachos</t>
        </is>
      </c>
      <c r="E2354" t="n">
        <v>1</v>
      </c>
      <c r="F2354" t="inlineStr">
        <is>
          <t>2026-01-26</t>
        </is>
      </c>
      <c r="G2354" t="n">
        <v>159</v>
      </c>
      <c r="H2354" t="inlineStr">
        <is>
          <t>Y</t>
        </is>
      </c>
      <c r="I2354">
        <f>HYPERLINK("https://admin.shopify.com/store/ge-beauty-cosmeticos/customers/10085478826304","abrir")</f>
        <v/>
      </c>
      <c r="J2354">
        <f>HYPERLINK("https://www.gebeauty.com.br/products/primer-cachos-definidos?ref=review","review")</f>
        <v/>
      </c>
      <c r="K2354" t="inlineStr">
        <is>
          <t>SEND</t>
        </is>
      </c>
    </row>
    <row r="2355">
      <c r="A2355" t="inlineStr">
        <is>
          <t>Isabela</t>
        </is>
      </c>
      <c r="B2355" t="inlineStr">
        <is>
          <t>+5535999471566</t>
        </is>
      </c>
      <c r="C2355" t="inlineStr">
        <is>
          <t>Refill</t>
        </is>
      </c>
      <c r="D2355" t="inlineStr">
        <is>
          <t>Primer Cachos</t>
        </is>
      </c>
      <c r="E2355" t="n">
        <v>1</v>
      </c>
      <c r="F2355" t="inlineStr">
        <is>
          <t>2026-01-26</t>
        </is>
      </c>
      <c r="G2355" t="n">
        <v>159</v>
      </c>
      <c r="H2355" t="inlineStr">
        <is>
          <t>Y</t>
        </is>
      </c>
      <c r="I2355">
        <f>HYPERLINK("https://admin.shopify.com/store/ge-beauty-cosmeticos/customers/10085516149056","abrir")</f>
        <v/>
      </c>
      <c r="J2355">
        <f>HYPERLINK("https://www.gebeauty.com.br/products/primer-cachos-definidos?ref=review","review")</f>
        <v/>
      </c>
      <c r="K2355" t="inlineStr">
        <is>
          <t>SEND</t>
        </is>
      </c>
    </row>
    <row r="2356">
      <c r="A2356" t="inlineStr">
        <is>
          <t>Clarissa</t>
        </is>
      </c>
      <c r="B2356" t="inlineStr">
        <is>
          <t>+5531993654943</t>
        </is>
      </c>
      <c r="C2356" t="inlineStr">
        <is>
          <t>Refill</t>
        </is>
      </c>
      <c r="D2356" t="inlineStr">
        <is>
          <t>Primer Cachos</t>
        </is>
      </c>
      <c r="E2356" t="n">
        <v>1</v>
      </c>
      <c r="F2356" t="inlineStr">
        <is>
          <t>2026-01-26</t>
        </is>
      </c>
      <c r="G2356" t="n">
        <v>159</v>
      </c>
      <c r="H2356" t="inlineStr">
        <is>
          <t>Y</t>
        </is>
      </c>
      <c r="I2356">
        <f>HYPERLINK("https://admin.shopify.com/store/ge-beauty-cosmeticos/customers/10085529616704","abrir")</f>
        <v/>
      </c>
      <c r="J2356">
        <f>HYPERLINK("https://www.gebeauty.com.br/products/primer-cachos-definidos?ref=review","review")</f>
        <v/>
      </c>
      <c r="K2356" t="inlineStr">
        <is>
          <t>SEND</t>
        </is>
      </c>
    </row>
    <row r="2357">
      <c r="A2357" t="inlineStr">
        <is>
          <t>Fátima</t>
        </is>
      </c>
      <c r="B2357" t="inlineStr">
        <is>
          <t>+5511976379947</t>
        </is>
      </c>
      <c r="C2357" t="inlineStr">
        <is>
          <t>Refill</t>
        </is>
      </c>
      <c r="D2357" t="inlineStr">
        <is>
          <t>Primer Cachos</t>
        </is>
      </c>
      <c r="E2357" t="n">
        <v>1</v>
      </c>
      <c r="F2357" t="inlineStr">
        <is>
          <t>2026-01-26</t>
        </is>
      </c>
      <c r="G2357" t="n">
        <v>159</v>
      </c>
      <c r="H2357" t="inlineStr">
        <is>
          <t>Y</t>
        </is>
      </c>
      <c r="I2357">
        <f>HYPERLINK("https://admin.shopify.com/store/ge-beauty-cosmeticos/customers/10074411041088","abrir")</f>
        <v/>
      </c>
      <c r="J2357">
        <f>HYPERLINK("https://www.gebeauty.com.br/products/primer-cachos-definidos?ref=review","review")</f>
        <v/>
      </c>
      <c r="K2357" t="inlineStr">
        <is>
          <t>SEND</t>
        </is>
      </c>
    </row>
    <row r="2358">
      <c r="A2358" t="inlineStr">
        <is>
          <t>Debora</t>
        </is>
      </c>
      <c r="B2358" t="inlineStr">
        <is>
          <t>+5511948233143</t>
        </is>
      </c>
      <c r="C2358" t="inlineStr">
        <is>
          <t>Refill</t>
        </is>
      </c>
      <c r="D2358" t="inlineStr">
        <is>
          <t>Primer Cachos</t>
        </is>
      </c>
      <c r="E2358" t="n">
        <v>1</v>
      </c>
      <c r="F2358" t="inlineStr">
        <is>
          <t>2026-01-26</t>
        </is>
      </c>
      <c r="G2358" t="n">
        <v>159</v>
      </c>
      <c r="H2358" t="inlineStr">
        <is>
          <t>Y</t>
        </is>
      </c>
      <c r="I2358">
        <f>HYPERLINK("https://admin.shopify.com/store/ge-beauty-cosmeticos/customers/10085549277504","abrir")</f>
        <v/>
      </c>
      <c r="J2358">
        <f>HYPERLINK("https://www.gebeauty.com.br/products/primer-cachos-definidos?ref=review","review")</f>
        <v/>
      </c>
      <c r="K2358" t="inlineStr">
        <is>
          <t>SEND</t>
        </is>
      </c>
    </row>
    <row r="2359">
      <c r="A2359" t="inlineStr">
        <is>
          <t>Wilsa</t>
        </is>
      </c>
      <c r="B2359" t="inlineStr">
        <is>
          <t>+5561992280609</t>
        </is>
      </c>
      <c r="C2359" t="inlineStr">
        <is>
          <t>Refill</t>
        </is>
      </c>
      <c r="D2359" t="inlineStr">
        <is>
          <t>Primer Cachos</t>
        </is>
      </c>
      <c r="E2359" t="n">
        <v>1</v>
      </c>
      <c r="F2359" t="inlineStr">
        <is>
          <t>2026-01-26</t>
        </is>
      </c>
      <c r="G2359" t="n">
        <v>159</v>
      </c>
      <c r="H2359" t="inlineStr">
        <is>
          <t>Y</t>
        </is>
      </c>
      <c r="I2359">
        <f>HYPERLINK("https://admin.shopify.com/store/ge-beauty-cosmeticos/customers/10085588664640","abrir")</f>
        <v/>
      </c>
      <c r="J2359">
        <f>HYPERLINK("https://www.gebeauty.com.br/products/primer-cachos-definidos?ref=review","review")</f>
        <v/>
      </c>
      <c r="K2359" t="inlineStr">
        <is>
          <t>SEND</t>
        </is>
      </c>
    </row>
    <row r="2360">
      <c r="A2360" t="inlineStr">
        <is>
          <t>Roseli</t>
        </is>
      </c>
      <c r="B2360" t="inlineStr">
        <is>
          <t>+5513997556911</t>
        </is>
      </c>
      <c r="C2360" t="inlineStr">
        <is>
          <t>Refill</t>
        </is>
      </c>
      <c r="D2360" t="inlineStr">
        <is>
          <t>Primer Cachos</t>
        </is>
      </c>
      <c r="E2360" t="n">
        <v>1</v>
      </c>
      <c r="F2360" t="inlineStr">
        <is>
          <t>2026-01-26</t>
        </is>
      </c>
      <c r="G2360" t="n">
        <v>159</v>
      </c>
      <c r="H2360" t="inlineStr">
        <is>
          <t>Y</t>
        </is>
      </c>
      <c r="I2360">
        <f>HYPERLINK("https://admin.shopify.com/store/ge-beauty-cosmeticos/customers/10083795501376","abrir")</f>
        <v/>
      </c>
      <c r="J2360">
        <f>HYPERLINK("https://www.gebeauty.com.br/products/primer-cachos-definidos?ref=review","review")</f>
        <v/>
      </c>
      <c r="K2360" t="inlineStr">
        <is>
          <t>SEND</t>
        </is>
      </c>
    </row>
    <row r="2361">
      <c r="A2361" t="inlineStr">
        <is>
          <t>Gabriella</t>
        </is>
      </c>
      <c r="B2361" t="inlineStr">
        <is>
          <t>+5511984698822</t>
        </is>
      </c>
      <c r="C2361" t="inlineStr">
        <is>
          <t>Refill</t>
        </is>
      </c>
      <c r="D2361" t="inlineStr">
        <is>
          <t>Primer Cachos</t>
        </is>
      </c>
      <c r="E2361" t="n">
        <v>1</v>
      </c>
      <c r="F2361" t="inlineStr">
        <is>
          <t>2026-01-26</t>
        </is>
      </c>
      <c r="G2361" t="n">
        <v>159</v>
      </c>
      <c r="H2361" t="inlineStr">
        <is>
          <t>Y</t>
        </is>
      </c>
      <c r="I2361">
        <f>HYPERLINK("https://admin.shopify.com/store/ge-beauty-cosmeticos/customers/10085445927232","abrir")</f>
        <v/>
      </c>
      <c r="J2361">
        <f>HYPERLINK("https://www.gebeauty.com.br/products/primer-cachos-definidos?ref=review","review")</f>
        <v/>
      </c>
      <c r="K2361" t="inlineStr">
        <is>
          <t>HOLDOUT</t>
        </is>
      </c>
    </row>
    <row r="2362">
      <c r="A2362" t="inlineStr">
        <is>
          <t>Michele</t>
        </is>
      </c>
      <c r="B2362" t="inlineStr">
        <is>
          <t>+5551999942428</t>
        </is>
      </c>
      <c r="C2362" t="inlineStr">
        <is>
          <t>Refill</t>
        </is>
      </c>
      <c r="D2362" t="inlineStr">
        <is>
          <t>Primer Cachos</t>
        </is>
      </c>
      <c r="E2362" t="n">
        <v>1</v>
      </c>
      <c r="F2362" t="inlineStr">
        <is>
          <t>2026-01-26</t>
        </is>
      </c>
      <c r="G2362" t="n">
        <v>159</v>
      </c>
      <c r="H2362" t="inlineStr">
        <is>
          <t>Y</t>
        </is>
      </c>
      <c r="I2362">
        <f>HYPERLINK("https://admin.shopify.com/store/ge-beauty-cosmeticos/customers/8352361447744","abrir")</f>
        <v/>
      </c>
      <c r="J2362">
        <f>HYPERLINK("https://www.gebeauty.com.br/products/primer-cachos-definidos?ref=review","review")</f>
        <v/>
      </c>
      <c r="K2362" t="inlineStr">
        <is>
          <t>SEND</t>
        </is>
      </c>
    </row>
    <row r="2363">
      <c r="A2363" t="inlineStr">
        <is>
          <t>Ligia</t>
        </is>
      </c>
      <c r="B2363" t="inlineStr">
        <is>
          <t>+5521999940699</t>
        </is>
      </c>
      <c r="C2363" t="inlineStr">
        <is>
          <t>Refill</t>
        </is>
      </c>
      <c r="D2363" t="inlineStr">
        <is>
          <t>Primer Cachos</t>
        </is>
      </c>
      <c r="E2363" t="n">
        <v>1</v>
      </c>
      <c r="F2363" t="inlineStr">
        <is>
          <t>2026-01-26</t>
        </is>
      </c>
      <c r="G2363" t="n">
        <v>159</v>
      </c>
      <c r="H2363" t="inlineStr">
        <is>
          <t>Y</t>
        </is>
      </c>
      <c r="I2363">
        <f>HYPERLINK("https://admin.shopify.com/store/ge-beauty-cosmeticos/customers/10086178259264","abrir")</f>
        <v/>
      </c>
      <c r="J2363">
        <f>HYPERLINK("https://www.gebeauty.com.br/products/primer-cachos-definidos?ref=review","review")</f>
        <v/>
      </c>
      <c r="K2363" t="inlineStr">
        <is>
          <t>SEND</t>
        </is>
      </c>
    </row>
    <row r="2364">
      <c r="A2364" t="inlineStr">
        <is>
          <t>Marta</t>
        </is>
      </c>
      <c r="B2364" t="inlineStr">
        <is>
          <t>+5519997146651</t>
        </is>
      </c>
      <c r="C2364" t="inlineStr">
        <is>
          <t>Refill</t>
        </is>
      </c>
      <c r="D2364" t="inlineStr">
        <is>
          <t>Primer Cachos</t>
        </is>
      </c>
      <c r="E2364" t="n">
        <v>1</v>
      </c>
      <c r="F2364" t="inlineStr">
        <is>
          <t>2026-01-26</t>
        </is>
      </c>
      <c r="G2364" t="n">
        <v>159</v>
      </c>
      <c r="H2364" t="inlineStr">
        <is>
          <t>Y</t>
        </is>
      </c>
      <c r="I2364">
        <f>HYPERLINK("https://admin.shopify.com/store/ge-beauty-cosmeticos/customers/10086208012608","abrir")</f>
        <v/>
      </c>
      <c r="J2364">
        <f>HYPERLINK("https://www.gebeauty.com.br/products/primer-cachos-definidos?ref=review","review")</f>
        <v/>
      </c>
      <c r="K2364" t="inlineStr">
        <is>
          <t>SEND</t>
        </is>
      </c>
    </row>
    <row r="2365">
      <c r="A2365" t="inlineStr">
        <is>
          <t>Ketlin</t>
        </is>
      </c>
      <c r="B2365" t="inlineStr">
        <is>
          <t>+5547996511088</t>
        </is>
      </c>
      <c r="C2365" t="inlineStr">
        <is>
          <t>Refill</t>
        </is>
      </c>
      <c r="D2365" t="inlineStr">
        <is>
          <t>Primer Cachos</t>
        </is>
      </c>
      <c r="E2365" t="n">
        <v>1</v>
      </c>
      <c r="F2365" t="inlineStr">
        <is>
          <t>2026-01-26</t>
        </is>
      </c>
      <c r="G2365" t="n">
        <v>159</v>
      </c>
      <c r="H2365" t="inlineStr">
        <is>
          <t>Y</t>
        </is>
      </c>
      <c r="I2365">
        <f>HYPERLINK("https://admin.shopify.com/store/ge-beauty-cosmeticos/customers/10086245728576","abrir")</f>
        <v/>
      </c>
      <c r="J2365">
        <f>HYPERLINK("https://www.gebeauty.com.br/products/primer-cachos-definidos?ref=review","review")</f>
        <v/>
      </c>
      <c r="K2365" t="inlineStr">
        <is>
          <t>SEND</t>
        </is>
      </c>
    </row>
    <row r="2366">
      <c r="A2366" t="inlineStr">
        <is>
          <t>Daniela</t>
        </is>
      </c>
      <c r="B2366" t="inlineStr">
        <is>
          <t>+5511999835143</t>
        </is>
      </c>
      <c r="C2366" t="inlineStr">
        <is>
          <t>Refill</t>
        </is>
      </c>
      <c r="D2366" t="inlineStr">
        <is>
          <t>Primer Cachos</t>
        </is>
      </c>
      <c r="E2366" t="n">
        <v>1</v>
      </c>
      <c r="F2366" t="inlineStr">
        <is>
          <t>2026-01-26</t>
        </is>
      </c>
      <c r="G2366" t="n">
        <v>159</v>
      </c>
      <c r="H2366" t="inlineStr">
        <is>
          <t>Y</t>
        </is>
      </c>
      <c r="I2366">
        <f>HYPERLINK("https://admin.shopify.com/store/ge-beauty-cosmeticos/customers/10086290194752","abrir")</f>
        <v/>
      </c>
      <c r="J2366">
        <f>HYPERLINK("https://www.gebeauty.com.br/products/primer-cachos-definidos?ref=review","review")</f>
        <v/>
      </c>
      <c r="K2366" t="inlineStr">
        <is>
          <t>SEND</t>
        </is>
      </c>
    </row>
    <row r="2367">
      <c r="A2367" t="inlineStr">
        <is>
          <t>Michele</t>
        </is>
      </c>
      <c r="B2367" t="inlineStr">
        <is>
          <t>+5542998222735</t>
        </is>
      </c>
      <c r="C2367" t="inlineStr">
        <is>
          <t>Refill</t>
        </is>
      </c>
      <c r="D2367" t="inlineStr">
        <is>
          <t>Primer Cachos</t>
        </is>
      </c>
      <c r="E2367" t="n">
        <v>1</v>
      </c>
      <c r="F2367" t="inlineStr">
        <is>
          <t>2026-01-26</t>
        </is>
      </c>
      <c r="G2367" t="n">
        <v>159</v>
      </c>
      <c r="H2367" t="inlineStr">
        <is>
          <t>Y</t>
        </is>
      </c>
      <c r="I2367">
        <f>HYPERLINK("https://admin.shopify.com/store/ge-beauty-cosmeticos/customers/9502633722176","abrir")</f>
        <v/>
      </c>
      <c r="J2367">
        <f>HYPERLINK("https://www.gebeauty.com.br/products/primer-cachos-definidos?ref=review","review")</f>
        <v/>
      </c>
      <c r="K2367" t="inlineStr">
        <is>
          <t>SEND</t>
        </is>
      </c>
    </row>
    <row r="2368">
      <c r="A2368" t="inlineStr">
        <is>
          <t>Lucivana</t>
        </is>
      </c>
      <c r="B2368" t="inlineStr">
        <is>
          <t>+5571982276007</t>
        </is>
      </c>
      <c r="C2368" t="inlineStr">
        <is>
          <t>Refill</t>
        </is>
      </c>
      <c r="D2368" t="inlineStr">
        <is>
          <t>Primer Cachos</t>
        </is>
      </c>
      <c r="E2368" t="n">
        <v>1</v>
      </c>
      <c r="F2368" t="inlineStr">
        <is>
          <t>2026-01-26</t>
        </is>
      </c>
      <c r="G2368" t="n">
        <v>159</v>
      </c>
      <c r="H2368" t="inlineStr">
        <is>
          <t>Y</t>
        </is>
      </c>
      <c r="I2368">
        <f>HYPERLINK("https://admin.shopify.com/store/ge-beauty-cosmeticos/customers/10086362775872","abrir")</f>
        <v/>
      </c>
      <c r="J2368">
        <f>HYPERLINK("https://www.gebeauty.com.br/products/primer-cachos-definidos?ref=review","review")</f>
        <v/>
      </c>
      <c r="K2368" t="inlineStr">
        <is>
          <t>SEND</t>
        </is>
      </c>
    </row>
    <row r="2369">
      <c r="A2369" t="inlineStr">
        <is>
          <t>Ana Paula</t>
        </is>
      </c>
      <c r="B2369" t="inlineStr">
        <is>
          <t>+5579999796556</t>
        </is>
      </c>
      <c r="C2369" t="inlineStr">
        <is>
          <t>Refill</t>
        </is>
      </c>
      <c r="D2369" t="inlineStr">
        <is>
          <t>Primer Cachos</t>
        </is>
      </c>
      <c r="E2369" t="n">
        <v>1</v>
      </c>
      <c r="F2369" t="inlineStr">
        <is>
          <t>2026-01-26</t>
        </is>
      </c>
      <c r="G2369" t="n">
        <v>159</v>
      </c>
      <c r="H2369" t="inlineStr">
        <is>
          <t>Y</t>
        </is>
      </c>
      <c r="I2369">
        <f>HYPERLINK("https://admin.shopify.com/store/ge-beauty-cosmeticos/customers/10086420119872","abrir")</f>
        <v/>
      </c>
      <c r="J2369">
        <f>HYPERLINK("https://www.gebeauty.com.br/products/primer-cachos-definidos?ref=review","review")</f>
        <v/>
      </c>
      <c r="K2369" t="inlineStr">
        <is>
          <t>SEND</t>
        </is>
      </c>
    </row>
    <row r="2370">
      <c r="A2370" t="inlineStr">
        <is>
          <t>Raphaella</t>
        </is>
      </c>
      <c r="B2370" t="inlineStr">
        <is>
          <t>+5522988448455</t>
        </is>
      </c>
      <c r="C2370" t="inlineStr">
        <is>
          <t>Refill</t>
        </is>
      </c>
      <c r="D2370" t="inlineStr">
        <is>
          <t>Primer Cachos</t>
        </is>
      </c>
      <c r="E2370" t="n">
        <v>1</v>
      </c>
      <c r="F2370" t="inlineStr">
        <is>
          <t>2026-01-26</t>
        </is>
      </c>
      <c r="G2370" t="n">
        <v>159</v>
      </c>
      <c r="H2370" t="inlineStr">
        <is>
          <t>Y</t>
        </is>
      </c>
      <c r="I2370">
        <f>HYPERLINK("https://admin.shopify.com/store/ge-beauty-cosmeticos/customers/10086428606784","abrir")</f>
        <v/>
      </c>
      <c r="J2370">
        <f>HYPERLINK("https://www.gebeauty.com.br/products/primer-cachos-definidos?ref=review","review")</f>
        <v/>
      </c>
      <c r="K2370" t="inlineStr">
        <is>
          <t>SEND</t>
        </is>
      </c>
    </row>
    <row r="2371">
      <c r="A2371" t="inlineStr">
        <is>
          <t>Andréia</t>
        </is>
      </c>
      <c r="B2371" t="inlineStr">
        <is>
          <t>+5521983424895</t>
        </is>
      </c>
      <c r="C2371" t="inlineStr">
        <is>
          <t>Refill</t>
        </is>
      </c>
      <c r="D2371" t="inlineStr">
        <is>
          <t>Primer Cachos</t>
        </is>
      </c>
      <c r="E2371" t="n">
        <v>1</v>
      </c>
      <c r="F2371" t="inlineStr">
        <is>
          <t>2026-01-26</t>
        </is>
      </c>
      <c r="G2371" t="n">
        <v>159</v>
      </c>
      <c r="H2371" t="inlineStr">
        <is>
          <t>Y</t>
        </is>
      </c>
      <c r="I2371">
        <f>HYPERLINK("https://admin.shopify.com/store/ge-beauty-cosmeticos/customers/10086433358144","abrir")</f>
        <v/>
      </c>
      <c r="J2371">
        <f>HYPERLINK("https://www.gebeauty.com.br/products/primer-cachos-definidos?ref=review","review")</f>
        <v/>
      </c>
      <c r="K2371" t="inlineStr">
        <is>
          <t>SEND</t>
        </is>
      </c>
    </row>
    <row r="2372">
      <c r="A2372" t="inlineStr">
        <is>
          <t>Giane</t>
        </is>
      </c>
      <c r="B2372" t="inlineStr">
        <is>
          <t>+5511964518780</t>
        </is>
      </c>
      <c r="C2372" t="inlineStr">
        <is>
          <t>Refill</t>
        </is>
      </c>
      <c r="D2372" t="inlineStr">
        <is>
          <t>Primer Cachos</t>
        </is>
      </c>
      <c r="E2372" t="n">
        <v>1</v>
      </c>
      <c r="F2372" t="inlineStr">
        <is>
          <t>2026-01-26</t>
        </is>
      </c>
      <c r="G2372" t="n">
        <v>159</v>
      </c>
      <c r="H2372" t="inlineStr">
        <is>
          <t>Y</t>
        </is>
      </c>
      <c r="I2372">
        <f>HYPERLINK("https://admin.shopify.com/store/ge-beauty-cosmeticos/customers/9486199914816","abrir")</f>
        <v/>
      </c>
      <c r="J2372">
        <f>HYPERLINK("https://www.gebeauty.com.br/products/primer-cachos-definidos?ref=review","review")</f>
        <v/>
      </c>
      <c r="K2372" t="inlineStr">
        <is>
          <t>SEND</t>
        </is>
      </c>
    </row>
    <row r="2373">
      <c r="A2373" t="inlineStr">
        <is>
          <t>Manoela</t>
        </is>
      </c>
      <c r="B2373" t="inlineStr">
        <is>
          <t>+5511991191724</t>
        </is>
      </c>
      <c r="C2373" t="inlineStr">
        <is>
          <t>Refill</t>
        </is>
      </c>
      <c r="D2373" t="inlineStr">
        <is>
          <t>Primer Cachos</t>
        </is>
      </c>
      <c r="E2373" t="n">
        <v>1</v>
      </c>
      <c r="F2373" t="inlineStr">
        <is>
          <t>2026-01-26</t>
        </is>
      </c>
      <c r="G2373" t="n">
        <v>159</v>
      </c>
      <c r="H2373" t="inlineStr">
        <is>
          <t>Y</t>
        </is>
      </c>
      <c r="I2373">
        <f>HYPERLINK("https://admin.shopify.com/store/ge-beauty-cosmeticos/customers/10074594705728","abrir")</f>
        <v/>
      </c>
      <c r="J2373">
        <f>HYPERLINK("https://www.gebeauty.com.br/products/primer-cachos-definidos?ref=review","review")</f>
        <v/>
      </c>
      <c r="K2373" t="inlineStr">
        <is>
          <t>SEND</t>
        </is>
      </c>
    </row>
    <row r="2374">
      <c r="A2374" t="inlineStr">
        <is>
          <t>Shalimar</t>
        </is>
      </c>
      <c r="B2374" t="inlineStr">
        <is>
          <t>+5551999980911</t>
        </is>
      </c>
      <c r="C2374" t="inlineStr">
        <is>
          <t>Refill</t>
        </is>
      </c>
      <c r="D2374" t="inlineStr">
        <is>
          <t>Primer Cachos</t>
        </is>
      </c>
      <c r="E2374" t="n">
        <v>1</v>
      </c>
      <c r="F2374" t="inlineStr">
        <is>
          <t>2026-01-26</t>
        </is>
      </c>
      <c r="G2374" t="n">
        <v>159</v>
      </c>
      <c r="H2374" t="inlineStr">
        <is>
          <t>Y</t>
        </is>
      </c>
      <c r="I2374">
        <f>HYPERLINK("https://admin.shopify.com/store/ge-beauty-cosmeticos/customers/10086595952960","abrir")</f>
        <v/>
      </c>
      <c r="J2374">
        <f>HYPERLINK("https://www.gebeauty.com.br/products/primer-cachos-definidos?ref=review","review")</f>
        <v/>
      </c>
      <c r="K2374" t="inlineStr">
        <is>
          <t>SEND</t>
        </is>
      </c>
    </row>
    <row r="2375">
      <c r="A2375" t="inlineStr">
        <is>
          <t>Thaissa</t>
        </is>
      </c>
      <c r="B2375" t="inlineStr">
        <is>
          <t>+5521986783507</t>
        </is>
      </c>
      <c r="C2375" t="inlineStr">
        <is>
          <t>Refill</t>
        </is>
      </c>
      <c r="D2375" t="inlineStr">
        <is>
          <t>Primer Cachos</t>
        </is>
      </c>
      <c r="E2375" t="n">
        <v>1</v>
      </c>
      <c r="F2375" t="inlineStr">
        <is>
          <t>2026-01-26</t>
        </is>
      </c>
      <c r="G2375" t="n">
        <v>159</v>
      </c>
      <c r="H2375" t="inlineStr">
        <is>
          <t>Y</t>
        </is>
      </c>
      <c r="I2375">
        <f>HYPERLINK("https://admin.shopify.com/store/ge-beauty-cosmeticos/customers/9486037778752","abrir")</f>
        <v/>
      </c>
      <c r="J2375">
        <f>HYPERLINK("https://www.gebeauty.com.br/products/primer-cachos-definidos?ref=review","review")</f>
        <v/>
      </c>
      <c r="K2375" t="inlineStr">
        <is>
          <t>SEND</t>
        </is>
      </c>
    </row>
    <row r="2376">
      <c r="A2376" t="inlineStr">
        <is>
          <t>Maheli</t>
        </is>
      </c>
      <c r="B2376" t="inlineStr">
        <is>
          <t>+5521981164064</t>
        </is>
      </c>
      <c r="C2376" t="inlineStr">
        <is>
          <t>Refill</t>
        </is>
      </c>
      <c r="D2376" t="inlineStr">
        <is>
          <t>Primer Cachos</t>
        </is>
      </c>
      <c r="E2376" t="n">
        <v>1</v>
      </c>
      <c r="F2376" t="inlineStr">
        <is>
          <t>2026-01-26</t>
        </is>
      </c>
      <c r="G2376" t="n">
        <v>159</v>
      </c>
      <c r="H2376" t="inlineStr">
        <is>
          <t>Y</t>
        </is>
      </c>
      <c r="I2376">
        <f>HYPERLINK("https://admin.shopify.com/store/ge-beauty-cosmeticos/customers/10086607880512","abrir")</f>
        <v/>
      </c>
      <c r="J2376">
        <f>HYPERLINK("https://www.gebeauty.com.br/products/primer-cachos-definidos?ref=review","review")</f>
        <v/>
      </c>
      <c r="K2376" t="inlineStr">
        <is>
          <t>SEND</t>
        </is>
      </c>
    </row>
    <row r="2377">
      <c r="A2377" t="inlineStr">
        <is>
          <t>Valéria</t>
        </is>
      </c>
      <c r="B2377" t="inlineStr">
        <is>
          <t>+5541996812547</t>
        </is>
      </c>
      <c r="C2377" t="inlineStr">
        <is>
          <t>Refill</t>
        </is>
      </c>
      <c r="D2377" t="inlineStr">
        <is>
          <t>Primer Cachos</t>
        </is>
      </c>
      <c r="E2377" t="n">
        <v>1</v>
      </c>
      <c r="F2377" t="inlineStr">
        <is>
          <t>2026-01-26</t>
        </is>
      </c>
      <c r="G2377" t="n">
        <v>159</v>
      </c>
      <c r="H2377" t="inlineStr">
        <is>
          <t>Y</t>
        </is>
      </c>
      <c r="I2377">
        <f>HYPERLINK("https://admin.shopify.com/store/ge-beauty-cosmeticos/customers/10086576947520","abrir")</f>
        <v/>
      </c>
      <c r="J2377">
        <f>HYPERLINK("https://www.gebeauty.com.br/products/primer-cachos-definidos?ref=review","review")</f>
        <v/>
      </c>
      <c r="K2377" t="inlineStr">
        <is>
          <t>SEND</t>
        </is>
      </c>
    </row>
    <row r="2378">
      <c r="A2378" t="inlineStr">
        <is>
          <t>Giovanna</t>
        </is>
      </c>
      <c r="B2378" t="inlineStr">
        <is>
          <t>+5511997821585</t>
        </is>
      </c>
      <c r="C2378" t="inlineStr">
        <is>
          <t>Refill</t>
        </is>
      </c>
      <c r="D2378" t="inlineStr">
        <is>
          <t>Primer Cachos</t>
        </is>
      </c>
      <c r="E2378" t="n">
        <v>1</v>
      </c>
      <c r="F2378" t="inlineStr">
        <is>
          <t>2026-01-26</t>
        </is>
      </c>
      <c r="G2378" t="n">
        <v>159</v>
      </c>
      <c r="H2378" t="inlineStr">
        <is>
          <t>Y</t>
        </is>
      </c>
      <c r="I2378">
        <f>HYPERLINK("https://admin.shopify.com/store/ge-beauty-cosmeticos/customers/9485845037376","abrir")</f>
        <v/>
      </c>
      <c r="J2378">
        <f>HYPERLINK("https://www.gebeauty.com.br/products/primer-cachos-definidos?ref=review","review")</f>
        <v/>
      </c>
      <c r="K2378" t="inlineStr">
        <is>
          <t>SEND</t>
        </is>
      </c>
    </row>
    <row r="2379">
      <c r="A2379" t="inlineStr">
        <is>
          <t>Raissa</t>
        </is>
      </c>
      <c r="B2379" t="inlineStr">
        <is>
          <t>+5581999973626</t>
        </is>
      </c>
      <c r="C2379" t="inlineStr">
        <is>
          <t>Refill</t>
        </is>
      </c>
      <c r="D2379" t="inlineStr">
        <is>
          <t>Primer Cachos</t>
        </is>
      </c>
      <c r="E2379" t="n">
        <v>1</v>
      </c>
      <c r="F2379" t="inlineStr">
        <is>
          <t>2026-01-26</t>
        </is>
      </c>
      <c r="G2379" t="n">
        <v>159</v>
      </c>
      <c r="H2379" t="inlineStr">
        <is>
          <t>Y</t>
        </is>
      </c>
      <c r="I2379">
        <f>HYPERLINK("https://admin.shopify.com/store/ge-beauty-cosmeticos/customers/10086712049984","abrir")</f>
        <v/>
      </c>
      <c r="J2379">
        <f>HYPERLINK("https://www.gebeauty.com.br/products/primer-cachos-definidos?ref=review","review")</f>
        <v/>
      </c>
      <c r="K2379" t="inlineStr">
        <is>
          <t>SEND</t>
        </is>
      </c>
    </row>
    <row r="2380">
      <c r="A2380" t="inlineStr">
        <is>
          <t>Andresa</t>
        </is>
      </c>
      <c r="B2380" t="inlineStr">
        <is>
          <t>+5521997661838</t>
        </is>
      </c>
      <c r="C2380" t="inlineStr">
        <is>
          <t>Refill</t>
        </is>
      </c>
      <c r="D2380" t="inlineStr">
        <is>
          <t>Primer Cachos</t>
        </is>
      </c>
      <c r="E2380" t="n">
        <v>1</v>
      </c>
      <c r="F2380" t="inlineStr">
        <is>
          <t>2026-01-26</t>
        </is>
      </c>
      <c r="G2380" t="n">
        <v>159</v>
      </c>
      <c r="H2380" t="inlineStr">
        <is>
          <t>Y</t>
        </is>
      </c>
      <c r="I2380">
        <f>HYPERLINK("https://admin.shopify.com/store/ge-beauty-cosmeticos/customers/10086744621376","abrir")</f>
        <v/>
      </c>
      <c r="J2380">
        <f>HYPERLINK("https://www.gebeauty.com.br/products/primer-cachos-definidos?ref=review","review")</f>
        <v/>
      </c>
      <c r="K2380" t="inlineStr">
        <is>
          <t>SEND</t>
        </is>
      </c>
    </row>
    <row r="2381">
      <c r="A2381" t="inlineStr">
        <is>
          <t>Luiza</t>
        </is>
      </c>
      <c r="B2381" t="inlineStr">
        <is>
          <t>+5521991767779</t>
        </is>
      </c>
      <c r="C2381" t="inlineStr">
        <is>
          <t>Refill</t>
        </is>
      </c>
      <c r="D2381" t="inlineStr">
        <is>
          <t>Primer Cachos</t>
        </is>
      </c>
      <c r="E2381" t="n">
        <v>1</v>
      </c>
      <c r="F2381" t="inlineStr">
        <is>
          <t>2026-01-26</t>
        </is>
      </c>
      <c r="G2381" t="n">
        <v>159</v>
      </c>
      <c r="H2381" t="inlineStr">
        <is>
          <t>Y</t>
        </is>
      </c>
      <c r="I2381">
        <f>HYPERLINK("https://admin.shopify.com/store/ge-beauty-cosmeticos/customers/10086788268352","abrir")</f>
        <v/>
      </c>
      <c r="J2381">
        <f>HYPERLINK("https://www.gebeauty.com.br/products/primer-cachos-definidos?ref=review","review")</f>
        <v/>
      </c>
      <c r="K2381" t="inlineStr">
        <is>
          <t>SEND</t>
        </is>
      </c>
    </row>
    <row r="2382">
      <c r="A2382" t="inlineStr">
        <is>
          <t>Luiza</t>
        </is>
      </c>
      <c r="B2382" t="inlineStr">
        <is>
          <t>+5535991547587</t>
        </is>
      </c>
      <c r="C2382" t="inlineStr">
        <is>
          <t>Refill</t>
        </is>
      </c>
      <c r="D2382" t="inlineStr">
        <is>
          <t>Primer Cachos</t>
        </is>
      </c>
      <c r="E2382" t="n">
        <v>1</v>
      </c>
      <c r="F2382" t="inlineStr">
        <is>
          <t>2026-01-26</t>
        </is>
      </c>
      <c r="G2382" t="n">
        <v>159</v>
      </c>
      <c r="H2382" t="inlineStr">
        <is>
          <t>Y</t>
        </is>
      </c>
      <c r="I2382">
        <f>HYPERLINK("https://admin.shopify.com/store/ge-beauty-cosmeticos/customers/10086254117184","abrir")</f>
        <v/>
      </c>
      <c r="J2382">
        <f>HYPERLINK("https://www.gebeauty.com.br/products/primer-cachos-definidos?ref=review","review")</f>
        <v/>
      </c>
      <c r="K2382" t="inlineStr">
        <is>
          <t>SEND</t>
        </is>
      </c>
    </row>
    <row r="2383">
      <c r="A2383" t="inlineStr">
        <is>
          <t>Cristiane</t>
        </is>
      </c>
      <c r="B2383" t="inlineStr">
        <is>
          <t>+5519992288801</t>
        </is>
      </c>
      <c r="C2383" t="inlineStr">
        <is>
          <t>Refill</t>
        </is>
      </c>
      <c r="D2383" t="inlineStr">
        <is>
          <t>Primer Cachos</t>
        </is>
      </c>
      <c r="E2383" t="n">
        <v>1</v>
      </c>
      <c r="F2383" t="inlineStr">
        <is>
          <t>2026-01-26</t>
        </is>
      </c>
      <c r="G2383" t="n">
        <v>159</v>
      </c>
      <c r="H2383" t="inlineStr">
        <is>
          <t>Y</t>
        </is>
      </c>
      <c r="I2383">
        <f>HYPERLINK("https://admin.shopify.com/store/ge-beauty-cosmeticos/customers/10086804783424","abrir")</f>
        <v/>
      </c>
      <c r="J2383">
        <f>HYPERLINK("https://www.gebeauty.com.br/products/primer-cachos-definidos?ref=review","review")</f>
        <v/>
      </c>
      <c r="K2383" t="inlineStr">
        <is>
          <t>SEND</t>
        </is>
      </c>
    </row>
    <row r="2384">
      <c r="A2384" t="inlineStr">
        <is>
          <t>Dayana</t>
        </is>
      </c>
      <c r="B2384" t="inlineStr">
        <is>
          <t>+5534999926326</t>
        </is>
      </c>
      <c r="C2384" t="inlineStr">
        <is>
          <t>Refill</t>
        </is>
      </c>
      <c r="D2384" t="inlineStr">
        <is>
          <t>Primer Cachos</t>
        </is>
      </c>
      <c r="E2384" t="n">
        <v>1</v>
      </c>
      <c r="F2384" t="inlineStr">
        <is>
          <t>2026-01-26</t>
        </is>
      </c>
      <c r="G2384" t="n">
        <v>159</v>
      </c>
      <c r="H2384" t="inlineStr">
        <is>
          <t>Y</t>
        </is>
      </c>
      <c r="I2384">
        <f>HYPERLINK("https://admin.shopify.com/store/ge-beauty-cosmeticos/customers/10086877790528","abrir")</f>
        <v/>
      </c>
      <c r="J2384">
        <f>HYPERLINK("https://www.gebeauty.com.br/products/primer-cachos-definidos?ref=review","review")</f>
        <v/>
      </c>
      <c r="K2384" t="inlineStr">
        <is>
          <t>SEND</t>
        </is>
      </c>
    </row>
    <row r="2385">
      <c r="A2385" t="inlineStr">
        <is>
          <t>Angela</t>
        </is>
      </c>
      <c r="B2385" t="inlineStr">
        <is>
          <t>+5565981016632</t>
        </is>
      </c>
      <c r="C2385" t="inlineStr">
        <is>
          <t>Refill</t>
        </is>
      </c>
      <c r="D2385" t="inlineStr">
        <is>
          <t>Primer Cachos</t>
        </is>
      </c>
      <c r="E2385" t="n">
        <v>1</v>
      </c>
      <c r="F2385" t="inlineStr">
        <is>
          <t>2026-01-26</t>
        </is>
      </c>
      <c r="G2385" t="n">
        <v>159</v>
      </c>
      <c r="H2385" t="inlineStr">
        <is>
          <t>Y</t>
        </is>
      </c>
      <c r="I2385">
        <f>HYPERLINK("https://admin.shopify.com/store/ge-beauty-cosmeticos/customers/10086886342976","abrir")</f>
        <v/>
      </c>
      <c r="J2385">
        <f>HYPERLINK("https://www.gebeauty.com.br/products/primer-cachos-definidos?ref=review","review")</f>
        <v/>
      </c>
      <c r="K2385" t="inlineStr">
        <is>
          <t>SEND</t>
        </is>
      </c>
    </row>
    <row r="2386">
      <c r="A2386" t="inlineStr">
        <is>
          <t>Vivyanne</t>
        </is>
      </c>
      <c r="B2386" t="inlineStr">
        <is>
          <t>+5585986825040</t>
        </is>
      </c>
      <c r="C2386" t="inlineStr">
        <is>
          <t>Refill</t>
        </is>
      </c>
      <c r="D2386" t="inlineStr">
        <is>
          <t>Primer Cachos</t>
        </is>
      </c>
      <c r="E2386" t="n">
        <v>1</v>
      </c>
      <c r="F2386" t="inlineStr">
        <is>
          <t>2026-01-26</t>
        </is>
      </c>
      <c r="G2386" t="n">
        <v>159</v>
      </c>
      <c r="H2386" t="inlineStr">
        <is>
          <t>Y</t>
        </is>
      </c>
      <c r="I2386">
        <f>HYPERLINK("https://admin.shopify.com/store/ge-beauty-cosmeticos/customers/10086955745600","abrir")</f>
        <v/>
      </c>
      <c r="J2386">
        <f>HYPERLINK("https://www.gebeauty.com.br/products/primer-cachos-definidos?ref=review","review")</f>
        <v/>
      </c>
      <c r="K2386" t="inlineStr">
        <is>
          <t>SEND</t>
        </is>
      </c>
    </row>
    <row r="2387">
      <c r="A2387" t="inlineStr">
        <is>
          <t>Gisele</t>
        </is>
      </c>
      <c r="B2387" t="inlineStr">
        <is>
          <t>+5521964363366</t>
        </is>
      </c>
      <c r="C2387" t="inlineStr">
        <is>
          <t>Refill</t>
        </is>
      </c>
      <c r="D2387" t="inlineStr">
        <is>
          <t>Primer Cachos</t>
        </is>
      </c>
      <c r="E2387" t="n">
        <v>1</v>
      </c>
      <c r="F2387" t="inlineStr">
        <is>
          <t>2026-01-26</t>
        </is>
      </c>
      <c r="G2387" t="n">
        <v>159</v>
      </c>
      <c r="H2387" t="inlineStr">
        <is>
          <t>Y</t>
        </is>
      </c>
      <c r="I2387">
        <f>HYPERLINK("https://admin.shopify.com/store/ge-beauty-cosmeticos/customers/10086695502144","abrir")</f>
        <v/>
      </c>
      <c r="J2387">
        <f>HYPERLINK("https://www.gebeauty.com.br/products/primer-cachos-definidos?ref=review","review")</f>
        <v/>
      </c>
      <c r="K2387" t="inlineStr">
        <is>
          <t>SEND</t>
        </is>
      </c>
    </row>
    <row r="2388">
      <c r="A2388" t="inlineStr">
        <is>
          <t>Ana</t>
        </is>
      </c>
      <c r="B2388" t="inlineStr">
        <is>
          <t>+5581999770201</t>
        </is>
      </c>
      <c r="C2388" t="inlineStr">
        <is>
          <t>Refill</t>
        </is>
      </c>
      <c r="D2388" t="inlineStr">
        <is>
          <t>Primer Cachos</t>
        </is>
      </c>
      <c r="E2388" t="n">
        <v>1</v>
      </c>
      <c r="F2388" t="inlineStr">
        <is>
          <t>2026-01-26</t>
        </is>
      </c>
      <c r="G2388" t="n">
        <v>159</v>
      </c>
      <c r="H2388" t="inlineStr">
        <is>
          <t>Y</t>
        </is>
      </c>
      <c r="I2388">
        <f>HYPERLINK("https://admin.shopify.com/store/ge-beauty-cosmeticos/customers/10062764835136","abrir")</f>
        <v/>
      </c>
      <c r="J2388">
        <f>HYPERLINK("https://www.gebeauty.com.br/products/primer-cachos-definidos?ref=review","review")</f>
        <v/>
      </c>
      <c r="K2388" t="inlineStr">
        <is>
          <t>HOLDOUT</t>
        </is>
      </c>
    </row>
    <row r="2389">
      <c r="A2389" t="inlineStr">
        <is>
          <t>Maria</t>
        </is>
      </c>
      <c r="B2389" t="inlineStr">
        <is>
          <t>+5561981075091</t>
        </is>
      </c>
      <c r="C2389" t="inlineStr">
        <is>
          <t>Refill</t>
        </is>
      </c>
      <c r="D2389" t="inlineStr">
        <is>
          <t>Primer Cachos</t>
        </is>
      </c>
      <c r="E2389" t="n">
        <v>1</v>
      </c>
      <c r="F2389" t="inlineStr">
        <is>
          <t>2026-01-26</t>
        </is>
      </c>
      <c r="G2389" t="n">
        <v>159</v>
      </c>
      <c r="H2389" t="inlineStr">
        <is>
          <t>Y</t>
        </is>
      </c>
      <c r="I2389">
        <f>HYPERLINK("https://admin.shopify.com/store/ge-beauty-cosmeticos/customers/10087060209984","abrir")</f>
        <v/>
      </c>
      <c r="J2389">
        <f>HYPERLINK("https://www.gebeauty.com.br/products/primer-cachos-definidos?ref=review","review")</f>
        <v/>
      </c>
      <c r="K2389" t="inlineStr">
        <is>
          <t>SEND</t>
        </is>
      </c>
    </row>
    <row r="2390">
      <c r="A2390" t="inlineStr">
        <is>
          <t>Aline</t>
        </is>
      </c>
      <c r="B2390" t="inlineStr">
        <is>
          <t>+5562999772532</t>
        </is>
      </c>
      <c r="C2390" t="inlineStr">
        <is>
          <t>Refill</t>
        </is>
      </c>
      <c r="D2390" t="inlineStr">
        <is>
          <t>Primer Cachos</t>
        </is>
      </c>
      <c r="E2390" t="n">
        <v>1</v>
      </c>
      <c r="F2390" t="inlineStr">
        <is>
          <t>2026-01-26</t>
        </is>
      </c>
      <c r="G2390" t="n">
        <v>159</v>
      </c>
      <c r="H2390" t="inlineStr">
        <is>
          <t>Y</t>
        </is>
      </c>
      <c r="I2390">
        <f>HYPERLINK("https://admin.shopify.com/store/ge-beauty-cosmeticos/customers/10087065682240","abrir")</f>
        <v/>
      </c>
      <c r="J2390">
        <f>HYPERLINK("https://www.gebeauty.com.br/products/primer-cachos-definidos?ref=review","review")</f>
        <v/>
      </c>
      <c r="K2390" t="inlineStr">
        <is>
          <t>SEND</t>
        </is>
      </c>
    </row>
    <row r="2391">
      <c r="A2391" t="inlineStr">
        <is>
          <t>Flavia</t>
        </is>
      </c>
      <c r="B2391" t="inlineStr">
        <is>
          <t>+5541988434676</t>
        </is>
      </c>
      <c r="C2391" t="inlineStr">
        <is>
          <t>Refill</t>
        </is>
      </c>
      <c r="D2391" t="inlineStr">
        <is>
          <t>Primer Cachos</t>
        </is>
      </c>
      <c r="E2391" t="n">
        <v>1</v>
      </c>
      <c r="F2391" t="inlineStr">
        <is>
          <t>2026-01-26</t>
        </is>
      </c>
      <c r="G2391" t="n">
        <v>159</v>
      </c>
      <c r="H2391" t="inlineStr">
        <is>
          <t>Y</t>
        </is>
      </c>
      <c r="I2391">
        <f>HYPERLINK("https://admin.shopify.com/store/ge-beauty-cosmeticos/customers/10087128269120","abrir")</f>
        <v/>
      </c>
      <c r="J2391">
        <f>HYPERLINK("https://www.gebeauty.com.br/products/primer-cachos-definidos?ref=review","review")</f>
        <v/>
      </c>
      <c r="K2391" t="inlineStr">
        <is>
          <t>SEND</t>
        </is>
      </c>
    </row>
    <row r="2392">
      <c r="A2392" t="inlineStr">
        <is>
          <t>Monika</t>
        </is>
      </c>
      <c r="B2392" t="inlineStr">
        <is>
          <t>+5511971594536</t>
        </is>
      </c>
      <c r="C2392" t="inlineStr">
        <is>
          <t>Refill</t>
        </is>
      </c>
      <c r="D2392" t="inlineStr">
        <is>
          <t>Primer Cachos</t>
        </is>
      </c>
      <c r="E2392" t="n">
        <v>1</v>
      </c>
      <c r="F2392" t="inlineStr">
        <is>
          <t>2026-01-26</t>
        </is>
      </c>
      <c r="G2392" t="n">
        <v>159</v>
      </c>
      <c r="H2392" t="inlineStr">
        <is>
          <t>Y</t>
        </is>
      </c>
      <c r="I2392">
        <f>HYPERLINK("https://admin.shopify.com/store/ge-beauty-cosmeticos/customers/7761411866944","abrir")</f>
        <v/>
      </c>
      <c r="J2392">
        <f>HYPERLINK("https://www.gebeauty.com.br/products/primer-cachos-definidos?ref=review","review")</f>
        <v/>
      </c>
      <c r="K2392" t="inlineStr">
        <is>
          <t>SEND</t>
        </is>
      </c>
    </row>
    <row r="2393">
      <c r="A2393" t="inlineStr">
        <is>
          <t>Alessandra</t>
        </is>
      </c>
      <c r="B2393" t="inlineStr">
        <is>
          <t>+5521999021064</t>
        </is>
      </c>
      <c r="C2393" t="inlineStr">
        <is>
          <t>Refill</t>
        </is>
      </c>
      <c r="D2393" t="inlineStr">
        <is>
          <t>Primer Cachos</t>
        </is>
      </c>
      <c r="E2393" t="n">
        <v>1</v>
      </c>
      <c r="F2393" t="inlineStr">
        <is>
          <t>2026-01-26</t>
        </is>
      </c>
      <c r="G2393" t="n">
        <v>159</v>
      </c>
      <c r="H2393" t="inlineStr">
        <is>
          <t>Y</t>
        </is>
      </c>
      <c r="I2393">
        <f>HYPERLINK("https://admin.shopify.com/store/ge-beauty-cosmeticos/customers/10074401702208","abrir")</f>
        <v/>
      </c>
      <c r="J2393">
        <f>HYPERLINK("https://www.gebeauty.com.br/products/primer-cachos-definidos?ref=review","review")</f>
        <v/>
      </c>
      <c r="K2393" t="inlineStr">
        <is>
          <t>SEND</t>
        </is>
      </c>
    </row>
    <row r="2394">
      <c r="A2394" t="inlineStr">
        <is>
          <t>Sheila</t>
        </is>
      </c>
      <c r="B2394" t="inlineStr">
        <is>
          <t>+5585996465652</t>
        </is>
      </c>
      <c r="C2394" t="inlineStr">
        <is>
          <t>Refill</t>
        </is>
      </c>
      <c r="D2394" t="inlineStr">
        <is>
          <t>Primer Cachos</t>
        </is>
      </c>
      <c r="E2394" t="n">
        <v>1</v>
      </c>
      <c r="F2394" t="inlineStr">
        <is>
          <t>2026-01-26</t>
        </is>
      </c>
      <c r="G2394" t="n">
        <v>159</v>
      </c>
      <c r="H2394" t="inlineStr">
        <is>
          <t>Y</t>
        </is>
      </c>
      <c r="I2394">
        <f>HYPERLINK("https://admin.shopify.com/store/ge-beauty-cosmeticos/customers/10087347126592","abrir")</f>
        <v/>
      </c>
      <c r="J2394">
        <f>HYPERLINK("https://www.gebeauty.com.br/products/primer-cachos-definidos?ref=review","review")</f>
        <v/>
      </c>
      <c r="K2394" t="inlineStr">
        <is>
          <t>SEND</t>
        </is>
      </c>
    </row>
    <row r="2395">
      <c r="A2395" t="inlineStr">
        <is>
          <t>Adriana Beatriz</t>
        </is>
      </c>
      <c r="B2395" t="inlineStr">
        <is>
          <t>+5545999643776</t>
        </is>
      </c>
      <c r="C2395" t="inlineStr">
        <is>
          <t>Refill</t>
        </is>
      </c>
      <c r="D2395" t="inlineStr">
        <is>
          <t>Primer Cachos</t>
        </is>
      </c>
      <c r="E2395" t="n">
        <v>1</v>
      </c>
      <c r="F2395" t="inlineStr">
        <is>
          <t>2026-01-27</t>
        </is>
      </c>
      <c r="G2395" t="n">
        <v>158</v>
      </c>
      <c r="H2395" t="inlineStr">
        <is>
          <t>Y</t>
        </is>
      </c>
      <c r="I2395">
        <f>HYPERLINK("https://admin.shopify.com/store/ge-beauty-cosmeticos/customers/10087425409344","abrir")</f>
        <v/>
      </c>
      <c r="J2395">
        <f>HYPERLINK("https://www.gebeauty.com.br/products/primer-cachos-definidos?ref=review","review")</f>
        <v/>
      </c>
      <c r="K2395" t="inlineStr">
        <is>
          <t>SEND</t>
        </is>
      </c>
    </row>
    <row r="2396">
      <c r="A2396" t="inlineStr">
        <is>
          <t>Jenifer</t>
        </is>
      </c>
      <c r="B2396" t="inlineStr">
        <is>
          <t>+5516991060593</t>
        </is>
      </c>
      <c r="C2396" t="inlineStr">
        <is>
          <t>Refill</t>
        </is>
      </c>
      <c r="D2396" t="inlineStr">
        <is>
          <t>Primer Cachos</t>
        </is>
      </c>
      <c r="E2396" t="n">
        <v>1</v>
      </c>
      <c r="F2396" t="inlineStr">
        <is>
          <t>2026-01-27</t>
        </is>
      </c>
      <c r="G2396" t="n">
        <v>158</v>
      </c>
      <c r="H2396" t="inlineStr">
        <is>
          <t>Y</t>
        </is>
      </c>
      <c r="I2396">
        <f>HYPERLINK("https://admin.shopify.com/store/ge-beauty-cosmeticos/customers/10087461192000","abrir")</f>
        <v/>
      </c>
      <c r="J2396">
        <f>HYPERLINK("https://www.gebeauty.com.br/products/primer-cachos-definidos?ref=review","review")</f>
        <v/>
      </c>
      <c r="K2396" t="inlineStr">
        <is>
          <t>SEND</t>
        </is>
      </c>
    </row>
    <row r="2397">
      <c r="A2397" t="inlineStr">
        <is>
          <t>Ana</t>
        </is>
      </c>
      <c r="B2397" t="inlineStr">
        <is>
          <t>+5521982599980</t>
        </is>
      </c>
      <c r="C2397" t="inlineStr">
        <is>
          <t>Refill</t>
        </is>
      </c>
      <c r="D2397" t="inlineStr">
        <is>
          <t>Primer Cachos</t>
        </is>
      </c>
      <c r="E2397" t="n">
        <v>1</v>
      </c>
      <c r="F2397" t="inlineStr">
        <is>
          <t>2026-01-27</t>
        </is>
      </c>
      <c r="G2397" t="n">
        <v>158</v>
      </c>
      <c r="H2397" t="inlineStr">
        <is>
          <t>Y</t>
        </is>
      </c>
      <c r="I2397">
        <f>HYPERLINK("https://admin.shopify.com/store/ge-beauty-cosmeticos/customers/10087461224768","abrir")</f>
        <v/>
      </c>
      <c r="J2397">
        <f>HYPERLINK("https://www.gebeauty.com.br/products/primer-cachos-definidos?ref=review","review")</f>
        <v/>
      </c>
      <c r="K2397" t="inlineStr">
        <is>
          <t>SEND</t>
        </is>
      </c>
    </row>
    <row r="2398">
      <c r="A2398" t="inlineStr">
        <is>
          <t>Alyne</t>
        </is>
      </c>
      <c r="B2398" t="inlineStr">
        <is>
          <t>+5527999796527</t>
        </is>
      </c>
      <c r="C2398" t="inlineStr">
        <is>
          <t>Refill</t>
        </is>
      </c>
      <c r="D2398" t="inlineStr">
        <is>
          <t>Primer Cachos</t>
        </is>
      </c>
      <c r="E2398" t="n">
        <v>1</v>
      </c>
      <c r="F2398" t="inlineStr">
        <is>
          <t>2026-01-27</t>
        </is>
      </c>
      <c r="G2398" t="n">
        <v>158</v>
      </c>
      <c r="H2398" t="inlineStr">
        <is>
          <t>Y</t>
        </is>
      </c>
      <c r="I2398">
        <f>HYPERLINK("https://admin.shopify.com/store/ge-beauty-cosmeticos/customers/7760355819840","abrir")</f>
        <v/>
      </c>
      <c r="J2398">
        <f>HYPERLINK("https://www.gebeauty.com.br/products/primer-cachos-definidos?ref=review","review")</f>
        <v/>
      </c>
      <c r="K2398" t="inlineStr">
        <is>
          <t>SEND</t>
        </is>
      </c>
    </row>
    <row r="2399">
      <c r="A2399" t="inlineStr">
        <is>
          <t>Patrícia</t>
        </is>
      </c>
      <c r="B2399" t="inlineStr">
        <is>
          <t>+5551989247001</t>
        </is>
      </c>
      <c r="C2399" t="inlineStr">
        <is>
          <t>Refill</t>
        </is>
      </c>
      <c r="D2399" t="inlineStr">
        <is>
          <t>Primer Cachos</t>
        </is>
      </c>
      <c r="E2399" t="n">
        <v>1</v>
      </c>
      <c r="F2399" t="inlineStr">
        <is>
          <t>2026-01-27</t>
        </is>
      </c>
      <c r="G2399" t="n">
        <v>158</v>
      </c>
      <c r="H2399" t="inlineStr">
        <is>
          <t>Y</t>
        </is>
      </c>
      <c r="I2399">
        <f>HYPERLINK("https://admin.shopify.com/store/ge-beauty-cosmeticos/customers/10087480426816","abrir")</f>
        <v/>
      </c>
      <c r="J2399">
        <f>HYPERLINK("https://www.gebeauty.com.br/products/primer-cachos-definidos?ref=review","review")</f>
        <v/>
      </c>
      <c r="K2399" t="inlineStr">
        <is>
          <t>SEND</t>
        </is>
      </c>
    </row>
    <row r="2400">
      <c r="A2400" t="inlineStr">
        <is>
          <t>Lilian</t>
        </is>
      </c>
      <c r="B2400" t="inlineStr">
        <is>
          <t>+5511999648509</t>
        </is>
      </c>
      <c r="C2400" t="inlineStr">
        <is>
          <t>Refill</t>
        </is>
      </c>
      <c r="D2400" t="inlineStr">
        <is>
          <t>Primer Cachos</t>
        </is>
      </c>
      <c r="E2400" t="n">
        <v>1</v>
      </c>
      <c r="F2400" t="inlineStr">
        <is>
          <t>2026-01-27</t>
        </is>
      </c>
      <c r="G2400" t="n">
        <v>158</v>
      </c>
      <c r="H2400" t="inlineStr">
        <is>
          <t>Y</t>
        </is>
      </c>
      <c r="I2400">
        <f>HYPERLINK("https://admin.shopify.com/store/ge-beauty-cosmeticos/customers/10074579206464","abrir")</f>
        <v/>
      </c>
      <c r="J2400">
        <f>HYPERLINK("https://www.gebeauty.com.br/products/primer-cachos-definidos?ref=review","review")</f>
        <v/>
      </c>
      <c r="K2400" t="inlineStr">
        <is>
          <t>SEND</t>
        </is>
      </c>
    </row>
    <row r="2401">
      <c r="A2401" t="inlineStr">
        <is>
          <t>Sueli</t>
        </is>
      </c>
      <c r="B2401" t="inlineStr">
        <is>
          <t>+5511940753234</t>
        </is>
      </c>
      <c r="C2401" t="inlineStr">
        <is>
          <t>Refill</t>
        </is>
      </c>
      <c r="D2401" t="inlineStr">
        <is>
          <t>Primer Cachos</t>
        </is>
      </c>
      <c r="E2401" t="n">
        <v>1</v>
      </c>
      <c r="F2401" t="inlineStr">
        <is>
          <t>2026-01-27</t>
        </is>
      </c>
      <c r="G2401" t="n">
        <v>158</v>
      </c>
      <c r="H2401" t="inlineStr">
        <is>
          <t>Y</t>
        </is>
      </c>
      <c r="I2401">
        <f>HYPERLINK("https://admin.shopify.com/store/ge-beauty-cosmeticos/customers/10087602258240","abrir")</f>
        <v/>
      </c>
      <c r="J2401">
        <f>HYPERLINK("https://www.gebeauty.com.br/products/primer-cachos-definidos?ref=review","review")</f>
        <v/>
      </c>
      <c r="K2401" t="inlineStr">
        <is>
          <t>SEND</t>
        </is>
      </c>
    </row>
    <row r="2402">
      <c r="A2402" t="inlineStr">
        <is>
          <t>Silvia</t>
        </is>
      </c>
      <c r="B2402" t="inlineStr">
        <is>
          <t>+5511950681336</t>
        </is>
      </c>
      <c r="C2402" t="inlineStr">
        <is>
          <t>Refill</t>
        </is>
      </c>
      <c r="D2402" t="inlineStr">
        <is>
          <t>Primer Cachos</t>
        </is>
      </c>
      <c r="E2402" t="n">
        <v>1</v>
      </c>
      <c r="F2402" t="inlineStr">
        <is>
          <t>2026-01-27</t>
        </is>
      </c>
      <c r="G2402" t="n">
        <v>158</v>
      </c>
      <c r="H2402" t="inlineStr">
        <is>
          <t>Y</t>
        </is>
      </c>
      <c r="I2402">
        <f>HYPERLINK("https://admin.shopify.com/store/ge-beauty-cosmeticos/customers/10087630930240","abrir")</f>
        <v/>
      </c>
      <c r="J2402">
        <f>HYPERLINK("https://www.gebeauty.com.br/products/primer-cachos-definidos?ref=review","review")</f>
        <v/>
      </c>
      <c r="K2402" t="inlineStr">
        <is>
          <t>SEND</t>
        </is>
      </c>
    </row>
    <row r="2403">
      <c r="A2403" t="inlineStr">
        <is>
          <t>Ludmila</t>
        </is>
      </c>
      <c r="B2403" t="inlineStr">
        <is>
          <t>+5531997623312</t>
        </is>
      </c>
      <c r="C2403" t="inlineStr">
        <is>
          <t>Refill</t>
        </is>
      </c>
      <c r="D2403" t="inlineStr">
        <is>
          <t>Primer Cachos</t>
        </is>
      </c>
      <c r="E2403" t="n">
        <v>1</v>
      </c>
      <c r="F2403" t="inlineStr">
        <is>
          <t>2026-01-27</t>
        </is>
      </c>
      <c r="G2403" t="n">
        <v>158</v>
      </c>
      <c r="H2403" t="inlineStr">
        <is>
          <t>Y</t>
        </is>
      </c>
      <c r="I2403">
        <f>HYPERLINK("https://admin.shopify.com/store/ge-beauty-cosmeticos/customers/10075116077376","abrir")</f>
        <v/>
      </c>
      <c r="J2403">
        <f>HYPERLINK("https://www.gebeauty.com.br/products/primer-cachos-definidos?ref=review","review")</f>
        <v/>
      </c>
      <c r="K2403" t="inlineStr">
        <is>
          <t>SEND</t>
        </is>
      </c>
    </row>
    <row r="2404">
      <c r="A2404" t="inlineStr">
        <is>
          <t>Elva</t>
        </is>
      </c>
      <c r="B2404" t="inlineStr">
        <is>
          <t>+5585999692020</t>
        </is>
      </c>
      <c r="C2404" t="inlineStr">
        <is>
          <t>Refill</t>
        </is>
      </c>
      <c r="D2404" t="inlineStr">
        <is>
          <t>Primer Cachos</t>
        </is>
      </c>
      <c r="E2404" t="n">
        <v>1</v>
      </c>
      <c r="F2404" t="inlineStr">
        <is>
          <t>2026-01-27</t>
        </is>
      </c>
      <c r="G2404" t="n">
        <v>158</v>
      </c>
      <c r="H2404" t="inlineStr">
        <is>
          <t>Y</t>
        </is>
      </c>
      <c r="I2404">
        <f>HYPERLINK("https://admin.shopify.com/store/ge-beauty-cosmeticos/customers/10087872233792","abrir")</f>
        <v/>
      </c>
      <c r="J2404">
        <f>HYPERLINK("https://www.gebeauty.com.br/products/primer-cachos-definidos?ref=review","review")</f>
        <v/>
      </c>
      <c r="K2404" t="inlineStr">
        <is>
          <t>SEND</t>
        </is>
      </c>
    </row>
    <row r="2405">
      <c r="A2405" t="inlineStr">
        <is>
          <t>Tamiris</t>
        </is>
      </c>
      <c r="B2405" t="inlineStr">
        <is>
          <t>+5511992003352</t>
        </is>
      </c>
      <c r="C2405" t="inlineStr">
        <is>
          <t>Refill</t>
        </is>
      </c>
      <c r="D2405" t="inlineStr">
        <is>
          <t>Primer Cachos</t>
        </is>
      </c>
      <c r="E2405" t="n">
        <v>1</v>
      </c>
      <c r="F2405" t="inlineStr">
        <is>
          <t>2026-01-27</t>
        </is>
      </c>
      <c r="G2405" t="n">
        <v>158</v>
      </c>
      <c r="H2405" t="inlineStr">
        <is>
          <t>Y</t>
        </is>
      </c>
      <c r="I2405">
        <f>HYPERLINK("https://admin.shopify.com/store/ge-beauty-cosmeticos/customers/10088117797184","abrir")</f>
        <v/>
      </c>
      <c r="J2405">
        <f>HYPERLINK("https://www.gebeauty.com.br/products/primer-cachos-definidos?ref=review","review")</f>
        <v/>
      </c>
      <c r="K2405" t="inlineStr">
        <is>
          <t>SEND</t>
        </is>
      </c>
    </row>
    <row r="2406">
      <c r="A2406" t="inlineStr">
        <is>
          <t>Jessica</t>
        </is>
      </c>
      <c r="B2406" t="inlineStr">
        <is>
          <t>+5583981912432</t>
        </is>
      </c>
      <c r="C2406" t="inlineStr">
        <is>
          <t>Refill</t>
        </is>
      </c>
      <c r="D2406" t="inlineStr">
        <is>
          <t>Primer Cachos</t>
        </is>
      </c>
      <c r="E2406" t="n">
        <v>1</v>
      </c>
      <c r="F2406" t="inlineStr">
        <is>
          <t>2026-01-27</t>
        </is>
      </c>
      <c r="G2406" t="n">
        <v>158</v>
      </c>
      <c r="H2406" t="inlineStr">
        <is>
          <t>Y</t>
        </is>
      </c>
      <c r="I2406">
        <f>HYPERLINK("https://admin.shopify.com/store/ge-beauty-cosmeticos/customers/10077592125760","abrir")</f>
        <v/>
      </c>
      <c r="J2406">
        <f>HYPERLINK("https://www.gebeauty.com.br/products/primer-cachos-definidos?ref=review","review")</f>
        <v/>
      </c>
      <c r="K2406" t="inlineStr">
        <is>
          <t>SEND</t>
        </is>
      </c>
    </row>
    <row r="2407">
      <c r="A2407" t="inlineStr">
        <is>
          <t>Carolina</t>
        </is>
      </c>
      <c r="B2407" t="inlineStr">
        <is>
          <t>+5519996813584</t>
        </is>
      </c>
      <c r="C2407" t="inlineStr">
        <is>
          <t>Refill</t>
        </is>
      </c>
      <c r="D2407" t="inlineStr">
        <is>
          <t>Primer Cachos</t>
        </is>
      </c>
      <c r="E2407" t="n">
        <v>1</v>
      </c>
      <c r="F2407" t="inlineStr">
        <is>
          <t>2026-01-27</t>
        </is>
      </c>
      <c r="G2407" t="n">
        <v>158</v>
      </c>
      <c r="H2407" t="inlineStr">
        <is>
          <t>Y</t>
        </is>
      </c>
      <c r="I2407">
        <f>HYPERLINK("https://admin.shopify.com/store/ge-beauty-cosmeticos/customers/10083587227968","abrir")</f>
        <v/>
      </c>
      <c r="J2407">
        <f>HYPERLINK("https://www.gebeauty.com.br/products/primer-cachos-definidos?ref=review","review")</f>
        <v/>
      </c>
      <c r="K2407" t="inlineStr">
        <is>
          <t>SEND</t>
        </is>
      </c>
    </row>
    <row r="2408">
      <c r="A2408" t="inlineStr">
        <is>
          <t>Roberta</t>
        </is>
      </c>
      <c r="B2408" t="inlineStr">
        <is>
          <t>+5581999499389</t>
        </is>
      </c>
      <c r="C2408" t="inlineStr">
        <is>
          <t>Refill</t>
        </is>
      </c>
      <c r="D2408" t="inlineStr">
        <is>
          <t>Primer Cachos</t>
        </is>
      </c>
      <c r="E2408" t="n">
        <v>1</v>
      </c>
      <c r="F2408" t="inlineStr">
        <is>
          <t>2026-01-27</t>
        </is>
      </c>
      <c r="G2408" t="n">
        <v>158</v>
      </c>
      <c r="H2408" t="inlineStr">
        <is>
          <t>Y</t>
        </is>
      </c>
      <c r="I2408">
        <f>HYPERLINK("https://admin.shopify.com/store/ge-beauty-cosmeticos/customers/9484656836928","abrir")</f>
        <v/>
      </c>
      <c r="J2408">
        <f>HYPERLINK("https://www.gebeauty.com.br/products/primer-cachos-definidos?ref=review","review")</f>
        <v/>
      </c>
      <c r="K2408" t="inlineStr">
        <is>
          <t>SEND</t>
        </is>
      </c>
    </row>
    <row r="2409">
      <c r="A2409" t="inlineStr">
        <is>
          <t>Daniele</t>
        </is>
      </c>
      <c r="B2409" t="inlineStr">
        <is>
          <t>+5511974290811</t>
        </is>
      </c>
      <c r="C2409" t="inlineStr">
        <is>
          <t>Refill</t>
        </is>
      </c>
      <c r="D2409" t="inlineStr">
        <is>
          <t>Primer Cachos</t>
        </is>
      </c>
      <c r="E2409" t="n">
        <v>1</v>
      </c>
      <c r="F2409" t="inlineStr">
        <is>
          <t>2026-01-27</t>
        </is>
      </c>
      <c r="G2409" t="n">
        <v>158</v>
      </c>
      <c r="H2409" t="inlineStr">
        <is>
          <t>Y</t>
        </is>
      </c>
      <c r="I2409">
        <f>HYPERLINK("https://admin.shopify.com/store/ge-beauty-cosmeticos/customers/10088234549568","abrir")</f>
        <v/>
      </c>
      <c r="J2409">
        <f>HYPERLINK("https://www.gebeauty.com.br/products/primer-cachos-definidos?ref=review","review")</f>
        <v/>
      </c>
      <c r="K2409" t="inlineStr">
        <is>
          <t>SEND</t>
        </is>
      </c>
    </row>
    <row r="2410">
      <c r="A2410" t="inlineStr">
        <is>
          <t>Jessica</t>
        </is>
      </c>
      <c r="B2410" t="inlineStr">
        <is>
          <t>+5566992172025</t>
        </is>
      </c>
      <c r="C2410" t="inlineStr">
        <is>
          <t>Refill</t>
        </is>
      </c>
      <c r="D2410" t="inlineStr">
        <is>
          <t>Primer Cachos</t>
        </is>
      </c>
      <c r="E2410" t="n">
        <v>1</v>
      </c>
      <c r="F2410" t="inlineStr">
        <is>
          <t>2026-01-27</t>
        </is>
      </c>
      <c r="G2410" t="n">
        <v>158</v>
      </c>
      <c r="H2410" t="inlineStr">
        <is>
          <t>Y</t>
        </is>
      </c>
      <c r="I2410">
        <f>HYPERLINK("https://admin.shopify.com/store/ge-beauty-cosmeticos/customers/10088258666816","abrir")</f>
        <v/>
      </c>
      <c r="J2410">
        <f>HYPERLINK("https://www.gebeauty.com.br/products/primer-cachos-definidos?ref=review","review")</f>
        <v/>
      </c>
      <c r="K2410" t="inlineStr">
        <is>
          <t>SEND</t>
        </is>
      </c>
    </row>
    <row r="2411">
      <c r="A2411" t="inlineStr">
        <is>
          <t>Priscilla</t>
        </is>
      </c>
      <c r="B2411" t="inlineStr">
        <is>
          <t>+5511998043176</t>
        </is>
      </c>
      <c r="C2411" t="inlineStr">
        <is>
          <t>Refill</t>
        </is>
      </c>
      <c r="D2411" t="inlineStr">
        <is>
          <t>Primer Cachos</t>
        </is>
      </c>
      <c r="E2411" t="n">
        <v>1</v>
      </c>
      <c r="F2411" t="inlineStr">
        <is>
          <t>2026-01-27</t>
        </is>
      </c>
      <c r="G2411" t="n">
        <v>158</v>
      </c>
      <c r="H2411" t="inlineStr">
        <is>
          <t>Y</t>
        </is>
      </c>
      <c r="I2411">
        <f>HYPERLINK("https://admin.shopify.com/store/ge-beauty-cosmeticos/customers/10072695570752","abrir")</f>
        <v/>
      </c>
      <c r="J2411">
        <f>HYPERLINK("https://www.gebeauty.com.br/products/primer-cachos-definidos?ref=review","review")</f>
        <v/>
      </c>
      <c r="K2411" t="inlineStr">
        <is>
          <t>SEND</t>
        </is>
      </c>
    </row>
    <row r="2412">
      <c r="A2412" t="inlineStr">
        <is>
          <t>Camila</t>
        </is>
      </c>
      <c r="B2412" t="inlineStr">
        <is>
          <t>+5521996266866</t>
        </is>
      </c>
      <c r="C2412" t="inlineStr">
        <is>
          <t>Refill</t>
        </is>
      </c>
      <c r="D2412" t="inlineStr">
        <is>
          <t>Primer Cachos</t>
        </is>
      </c>
      <c r="E2412" t="n">
        <v>1</v>
      </c>
      <c r="F2412" t="inlineStr">
        <is>
          <t>2026-01-27</t>
        </is>
      </c>
      <c r="G2412" t="n">
        <v>158</v>
      </c>
      <c r="H2412" t="inlineStr">
        <is>
          <t>Y</t>
        </is>
      </c>
      <c r="I2412">
        <f>HYPERLINK("https://admin.shopify.com/store/ge-beauty-cosmeticos/customers/10088295563584","abrir")</f>
        <v/>
      </c>
      <c r="J2412">
        <f>HYPERLINK("https://www.gebeauty.com.br/products/primer-cachos-definidos?ref=review","review")</f>
        <v/>
      </c>
      <c r="K2412" t="inlineStr">
        <is>
          <t>SEND</t>
        </is>
      </c>
    </row>
    <row r="2413">
      <c r="A2413" t="inlineStr">
        <is>
          <t>Anna Luísa</t>
        </is>
      </c>
      <c r="B2413" t="inlineStr">
        <is>
          <t>+5527999780996</t>
        </is>
      </c>
      <c r="C2413" t="inlineStr">
        <is>
          <t>Refill</t>
        </is>
      </c>
      <c r="D2413" t="inlineStr">
        <is>
          <t>Primer Cachos</t>
        </is>
      </c>
      <c r="E2413" t="n">
        <v>1</v>
      </c>
      <c r="F2413" t="inlineStr">
        <is>
          <t>2026-01-27</t>
        </is>
      </c>
      <c r="G2413" t="n">
        <v>158</v>
      </c>
      <c r="H2413" t="inlineStr">
        <is>
          <t>Y</t>
        </is>
      </c>
      <c r="I2413">
        <f>HYPERLINK("https://admin.shopify.com/store/ge-beauty-cosmeticos/customers/9474285175104","abrir")</f>
        <v/>
      </c>
      <c r="J2413">
        <f>HYPERLINK("https://www.gebeauty.com.br/products/primer-cachos-definidos?ref=review","review")</f>
        <v/>
      </c>
      <c r="K2413" t="inlineStr">
        <is>
          <t>SEND</t>
        </is>
      </c>
    </row>
    <row r="2414">
      <c r="A2414" t="inlineStr">
        <is>
          <t>Carulini</t>
        </is>
      </c>
      <c r="B2414" t="inlineStr">
        <is>
          <t>+5551980130204</t>
        </is>
      </c>
      <c r="C2414" t="inlineStr">
        <is>
          <t>Refill</t>
        </is>
      </c>
      <c r="D2414" t="inlineStr">
        <is>
          <t>Primer Cachos</t>
        </is>
      </c>
      <c r="E2414" t="n">
        <v>1</v>
      </c>
      <c r="F2414" t="inlineStr">
        <is>
          <t>2026-01-27</t>
        </is>
      </c>
      <c r="G2414" t="n">
        <v>158</v>
      </c>
      <c r="H2414" t="inlineStr">
        <is>
          <t>Y</t>
        </is>
      </c>
      <c r="I2414">
        <f>HYPERLINK("https://admin.shopify.com/store/ge-beauty-cosmeticos/customers/10088332886336","abrir")</f>
        <v/>
      </c>
      <c r="J2414">
        <f>HYPERLINK("https://www.gebeauty.com.br/products/primer-cachos-definidos?ref=review","review")</f>
        <v/>
      </c>
      <c r="K2414" t="inlineStr">
        <is>
          <t>SEND</t>
        </is>
      </c>
    </row>
    <row r="2415">
      <c r="A2415" t="inlineStr">
        <is>
          <t>Erika</t>
        </is>
      </c>
      <c r="B2415" t="inlineStr">
        <is>
          <t>+5527996350270</t>
        </is>
      </c>
      <c r="C2415" t="inlineStr">
        <is>
          <t>Refill</t>
        </is>
      </c>
      <c r="D2415" t="inlineStr">
        <is>
          <t>Primer Cachos</t>
        </is>
      </c>
      <c r="E2415" t="n">
        <v>1</v>
      </c>
      <c r="F2415" t="inlineStr">
        <is>
          <t>2026-01-27</t>
        </is>
      </c>
      <c r="G2415" t="n">
        <v>158</v>
      </c>
      <c r="H2415" t="inlineStr">
        <is>
          <t>Y</t>
        </is>
      </c>
      <c r="I2415">
        <f>HYPERLINK("https://admin.shopify.com/store/ge-beauty-cosmeticos/customers/10088358412608","abrir")</f>
        <v/>
      </c>
      <c r="J2415">
        <f>HYPERLINK("https://www.gebeauty.com.br/products/primer-cachos-definidos?ref=review","review")</f>
        <v/>
      </c>
      <c r="K2415" t="inlineStr">
        <is>
          <t>SEND</t>
        </is>
      </c>
    </row>
    <row r="2416">
      <c r="A2416" t="inlineStr">
        <is>
          <t>Ana</t>
        </is>
      </c>
      <c r="B2416" t="inlineStr">
        <is>
          <t>+5561992236043</t>
        </is>
      </c>
      <c r="C2416" t="inlineStr">
        <is>
          <t>Refill</t>
        </is>
      </c>
      <c r="D2416" t="inlineStr">
        <is>
          <t>Primer Cachos</t>
        </is>
      </c>
      <c r="E2416" t="n">
        <v>1</v>
      </c>
      <c r="F2416" t="inlineStr">
        <is>
          <t>2026-01-27</t>
        </is>
      </c>
      <c r="G2416" t="n">
        <v>158</v>
      </c>
      <c r="H2416" t="inlineStr">
        <is>
          <t>Y</t>
        </is>
      </c>
      <c r="I2416">
        <f>HYPERLINK("https://admin.shopify.com/store/ge-beauty-cosmeticos/customers/8901252022592","abrir")</f>
        <v/>
      </c>
      <c r="J2416">
        <f>HYPERLINK("https://www.gebeauty.com.br/products/primer-cachos-definidos?ref=review","review")</f>
        <v/>
      </c>
      <c r="K2416" t="inlineStr">
        <is>
          <t>SEND</t>
        </is>
      </c>
    </row>
    <row r="2417">
      <c r="A2417" t="inlineStr">
        <is>
          <t>Leticia</t>
        </is>
      </c>
      <c r="B2417" t="inlineStr">
        <is>
          <t>+5511999762811</t>
        </is>
      </c>
      <c r="C2417" t="inlineStr">
        <is>
          <t>Refill</t>
        </is>
      </c>
      <c r="D2417" t="inlineStr">
        <is>
          <t>Primer Cachos</t>
        </is>
      </c>
      <c r="E2417" t="n">
        <v>1</v>
      </c>
      <c r="F2417" t="inlineStr">
        <is>
          <t>2026-01-27</t>
        </is>
      </c>
      <c r="G2417" t="n">
        <v>158</v>
      </c>
      <c r="H2417" t="inlineStr">
        <is>
          <t>Y</t>
        </is>
      </c>
      <c r="I2417">
        <f>HYPERLINK("https://admin.shopify.com/store/ge-beauty-cosmeticos/customers/10088423817536","abrir")</f>
        <v/>
      </c>
      <c r="J2417">
        <f>HYPERLINK("https://www.gebeauty.com.br/products/primer-cachos-definidos?ref=review","review")</f>
        <v/>
      </c>
      <c r="K2417" t="inlineStr">
        <is>
          <t>SEND</t>
        </is>
      </c>
    </row>
    <row r="2418">
      <c r="A2418" t="inlineStr">
        <is>
          <t>Marianna</t>
        </is>
      </c>
      <c r="B2418" t="inlineStr">
        <is>
          <t>+5511992204309</t>
        </is>
      </c>
      <c r="C2418" t="inlineStr">
        <is>
          <t>Refill</t>
        </is>
      </c>
      <c r="D2418" t="inlineStr">
        <is>
          <t>Primer Cachos</t>
        </is>
      </c>
      <c r="E2418" t="n">
        <v>1</v>
      </c>
      <c r="F2418" t="inlineStr">
        <is>
          <t>2026-01-27</t>
        </is>
      </c>
      <c r="G2418" t="n">
        <v>158</v>
      </c>
      <c r="H2418" t="inlineStr">
        <is>
          <t>Y</t>
        </is>
      </c>
      <c r="I2418">
        <f>HYPERLINK("https://admin.shopify.com/store/ge-beauty-cosmeticos/customers/10088430928192","abrir")</f>
        <v/>
      </c>
      <c r="J2418">
        <f>HYPERLINK("https://www.gebeauty.com.br/products/primer-cachos-definidos?ref=review","review")</f>
        <v/>
      </c>
      <c r="K2418" t="inlineStr">
        <is>
          <t>SEND</t>
        </is>
      </c>
    </row>
    <row r="2419">
      <c r="A2419" t="inlineStr">
        <is>
          <t>Paula</t>
        </is>
      </c>
      <c r="B2419" t="inlineStr">
        <is>
          <t>+5521967451441</t>
        </is>
      </c>
      <c r="C2419" t="inlineStr">
        <is>
          <t>Refill</t>
        </is>
      </c>
      <c r="D2419" t="inlineStr">
        <is>
          <t>Primer Cachos</t>
        </is>
      </c>
      <c r="E2419" t="n">
        <v>1</v>
      </c>
      <c r="F2419" t="inlineStr">
        <is>
          <t>2026-01-27</t>
        </is>
      </c>
      <c r="G2419" t="n">
        <v>158</v>
      </c>
      <c r="H2419" t="inlineStr">
        <is>
          <t>Y</t>
        </is>
      </c>
      <c r="I2419">
        <f>HYPERLINK("https://admin.shopify.com/store/ge-beauty-cosmeticos/customers/10088416837952","abrir")</f>
        <v/>
      </c>
      <c r="J2419">
        <f>HYPERLINK("https://www.gebeauty.com.br/products/primer-cachos-definidos?ref=review","review")</f>
        <v/>
      </c>
      <c r="K2419" t="inlineStr">
        <is>
          <t>SEND</t>
        </is>
      </c>
    </row>
    <row r="2420">
      <c r="A2420" t="inlineStr">
        <is>
          <t>Carina</t>
        </is>
      </c>
      <c r="B2420" t="inlineStr">
        <is>
          <t>+5511997711960</t>
        </is>
      </c>
      <c r="C2420" t="inlineStr">
        <is>
          <t>Refill</t>
        </is>
      </c>
      <c r="D2420" t="inlineStr">
        <is>
          <t>Primer Cachos</t>
        </is>
      </c>
      <c r="E2420" t="n">
        <v>1</v>
      </c>
      <c r="F2420" t="inlineStr">
        <is>
          <t>2026-01-27</t>
        </is>
      </c>
      <c r="G2420" t="n">
        <v>158</v>
      </c>
      <c r="H2420" t="inlineStr">
        <is>
          <t>Y</t>
        </is>
      </c>
      <c r="I2420">
        <f>HYPERLINK("https://admin.shopify.com/store/ge-beauty-cosmeticos/customers/10088485650752","abrir")</f>
        <v/>
      </c>
      <c r="J2420">
        <f>HYPERLINK("https://www.gebeauty.com.br/products/primer-cachos-definidos?ref=review","review")</f>
        <v/>
      </c>
      <c r="K2420" t="inlineStr">
        <is>
          <t>SEND</t>
        </is>
      </c>
    </row>
    <row r="2421">
      <c r="A2421" t="inlineStr">
        <is>
          <t>Livia</t>
        </is>
      </c>
      <c r="B2421" t="inlineStr">
        <is>
          <t>+5511996412854</t>
        </is>
      </c>
      <c r="C2421" t="inlineStr">
        <is>
          <t>Refill</t>
        </is>
      </c>
      <c r="D2421" t="inlineStr">
        <is>
          <t>Primer Cachos</t>
        </is>
      </c>
      <c r="E2421" t="n">
        <v>1</v>
      </c>
      <c r="F2421" t="inlineStr">
        <is>
          <t>2026-01-27</t>
        </is>
      </c>
      <c r="G2421" t="n">
        <v>158</v>
      </c>
      <c r="H2421" t="inlineStr">
        <is>
          <t>Y</t>
        </is>
      </c>
      <c r="I2421">
        <f>HYPERLINK("https://admin.shopify.com/store/ge-beauty-cosmeticos/customers/10087275069760","abrir")</f>
        <v/>
      </c>
      <c r="J2421">
        <f>HYPERLINK("https://www.gebeauty.com.br/products/primer-cachos-definidos?ref=review","review")</f>
        <v/>
      </c>
      <c r="K2421" t="inlineStr">
        <is>
          <t>SEND</t>
        </is>
      </c>
    </row>
    <row r="2422">
      <c r="A2422" t="inlineStr">
        <is>
          <t>Juliana</t>
        </is>
      </c>
      <c r="B2422" t="inlineStr">
        <is>
          <t>+5512981930237</t>
        </is>
      </c>
      <c r="C2422" t="inlineStr">
        <is>
          <t>Refill</t>
        </is>
      </c>
      <c r="D2422" t="inlineStr">
        <is>
          <t>Primer Cachos</t>
        </is>
      </c>
      <c r="E2422" t="n">
        <v>1</v>
      </c>
      <c r="F2422" t="inlineStr">
        <is>
          <t>2026-01-27</t>
        </is>
      </c>
      <c r="G2422" t="n">
        <v>158</v>
      </c>
      <c r="H2422" t="inlineStr">
        <is>
          <t>Y</t>
        </is>
      </c>
      <c r="I2422">
        <f>HYPERLINK("https://admin.shopify.com/store/ge-beauty-cosmeticos/customers/10084165058880","abrir")</f>
        <v/>
      </c>
      <c r="J2422">
        <f>HYPERLINK("https://www.gebeauty.com.br/products/primer-cachos-definidos?ref=review","review")</f>
        <v/>
      </c>
      <c r="K2422" t="inlineStr">
        <is>
          <t>HOLDOUT</t>
        </is>
      </c>
    </row>
    <row r="2423">
      <c r="A2423" t="inlineStr">
        <is>
          <t>Daniela</t>
        </is>
      </c>
      <c r="B2423" t="inlineStr">
        <is>
          <t>+5551992313387</t>
        </is>
      </c>
      <c r="C2423" t="inlineStr">
        <is>
          <t>Refill</t>
        </is>
      </c>
      <c r="D2423" t="inlineStr">
        <is>
          <t>Primer Cachos</t>
        </is>
      </c>
      <c r="E2423" t="n">
        <v>1</v>
      </c>
      <c r="F2423" t="inlineStr">
        <is>
          <t>2026-01-27</t>
        </is>
      </c>
      <c r="G2423" t="n">
        <v>158</v>
      </c>
      <c r="H2423" t="inlineStr">
        <is>
          <t>Y</t>
        </is>
      </c>
      <c r="I2423">
        <f>HYPERLINK("https://admin.shopify.com/store/ge-beauty-cosmeticos/customers/10075166310720","abrir")</f>
        <v/>
      </c>
      <c r="J2423">
        <f>HYPERLINK("https://www.gebeauty.com.br/products/primer-cachos-definidos?ref=review","review")</f>
        <v/>
      </c>
      <c r="K2423" t="inlineStr">
        <is>
          <t>SEND</t>
        </is>
      </c>
    </row>
    <row r="2424">
      <c r="A2424" t="inlineStr">
        <is>
          <t>Roberta</t>
        </is>
      </c>
      <c r="B2424" t="inlineStr">
        <is>
          <t>+5521994548799</t>
        </is>
      </c>
      <c r="C2424" t="inlineStr">
        <is>
          <t>Refill</t>
        </is>
      </c>
      <c r="D2424" t="inlineStr">
        <is>
          <t>Primer Cachos</t>
        </is>
      </c>
      <c r="E2424" t="n">
        <v>1</v>
      </c>
      <c r="F2424" t="inlineStr">
        <is>
          <t>2026-01-27</t>
        </is>
      </c>
      <c r="G2424" t="n">
        <v>158</v>
      </c>
      <c r="H2424" t="inlineStr">
        <is>
          <t>Y</t>
        </is>
      </c>
      <c r="I2424">
        <f>HYPERLINK("https://admin.shopify.com/store/ge-beauty-cosmeticos/customers/10088712012096","abrir")</f>
        <v/>
      </c>
      <c r="J2424">
        <f>HYPERLINK("https://www.gebeauty.com.br/products/primer-cachos-definidos?ref=review","review")</f>
        <v/>
      </c>
      <c r="K2424" t="inlineStr">
        <is>
          <t>SEND</t>
        </is>
      </c>
    </row>
    <row r="2425">
      <c r="A2425" t="inlineStr">
        <is>
          <t>Erica</t>
        </is>
      </c>
      <c r="B2425" t="inlineStr">
        <is>
          <t>+5511999912345</t>
        </is>
      </c>
      <c r="C2425" t="inlineStr">
        <is>
          <t>Refill</t>
        </is>
      </c>
      <c r="D2425" t="inlineStr">
        <is>
          <t>Primer Cachos</t>
        </is>
      </c>
      <c r="E2425" t="n">
        <v>1</v>
      </c>
      <c r="F2425" t="inlineStr">
        <is>
          <t>2026-01-27</t>
        </is>
      </c>
      <c r="G2425" t="n">
        <v>158</v>
      </c>
      <c r="H2425" t="inlineStr">
        <is>
          <t>Y</t>
        </is>
      </c>
      <c r="I2425">
        <f>HYPERLINK("https://admin.shopify.com/store/ge-beauty-cosmeticos/customers/10088697200960","abrir")</f>
        <v/>
      </c>
      <c r="J2425">
        <f>HYPERLINK("https://www.gebeauty.com.br/products/primer-cachos-definidos?ref=review","review")</f>
        <v/>
      </c>
      <c r="K2425" t="inlineStr">
        <is>
          <t>SEND</t>
        </is>
      </c>
    </row>
    <row r="2426">
      <c r="A2426" t="inlineStr">
        <is>
          <t>Aline</t>
        </is>
      </c>
      <c r="B2426" t="inlineStr">
        <is>
          <t>+5511956075612</t>
        </is>
      </c>
      <c r="C2426" t="inlineStr">
        <is>
          <t>Refill</t>
        </is>
      </c>
      <c r="D2426" t="inlineStr">
        <is>
          <t>Primer Cachos</t>
        </is>
      </c>
      <c r="E2426" t="n">
        <v>1</v>
      </c>
      <c r="F2426" t="inlineStr">
        <is>
          <t>2026-01-27</t>
        </is>
      </c>
      <c r="G2426" t="n">
        <v>158</v>
      </c>
      <c r="H2426" t="inlineStr">
        <is>
          <t>Y</t>
        </is>
      </c>
      <c r="I2426">
        <f>HYPERLINK("https://admin.shopify.com/store/ge-beauty-cosmeticos/customers/10081155514688","abrir")</f>
        <v/>
      </c>
      <c r="J2426">
        <f>HYPERLINK("https://www.gebeauty.com.br/products/primer-cachos-definidos?ref=review","review")</f>
        <v/>
      </c>
      <c r="K2426" t="inlineStr">
        <is>
          <t>SEND</t>
        </is>
      </c>
    </row>
    <row r="2427">
      <c r="A2427" t="inlineStr">
        <is>
          <t>Susy</t>
        </is>
      </c>
      <c r="B2427" t="inlineStr">
        <is>
          <t>+5585982197939</t>
        </is>
      </c>
      <c r="C2427" t="inlineStr">
        <is>
          <t>Refill</t>
        </is>
      </c>
      <c r="D2427" t="inlineStr">
        <is>
          <t>Primer Cachos</t>
        </is>
      </c>
      <c r="E2427" t="n">
        <v>1</v>
      </c>
      <c r="F2427" t="inlineStr">
        <is>
          <t>2026-01-27</t>
        </is>
      </c>
      <c r="G2427" t="n">
        <v>158</v>
      </c>
      <c r="H2427" t="inlineStr">
        <is>
          <t>Y</t>
        </is>
      </c>
      <c r="I2427">
        <f>HYPERLINK("https://admin.shopify.com/store/ge-beauty-cosmeticos/customers/10088774009152","abrir")</f>
        <v/>
      </c>
      <c r="J2427">
        <f>HYPERLINK("https://www.gebeauty.com.br/products/primer-cachos-definidos?ref=review","review")</f>
        <v/>
      </c>
      <c r="K2427" t="inlineStr">
        <is>
          <t>SEND</t>
        </is>
      </c>
    </row>
    <row r="2428">
      <c r="A2428" t="inlineStr">
        <is>
          <t>Paula</t>
        </is>
      </c>
      <c r="B2428" t="inlineStr">
        <is>
          <t>+5521999699289</t>
        </is>
      </c>
      <c r="C2428" t="inlineStr">
        <is>
          <t>Refill</t>
        </is>
      </c>
      <c r="D2428" t="inlineStr">
        <is>
          <t>Primer Cachos</t>
        </is>
      </c>
      <c r="E2428" t="n">
        <v>1</v>
      </c>
      <c r="F2428" t="inlineStr">
        <is>
          <t>2026-01-27</t>
        </is>
      </c>
      <c r="G2428" t="n">
        <v>158</v>
      </c>
      <c r="H2428" t="inlineStr">
        <is>
          <t>Y</t>
        </is>
      </c>
      <c r="I2428">
        <f>HYPERLINK("https://admin.shopify.com/store/ge-beauty-cosmeticos/customers/10088067236160","abrir")</f>
        <v/>
      </c>
      <c r="J2428">
        <f>HYPERLINK("https://www.gebeauty.com.br/products/primer-cachos-definidos?ref=review","review")</f>
        <v/>
      </c>
      <c r="K2428" t="inlineStr">
        <is>
          <t>SEND</t>
        </is>
      </c>
    </row>
    <row r="2429">
      <c r="A2429" t="inlineStr">
        <is>
          <t>Camila</t>
        </is>
      </c>
      <c r="B2429" t="inlineStr">
        <is>
          <t>+5531991036564</t>
        </is>
      </c>
      <c r="C2429" t="inlineStr">
        <is>
          <t>Refill</t>
        </is>
      </c>
      <c r="D2429" t="inlineStr">
        <is>
          <t>Primer Cachos</t>
        </is>
      </c>
      <c r="E2429" t="n">
        <v>1</v>
      </c>
      <c r="F2429" t="inlineStr">
        <is>
          <t>2026-01-27</t>
        </is>
      </c>
      <c r="G2429" t="n">
        <v>158</v>
      </c>
      <c r="H2429" t="inlineStr">
        <is>
          <t>Y</t>
        </is>
      </c>
      <c r="I2429">
        <f>HYPERLINK("https://admin.shopify.com/store/ge-beauty-cosmeticos/customers/10088850227520","abrir")</f>
        <v/>
      </c>
      <c r="J2429">
        <f>HYPERLINK("https://www.gebeauty.com.br/products/primer-cachos-definidos?ref=review","review")</f>
        <v/>
      </c>
      <c r="K2429" t="inlineStr">
        <is>
          <t>SEND</t>
        </is>
      </c>
    </row>
    <row r="2430">
      <c r="A2430" t="inlineStr">
        <is>
          <t>Fernanda</t>
        </is>
      </c>
      <c r="B2430" t="inlineStr">
        <is>
          <t>+5511993104886</t>
        </is>
      </c>
      <c r="C2430" t="inlineStr">
        <is>
          <t>Refill</t>
        </is>
      </c>
      <c r="D2430" t="inlineStr">
        <is>
          <t>Primer Cachos</t>
        </is>
      </c>
      <c r="E2430" t="n">
        <v>1</v>
      </c>
      <c r="F2430" t="inlineStr">
        <is>
          <t>2026-01-27</t>
        </is>
      </c>
      <c r="G2430" t="n">
        <v>158</v>
      </c>
      <c r="H2430" t="inlineStr">
        <is>
          <t>Y</t>
        </is>
      </c>
      <c r="I2430">
        <f>HYPERLINK("https://admin.shopify.com/store/ge-beauty-cosmeticos/customers/10074445087040","abrir")</f>
        <v/>
      </c>
      <c r="J2430">
        <f>HYPERLINK("https://www.gebeauty.com.br/products/primer-cachos-definidos?ref=review","review")</f>
        <v/>
      </c>
      <c r="K2430" t="inlineStr">
        <is>
          <t>SEND</t>
        </is>
      </c>
    </row>
    <row r="2431">
      <c r="A2431" t="inlineStr">
        <is>
          <t>Danielle</t>
        </is>
      </c>
      <c r="B2431" t="inlineStr">
        <is>
          <t>+5553991146963</t>
        </is>
      </c>
      <c r="C2431" t="inlineStr">
        <is>
          <t>Refill</t>
        </is>
      </c>
      <c r="D2431" t="inlineStr">
        <is>
          <t>Primer Cachos</t>
        </is>
      </c>
      <c r="E2431" t="n">
        <v>1</v>
      </c>
      <c r="F2431" t="inlineStr">
        <is>
          <t>2026-01-27</t>
        </is>
      </c>
      <c r="G2431" t="n">
        <v>158</v>
      </c>
      <c r="H2431" t="inlineStr">
        <is>
          <t>Y</t>
        </is>
      </c>
      <c r="I2431">
        <f>HYPERLINK("https://admin.shopify.com/store/ge-beauty-cosmeticos/customers/10088530018624","abrir")</f>
        <v/>
      </c>
      <c r="J2431">
        <f>HYPERLINK("https://www.gebeauty.com.br/products/primer-cachos-definidos?ref=review","review")</f>
        <v/>
      </c>
      <c r="K2431" t="inlineStr">
        <is>
          <t>HOLDOUT</t>
        </is>
      </c>
    </row>
    <row r="2432">
      <c r="A2432" t="inlineStr">
        <is>
          <t>Regina</t>
        </is>
      </c>
      <c r="B2432" t="inlineStr">
        <is>
          <t>+5521988562106</t>
        </is>
      </c>
      <c r="C2432" t="inlineStr">
        <is>
          <t>Refill</t>
        </is>
      </c>
      <c r="D2432" t="inlineStr">
        <is>
          <t>Primer Cachos</t>
        </is>
      </c>
      <c r="E2432" t="n">
        <v>1</v>
      </c>
      <c r="F2432" t="inlineStr">
        <is>
          <t>2026-01-27</t>
        </is>
      </c>
      <c r="G2432" t="n">
        <v>158</v>
      </c>
      <c r="H2432" t="inlineStr">
        <is>
          <t>Y</t>
        </is>
      </c>
      <c r="I2432">
        <f>HYPERLINK("https://admin.shopify.com/store/ge-beauty-cosmeticos/customers/10088949317952","abrir")</f>
        <v/>
      </c>
      <c r="J2432">
        <f>HYPERLINK("https://www.gebeauty.com.br/products/primer-cachos-definidos?ref=review","review")</f>
        <v/>
      </c>
      <c r="K2432" t="inlineStr">
        <is>
          <t>SEND</t>
        </is>
      </c>
    </row>
    <row r="2433">
      <c r="A2433" t="inlineStr">
        <is>
          <t>Mardena</t>
        </is>
      </c>
      <c r="B2433" t="inlineStr">
        <is>
          <t>+5521982079889</t>
        </is>
      </c>
      <c r="C2433" t="inlineStr">
        <is>
          <t>Refill</t>
        </is>
      </c>
      <c r="D2433" t="inlineStr">
        <is>
          <t>Primer Cachos</t>
        </is>
      </c>
      <c r="E2433" t="n">
        <v>1</v>
      </c>
      <c r="F2433" t="inlineStr">
        <is>
          <t>2026-01-27</t>
        </is>
      </c>
      <c r="G2433" t="n">
        <v>158</v>
      </c>
      <c r="H2433" t="inlineStr">
        <is>
          <t>Y</t>
        </is>
      </c>
      <c r="I2433">
        <f>HYPERLINK("https://admin.shopify.com/store/ge-beauty-cosmeticos/customers/8389762580800","abrir")</f>
        <v/>
      </c>
      <c r="J2433">
        <f>HYPERLINK("https://www.gebeauty.com.br/products/primer-cachos-definidos?ref=review","review")</f>
        <v/>
      </c>
      <c r="K2433" t="inlineStr">
        <is>
          <t>SEND</t>
        </is>
      </c>
    </row>
    <row r="2434">
      <c r="A2434" t="inlineStr">
        <is>
          <t>Diego</t>
        </is>
      </c>
      <c r="B2434" t="inlineStr">
        <is>
          <t>+5562996629722</t>
        </is>
      </c>
      <c r="C2434" t="inlineStr">
        <is>
          <t>Refill</t>
        </is>
      </c>
      <c r="D2434" t="inlineStr">
        <is>
          <t>Primer Cachos</t>
        </is>
      </c>
      <c r="E2434" t="n">
        <v>1</v>
      </c>
      <c r="F2434" t="inlineStr">
        <is>
          <t>2026-01-27</t>
        </is>
      </c>
      <c r="G2434" t="n">
        <v>158</v>
      </c>
      <c r="H2434" t="inlineStr">
        <is>
          <t>Y</t>
        </is>
      </c>
      <c r="I2434">
        <f>HYPERLINK("https://admin.shopify.com/store/ge-beauty-cosmeticos/customers/10087490453824","abrir")</f>
        <v/>
      </c>
      <c r="J2434">
        <f>HYPERLINK("https://www.gebeauty.com.br/products/primer-cachos-definidos?ref=review","review")</f>
        <v/>
      </c>
      <c r="K2434" t="inlineStr">
        <is>
          <t>SEND</t>
        </is>
      </c>
    </row>
    <row r="2435">
      <c r="A2435" t="inlineStr">
        <is>
          <t>Patricia</t>
        </is>
      </c>
      <c r="B2435" t="inlineStr">
        <is>
          <t>+5511976616086</t>
        </is>
      </c>
      <c r="C2435" t="inlineStr">
        <is>
          <t>Refill</t>
        </is>
      </c>
      <c r="D2435" t="inlineStr">
        <is>
          <t>Primer Cachos</t>
        </is>
      </c>
      <c r="E2435" t="n">
        <v>1</v>
      </c>
      <c r="F2435" t="inlineStr">
        <is>
          <t>2026-01-27</t>
        </is>
      </c>
      <c r="G2435" t="n">
        <v>158</v>
      </c>
      <c r="H2435" t="inlineStr">
        <is>
          <t>Y</t>
        </is>
      </c>
      <c r="I2435">
        <f>HYPERLINK("https://admin.shopify.com/store/ge-beauty-cosmeticos/customers/10089011052864","abrir")</f>
        <v/>
      </c>
      <c r="J2435">
        <f>HYPERLINK("https://www.gebeauty.com.br/products/primer-cachos-definidos?ref=review","review")</f>
        <v/>
      </c>
      <c r="K2435" t="inlineStr">
        <is>
          <t>SEND</t>
        </is>
      </c>
    </row>
    <row r="2436">
      <c r="A2436" t="inlineStr">
        <is>
          <t>Luciane</t>
        </is>
      </c>
      <c r="B2436" t="inlineStr">
        <is>
          <t>+5511997068681</t>
        </is>
      </c>
      <c r="C2436" t="inlineStr">
        <is>
          <t>Refill</t>
        </is>
      </c>
      <c r="D2436" t="inlineStr">
        <is>
          <t>Primer Cachos</t>
        </is>
      </c>
      <c r="E2436" t="n">
        <v>1</v>
      </c>
      <c r="F2436" t="inlineStr">
        <is>
          <t>2026-01-27</t>
        </is>
      </c>
      <c r="G2436" t="n">
        <v>158</v>
      </c>
      <c r="H2436" t="inlineStr">
        <is>
          <t>Y</t>
        </is>
      </c>
      <c r="I2436">
        <f>HYPERLINK("https://admin.shopify.com/store/ge-beauty-cosmeticos/customers/10089016230208","abrir")</f>
        <v/>
      </c>
      <c r="J2436">
        <f>HYPERLINK("https://www.gebeauty.com.br/products/primer-cachos-definidos?ref=review","review")</f>
        <v/>
      </c>
      <c r="K2436" t="inlineStr">
        <is>
          <t>SEND</t>
        </is>
      </c>
    </row>
    <row r="2437">
      <c r="A2437" t="inlineStr">
        <is>
          <t>Vaness</t>
        </is>
      </c>
      <c r="B2437" t="inlineStr">
        <is>
          <t>+5521981510394</t>
        </is>
      </c>
      <c r="C2437" t="inlineStr">
        <is>
          <t>Refill</t>
        </is>
      </c>
      <c r="D2437" t="inlineStr">
        <is>
          <t>Primer Cachos</t>
        </is>
      </c>
      <c r="E2437" t="n">
        <v>1</v>
      </c>
      <c r="F2437" t="inlineStr">
        <is>
          <t>2026-01-27</t>
        </is>
      </c>
      <c r="G2437" t="n">
        <v>158</v>
      </c>
      <c r="H2437" t="inlineStr">
        <is>
          <t>Y</t>
        </is>
      </c>
      <c r="I2437">
        <f>HYPERLINK("https://admin.shopify.com/store/ge-beauty-cosmeticos/customers/10089019113792","abrir")</f>
        <v/>
      </c>
      <c r="J2437">
        <f>HYPERLINK("https://www.gebeauty.com.br/products/primer-cachos-definidos?ref=review","review")</f>
        <v/>
      </c>
      <c r="K2437" t="inlineStr">
        <is>
          <t>SEND</t>
        </is>
      </c>
    </row>
    <row r="2438">
      <c r="A2438" t="inlineStr">
        <is>
          <t>Jacqueline</t>
        </is>
      </c>
      <c r="B2438" t="inlineStr">
        <is>
          <t>+5585999835122</t>
        </is>
      </c>
      <c r="C2438" t="inlineStr">
        <is>
          <t>Refill</t>
        </is>
      </c>
      <c r="D2438" t="inlineStr">
        <is>
          <t>Primer Cachos</t>
        </is>
      </c>
      <c r="E2438" t="n">
        <v>1</v>
      </c>
      <c r="F2438" t="inlineStr">
        <is>
          <t>2026-01-27</t>
        </is>
      </c>
      <c r="G2438" t="n">
        <v>158</v>
      </c>
      <c r="H2438" t="inlineStr">
        <is>
          <t>Y</t>
        </is>
      </c>
      <c r="I2438">
        <f>HYPERLINK("https://admin.shopify.com/store/ge-beauty-cosmeticos/customers/10074294026560","abrir")</f>
        <v/>
      </c>
      <c r="J2438">
        <f>HYPERLINK("https://www.gebeauty.com.br/products/primer-cachos-definidos?ref=review","review")</f>
        <v/>
      </c>
      <c r="K2438" t="inlineStr">
        <is>
          <t>SEND</t>
        </is>
      </c>
    </row>
    <row r="2439">
      <c r="A2439" t="inlineStr">
        <is>
          <t>Erika</t>
        </is>
      </c>
      <c r="B2439" t="inlineStr">
        <is>
          <t>+5531999704758</t>
        </is>
      </c>
      <c r="C2439" t="inlineStr">
        <is>
          <t>Refill</t>
        </is>
      </c>
      <c r="D2439" t="inlineStr">
        <is>
          <t>Primer Cachos</t>
        </is>
      </c>
      <c r="E2439" t="n">
        <v>1</v>
      </c>
      <c r="F2439" t="inlineStr">
        <is>
          <t>2026-01-27</t>
        </is>
      </c>
      <c r="G2439" t="n">
        <v>158</v>
      </c>
      <c r="H2439" t="inlineStr">
        <is>
          <t>Y</t>
        </is>
      </c>
      <c r="I2439">
        <f>HYPERLINK("https://admin.shopify.com/store/ge-beauty-cosmeticos/customers/10089102803264","abrir")</f>
        <v/>
      </c>
      <c r="J2439">
        <f>HYPERLINK("https://www.gebeauty.com.br/products/primer-cachos-definidos?ref=review","review")</f>
        <v/>
      </c>
      <c r="K2439" t="inlineStr">
        <is>
          <t>SEND</t>
        </is>
      </c>
    </row>
    <row r="2440">
      <c r="A2440" t="inlineStr">
        <is>
          <t>Nathália</t>
        </is>
      </c>
      <c r="B2440" t="inlineStr">
        <is>
          <t>+5581973232029</t>
        </is>
      </c>
      <c r="C2440" t="inlineStr">
        <is>
          <t>Refill</t>
        </is>
      </c>
      <c r="D2440" t="inlineStr">
        <is>
          <t>Primer Cachos</t>
        </is>
      </c>
      <c r="E2440" t="n">
        <v>1</v>
      </c>
      <c r="F2440" t="inlineStr">
        <is>
          <t>2026-01-27</t>
        </is>
      </c>
      <c r="G2440" t="n">
        <v>158</v>
      </c>
      <c r="H2440" t="inlineStr">
        <is>
          <t>Y</t>
        </is>
      </c>
      <c r="I2440">
        <f>HYPERLINK("https://admin.shopify.com/store/ge-beauty-cosmeticos/customers/10082457911616","abrir")</f>
        <v/>
      </c>
      <c r="J2440">
        <f>HYPERLINK("https://www.gebeauty.com.br/products/primer-cachos-definidos?ref=review","review")</f>
        <v/>
      </c>
      <c r="K2440" t="inlineStr">
        <is>
          <t>SEND</t>
        </is>
      </c>
    </row>
    <row r="2441">
      <c r="A2441" t="inlineStr">
        <is>
          <t>Thays</t>
        </is>
      </c>
      <c r="B2441" t="inlineStr">
        <is>
          <t>+5591991043250</t>
        </is>
      </c>
      <c r="C2441" t="inlineStr">
        <is>
          <t>Refill</t>
        </is>
      </c>
      <c r="D2441" t="inlineStr">
        <is>
          <t>Primer Cachos</t>
        </is>
      </c>
      <c r="E2441" t="n">
        <v>1</v>
      </c>
      <c r="F2441" t="inlineStr">
        <is>
          <t>2026-01-27</t>
        </is>
      </c>
      <c r="G2441" t="n">
        <v>158</v>
      </c>
      <c r="H2441" t="inlineStr">
        <is>
          <t>Y</t>
        </is>
      </c>
      <c r="I2441">
        <f>HYPERLINK("https://admin.shopify.com/store/ge-beauty-cosmeticos/customers/10089121349952","abrir")</f>
        <v/>
      </c>
      <c r="J2441">
        <f>HYPERLINK("https://www.gebeauty.com.br/products/primer-cachos-definidos?ref=review","review")</f>
        <v/>
      </c>
      <c r="K2441" t="inlineStr">
        <is>
          <t>HOLDOUT</t>
        </is>
      </c>
    </row>
    <row r="2442">
      <c r="A2442" t="inlineStr">
        <is>
          <t>Helena</t>
        </is>
      </c>
      <c r="B2442" t="inlineStr">
        <is>
          <t>+5562991132323</t>
        </is>
      </c>
      <c r="C2442" t="inlineStr">
        <is>
          <t>Refill</t>
        </is>
      </c>
      <c r="D2442" t="inlineStr">
        <is>
          <t>Primer Cachos</t>
        </is>
      </c>
      <c r="E2442" t="n">
        <v>1</v>
      </c>
      <c r="F2442" t="inlineStr">
        <is>
          <t>2026-01-27</t>
        </is>
      </c>
      <c r="G2442" t="n">
        <v>158</v>
      </c>
      <c r="H2442" t="inlineStr">
        <is>
          <t>Y</t>
        </is>
      </c>
      <c r="I2442">
        <f>HYPERLINK("https://admin.shopify.com/store/ge-beauty-cosmeticos/customers/8478052876608","abrir")</f>
        <v/>
      </c>
      <c r="J2442">
        <f>HYPERLINK("https://www.gebeauty.com.br/products/primer-cachos-definidos?ref=review","review")</f>
        <v/>
      </c>
      <c r="K2442" t="inlineStr">
        <is>
          <t>SEND</t>
        </is>
      </c>
    </row>
    <row r="2443">
      <c r="A2443" t="inlineStr">
        <is>
          <t>Nilene</t>
        </is>
      </c>
      <c r="B2443" t="inlineStr">
        <is>
          <t>+5516992036911</t>
        </is>
      </c>
      <c r="C2443" t="inlineStr">
        <is>
          <t>Refill</t>
        </is>
      </c>
      <c r="D2443" t="inlineStr">
        <is>
          <t>Primer Cachos</t>
        </is>
      </c>
      <c r="E2443" t="n">
        <v>1</v>
      </c>
      <c r="F2443" t="inlineStr">
        <is>
          <t>2026-01-27</t>
        </is>
      </c>
      <c r="G2443" t="n">
        <v>158</v>
      </c>
      <c r="H2443" t="inlineStr">
        <is>
          <t>Y</t>
        </is>
      </c>
      <c r="I2443">
        <f>HYPERLINK("https://admin.shopify.com/store/ge-beauty-cosmeticos/customers/10075824193856","abrir")</f>
        <v/>
      </c>
      <c r="J2443">
        <f>HYPERLINK("https://www.gebeauty.com.br/products/primer-cachos-definidos?ref=review","review")</f>
        <v/>
      </c>
      <c r="K2443" t="inlineStr">
        <is>
          <t>HOLDOUT</t>
        </is>
      </c>
    </row>
    <row r="2444">
      <c r="A2444" t="inlineStr">
        <is>
          <t>Camila</t>
        </is>
      </c>
      <c r="B2444" t="inlineStr">
        <is>
          <t>+5511992411618</t>
        </is>
      </c>
      <c r="C2444" t="inlineStr">
        <is>
          <t>Refill</t>
        </is>
      </c>
      <c r="D2444" t="inlineStr">
        <is>
          <t>Primer Cachos</t>
        </is>
      </c>
      <c r="E2444" t="n">
        <v>1</v>
      </c>
      <c r="F2444" t="inlineStr">
        <is>
          <t>2026-01-27</t>
        </is>
      </c>
      <c r="G2444" t="n">
        <v>158</v>
      </c>
      <c r="H2444" t="inlineStr">
        <is>
          <t>Y</t>
        </is>
      </c>
      <c r="I2444">
        <f>HYPERLINK("https://admin.shopify.com/store/ge-beauty-cosmeticos/customers/10089196126528","abrir")</f>
        <v/>
      </c>
      <c r="J2444">
        <f>HYPERLINK("https://www.gebeauty.com.br/products/primer-cachos-definidos?ref=review","review")</f>
        <v/>
      </c>
      <c r="K2444" t="inlineStr">
        <is>
          <t>SEND</t>
        </is>
      </c>
    </row>
    <row r="2445">
      <c r="A2445" t="inlineStr">
        <is>
          <t>Maristela</t>
        </is>
      </c>
      <c r="B2445" t="inlineStr">
        <is>
          <t>+5531995422305</t>
        </is>
      </c>
      <c r="C2445" t="inlineStr">
        <is>
          <t>Refill</t>
        </is>
      </c>
      <c r="D2445" t="inlineStr">
        <is>
          <t>Primer Cachos</t>
        </is>
      </c>
      <c r="E2445" t="n">
        <v>1</v>
      </c>
      <c r="F2445" t="inlineStr">
        <is>
          <t>2026-01-27</t>
        </is>
      </c>
      <c r="G2445" t="n">
        <v>158</v>
      </c>
      <c r="H2445" t="inlineStr">
        <is>
          <t>Y</t>
        </is>
      </c>
      <c r="I2445">
        <f>HYPERLINK("https://admin.shopify.com/store/ge-beauty-cosmeticos/customers/10089198944576","abrir")</f>
        <v/>
      </c>
      <c r="J2445">
        <f>HYPERLINK("https://www.gebeauty.com.br/products/primer-cachos-definidos?ref=review","review")</f>
        <v/>
      </c>
      <c r="K2445" t="inlineStr">
        <is>
          <t>SEND</t>
        </is>
      </c>
    </row>
    <row r="2446">
      <c r="A2446" t="inlineStr">
        <is>
          <t>Denise</t>
        </is>
      </c>
      <c r="B2446" t="inlineStr">
        <is>
          <t>+5511996517808</t>
        </is>
      </c>
      <c r="C2446" t="inlineStr">
        <is>
          <t>Refill</t>
        </is>
      </c>
      <c r="D2446" t="inlineStr">
        <is>
          <t>Primer Cachos</t>
        </is>
      </c>
      <c r="E2446" t="n">
        <v>1</v>
      </c>
      <c r="F2446" t="inlineStr">
        <is>
          <t>2026-01-27</t>
        </is>
      </c>
      <c r="G2446" t="n">
        <v>158</v>
      </c>
      <c r="H2446" t="inlineStr">
        <is>
          <t>Y</t>
        </is>
      </c>
      <c r="I2446">
        <f>HYPERLINK("https://admin.shopify.com/store/ge-beauty-cosmeticos/customers/10089229517120","abrir")</f>
        <v/>
      </c>
      <c r="J2446">
        <f>HYPERLINK("https://www.gebeauty.com.br/products/primer-cachos-definidos?ref=review","review")</f>
        <v/>
      </c>
      <c r="K2446" t="inlineStr">
        <is>
          <t>SEND</t>
        </is>
      </c>
    </row>
    <row r="2447">
      <c r="A2447" t="inlineStr">
        <is>
          <t>Kelly</t>
        </is>
      </c>
      <c r="B2447" t="inlineStr">
        <is>
          <t>+5522998550240</t>
        </is>
      </c>
      <c r="C2447" t="inlineStr">
        <is>
          <t>Refill</t>
        </is>
      </c>
      <c r="D2447" t="inlineStr">
        <is>
          <t>Primer Cachos</t>
        </is>
      </c>
      <c r="E2447" t="n">
        <v>1</v>
      </c>
      <c r="F2447" t="inlineStr">
        <is>
          <t>2026-01-27</t>
        </is>
      </c>
      <c r="G2447" t="n">
        <v>158</v>
      </c>
      <c r="H2447" t="inlineStr">
        <is>
          <t>Y</t>
        </is>
      </c>
      <c r="I2447">
        <f>HYPERLINK("https://admin.shopify.com/store/ge-beauty-cosmeticos/customers/10087445266752","abrir")</f>
        <v/>
      </c>
      <c r="J2447">
        <f>HYPERLINK("https://www.gebeauty.com.br/products/primer-cachos-definidos?ref=review","review")</f>
        <v/>
      </c>
      <c r="K2447" t="inlineStr">
        <is>
          <t>HOLDOUT</t>
        </is>
      </c>
    </row>
    <row r="2448">
      <c r="A2448" t="inlineStr">
        <is>
          <t>Vanessa</t>
        </is>
      </c>
      <c r="B2448" t="inlineStr">
        <is>
          <t>+5582991716680</t>
        </is>
      </c>
      <c r="C2448" t="inlineStr">
        <is>
          <t>Refill</t>
        </is>
      </c>
      <c r="D2448" t="inlineStr">
        <is>
          <t>Primer Cachos</t>
        </is>
      </c>
      <c r="E2448" t="n">
        <v>1</v>
      </c>
      <c r="F2448" t="inlineStr">
        <is>
          <t>2026-01-28</t>
        </is>
      </c>
      <c r="G2448" t="n">
        <v>157</v>
      </c>
      <c r="H2448" t="inlineStr">
        <is>
          <t>Y</t>
        </is>
      </c>
      <c r="I2448">
        <f>HYPERLINK("https://admin.shopify.com/store/ge-beauty-cosmeticos/customers/10089310454080","abrir")</f>
        <v/>
      </c>
      <c r="J2448">
        <f>HYPERLINK("https://www.gebeauty.com.br/products/primer-cachos-definidos?ref=review","review")</f>
        <v/>
      </c>
      <c r="K2448" t="inlineStr">
        <is>
          <t>SEND</t>
        </is>
      </c>
    </row>
    <row r="2449">
      <c r="A2449" t="inlineStr">
        <is>
          <t>Amada</t>
        </is>
      </c>
      <c r="B2449" t="inlineStr">
        <is>
          <t>+5511997670865</t>
        </is>
      </c>
      <c r="C2449" t="inlineStr">
        <is>
          <t>Refill</t>
        </is>
      </c>
      <c r="D2449" t="inlineStr">
        <is>
          <t>Primer Cachos</t>
        </is>
      </c>
      <c r="E2449" t="n">
        <v>1</v>
      </c>
      <c r="F2449" t="inlineStr">
        <is>
          <t>2026-01-28</t>
        </is>
      </c>
      <c r="G2449" t="n">
        <v>157</v>
      </c>
      <c r="H2449" t="inlineStr">
        <is>
          <t>Y</t>
        </is>
      </c>
      <c r="I2449">
        <f>HYPERLINK("https://admin.shopify.com/store/ge-beauty-cosmeticos/customers/10089316581696","abrir")</f>
        <v/>
      </c>
      <c r="J2449">
        <f>HYPERLINK("https://www.gebeauty.com.br/products/primer-cachos-definidos?ref=review","review")</f>
        <v/>
      </c>
      <c r="K2449" t="inlineStr">
        <is>
          <t>SEND</t>
        </is>
      </c>
    </row>
    <row r="2450">
      <c r="A2450" t="inlineStr">
        <is>
          <t>Danielle</t>
        </is>
      </c>
      <c r="B2450" t="inlineStr">
        <is>
          <t>+5591981497400</t>
        </is>
      </c>
      <c r="C2450" t="inlineStr">
        <is>
          <t>Refill</t>
        </is>
      </c>
      <c r="D2450" t="inlineStr">
        <is>
          <t>Primer Cachos</t>
        </is>
      </c>
      <c r="E2450" t="n">
        <v>1</v>
      </c>
      <c r="F2450" t="inlineStr">
        <is>
          <t>2026-01-28</t>
        </is>
      </c>
      <c r="G2450" t="n">
        <v>157</v>
      </c>
      <c r="H2450" t="inlineStr">
        <is>
          <t>Y</t>
        </is>
      </c>
      <c r="I2450">
        <f>HYPERLINK("https://admin.shopify.com/store/ge-beauty-cosmeticos/customers/9484612567360","abrir")</f>
        <v/>
      </c>
      <c r="J2450">
        <f>HYPERLINK("https://www.gebeauty.com.br/products/primer-cachos-definidos?ref=review","review")</f>
        <v/>
      </c>
      <c r="K2450" t="inlineStr">
        <is>
          <t>SEND</t>
        </is>
      </c>
    </row>
    <row r="2451">
      <c r="A2451" t="inlineStr">
        <is>
          <t>Pollyana</t>
        </is>
      </c>
      <c r="B2451" t="inlineStr">
        <is>
          <t>+5562982236112</t>
        </is>
      </c>
      <c r="C2451" t="inlineStr">
        <is>
          <t>Refill</t>
        </is>
      </c>
      <c r="D2451" t="inlineStr">
        <is>
          <t>Primer Cachos</t>
        </is>
      </c>
      <c r="E2451" t="n">
        <v>1</v>
      </c>
      <c r="F2451" t="inlineStr">
        <is>
          <t>2026-01-28</t>
        </is>
      </c>
      <c r="G2451" t="n">
        <v>157</v>
      </c>
      <c r="H2451" t="inlineStr">
        <is>
          <t>Y</t>
        </is>
      </c>
      <c r="I2451">
        <f>HYPERLINK("https://admin.shopify.com/store/ge-beauty-cosmeticos/customers/10089278308672","abrir")</f>
        <v/>
      </c>
      <c r="J2451">
        <f>HYPERLINK("https://www.gebeauty.com.br/products/primer-cachos-definidos?ref=review","review")</f>
        <v/>
      </c>
      <c r="K2451" t="inlineStr">
        <is>
          <t>HOLDOUT</t>
        </is>
      </c>
    </row>
    <row r="2452">
      <c r="A2452" t="inlineStr">
        <is>
          <t>Amanda</t>
        </is>
      </c>
      <c r="B2452" t="inlineStr">
        <is>
          <t>+5531984596217</t>
        </is>
      </c>
      <c r="C2452" t="inlineStr">
        <is>
          <t>Refill</t>
        </is>
      </c>
      <c r="D2452" t="inlineStr">
        <is>
          <t>Primer Cachos</t>
        </is>
      </c>
      <c r="E2452" t="n">
        <v>1</v>
      </c>
      <c r="F2452" t="inlineStr">
        <is>
          <t>2026-01-28</t>
        </is>
      </c>
      <c r="G2452" t="n">
        <v>157</v>
      </c>
      <c r="H2452" t="inlineStr">
        <is>
          <t>Y</t>
        </is>
      </c>
      <c r="I2452">
        <f>HYPERLINK("https://admin.shopify.com/store/ge-beauty-cosmeticos/customers/10089342533952","abrir")</f>
        <v/>
      </c>
      <c r="J2452">
        <f>HYPERLINK("https://www.gebeauty.com.br/products/primer-cachos-definidos?ref=review","review")</f>
        <v/>
      </c>
      <c r="K2452" t="inlineStr">
        <is>
          <t>SEND</t>
        </is>
      </c>
    </row>
    <row r="2453">
      <c r="A2453" t="inlineStr">
        <is>
          <t>Cristiane</t>
        </is>
      </c>
      <c r="B2453" t="inlineStr">
        <is>
          <t>+5547992272212</t>
        </is>
      </c>
      <c r="C2453" t="inlineStr">
        <is>
          <t>Refill</t>
        </is>
      </c>
      <c r="D2453" t="inlineStr">
        <is>
          <t>Primer Cachos</t>
        </is>
      </c>
      <c r="E2453" t="n">
        <v>1</v>
      </c>
      <c r="F2453" t="inlineStr">
        <is>
          <t>2026-01-28</t>
        </is>
      </c>
      <c r="G2453" t="n">
        <v>157</v>
      </c>
      <c r="H2453" t="inlineStr">
        <is>
          <t>Y</t>
        </is>
      </c>
      <c r="I2453">
        <f>HYPERLINK("https://admin.shopify.com/store/ge-beauty-cosmeticos/customers/10089380970816","abrir")</f>
        <v/>
      </c>
      <c r="J2453">
        <f>HYPERLINK("https://www.gebeauty.com.br/products/primer-cachos-definidos?ref=review","review")</f>
        <v/>
      </c>
      <c r="K2453" t="inlineStr">
        <is>
          <t>SEND</t>
        </is>
      </c>
    </row>
    <row r="2454">
      <c r="A2454" t="inlineStr">
        <is>
          <t>Clarissa</t>
        </is>
      </c>
      <c r="B2454" t="inlineStr">
        <is>
          <t>+5521991060235</t>
        </is>
      </c>
      <c r="C2454" t="inlineStr">
        <is>
          <t>Refill</t>
        </is>
      </c>
      <c r="D2454" t="inlineStr">
        <is>
          <t>Primer Cachos</t>
        </is>
      </c>
      <c r="E2454" t="n">
        <v>1</v>
      </c>
      <c r="F2454" t="inlineStr">
        <is>
          <t>2026-01-28</t>
        </is>
      </c>
      <c r="G2454" t="n">
        <v>157</v>
      </c>
      <c r="H2454" t="inlineStr">
        <is>
          <t>Y</t>
        </is>
      </c>
      <c r="I2454">
        <f>HYPERLINK("https://admin.shopify.com/store/ge-beauty-cosmeticos/customers/10081875624256","abrir")</f>
        <v/>
      </c>
      <c r="J2454">
        <f>HYPERLINK("https://www.gebeauty.com.br/products/primer-cachos-definidos?ref=review","review")</f>
        <v/>
      </c>
      <c r="K2454" t="inlineStr">
        <is>
          <t>SEND</t>
        </is>
      </c>
    </row>
    <row r="2455">
      <c r="A2455" t="inlineStr">
        <is>
          <t>Ana Cristina</t>
        </is>
      </c>
      <c r="B2455" t="inlineStr">
        <is>
          <t>+5531991656852</t>
        </is>
      </c>
      <c r="C2455" t="inlineStr">
        <is>
          <t>Refill</t>
        </is>
      </c>
      <c r="D2455" t="inlineStr">
        <is>
          <t>Primer Cachos</t>
        </is>
      </c>
      <c r="E2455" t="n">
        <v>1</v>
      </c>
      <c r="F2455" t="inlineStr">
        <is>
          <t>2026-01-28</t>
        </is>
      </c>
      <c r="G2455" t="n">
        <v>157</v>
      </c>
      <c r="H2455" t="inlineStr">
        <is>
          <t>Y</t>
        </is>
      </c>
      <c r="I2455">
        <f>HYPERLINK("https://admin.shopify.com/store/ge-beauty-cosmeticos/customers/10089382478144","abrir")</f>
        <v/>
      </c>
      <c r="J2455">
        <f>HYPERLINK("https://www.gebeauty.com.br/products/primer-cachos-definidos?ref=review","review")</f>
        <v/>
      </c>
      <c r="K2455" t="inlineStr">
        <is>
          <t>SEND</t>
        </is>
      </c>
    </row>
    <row r="2456">
      <c r="A2456" t="inlineStr">
        <is>
          <t>Nadia</t>
        </is>
      </c>
      <c r="B2456" t="inlineStr">
        <is>
          <t>+5516992152453</t>
        </is>
      </c>
      <c r="C2456" t="inlineStr">
        <is>
          <t>Refill</t>
        </is>
      </c>
      <c r="D2456" t="inlineStr">
        <is>
          <t>Primer Cachos</t>
        </is>
      </c>
      <c r="E2456" t="n">
        <v>1</v>
      </c>
      <c r="F2456" t="inlineStr">
        <is>
          <t>2026-01-28</t>
        </is>
      </c>
      <c r="G2456" t="n">
        <v>157</v>
      </c>
      <c r="H2456" t="inlineStr">
        <is>
          <t>Y</t>
        </is>
      </c>
      <c r="I2456">
        <f>HYPERLINK("https://admin.shopify.com/store/ge-beauty-cosmeticos/customers/10089398042944","abrir")</f>
        <v/>
      </c>
      <c r="J2456">
        <f>HYPERLINK("https://www.gebeauty.com.br/products/primer-cachos-definidos?ref=review","review")</f>
        <v/>
      </c>
      <c r="K2456" t="inlineStr">
        <is>
          <t>SEND</t>
        </is>
      </c>
    </row>
    <row r="2457">
      <c r="A2457" t="inlineStr">
        <is>
          <t>Adriana</t>
        </is>
      </c>
      <c r="B2457" t="inlineStr">
        <is>
          <t>+5581996168769</t>
        </is>
      </c>
      <c r="C2457" t="inlineStr">
        <is>
          <t>Refill</t>
        </is>
      </c>
      <c r="D2457" t="inlineStr">
        <is>
          <t>Primer Cachos</t>
        </is>
      </c>
      <c r="E2457" t="n">
        <v>1</v>
      </c>
      <c r="F2457" t="inlineStr">
        <is>
          <t>2026-01-28</t>
        </is>
      </c>
      <c r="G2457" t="n">
        <v>157</v>
      </c>
      <c r="H2457" t="inlineStr">
        <is>
          <t>Y</t>
        </is>
      </c>
      <c r="I2457">
        <f>HYPERLINK("https://admin.shopify.com/store/ge-beauty-cosmeticos/customers/10086898991424","abrir")</f>
        <v/>
      </c>
      <c r="J2457">
        <f>HYPERLINK("https://www.gebeauty.com.br/products/primer-cachos-definidos?ref=review","review")</f>
        <v/>
      </c>
      <c r="K2457" t="inlineStr">
        <is>
          <t>SEND</t>
        </is>
      </c>
    </row>
    <row r="2458">
      <c r="A2458" t="inlineStr">
        <is>
          <t>Thamis</t>
        </is>
      </c>
      <c r="B2458" t="inlineStr">
        <is>
          <t>+5565996785030</t>
        </is>
      </c>
      <c r="C2458" t="inlineStr">
        <is>
          <t>Refill</t>
        </is>
      </c>
      <c r="D2458" t="inlineStr">
        <is>
          <t>Primer Cachos</t>
        </is>
      </c>
      <c r="E2458" t="n">
        <v>1</v>
      </c>
      <c r="F2458" t="inlineStr">
        <is>
          <t>2026-01-28</t>
        </is>
      </c>
      <c r="G2458" t="n">
        <v>157</v>
      </c>
      <c r="H2458" t="inlineStr">
        <is>
          <t>Y</t>
        </is>
      </c>
      <c r="I2458">
        <f>HYPERLINK("https://admin.shopify.com/store/ge-beauty-cosmeticos/customers/10089476653376","abrir")</f>
        <v/>
      </c>
      <c r="J2458">
        <f>HYPERLINK("https://www.gebeauty.com.br/products/primer-cachos-definidos?ref=review","review")</f>
        <v/>
      </c>
      <c r="K2458" t="inlineStr">
        <is>
          <t>SEND</t>
        </is>
      </c>
    </row>
    <row r="2459">
      <c r="A2459" t="inlineStr">
        <is>
          <t>Francielle</t>
        </is>
      </c>
      <c r="B2459" t="inlineStr">
        <is>
          <t>+5514997700068</t>
        </is>
      </c>
      <c r="C2459" t="inlineStr">
        <is>
          <t>Refill</t>
        </is>
      </c>
      <c r="D2459" t="inlineStr">
        <is>
          <t>Primer Cachos</t>
        </is>
      </c>
      <c r="E2459" t="n">
        <v>1</v>
      </c>
      <c r="F2459" t="inlineStr">
        <is>
          <t>2026-01-28</t>
        </is>
      </c>
      <c r="G2459" t="n">
        <v>157</v>
      </c>
      <c r="H2459" t="inlineStr">
        <is>
          <t>Y</t>
        </is>
      </c>
      <c r="I2459">
        <f>HYPERLINK("https://admin.shopify.com/store/ge-beauty-cosmeticos/customers/10089972498752","abrir")</f>
        <v/>
      </c>
      <c r="J2459">
        <f>HYPERLINK("https://www.gebeauty.com.br/products/primer-cachos-definidos?ref=review","review")</f>
        <v/>
      </c>
      <c r="K2459" t="inlineStr">
        <is>
          <t>SEND</t>
        </is>
      </c>
    </row>
    <row r="2460">
      <c r="A2460" t="inlineStr">
        <is>
          <t>Simone</t>
        </is>
      </c>
      <c r="B2460" t="inlineStr">
        <is>
          <t>+5551982008661</t>
        </is>
      </c>
      <c r="C2460" t="inlineStr">
        <is>
          <t>Refill</t>
        </is>
      </c>
      <c r="D2460" t="inlineStr">
        <is>
          <t>Primer Cachos</t>
        </is>
      </c>
      <c r="E2460" t="n">
        <v>1</v>
      </c>
      <c r="F2460" t="inlineStr">
        <is>
          <t>2026-01-28</t>
        </is>
      </c>
      <c r="G2460" t="n">
        <v>157</v>
      </c>
      <c r="H2460" t="inlineStr">
        <is>
          <t>Y</t>
        </is>
      </c>
      <c r="I2460">
        <f>HYPERLINK("https://admin.shopify.com/store/ge-beauty-cosmeticos/customers/10089984393536","abrir")</f>
        <v/>
      </c>
      <c r="J2460">
        <f>HYPERLINK("https://www.gebeauty.com.br/products/primer-cachos-definidos?ref=review","review")</f>
        <v/>
      </c>
      <c r="K2460" t="inlineStr">
        <is>
          <t>SEND</t>
        </is>
      </c>
    </row>
    <row r="2461">
      <c r="A2461" t="inlineStr">
        <is>
          <t>Juliana</t>
        </is>
      </c>
      <c r="B2461" t="inlineStr">
        <is>
          <t>+5561991672778</t>
        </is>
      </c>
      <c r="C2461" t="inlineStr">
        <is>
          <t>Refill</t>
        </is>
      </c>
      <c r="D2461" t="inlineStr">
        <is>
          <t>Primer Cachos</t>
        </is>
      </c>
      <c r="E2461" t="n">
        <v>1</v>
      </c>
      <c r="F2461" t="inlineStr">
        <is>
          <t>2026-01-28</t>
        </is>
      </c>
      <c r="G2461" t="n">
        <v>157</v>
      </c>
      <c r="H2461" t="inlineStr">
        <is>
          <t>Y</t>
        </is>
      </c>
      <c r="I2461">
        <f>HYPERLINK("https://admin.shopify.com/store/ge-beauty-cosmeticos/customers/10071995973952","abrir")</f>
        <v/>
      </c>
      <c r="J2461">
        <f>HYPERLINK("https://www.gebeauty.com.br/products/primer-cachos-definidos?ref=review","review")</f>
        <v/>
      </c>
      <c r="K2461" t="inlineStr">
        <is>
          <t>SEND</t>
        </is>
      </c>
    </row>
    <row r="2462">
      <c r="A2462" t="inlineStr">
        <is>
          <t>Lucas</t>
        </is>
      </c>
      <c r="B2462" t="inlineStr">
        <is>
          <t>+5561986164797</t>
        </is>
      </c>
      <c r="C2462" t="inlineStr">
        <is>
          <t>Refill</t>
        </is>
      </c>
      <c r="D2462" t="inlineStr">
        <is>
          <t>Primer Cachos</t>
        </is>
      </c>
      <c r="E2462" t="n">
        <v>1</v>
      </c>
      <c r="F2462" t="inlineStr">
        <is>
          <t>2026-01-28</t>
        </is>
      </c>
      <c r="G2462" t="n">
        <v>157</v>
      </c>
      <c r="H2462" t="inlineStr">
        <is>
          <t>Y</t>
        </is>
      </c>
      <c r="I2462">
        <f>HYPERLINK("https://admin.shopify.com/store/ge-beauty-cosmeticos/customers/8362319937856","abrir")</f>
        <v/>
      </c>
      <c r="J2462">
        <f>HYPERLINK("https://www.gebeauty.com.br/products/primer-cachos-definidos?ref=review","review")</f>
        <v/>
      </c>
      <c r="K2462" t="inlineStr">
        <is>
          <t>SEND</t>
        </is>
      </c>
    </row>
    <row r="2463">
      <c r="A2463" t="inlineStr">
        <is>
          <t>Roberta</t>
        </is>
      </c>
      <c r="B2463" t="inlineStr">
        <is>
          <t>+5551998463022</t>
        </is>
      </c>
      <c r="C2463" t="inlineStr">
        <is>
          <t>Refill</t>
        </is>
      </c>
      <c r="D2463" t="inlineStr">
        <is>
          <t>Primer Cachos</t>
        </is>
      </c>
      <c r="E2463" t="n">
        <v>1</v>
      </c>
      <c r="F2463" t="inlineStr">
        <is>
          <t>2026-01-28</t>
        </is>
      </c>
      <c r="G2463" t="n">
        <v>157</v>
      </c>
      <c r="H2463" t="inlineStr">
        <is>
          <t>Y</t>
        </is>
      </c>
      <c r="I2463">
        <f>HYPERLINK("https://admin.shopify.com/store/ge-beauty-cosmeticos/customers/10090077389120","abrir")</f>
        <v/>
      </c>
      <c r="J2463">
        <f>HYPERLINK("https://www.gebeauty.com.br/products/primer-cachos-definidos?ref=review","review")</f>
        <v/>
      </c>
      <c r="K2463" t="inlineStr">
        <is>
          <t>SEND</t>
        </is>
      </c>
    </row>
    <row r="2464">
      <c r="A2464" t="inlineStr">
        <is>
          <t>Fernanda</t>
        </is>
      </c>
      <c r="B2464" t="inlineStr">
        <is>
          <t>+5584981418230</t>
        </is>
      </c>
      <c r="C2464" t="inlineStr">
        <is>
          <t>Refill</t>
        </is>
      </c>
      <c r="D2464" t="inlineStr">
        <is>
          <t>Primer Cachos</t>
        </is>
      </c>
      <c r="E2464" t="n">
        <v>1</v>
      </c>
      <c r="F2464" t="inlineStr">
        <is>
          <t>2026-01-28</t>
        </is>
      </c>
      <c r="G2464" t="n">
        <v>157</v>
      </c>
      <c r="H2464" t="inlineStr">
        <is>
          <t>Y</t>
        </is>
      </c>
      <c r="I2464">
        <f>HYPERLINK("https://admin.shopify.com/store/ge-beauty-cosmeticos/customers/10089379594560","abrir")</f>
        <v/>
      </c>
      <c r="J2464">
        <f>HYPERLINK("https://www.gebeauty.com.br/products/primer-cachos-definidos?ref=review","review")</f>
        <v/>
      </c>
      <c r="K2464" t="inlineStr">
        <is>
          <t>SEND</t>
        </is>
      </c>
    </row>
    <row r="2465">
      <c r="A2465" t="inlineStr">
        <is>
          <t>Katiane</t>
        </is>
      </c>
      <c r="B2465" t="inlineStr">
        <is>
          <t>+5548998110140</t>
        </is>
      </c>
      <c r="C2465" t="inlineStr">
        <is>
          <t>Refill</t>
        </is>
      </c>
      <c r="D2465" t="inlineStr">
        <is>
          <t>Primer Cachos</t>
        </is>
      </c>
      <c r="E2465" t="n">
        <v>1</v>
      </c>
      <c r="F2465" t="inlineStr">
        <is>
          <t>2026-01-28</t>
        </is>
      </c>
      <c r="G2465" t="n">
        <v>157</v>
      </c>
      <c r="H2465" t="inlineStr">
        <is>
          <t>Y</t>
        </is>
      </c>
      <c r="I2465">
        <f>HYPERLINK("https://admin.shopify.com/store/ge-beauty-cosmeticos/customers/10090119102784","abrir")</f>
        <v/>
      </c>
      <c r="J2465">
        <f>HYPERLINK("https://www.gebeauty.com.br/products/primer-cachos-definidos?ref=review","review")</f>
        <v/>
      </c>
      <c r="K2465" t="inlineStr">
        <is>
          <t>SEND</t>
        </is>
      </c>
    </row>
    <row r="2466">
      <c r="A2466" t="inlineStr">
        <is>
          <t>Flávia</t>
        </is>
      </c>
      <c r="B2466" t="inlineStr">
        <is>
          <t>+5511940133167</t>
        </is>
      </c>
      <c r="C2466" t="inlineStr">
        <is>
          <t>Refill</t>
        </is>
      </c>
      <c r="D2466" t="inlineStr">
        <is>
          <t>Primer Cachos</t>
        </is>
      </c>
      <c r="E2466" t="n">
        <v>1</v>
      </c>
      <c r="F2466" t="inlineStr">
        <is>
          <t>2026-01-28</t>
        </is>
      </c>
      <c r="G2466" t="n">
        <v>157</v>
      </c>
      <c r="H2466" t="inlineStr">
        <is>
          <t>Y</t>
        </is>
      </c>
      <c r="I2466">
        <f>HYPERLINK("https://admin.shopify.com/store/ge-beauty-cosmeticos/customers/10075776975168","abrir")</f>
        <v/>
      </c>
      <c r="J2466">
        <f>HYPERLINK("https://www.gebeauty.com.br/products/primer-cachos-definidos?ref=review","review")</f>
        <v/>
      </c>
      <c r="K2466" t="inlineStr">
        <is>
          <t>SEND</t>
        </is>
      </c>
    </row>
    <row r="2467">
      <c r="A2467" t="inlineStr">
        <is>
          <t>Cecilia</t>
        </is>
      </c>
      <c r="B2467" t="inlineStr">
        <is>
          <t>+5511986618020</t>
        </is>
      </c>
      <c r="C2467" t="inlineStr">
        <is>
          <t>Refill</t>
        </is>
      </c>
      <c r="D2467" t="inlineStr">
        <is>
          <t>Primer Cachos</t>
        </is>
      </c>
      <c r="E2467" t="n">
        <v>1</v>
      </c>
      <c r="F2467" t="inlineStr">
        <is>
          <t>2026-01-28</t>
        </is>
      </c>
      <c r="G2467" t="n">
        <v>157</v>
      </c>
      <c r="H2467" t="inlineStr">
        <is>
          <t>Y</t>
        </is>
      </c>
      <c r="I2467">
        <f>HYPERLINK("https://admin.shopify.com/store/ge-beauty-cosmeticos/customers/10090136895808","abrir")</f>
        <v/>
      </c>
      <c r="J2467">
        <f>HYPERLINK("https://www.gebeauty.com.br/products/primer-cachos-definidos?ref=review","review")</f>
        <v/>
      </c>
      <c r="K2467" t="inlineStr">
        <is>
          <t>SEND</t>
        </is>
      </c>
    </row>
    <row r="2468">
      <c r="A2468" t="inlineStr">
        <is>
          <t>Luana</t>
        </is>
      </c>
      <c r="B2468" t="inlineStr">
        <is>
          <t>+5511996133169</t>
        </is>
      </c>
      <c r="C2468" t="inlineStr">
        <is>
          <t>Refill</t>
        </is>
      </c>
      <c r="D2468" t="inlineStr">
        <is>
          <t>Primer Cachos</t>
        </is>
      </c>
      <c r="E2468" t="n">
        <v>1</v>
      </c>
      <c r="F2468" t="inlineStr">
        <is>
          <t>2026-01-28</t>
        </is>
      </c>
      <c r="G2468" t="n">
        <v>157</v>
      </c>
      <c r="H2468" t="inlineStr">
        <is>
          <t>Y</t>
        </is>
      </c>
      <c r="I2468">
        <f>HYPERLINK("https://admin.shopify.com/store/ge-beauty-cosmeticos/customers/10077577019712","abrir")</f>
        <v/>
      </c>
      <c r="J2468">
        <f>HYPERLINK("https://www.gebeauty.com.br/products/primer-cachos-definidos?ref=review","review")</f>
        <v/>
      </c>
      <c r="K2468" t="inlineStr">
        <is>
          <t>SEND</t>
        </is>
      </c>
    </row>
    <row r="2469">
      <c r="A2469" t="inlineStr">
        <is>
          <t>Melissa</t>
        </is>
      </c>
      <c r="B2469" t="inlineStr">
        <is>
          <t>+5513988516690</t>
        </is>
      </c>
      <c r="C2469" t="inlineStr">
        <is>
          <t>Refill</t>
        </is>
      </c>
      <c r="D2469" t="inlineStr">
        <is>
          <t>Primer Cachos</t>
        </is>
      </c>
      <c r="E2469" t="n">
        <v>1</v>
      </c>
      <c r="F2469" t="inlineStr">
        <is>
          <t>2026-01-28</t>
        </is>
      </c>
      <c r="G2469" t="n">
        <v>157</v>
      </c>
      <c r="H2469" t="inlineStr">
        <is>
          <t>Y</t>
        </is>
      </c>
      <c r="I2469">
        <f>HYPERLINK("https://admin.shopify.com/store/ge-beauty-cosmeticos/customers/10075765604672","abrir")</f>
        <v/>
      </c>
      <c r="J2469">
        <f>HYPERLINK("https://www.gebeauty.com.br/products/primer-cachos-definidos?ref=review","review")</f>
        <v/>
      </c>
      <c r="K2469" t="inlineStr">
        <is>
          <t>SEND</t>
        </is>
      </c>
    </row>
    <row r="2470">
      <c r="A2470" t="inlineStr">
        <is>
          <t>Marilia</t>
        </is>
      </c>
      <c r="B2470" t="inlineStr">
        <is>
          <t>+5511986813321</t>
        </is>
      </c>
      <c r="C2470" t="inlineStr">
        <is>
          <t>Refill</t>
        </is>
      </c>
      <c r="D2470" t="inlineStr">
        <is>
          <t>Primer Cachos</t>
        </is>
      </c>
      <c r="E2470" t="n">
        <v>1</v>
      </c>
      <c r="F2470" t="inlineStr">
        <is>
          <t>2026-01-28</t>
        </is>
      </c>
      <c r="G2470" t="n">
        <v>157</v>
      </c>
      <c r="H2470" t="inlineStr">
        <is>
          <t>Y</t>
        </is>
      </c>
      <c r="I2470">
        <f>HYPERLINK("https://admin.shopify.com/store/ge-beauty-cosmeticos/customers/9999441396032","abrir")</f>
        <v/>
      </c>
      <c r="J2470">
        <f>HYPERLINK("https://www.gebeauty.com.br/products/primer-cachos-definidos?ref=review","review")</f>
        <v/>
      </c>
      <c r="K2470" t="inlineStr">
        <is>
          <t>HOLDOUT</t>
        </is>
      </c>
    </row>
    <row r="2471">
      <c r="A2471" t="inlineStr">
        <is>
          <t>Mariana</t>
        </is>
      </c>
      <c r="B2471" t="inlineStr">
        <is>
          <t>+5547992696005</t>
        </is>
      </c>
      <c r="C2471" t="inlineStr">
        <is>
          <t>Refill</t>
        </is>
      </c>
      <c r="D2471" t="inlineStr">
        <is>
          <t>Primer Cachos</t>
        </is>
      </c>
      <c r="E2471" t="n">
        <v>1</v>
      </c>
      <c r="F2471" t="inlineStr">
        <is>
          <t>2026-01-28</t>
        </is>
      </c>
      <c r="G2471" t="n">
        <v>157</v>
      </c>
      <c r="H2471" t="inlineStr">
        <is>
          <t>Y</t>
        </is>
      </c>
      <c r="I2471">
        <f>HYPERLINK("https://admin.shopify.com/store/ge-beauty-cosmeticos/customers/10090328785216","abrir")</f>
        <v/>
      </c>
      <c r="J2471">
        <f>HYPERLINK("https://www.gebeauty.com.br/products/primer-cachos-definidos?ref=review","review")</f>
        <v/>
      </c>
      <c r="K2471" t="inlineStr">
        <is>
          <t>SEND</t>
        </is>
      </c>
    </row>
    <row r="2472">
      <c r="A2472" t="inlineStr">
        <is>
          <t>Marcia</t>
        </is>
      </c>
      <c r="B2472" t="inlineStr">
        <is>
          <t>+5511910409449</t>
        </is>
      </c>
      <c r="C2472" t="inlineStr">
        <is>
          <t>Refill</t>
        </is>
      </c>
      <c r="D2472" t="inlineStr">
        <is>
          <t>Primer Cachos</t>
        </is>
      </c>
      <c r="E2472" t="n">
        <v>1</v>
      </c>
      <c r="F2472" t="inlineStr">
        <is>
          <t>2026-01-28</t>
        </is>
      </c>
      <c r="G2472" t="n">
        <v>157</v>
      </c>
      <c r="H2472" t="inlineStr">
        <is>
          <t>Y</t>
        </is>
      </c>
      <c r="I2472">
        <f>HYPERLINK("https://admin.shopify.com/store/ge-beauty-cosmeticos/customers/9902515257664","abrir")</f>
        <v/>
      </c>
      <c r="J2472">
        <f>HYPERLINK("https://www.gebeauty.com.br/products/primer-cachos-definidos?ref=review","review")</f>
        <v/>
      </c>
      <c r="K2472" t="inlineStr">
        <is>
          <t>SEND</t>
        </is>
      </c>
    </row>
    <row r="2473">
      <c r="A2473" t="inlineStr">
        <is>
          <t>Lorayne</t>
        </is>
      </c>
      <c r="B2473" t="inlineStr">
        <is>
          <t>+5513997178883</t>
        </is>
      </c>
      <c r="C2473" t="inlineStr">
        <is>
          <t>Refill</t>
        </is>
      </c>
      <c r="D2473" t="inlineStr">
        <is>
          <t>Primer Cachos</t>
        </is>
      </c>
      <c r="E2473" t="n">
        <v>1</v>
      </c>
      <c r="F2473" t="inlineStr">
        <is>
          <t>2026-01-28</t>
        </is>
      </c>
      <c r="G2473" t="n">
        <v>157</v>
      </c>
      <c r="H2473" t="inlineStr">
        <is>
          <t>Y</t>
        </is>
      </c>
      <c r="I2473">
        <f>HYPERLINK("https://admin.shopify.com/store/ge-beauty-cosmeticos/customers/10090406052160","abrir")</f>
        <v/>
      </c>
      <c r="J2473">
        <f>HYPERLINK("https://www.gebeauty.com.br/products/primer-cachos-definidos?ref=review","review")</f>
        <v/>
      </c>
      <c r="K2473" t="inlineStr">
        <is>
          <t>SEND</t>
        </is>
      </c>
    </row>
    <row r="2474">
      <c r="A2474" t="inlineStr">
        <is>
          <t>Odete</t>
        </is>
      </c>
      <c r="B2474" t="inlineStr">
        <is>
          <t>+5511982686664</t>
        </is>
      </c>
      <c r="C2474" t="inlineStr">
        <is>
          <t>Refill</t>
        </is>
      </c>
      <c r="D2474" t="inlineStr">
        <is>
          <t>Primer Cachos</t>
        </is>
      </c>
      <c r="E2474" t="n">
        <v>1</v>
      </c>
      <c r="F2474" t="inlineStr">
        <is>
          <t>2026-01-28</t>
        </is>
      </c>
      <c r="G2474" t="n">
        <v>157</v>
      </c>
      <c r="H2474" t="inlineStr">
        <is>
          <t>Y</t>
        </is>
      </c>
      <c r="I2474">
        <f>HYPERLINK("https://admin.shopify.com/store/ge-beauty-cosmeticos/customers/10090420240704","abrir")</f>
        <v/>
      </c>
      <c r="J2474">
        <f>HYPERLINK("https://www.gebeauty.com.br/products/primer-cachos-definidos?ref=review","review")</f>
        <v/>
      </c>
      <c r="K2474" t="inlineStr">
        <is>
          <t>SEND</t>
        </is>
      </c>
    </row>
    <row r="2475">
      <c r="A2475" t="inlineStr">
        <is>
          <t>Mariana</t>
        </is>
      </c>
      <c r="B2475" t="inlineStr">
        <is>
          <t>+5511981633692</t>
        </is>
      </c>
      <c r="C2475" t="inlineStr">
        <is>
          <t>Refill</t>
        </is>
      </c>
      <c r="D2475" t="inlineStr">
        <is>
          <t>Primer Cachos</t>
        </is>
      </c>
      <c r="E2475" t="n">
        <v>1</v>
      </c>
      <c r="F2475" t="inlineStr">
        <is>
          <t>2026-01-28</t>
        </is>
      </c>
      <c r="G2475" t="n">
        <v>157</v>
      </c>
      <c r="H2475" t="inlineStr">
        <is>
          <t>Y</t>
        </is>
      </c>
      <c r="I2475">
        <f>HYPERLINK("https://admin.shopify.com/store/ge-beauty-cosmeticos/customers/10090427941184","abrir")</f>
        <v/>
      </c>
      <c r="J2475">
        <f>HYPERLINK("https://www.gebeauty.com.br/products/primer-cachos-definidos?ref=review","review")</f>
        <v/>
      </c>
      <c r="K2475" t="inlineStr">
        <is>
          <t>SEND</t>
        </is>
      </c>
    </row>
    <row r="2476">
      <c r="A2476" t="inlineStr">
        <is>
          <t>Rita</t>
        </is>
      </c>
      <c r="B2476" t="inlineStr">
        <is>
          <t>+5511991508013</t>
        </is>
      </c>
      <c r="C2476" t="inlineStr">
        <is>
          <t>Refill</t>
        </is>
      </c>
      <c r="D2476" t="inlineStr">
        <is>
          <t>Primer Cachos</t>
        </is>
      </c>
      <c r="E2476" t="n">
        <v>1</v>
      </c>
      <c r="F2476" t="inlineStr">
        <is>
          <t>2026-01-28</t>
        </is>
      </c>
      <c r="G2476" t="n">
        <v>157</v>
      </c>
      <c r="H2476" t="inlineStr">
        <is>
          <t>Y</t>
        </is>
      </c>
      <c r="I2476">
        <f>HYPERLINK("https://admin.shopify.com/store/ge-beauty-cosmeticos/customers/10090481353024","abrir")</f>
        <v/>
      </c>
      <c r="J2476">
        <f>HYPERLINK("https://www.gebeauty.com.br/products/primer-cachos-definidos?ref=review","review")</f>
        <v/>
      </c>
      <c r="K2476" t="inlineStr">
        <is>
          <t>SEND</t>
        </is>
      </c>
    </row>
    <row r="2477">
      <c r="A2477" t="inlineStr">
        <is>
          <t>Fabiana</t>
        </is>
      </c>
      <c r="B2477" t="inlineStr">
        <is>
          <t>+5514998066181</t>
        </is>
      </c>
      <c r="C2477" t="inlineStr">
        <is>
          <t>Refill</t>
        </is>
      </c>
      <c r="D2477" t="inlineStr">
        <is>
          <t>Primer Cachos</t>
        </is>
      </c>
      <c r="E2477" t="n">
        <v>1</v>
      </c>
      <c r="F2477" t="inlineStr">
        <is>
          <t>2026-01-28</t>
        </is>
      </c>
      <c r="G2477" t="n">
        <v>157</v>
      </c>
      <c r="H2477" t="inlineStr">
        <is>
          <t>Y</t>
        </is>
      </c>
      <c r="I2477">
        <f>HYPERLINK("https://admin.shopify.com/store/ge-beauty-cosmeticos/customers/10090492854592","abrir")</f>
        <v/>
      </c>
      <c r="J2477">
        <f>HYPERLINK("https://www.gebeauty.com.br/products/primer-cachos-definidos?ref=review","review")</f>
        <v/>
      </c>
      <c r="K2477" t="inlineStr">
        <is>
          <t>SEND</t>
        </is>
      </c>
    </row>
    <row r="2478">
      <c r="A2478" t="inlineStr">
        <is>
          <t>Mariana</t>
        </is>
      </c>
      <c r="B2478" t="inlineStr">
        <is>
          <t>+5527999713322</t>
        </is>
      </c>
      <c r="C2478" t="inlineStr">
        <is>
          <t>Refill</t>
        </is>
      </c>
      <c r="D2478" t="inlineStr">
        <is>
          <t>Primer Cachos</t>
        </is>
      </c>
      <c r="E2478" t="n">
        <v>1</v>
      </c>
      <c r="F2478" t="inlineStr">
        <is>
          <t>2026-01-28</t>
        </is>
      </c>
      <c r="G2478" t="n">
        <v>157</v>
      </c>
      <c r="H2478" t="inlineStr">
        <is>
          <t>Y</t>
        </is>
      </c>
      <c r="I2478">
        <f>HYPERLINK("https://admin.shopify.com/store/ge-beauty-cosmeticos/customers/10090555638080","abrir")</f>
        <v/>
      </c>
      <c r="J2478">
        <f>HYPERLINK("https://www.gebeauty.com.br/products/primer-cachos-definidos?ref=review","review")</f>
        <v/>
      </c>
      <c r="K2478" t="inlineStr">
        <is>
          <t>SEND</t>
        </is>
      </c>
    </row>
    <row r="2479">
      <c r="A2479" t="inlineStr">
        <is>
          <t>Fernanda</t>
        </is>
      </c>
      <c r="B2479" t="inlineStr">
        <is>
          <t>+5511953031160</t>
        </is>
      </c>
      <c r="C2479" t="inlineStr">
        <is>
          <t>Refill</t>
        </is>
      </c>
      <c r="D2479" t="inlineStr">
        <is>
          <t>Primer Cachos</t>
        </is>
      </c>
      <c r="E2479" t="n">
        <v>1</v>
      </c>
      <c r="F2479" t="inlineStr">
        <is>
          <t>2026-01-28</t>
        </is>
      </c>
      <c r="G2479" t="n">
        <v>157</v>
      </c>
      <c r="H2479" t="inlineStr">
        <is>
          <t>Y</t>
        </is>
      </c>
      <c r="I2479">
        <f>HYPERLINK("https://admin.shopify.com/store/ge-beauty-cosmeticos/customers/10073319047488","abrir")</f>
        <v/>
      </c>
      <c r="J2479">
        <f>HYPERLINK("https://www.gebeauty.com.br/products/primer-cachos-definidos?ref=review","review")</f>
        <v/>
      </c>
      <c r="K2479" t="inlineStr">
        <is>
          <t>HOLDOUT</t>
        </is>
      </c>
    </row>
    <row r="2480">
      <c r="A2480" t="inlineStr">
        <is>
          <t>Ana Paula</t>
        </is>
      </c>
      <c r="B2480" t="inlineStr">
        <is>
          <t>+5511986561785</t>
        </is>
      </c>
      <c r="C2480" t="inlineStr">
        <is>
          <t>Refill</t>
        </is>
      </c>
      <c r="D2480" t="inlineStr">
        <is>
          <t>Primer Cachos</t>
        </is>
      </c>
      <c r="E2480" t="n">
        <v>1</v>
      </c>
      <c r="F2480" t="inlineStr">
        <is>
          <t>2026-01-28</t>
        </is>
      </c>
      <c r="G2480" t="n">
        <v>157</v>
      </c>
      <c r="H2480" t="inlineStr">
        <is>
          <t>Y</t>
        </is>
      </c>
      <c r="I2480">
        <f>HYPERLINK("https://admin.shopify.com/store/ge-beauty-cosmeticos/customers/8215819616576","abrir")</f>
        <v/>
      </c>
      <c r="J2480">
        <f>HYPERLINK("https://www.gebeauty.com.br/products/primer-cachos-definidos?ref=review","review")</f>
        <v/>
      </c>
      <c r="K2480" t="inlineStr">
        <is>
          <t>SEND</t>
        </is>
      </c>
    </row>
    <row r="2481">
      <c r="A2481" t="inlineStr">
        <is>
          <t>Luiza</t>
        </is>
      </c>
      <c r="B2481" t="inlineStr">
        <is>
          <t>+5521970330712</t>
        </is>
      </c>
      <c r="C2481" t="inlineStr">
        <is>
          <t>Refill</t>
        </is>
      </c>
      <c r="D2481" t="inlineStr">
        <is>
          <t>Primer Cachos</t>
        </is>
      </c>
      <c r="E2481" t="n">
        <v>1</v>
      </c>
      <c r="F2481" t="inlineStr">
        <is>
          <t>2026-01-28</t>
        </is>
      </c>
      <c r="G2481" t="n">
        <v>157</v>
      </c>
      <c r="H2481" t="inlineStr">
        <is>
          <t>Y</t>
        </is>
      </c>
      <c r="I2481">
        <f>HYPERLINK("https://admin.shopify.com/store/ge-beauty-cosmeticos/customers/10090623861056","abrir")</f>
        <v/>
      </c>
      <c r="J2481">
        <f>HYPERLINK("https://www.gebeauty.com.br/products/primer-cachos-definidos?ref=review","review")</f>
        <v/>
      </c>
      <c r="K2481" t="inlineStr">
        <is>
          <t>SEND</t>
        </is>
      </c>
    </row>
    <row r="2482">
      <c r="A2482" t="inlineStr">
        <is>
          <t>Wytória</t>
        </is>
      </c>
      <c r="B2482" t="inlineStr">
        <is>
          <t>+5511999253007</t>
        </is>
      </c>
      <c r="C2482" t="inlineStr">
        <is>
          <t>Refill</t>
        </is>
      </c>
      <c r="D2482" t="inlineStr">
        <is>
          <t>Primer Cachos</t>
        </is>
      </c>
      <c r="E2482" t="n">
        <v>1</v>
      </c>
      <c r="F2482" t="inlineStr">
        <is>
          <t>2026-01-28</t>
        </is>
      </c>
      <c r="G2482" t="n">
        <v>157</v>
      </c>
      <c r="H2482" t="inlineStr">
        <is>
          <t>Y</t>
        </is>
      </c>
      <c r="I2482">
        <f>HYPERLINK("https://admin.shopify.com/store/ge-beauty-cosmeticos/customers/9486307230016","abrir")</f>
        <v/>
      </c>
      <c r="J2482">
        <f>HYPERLINK("https://www.gebeauty.com.br/products/primer-cachos-definidos?ref=review","review")</f>
        <v/>
      </c>
      <c r="K2482" t="inlineStr">
        <is>
          <t>SEND</t>
        </is>
      </c>
    </row>
    <row r="2483">
      <c r="A2483" t="inlineStr">
        <is>
          <t>Natalia</t>
        </is>
      </c>
      <c r="B2483" t="inlineStr">
        <is>
          <t>+5511945597116</t>
        </is>
      </c>
      <c r="C2483" t="inlineStr">
        <is>
          <t>Refill</t>
        </is>
      </c>
      <c r="D2483" t="inlineStr">
        <is>
          <t>Primer Cachos</t>
        </is>
      </c>
      <c r="E2483" t="n">
        <v>1</v>
      </c>
      <c r="F2483" t="inlineStr">
        <is>
          <t>2026-01-28</t>
        </is>
      </c>
      <c r="G2483" t="n">
        <v>157</v>
      </c>
      <c r="H2483" t="inlineStr">
        <is>
          <t>Y</t>
        </is>
      </c>
      <c r="I2483">
        <f>HYPERLINK("https://admin.shopify.com/store/ge-beauty-cosmeticos/customers/8996618699072","abrir")</f>
        <v/>
      </c>
      <c r="J2483">
        <f>HYPERLINK("https://www.gebeauty.com.br/products/primer-cachos-definidos?ref=review","review")</f>
        <v/>
      </c>
      <c r="K2483" t="inlineStr">
        <is>
          <t>SEND</t>
        </is>
      </c>
    </row>
    <row r="2484">
      <c r="A2484" t="inlineStr">
        <is>
          <t>Mariana</t>
        </is>
      </c>
      <c r="B2484" t="inlineStr">
        <is>
          <t>+5521988124618</t>
        </is>
      </c>
      <c r="C2484" t="inlineStr">
        <is>
          <t>Refill</t>
        </is>
      </c>
      <c r="D2484" t="inlineStr">
        <is>
          <t>Primer Cachos</t>
        </is>
      </c>
      <c r="E2484" t="n">
        <v>1</v>
      </c>
      <c r="F2484" t="inlineStr">
        <is>
          <t>2026-01-28</t>
        </is>
      </c>
      <c r="G2484" t="n">
        <v>157</v>
      </c>
      <c r="H2484" t="inlineStr">
        <is>
          <t>Y</t>
        </is>
      </c>
      <c r="I2484">
        <f>HYPERLINK("https://admin.shopify.com/store/ge-beauty-cosmeticos/customers/8476727705920","abrir")</f>
        <v/>
      </c>
      <c r="J2484">
        <f>HYPERLINK("https://www.gebeauty.com.br/products/primer-cachos-definidos?ref=review","review")</f>
        <v/>
      </c>
      <c r="K2484" t="inlineStr">
        <is>
          <t>SEND</t>
        </is>
      </c>
    </row>
    <row r="2485">
      <c r="A2485" t="inlineStr">
        <is>
          <t>Juliane</t>
        </is>
      </c>
      <c r="B2485" t="inlineStr">
        <is>
          <t>+5547997283152</t>
        </is>
      </c>
      <c r="C2485" t="inlineStr">
        <is>
          <t>Refill</t>
        </is>
      </c>
      <c r="D2485" t="inlineStr">
        <is>
          <t>Primer Cachos</t>
        </is>
      </c>
      <c r="E2485" t="n">
        <v>1</v>
      </c>
      <c r="F2485" t="inlineStr">
        <is>
          <t>2026-01-28</t>
        </is>
      </c>
      <c r="G2485" t="n">
        <v>157</v>
      </c>
      <c r="H2485" t="inlineStr">
        <is>
          <t>Y</t>
        </is>
      </c>
      <c r="I2485">
        <f>HYPERLINK("https://admin.shopify.com/store/ge-beauty-cosmeticos/customers/10090652565824","abrir")</f>
        <v/>
      </c>
      <c r="J2485">
        <f>HYPERLINK("https://www.gebeauty.com.br/products/primer-cachos-definidos?ref=review","review")</f>
        <v/>
      </c>
      <c r="K2485" t="inlineStr">
        <is>
          <t>SEND</t>
        </is>
      </c>
    </row>
    <row r="2486">
      <c r="A2486" t="inlineStr">
        <is>
          <t>Glaucia</t>
        </is>
      </c>
      <c r="B2486" t="inlineStr">
        <is>
          <t>+5521982612344</t>
        </is>
      </c>
      <c r="C2486" t="inlineStr">
        <is>
          <t>Refill</t>
        </is>
      </c>
      <c r="D2486" t="inlineStr">
        <is>
          <t>Primer Cachos</t>
        </is>
      </c>
      <c r="E2486" t="n">
        <v>1</v>
      </c>
      <c r="F2486" t="inlineStr">
        <is>
          <t>2026-01-28</t>
        </is>
      </c>
      <c r="G2486" t="n">
        <v>157</v>
      </c>
      <c r="H2486" t="inlineStr">
        <is>
          <t>Y</t>
        </is>
      </c>
      <c r="I2486">
        <f>HYPERLINK("https://admin.shopify.com/store/ge-beauty-cosmeticos/customers/10090676748608","abrir")</f>
        <v/>
      </c>
      <c r="J2486">
        <f>HYPERLINK("https://www.gebeauty.com.br/products/primer-cachos-definidos?ref=review","review")</f>
        <v/>
      </c>
      <c r="K2486" t="inlineStr">
        <is>
          <t>SEND</t>
        </is>
      </c>
    </row>
    <row r="2487">
      <c r="A2487" t="inlineStr">
        <is>
          <t>Ana</t>
        </is>
      </c>
      <c r="B2487" t="inlineStr">
        <is>
          <t>+5521997828576</t>
        </is>
      </c>
      <c r="C2487" t="inlineStr">
        <is>
          <t>Refill</t>
        </is>
      </c>
      <c r="D2487" t="inlineStr">
        <is>
          <t>Primer Cachos</t>
        </is>
      </c>
      <c r="E2487" t="n">
        <v>1</v>
      </c>
      <c r="F2487" t="inlineStr">
        <is>
          <t>2026-01-28</t>
        </is>
      </c>
      <c r="G2487" t="n">
        <v>157</v>
      </c>
      <c r="H2487" t="inlineStr">
        <is>
          <t>Y</t>
        </is>
      </c>
      <c r="I2487">
        <f>HYPERLINK("https://admin.shopify.com/store/ge-beauty-cosmeticos/customers/10090694771008","abrir")</f>
        <v/>
      </c>
      <c r="J2487">
        <f>HYPERLINK("https://www.gebeauty.com.br/products/primer-cachos-definidos?ref=review","review")</f>
        <v/>
      </c>
      <c r="K2487" t="inlineStr">
        <is>
          <t>SEND</t>
        </is>
      </c>
    </row>
    <row r="2488">
      <c r="A2488" t="inlineStr">
        <is>
          <t>Ana</t>
        </is>
      </c>
      <c r="B2488" t="inlineStr">
        <is>
          <t>+5521988791222</t>
        </is>
      </c>
      <c r="C2488" t="inlineStr">
        <is>
          <t>Refill</t>
        </is>
      </c>
      <c r="D2488" t="inlineStr">
        <is>
          <t>Primer Cachos</t>
        </is>
      </c>
      <c r="E2488" t="n">
        <v>1</v>
      </c>
      <c r="F2488" t="inlineStr">
        <is>
          <t>2026-01-28</t>
        </is>
      </c>
      <c r="G2488" t="n">
        <v>157</v>
      </c>
      <c r="H2488" t="inlineStr">
        <is>
          <t>Y</t>
        </is>
      </c>
      <c r="I2488">
        <f>HYPERLINK("https://admin.shopify.com/store/ge-beauty-cosmeticos/customers/10090713710912","abrir")</f>
        <v/>
      </c>
      <c r="J2488">
        <f>HYPERLINK("https://www.gebeauty.com.br/products/primer-cachos-definidos?ref=review","review")</f>
        <v/>
      </c>
      <c r="K2488" t="inlineStr">
        <is>
          <t>SEND</t>
        </is>
      </c>
    </row>
    <row r="2489">
      <c r="A2489" t="inlineStr">
        <is>
          <t>Caroline</t>
        </is>
      </c>
      <c r="B2489" t="inlineStr">
        <is>
          <t>+5521997370879</t>
        </is>
      </c>
      <c r="C2489" t="inlineStr">
        <is>
          <t>Refill</t>
        </is>
      </c>
      <c r="D2489" t="inlineStr">
        <is>
          <t>Primer Cachos</t>
        </is>
      </c>
      <c r="E2489" t="n">
        <v>1</v>
      </c>
      <c r="F2489" t="inlineStr">
        <is>
          <t>2026-01-28</t>
        </is>
      </c>
      <c r="G2489" t="n">
        <v>157</v>
      </c>
      <c r="H2489" t="inlineStr">
        <is>
          <t>Y</t>
        </is>
      </c>
      <c r="I2489">
        <f>HYPERLINK("https://admin.shopify.com/store/ge-beauty-cosmeticos/customers/10090748084544","abrir")</f>
        <v/>
      </c>
      <c r="J2489">
        <f>HYPERLINK("https://www.gebeauty.com.br/products/primer-cachos-definidos?ref=review","review")</f>
        <v/>
      </c>
      <c r="K2489" t="inlineStr">
        <is>
          <t>SEND</t>
        </is>
      </c>
    </row>
    <row r="2490">
      <c r="A2490" t="inlineStr">
        <is>
          <t>Renata</t>
        </is>
      </c>
      <c r="B2490" t="inlineStr">
        <is>
          <t>+5511974355204</t>
        </is>
      </c>
      <c r="C2490" t="inlineStr">
        <is>
          <t>Refill</t>
        </is>
      </c>
      <c r="D2490" t="inlineStr">
        <is>
          <t>Primer Cachos</t>
        </is>
      </c>
      <c r="E2490" t="n">
        <v>1</v>
      </c>
      <c r="F2490" t="inlineStr">
        <is>
          <t>2026-01-28</t>
        </is>
      </c>
      <c r="G2490" t="n">
        <v>157</v>
      </c>
      <c r="H2490" t="inlineStr">
        <is>
          <t>Y</t>
        </is>
      </c>
      <c r="I2490">
        <f>HYPERLINK("https://admin.shopify.com/store/ge-beauty-cosmeticos/customers/9484428542272","abrir")</f>
        <v/>
      </c>
      <c r="J2490">
        <f>HYPERLINK("https://www.gebeauty.com.br/products/primer-cachos-definidos?ref=review","review")</f>
        <v/>
      </c>
      <c r="K2490" t="inlineStr">
        <is>
          <t>SEND</t>
        </is>
      </c>
    </row>
    <row r="2491">
      <c r="A2491" t="inlineStr">
        <is>
          <t>Valdinete</t>
        </is>
      </c>
      <c r="B2491" t="inlineStr">
        <is>
          <t>+5511979981668</t>
        </is>
      </c>
      <c r="C2491" t="inlineStr">
        <is>
          <t>Refill</t>
        </is>
      </c>
      <c r="D2491" t="inlineStr">
        <is>
          <t>Primer Cachos</t>
        </is>
      </c>
      <c r="E2491" t="n">
        <v>1</v>
      </c>
      <c r="F2491" t="inlineStr">
        <is>
          <t>2026-01-28</t>
        </is>
      </c>
      <c r="G2491" t="n">
        <v>157</v>
      </c>
      <c r="H2491" t="inlineStr">
        <is>
          <t>Y</t>
        </is>
      </c>
      <c r="I2491">
        <f>HYPERLINK("https://admin.shopify.com/store/ge-beauty-cosmeticos/customers/10090784522560","abrir")</f>
        <v/>
      </c>
      <c r="J2491">
        <f>HYPERLINK("https://www.gebeauty.com.br/products/primer-cachos-definidos?ref=review","review")</f>
        <v/>
      </c>
      <c r="K2491" t="inlineStr">
        <is>
          <t>SEND</t>
        </is>
      </c>
    </row>
    <row r="2492">
      <c r="A2492" t="inlineStr">
        <is>
          <t>Isabella</t>
        </is>
      </c>
      <c r="B2492" t="inlineStr">
        <is>
          <t>+5521972779696</t>
        </is>
      </c>
      <c r="C2492" t="inlineStr">
        <is>
          <t>Refill</t>
        </is>
      </c>
      <c r="D2492" t="inlineStr">
        <is>
          <t>Primer Cachos</t>
        </is>
      </c>
      <c r="E2492" t="n">
        <v>1</v>
      </c>
      <c r="F2492" t="inlineStr">
        <is>
          <t>2026-01-28</t>
        </is>
      </c>
      <c r="G2492" t="n">
        <v>157</v>
      </c>
      <c r="H2492" t="inlineStr">
        <is>
          <t>Y</t>
        </is>
      </c>
      <c r="I2492">
        <f>HYPERLINK("https://admin.shopify.com/store/ge-beauty-cosmeticos/customers/8923656585536","abrir")</f>
        <v/>
      </c>
      <c r="J2492">
        <f>HYPERLINK("https://www.gebeauty.com.br/products/primer-cachos-definidos?ref=review","review")</f>
        <v/>
      </c>
      <c r="K2492" t="inlineStr">
        <is>
          <t>SEND</t>
        </is>
      </c>
    </row>
    <row r="2493">
      <c r="A2493" t="inlineStr">
        <is>
          <t>Maria</t>
        </is>
      </c>
      <c r="B2493" t="inlineStr">
        <is>
          <t>+5511975436464</t>
        </is>
      </c>
      <c r="C2493" t="inlineStr">
        <is>
          <t>Refill</t>
        </is>
      </c>
      <c r="D2493" t="inlineStr">
        <is>
          <t>Primer Cachos</t>
        </is>
      </c>
      <c r="E2493" t="n">
        <v>1</v>
      </c>
      <c r="F2493" t="inlineStr">
        <is>
          <t>2026-01-28</t>
        </is>
      </c>
      <c r="G2493" t="n">
        <v>157</v>
      </c>
      <c r="H2493" t="inlineStr">
        <is>
          <t>Y</t>
        </is>
      </c>
      <c r="I2493">
        <f>HYPERLINK("https://admin.shopify.com/store/ge-beauty-cosmeticos/customers/10090779607360","abrir")</f>
        <v/>
      </c>
      <c r="J2493">
        <f>HYPERLINK("https://www.gebeauty.com.br/products/primer-cachos-definidos?ref=review","review")</f>
        <v/>
      </c>
      <c r="K2493" t="inlineStr">
        <is>
          <t>SEND</t>
        </is>
      </c>
    </row>
    <row r="2494">
      <c r="A2494" t="inlineStr">
        <is>
          <t>Ana Marcia</t>
        </is>
      </c>
      <c r="B2494" t="inlineStr">
        <is>
          <t>+5541996776996</t>
        </is>
      </c>
      <c r="C2494" t="inlineStr">
        <is>
          <t>Refill</t>
        </is>
      </c>
      <c r="D2494" t="inlineStr">
        <is>
          <t>Primer Cachos</t>
        </is>
      </c>
      <c r="E2494" t="n">
        <v>1</v>
      </c>
      <c r="F2494" t="inlineStr">
        <is>
          <t>2026-01-28</t>
        </is>
      </c>
      <c r="G2494" t="n">
        <v>157</v>
      </c>
      <c r="H2494" t="inlineStr">
        <is>
          <t>Y</t>
        </is>
      </c>
      <c r="I2494">
        <f>HYPERLINK("https://admin.shopify.com/store/ge-beauty-cosmeticos/customers/9987411804480","abrir")</f>
        <v/>
      </c>
      <c r="J2494">
        <f>HYPERLINK("https://www.gebeauty.com.br/products/primer-cachos-definidos?ref=review","review")</f>
        <v/>
      </c>
      <c r="K2494" t="inlineStr">
        <is>
          <t>SEND</t>
        </is>
      </c>
    </row>
    <row r="2495">
      <c r="A2495" t="inlineStr">
        <is>
          <t>Jacqueline</t>
        </is>
      </c>
      <c r="B2495" t="inlineStr">
        <is>
          <t>+5519981848521</t>
        </is>
      </c>
      <c r="C2495" t="inlineStr">
        <is>
          <t>Refill</t>
        </is>
      </c>
      <c r="D2495" t="inlineStr">
        <is>
          <t>Primer Cachos</t>
        </is>
      </c>
      <c r="E2495" t="n">
        <v>1</v>
      </c>
      <c r="F2495" t="inlineStr">
        <is>
          <t>2026-01-28</t>
        </is>
      </c>
      <c r="G2495" t="n">
        <v>157</v>
      </c>
      <c r="H2495" t="inlineStr">
        <is>
          <t>Y</t>
        </is>
      </c>
      <c r="I2495">
        <f>HYPERLINK("https://admin.shopify.com/store/ge-beauty-cosmeticos/customers/10090806280512","abrir")</f>
        <v/>
      </c>
      <c r="J2495">
        <f>HYPERLINK("https://www.gebeauty.com.br/products/primer-cachos-definidos?ref=review","review")</f>
        <v/>
      </c>
      <c r="K2495" t="inlineStr">
        <is>
          <t>SEND</t>
        </is>
      </c>
    </row>
    <row r="2496">
      <c r="A2496" t="inlineStr">
        <is>
          <t>Ana</t>
        </is>
      </c>
      <c r="B2496" t="inlineStr">
        <is>
          <t>+5581992454097</t>
        </is>
      </c>
      <c r="C2496" t="inlineStr">
        <is>
          <t>Refill</t>
        </is>
      </c>
      <c r="D2496" t="inlineStr">
        <is>
          <t>Primer Cachos</t>
        </is>
      </c>
      <c r="E2496" t="n">
        <v>1</v>
      </c>
      <c r="F2496" t="inlineStr">
        <is>
          <t>2026-01-28</t>
        </is>
      </c>
      <c r="G2496" t="n">
        <v>157</v>
      </c>
      <c r="H2496" t="inlineStr">
        <is>
          <t>Y</t>
        </is>
      </c>
      <c r="I2496">
        <f>HYPERLINK("https://admin.shopify.com/store/ge-beauty-cosmeticos/customers/10090836885824","abrir")</f>
        <v/>
      </c>
      <c r="J2496">
        <f>HYPERLINK("https://www.gebeauty.com.br/products/primer-cachos-definidos?ref=review","review")</f>
        <v/>
      </c>
      <c r="K2496" t="inlineStr">
        <is>
          <t>SEND</t>
        </is>
      </c>
    </row>
    <row r="2497">
      <c r="A2497" t="inlineStr">
        <is>
          <t>Rina</t>
        </is>
      </c>
      <c r="B2497" t="inlineStr">
        <is>
          <t>+5522998132305</t>
        </is>
      </c>
      <c r="C2497" t="inlineStr">
        <is>
          <t>Refill</t>
        </is>
      </c>
      <c r="D2497" t="inlineStr">
        <is>
          <t>Primer Cachos</t>
        </is>
      </c>
      <c r="E2497" t="n">
        <v>1</v>
      </c>
      <c r="F2497" t="inlineStr">
        <is>
          <t>2026-01-28</t>
        </is>
      </c>
      <c r="G2497" t="n">
        <v>157</v>
      </c>
      <c r="H2497" t="inlineStr">
        <is>
          <t>Y</t>
        </is>
      </c>
      <c r="I2497">
        <f>HYPERLINK("https://admin.shopify.com/store/ge-beauty-cosmeticos/customers/10090957865280","abrir")</f>
        <v/>
      </c>
      <c r="J2497">
        <f>HYPERLINK("https://www.gebeauty.com.br/products/primer-cachos-definidos?ref=review","review")</f>
        <v/>
      </c>
      <c r="K2497" t="inlineStr">
        <is>
          <t>SEND</t>
        </is>
      </c>
    </row>
    <row r="2498">
      <c r="A2498" t="inlineStr">
        <is>
          <t>Rosemary</t>
        </is>
      </c>
      <c r="B2498" t="inlineStr">
        <is>
          <t>+5519981389102</t>
        </is>
      </c>
      <c r="C2498" t="inlineStr">
        <is>
          <t>Refill</t>
        </is>
      </c>
      <c r="D2498" t="inlineStr">
        <is>
          <t>Primer Cachos</t>
        </is>
      </c>
      <c r="E2498" t="n">
        <v>1</v>
      </c>
      <c r="F2498" t="inlineStr">
        <is>
          <t>2026-01-28</t>
        </is>
      </c>
      <c r="G2498" t="n">
        <v>157</v>
      </c>
      <c r="H2498" t="inlineStr">
        <is>
          <t>Y</t>
        </is>
      </c>
      <c r="I2498">
        <f>HYPERLINK("https://admin.shopify.com/store/ge-beauty-cosmeticos/customers/10090971824448","abrir")</f>
        <v/>
      </c>
      <c r="J2498">
        <f>HYPERLINK("https://www.gebeauty.com.br/products/primer-cachos-definidos?ref=review","review")</f>
        <v/>
      </c>
      <c r="K2498" t="inlineStr">
        <is>
          <t>SEND</t>
        </is>
      </c>
    </row>
    <row r="2499">
      <c r="A2499" t="inlineStr">
        <is>
          <t>Ana</t>
        </is>
      </c>
      <c r="B2499" t="inlineStr">
        <is>
          <t>+5548988054329</t>
        </is>
      </c>
      <c r="C2499" t="inlineStr">
        <is>
          <t>Refill</t>
        </is>
      </c>
      <c r="D2499" t="inlineStr">
        <is>
          <t>Primer Cachos</t>
        </is>
      </c>
      <c r="E2499" t="n">
        <v>1</v>
      </c>
      <c r="F2499" t="inlineStr">
        <is>
          <t>2026-01-28</t>
        </is>
      </c>
      <c r="G2499" t="n">
        <v>157</v>
      </c>
      <c r="H2499" t="inlineStr">
        <is>
          <t>Y</t>
        </is>
      </c>
      <c r="I2499">
        <f>HYPERLINK("https://admin.shopify.com/store/ge-beauty-cosmeticos/customers/10090988568896","abrir")</f>
        <v/>
      </c>
      <c r="J2499">
        <f>HYPERLINK("https://www.gebeauty.com.br/products/primer-cachos-definidos?ref=review","review")</f>
        <v/>
      </c>
      <c r="K2499" t="inlineStr">
        <is>
          <t>SEND</t>
        </is>
      </c>
    </row>
    <row r="2500">
      <c r="A2500" t="inlineStr">
        <is>
          <t>Jussara</t>
        </is>
      </c>
      <c r="B2500" t="inlineStr">
        <is>
          <t>+5561991022005</t>
        </is>
      </c>
      <c r="C2500" t="inlineStr">
        <is>
          <t>Refill</t>
        </is>
      </c>
      <c r="D2500" t="inlineStr">
        <is>
          <t>Primer Cachos</t>
        </is>
      </c>
      <c r="E2500" t="n">
        <v>1</v>
      </c>
      <c r="F2500" t="inlineStr">
        <is>
          <t>2026-01-28</t>
        </is>
      </c>
      <c r="G2500" t="n">
        <v>157</v>
      </c>
      <c r="H2500" t="inlineStr">
        <is>
          <t>Y</t>
        </is>
      </c>
      <c r="I2500">
        <f>HYPERLINK("https://admin.shopify.com/store/ge-beauty-cosmeticos/customers/10091054629184","abrir")</f>
        <v/>
      </c>
      <c r="J2500">
        <f>HYPERLINK("https://www.gebeauty.com.br/products/primer-cachos-definidos?ref=review","review")</f>
        <v/>
      </c>
      <c r="K2500" t="inlineStr">
        <is>
          <t>SEND</t>
        </is>
      </c>
    </row>
    <row r="2501">
      <c r="A2501" t="inlineStr">
        <is>
          <t>Fernanda</t>
        </is>
      </c>
      <c r="B2501" t="inlineStr">
        <is>
          <t>+5548999825319</t>
        </is>
      </c>
      <c r="C2501" t="inlineStr">
        <is>
          <t>Refill</t>
        </is>
      </c>
      <c r="D2501" t="inlineStr">
        <is>
          <t>Primer Cachos</t>
        </is>
      </c>
      <c r="E2501" t="n">
        <v>1</v>
      </c>
      <c r="F2501" t="inlineStr">
        <is>
          <t>2026-01-28</t>
        </is>
      </c>
      <c r="G2501" t="n">
        <v>157</v>
      </c>
      <c r="H2501" t="inlineStr">
        <is>
          <t>Y</t>
        </is>
      </c>
      <c r="I2501">
        <f>HYPERLINK("https://admin.shopify.com/store/ge-beauty-cosmeticos/customers/10085217632576","abrir")</f>
        <v/>
      </c>
      <c r="J2501">
        <f>HYPERLINK("https://www.gebeauty.com.br/products/primer-cachos-definidos?ref=review","review")</f>
        <v/>
      </c>
      <c r="K2501" t="inlineStr">
        <is>
          <t>SEND</t>
        </is>
      </c>
    </row>
    <row r="2502">
      <c r="A2502" t="inlineStr">
        <is>
          <t>Luciana</t>
        </is>
      </c>
      <c r="B2502" t="inlineStr">
        <is>
          <t>+5511988010727</t>
        </is>
      </c>
      <c r="C2502" t="inlineStr">
        <is>
          <t>Refill</t>
        </is>
      </c>
      <c r="D2502" t="inlineStr">
        <is>
          <t>Primer Cachos</t>
        </is>
      </c>
      <c r="E2502" t="n">
        <v>1</v>
      </c>
      <c r="F2502" t="inlineStr">
        <is>
          <t>2026-01-28</t>
        </is>
      </c>
      <c r="G2502" t="n">
        <v>157</v>
      </c>
      <c r="H2502" t="inlineStr">
        <is>
          <t>Y</t>
        </is>
      </c>
      <c r="I2502">
        <f>HYPERLINK("https://admin.shopify.com/store/ge-beauty-cosmeticos/customers/10091069178176","abrir")</f>
        <v/>
      </c>
      <c r="J2502">
        <f>HYPERLINK("https://www.gebeauty.com.br/products/primer-cachos-definidos?ref=review","review")</f>
        <v/>
      </c>
      <c r="K2502" t="inlineStr">
        <is>
          <t>SEND</t>
        </is>
      </c>
    </row>
    <row r="2503">
      <c r="A2503" t="inlineStr">
        <is>
          <t>Gysleyle</t>
        </is>
      </c>
      <c r="B2503" t="inlineStr">
        <is>
          <t>+5564984094247</t>
        </is>
      </c>
      <c r="C2503" t="inlineStr">
        <is>
          <t>Refill</t>
        </is>
      </c>
      <c r="D2503" t="inlineStr">
        <is>
          <t>Primer Cachos</t>
        </is>
      </c>
      <c r="E2503" t="n">
        <v>1</v>
      </c>
      <c r="F2503" t="inlineStr">
        <is>
          <t>2026-01-28</t>
        </is>
      </c>
      <c r="G2503" t="n">
        <v>157</v>
      </c>
      <c r="H2503" t="inlineStr">
        <is>
          <t>Y</t>
        </is>
      </c>
      <c r="I2503">
        <f>HYPERLINK("https://admin.shopify.com/store/ge-beauty-cosmeticos/customers/10091052171584","abrir")</f>
        <v/>
      </c>
      <c r="J2503">
        <f>HYPERLINK("https://www.gebeauty.com.br/products/primer-cachos-definidos?ref=review","review")</f>
        <v/>
      </c>
      <c r="K2503" t="inlineStr">
        <is>
          <t>HOLDOUT</t>
        </is>
      </c>
    </row>
    <row r="2504">
      <c r="A2504" t="inlineStr">
        <is>
          <t>Viviane</t>
        </is>
      </c>
      <c r="B2504" t="inlineStr">
        <is>
          <t>+5581988009935</t>
        </is>
      </c>
      <c r="C2504" t="inlineStr">
        <is>
          <t>Refill</t>
        </is>
      </c>
      <c r="D2504" t="inlineStr">
        <is>
          <t>Primer Cachos</t>
        </is>
      </c>
      <c r="E2504" t="n">
        <v>1</v>
      </c>
      <c r="F2504" t="inlineStr">
        <is>
          <t>2026-01-28</t>
        </is>
      </c>
      <c r="G2504" t="n">
        <v>157</v>
      </c>
      <c r="H2504" t="inlineStr">
        <is>
          <t>Y</t>
        </is>
      </c>
      <c r="I2504">
        <f>HYPERLINK("https://admin.shopify.com/store/ge-beauty-cosmeticos/customers/10091103945024","abrir")</f>
        <v/>
      </c>
      <c r="J2504">
        <f>HYPERLINK("https://www.gebeauty.com.br/products/primer-cachos-definidos?ref=review","review")</f>
        <v/>
      </c>
      <c r="K2504" t="inlineStr">
        <is>
          <t>SEND</t>
        </is>
      </c>
    </row>
    <row r="2505">
      <c r="A2505" t="inlineStr">
        <is>
          <t>Lilian</t>
        </is>
      </c>
      <c r="B2505" t="inlineStr">
        <is>
          <t>+5511998553370</t>
        </is>
      </c>
      <c r="C2505" t="inlineStr">
        <is>
          <t>Refill</t>
        </is>
      </c>
      <c r="D2505" t="inlineStr">
        <is>
          <t>Primer Cachos</t>
        </is>
      </c>
      <c r="E2505" t="n">
        <v>1</v>
      </c>
      <c r="F2505" t="inlineStr">
        <is>
          <t>2026-01-28</t>
        </is>
      </c>
      <c r="G2505" t="n">
        <v>157</v>
      </c>
      <c r="H2505" t="inlineStr">
        <is>
          <t>Y</t>
        </is>
      </c>
      <c r="I2505">
        <f>HYPERLINK("https://admin.shopify.com/store/ge-beauty-cosmeticos/customers/9992366195008","abrir")</f>
        <v/>
      </c>
      <c r="J2505">
        <f>HYPERLINK("https://www.gebeauty.com.br/products/primer-cachos-definidos?ref=review","review")</f>
        <v/>
      </c>
      <c r="K2505" t="inlineStr">
        <is>
          <t>SEND</t>
        </is>
      </c>
    </row>
    <row r="2506">
      <c r="A2506" t="inlineStr">
        <is>
          <t>Ana Carolina</t>
        </is>
      </c>
      <c r="B2506" t="inlineStr">
        <is>
          <t>+5531999498046</t>
        </is>
      </c>
      <c r="C2506" t="inlineStr">
        <is>
          <t>Refill</t>
        </is>
      </c>
      <c r="D2506" t="inlineStr">
        <is>
          <t>Primer Cachos</t>
        </is>
      </c>
      <c r="E2506" t="n">
        <v>1</v>
      </c>
      <c r="F2506" t="inlineStr">
        <is>
          <t>2026-01-28</t>
        </is>
      </c>
      <c r="G2506" t="n">
        <v>157</v>
      </c>
      <c r="H2506" t="inlineStr">
        <is>
          <t>Y</t>
        </is>
      </c>
      <c r="I2506">
        <f>HYPERLINK("https://admin.shopify.com/store/ge-beauty-cosmeticos/customers/10091120001344","abrir")</f>
        <v/>
      </c>
      <c r="J2506">
        <f>HYPERLINK("https://www.gebeauty.com.br/products/primer-cachos-definidos?ref=review","review")</f>
        <v/>
      </c>
      <c r="K2506" t="inlineStr">
        <is>
          <t>SEND</t>
        </is>
      </c>
    </row>
    <row r="2507">
      <c r="A2507" t="inlineStr">
        <is>
          <t>Marina</t>
        </is>
      </c>
      <c r="B2507" t="inlineStr">
        <is>
          <t>+5511960773488</t>
        </is>
      </c>
      <c r="C2507" t="inlineStr">
        <is>
          <t>Refill</t>
        </is>
      </c>
      <c r="D2507" t="inlineStr">
        <is>
          <t>Primer Cachos</t>
        </is>
      </c>
      <c r="E2507" t="n">
        <v>1</v>
      </c>
      <c r="F2507" t="inlineStr">
        <is>
          <t>2026-01-28</t>
        </is>
      </c>
      <c r="G2507" t="n">
        <v>157</v>
      </c>
      <c r="H2507" t="inlineStr">
        <is>
          <t>Y</t>
        </is>
      </c>
      <c r="I2507">
        <f>HYPERLINK("https://admin.shopify.com/store/ge-beauty-cosmeticos/customers/10091134910784","abrir")</f>
        <v/>
      </c>
      <c r="J2507">
        <f>HYPERLINK("https://www.gebeauty.com.br/products/primer-cachos-definidos?ref=review","review")</f>
        <v/>
      </c>
      <c r="K2507" t="inlineStr">
        <is>
          <t>SEND</t>
        </is>
      </c>
    </row>
    <row r="2508">
      <c r="A2508" t="inlineStr">
        <is>
          <t>Tamires</t>
        </is>
      </c>
      <c r="B2508" t="inlineStr">
        <is>
          <t>+5514981096819</t>
        </is>
      </c>
      <c r="C2508" t="inlineStr">
        <is>
          <t>Refill</t>
        </is>
      </c>
      <c r="D2508" t="inlineStr">
        <is>
          <t>Primer Cachos</t>
        </is>
      </c>
      <c r="E2508" t="n">
        <v>1</v>
      </c>
      <c r="F2508" t="inlineStr">
        <is>
          <t>2026-01-28</t>
        </is>
      </c>
      <c r="G2508" t="n">
        <v>157</v>
      </c>
      <c r="H2508" t="inlineStr">
        <is>
          <t>Y</t>
        </is>
      </c>
      <c r="I2508">
        <f>HYPERLINK("https://admin.shopify.com/store/ge-beauty-cosmeticos/customers/9486243627328","abrir")</f>
        <v/>
      </c>
      <c r="J2508">
        <f>HYPERLINK("https://www.gebeauty.com.br/products/primer-cachos-definidos?ref=review","review")</f>
        <v/>
      </c>
      <c r="K2508" t="inlineStr">
        <is>
          <t>SEND</t>
        </is>
      </c>
    </row>
    <row r="2509">
      <c r="A2509" t="inlineStr">
        <is>
          <t>Marianne</t>
        </is>
      </c>
      <c r="B2509" t="inlineStr">
        <is>
          <t>+5562996076146</t>
        </is>
      </c>
      <c r="C2509" t="inlineStr">
        <is>
          <t>Refill</t>
        </is>
      </c>
      <c r="D2509" t="inlineStr">
        <is>
          <t>Primer Cachos</t>
        </is>
      </c>
      <c r="E2509" t="n">
        <v>1</v>
      </c>
      <c r="F2509" t="inlineStr">
        <is>
          <t>2026-01-28</t>
        </is>
      </c>
      <c r="G2509" t="n">
        <v>157</v>
      </c>
      <c r="H2509" t="inlineStr">
        <is>
          <t>Y</t>
        </is>
      </c>
      <c r="I2509">
        <f>HYPERLINK("https://admin.shopify.com/store/ge-beauty-cosmeticos/customers/10091216044352","abrir")</f>
        <v/>
      </c>
      <c r="J2509">
        <f>HYPERLINK("https://www.gebeauty.com.br/products/primer-cachos-definidos?ref=review","review")</f>
        <v/>
      </c>
      <c r="K2509" t="inlineStr">
        <is>
          <t>SEND</t>
        </is>
      </c>
    </row>
    <row r="2510">
      <c r="A2510" t="inlineStr">
        <is>
          <t>Thalytta</t>
        </is>
      </c>
      <c r="B2510" t="inlineStr">
        <is>
          <t>+5533997073221</t>
        </is>
      </c>
      <c r="C2510" t="inlineStr">
        <is>
          <t>Refill</t>
        </is>
      </c>
      <c r="D2510" t="inlineStr">
        <is>
          <t>Primer Cachos</t>
        </is>
      </c>
      <c r="E2510" t="n">
        <v>1</v>
      </c>
      <c r="F2510" t="inlineStr">
        <is>
          <t>2026-01-28</t>
        </is>
      </c>
      <c r="G2510" t="n">
        <v>157</v>
      </c>
      <c r="H2510" t="inlineStr">
        <is>
          <t>Y</t>
        </is>
      </c>
      <c r="I2510">
        <f>HYPERLINK("https://admin.shopify.com/store/ge-beauty-cosmeticos/customers/10072985665856","abrir")</f>
        <v/>
      </c>
      <c r="J2510">
        <f>HYPERLINK("https://www.gebeauty.com.br/products/primer-cachos-definidos?ref=review","review")</f>
        <v/>
      </c>
      <c r="K2510" t="inlineStr">
        <is>
          <t>SEND</t>
        </is>
      </c>
    </row>
    <row r="2511">
      <c r="A2511" t="inlineStr">
        <is>
          <t>Ana</t>
        </is>
      </c>
      <c r="B2511" t="inlineStr">
        <is>
          <t>+5521986866121</t>
        </is>
      </c>
      <c r="C2511" t="inlineStr">
        <is>
          <t>Refill</t>
        </is>
      </c>
      <c r="D2511" t="inlineStr">
        <is>
          <t>Primer Cachos</t>
        </is>
      </c>
      <c r="E2511" t="n">
        <v>1</v>
      </c>
      <c r="F2511" t="inlineStr">
        <is>
          <t>2026-01-28</t>
        </is>
      </c>
      <c r="G2511" t="n">
        <v>157</v>
      </c>
      <c r="H2511" t="inlineStr">
        <is>
          <t>Y</t>
        </is>
      </c>
      <c r="I2511">
        <f>HYPERLINK("https://admin.shopify.com/store/ge-beauty-cosmeticos/customers/9484413043008","abrir")</f>
        <v/>
      </c>
      <c r="J2511">
        <f>HYPERLINK("https://www.gebeauty.com.br/products/primer-cachos-definidos?ref=review","review")</f>
        <v/>
      </c>
      <c r="K2511" t="inlineStr">
        <is>
          <t>SEND</t>
        </is>
      </c>
    </row>
    <row r="2512">
      <c r="A2512" t="inlineStr">
        <is>
          <t>Kelly</t>
        </is>
      </c>
      <c r="B2512" t="inlineStr">
        <is>
          <t>+5511971559212</t>
        </is>
      </c>
      <c r="C2512" t="inlineStr">
        <is>
          <t>Refill</t>
        </is>
      </c>
      <c r="D2512" t="inlineStr">
        <is>
          <t>Primer Cachos</t>
        </is>
      </c>
      <c r="E2512" t="n">
        <v>1</v>
      </c>
      <c r="F2512" t="inlineStr">
        <is>
          <t>2026-01-29</t>
        </is>
      </c>
      <c r="G2512" t="n">
        <v>156</v>
      </c>
      <c r="H2512" t="inlineStr">
        <is>
          <t>Y</t>
        </is>
      </c>
      <c r="I2512">
        <f>HYPERLINK("https://admin.shopify.com/store/ge-beauty-cosmeticos/customers/10091293540672","abrir")</f>
        <v/>
      </c>
      <c r="J2512">
        <f>HYPERLINK("https://www.gebeauty.com.br/products/primer-cachos-definidos?ref=review","review")</f>
        <v/>
      </c>
      <c r="K2512" t="inlineStr">
        <is>
          <t>SEND</t>
        </is>
      </c>
    </row>
    <row r="2513">
      <c r="A2513" t="inlineStr">
        <is>
          <t>Priscilla</t>
        </is>
      </c>
      <c r="B2513" t="inlineStr">
        <is>
          <t>+5569999570822</t>
        </is>
      </c>
      <c r="C2513" t="inlineStr">
        <is>
          <t>Refill</t>
        </is>
      </c>
      <c r="D2513" t="inlineStr">
        <is>
          <t>Primer Cachos</t>
        </is>
      </c>
      <c r="E2513" t="n">
        <v>1</v>
      </c>
      <c r="F2513" t="inlineStr">
        <is>
          <t>2026-01-29</t>
        </is>
      </c>
      <c r="G2513" t="n">
        <v>156</v>
      </c>
      <c r="H2513" t="inlineStr">
        <is>
          <t>Y</t>
        </is>
      </c>
      <c r="I2513">
        <f>HYPERLINK("https://admin.shopify.com/store/ge-beauty-cosmeticos/customers/10091028414784","abrir")</f>
        <v/>
      </c>
      <c r="J2513">
        <f>HYPERLINK("https://www.gebeauty.com.br/products/primer-cachos-definidos?ref=review","review")</f>
        <v/>
      </c>
      <c r="K2513" t="inlineStr">
        <is>
          <t>SEND</t>
        </is>
      </c>
    </row>
    <row r="2514">
      <c r="A2514" t="inlineStr">
        <is>
          <t>Flavia</t>
        </is>
      </c>
      <c r="B2514" t="inlineStr">
        <is>
          <t>+5521971119431</t>
        </is>
      </c>
      <c r="C2514" t="inlineStr">
        <is>
          <t>Refill</t>
        </is>
      </c>
      <c r="D2514" t="inlineStr">
        <is>
          <t>Primer Cachos</t>
        </is>
      </c>
      <c r="E2514" t="n">
        <v>1</v>
      </c>
      <c r="F2514" t="inlineStr">
        <is>
          <t>2026-01-29</t>
        </is>
      </c>
      <c r="G2514" t="n">
        <v>156</v>
      </c>
      <c r="H2514" t="inlineStr">
        <is>
          <t>Y</t>
        </is>
      </c>
      <c r="I2514">
        <f>HYPERLINK("https://admin.shopify.com/store/ge-beauty-cosmeticos/customers/10091403968832","abrir")</f>
        <v/>
      </c>
      <c r="J2514">
        <f>HYPERLINK("https://www.gebeauty.com.br/products/primer-cachos-definidos?ref=review","review")</f>
        <v/>
      </c>
      <c r="K2514" t="inlineStr">
        <is>
          <t>SEND</t>
        </is>
      </c>
    </row>
    <row r="2515">
      <c r="A2515" t="inlineStr">
        <is>
          <t>Denis</t>
        </is>
      </c>
      <c r="B2515" t="inlineStr">
        <is>
          <t>+5511988215662</t>
        </is>
      </c>
      <c r="C2515" t="inlineStr">
        <is>
          <t>Refill</t>
        </is>
      </c>
      <c r="D2515" t="inlineStr">
        <is>
          <t>Primer Cachos</t>
        </is>
      </c>
      <c r="E2515" t="n">
        <v>1</v>
      </c>
      <c r="F2515" t="inlineStr">
        <is>
          <t>2026-01-29</t>
        </is>
      </c>
      <c r="G2515" t="n">
        <v>156</v>
      </c>
      <c r="H2515" t="inlineStr">
        <is>
          <t>Y</t>
        </is>
      </c>
      <c r="I2515">
        <f>HYPERLINK("https://admin.shopify.com/store/ge-beauty-cosmeticos/customers/10085519655232","abrir")</f>
        <v/>
      </c>
      <c r="J2515">
        <f>HYPERLINK("https://www.gebeauty.com.br/products/primer-cachos-definidos?ref=review","review")</f>
        <v/>
      </c>
      <c r="K2515" t="inlineStr">
        <is>
          <t>SEND</t>
        </is>
      </c>
    </row>
    <row r="2516">
      <c r="A2516" t="inlineStr">
        <is>
          <t>Julia</t>
        </is>
      </c>
      <c r="B2516" t="inlineStr">
        <is>
          <t>+5521975269661</t>
        </is>
      </c>
      <c r="C2516" t="inlineStr">
        <is>
          <t>Refill</t>
        </is>
      </c>
      <c r="D2516" t="inlineStr">
        <is>
          <t>Primer Cachos</t>
        </is>
      </c>
      <c r="E2516" t="n">
        <v>1</v>
      </c>
      <c r="F2516" t="inlineStr">
        <is>
          <t>2026-01-29</t>
        </is>
      </c>
      <c r="G2516" t="n">
        <v>156</v>
      </c>
      <c r="H2516" t="inlineStr">
        <is>
          <t>Y</t>
        </is>
      </c>
      <c r="I2516">
        <f>HYPERLINK("https://admin.shopify.com/store/ge-beauty-cosmeticos/customers/10091510628672","abrir")</f>
        <v/>
      </c>
      <c r="J2516">
        <f>HYPERLINK("https://www.gebeauty.com.br/products/primer-cachos-definidos?ref=review","review")</f>
        <v/>
      </c>
      <c r="K2516" t="inlineStr">
        <is>
          <t>SEND</t>
        </is>
      </c>
    </row>
    <row r="2517">
      <c r="A2517" t="inlineStr">
        <is>
          <t>Lorena</t>
        </is>
      </c>
      <c r="B2517" t="inlineStr">
        <is>
          <t>+5521969167860</t>
        </is>
      </c>
      <c r="C2517" t="inlineStr">
        <is>
          <t>Refill</t>
        </is>
      </c>
      <c r="D2517" t="inlineStr">
        <is>
          <t>Primer Cachos</t>
        </is>
      </c>
      <c r="E2517" t="n">
        <v>1</v>
      </c>
      <c r="F2517" t="inlineStr">
        <is>
          <t>2026-01-29</t>
        </is>
      </c>
      <c r="G2517" t="n">
        <v>156</v>
      </c>
      <c r="H2517" t="inlineStr">
        <is>
          <t>Y</t>
        </is>
      </c>
      <c r="I2517">
        <f>HYPERLINK("https://admin.shopify.com/store/ge-beauty-cosmeticos/customers/10091539169600","abrir")</f>
        <v/>
      </c>
      <c r="J2517">
        <f>HYPERLINK("https://www.gebeauty.com.br/products/primer-cachos-definidos?ref=review","review")</f>
        <v/>
      </c>
      <c r="K2517" t="inlineStr">
        <is>
          <t>SEND</t>
        </is>
      </c>
    </row>
    <row r="2518">
      <c r="A2518" t="inlineStr">
        <is>
          <t>Priscilla</t>
        </is>
      </c>
      <c r="B2518" t="inlineStr">
        <is>
          <t>+5527997369192</t>
        </is>
      </c>
      <c r="C2518" t="inlineStr">
        <is>
          <t>Refill</t>
        </is>
      </c>
      <c r="D2518" t="inlineStr">
        <is>
          <t>Primer Cachos</t>
        </is>
      </c>
      <c r="E2518" t="n">
        <v>1</v>
      </c>
      <c r="F2518" t="inlineStr">
        <is>
          <t>2026-01-29</t>
        </is>
      </c>
      <c r="G2518" t="n">
        <v>156</v>
      </c>
      <c r="H2518" t="inlineStr">
        <is>
          <t>Y</t>
        </is>
      </c>
      <c r="I2518">
        <f>HYPERLINK("https://admin.shopify.com/store/ge-beauty-cosmeticos/customers/10091566530880","abrir")</f>
        <v/>
      </c>
      <c r="J2518">
        <f>HYPERLINK("https://www.gebeauty.com.br/products/primer-cachos-definidos?ref=review","review")</f>
        <v/>
      </c>
      <c r="K2518" t="inlineStr">
        <is>
          <t>SEND</t>
        </is>
      </c>
    </row>
    <row r="2519">
      <c r="A2519" t="inlineStr">
        <is>
          <t>Maria Eduarda</t>
        </is>
      </c>
      <c r="B2519" t="inlineStr">
        <is>
          <t>+5521994025040</t>
        </is>
      </c>
      <c r="C2519" t="inlineStr">
        <is>
          <t>Refill</t>
        </is>
      </c>
      <c r="D2519" t="inlineStr">
        <is>
          <t>Primer Cachos</t>
        </is>
      </c>
      <c r="E2519" t="n">
        <v>1</v>
      </c>
      <c r="F2519" t="inlineStr">
        <is>
          <t>2026-01-29</t>
        </is>
      </c>
      <c r="G2519" t="n">
        <v>156</v>
      </c>
      <c r="H2519" t="inlineStr">
        <is>
          <t>Y</t>
        </is>
      </c>
      <c r="I2519">
        <f>HYPERLINK("https://admin.shopify.com/store/ge-beauty-cosmeticos/customers/10091555946816","abrir")</f>
        <v/>
      </c>
      <c r="J2519">
        <f>HYPERLINK("https://www.gebeauty.com.br/products/primer-cachos-definidos?ref=review","review")</f>
        <v/>
      </c>
      <c r="K2519" t="inlineStr">
        <is>
          <t>SEND</t>
        </is>
      </c>
    </row>
    <row r="2520">
      <c r="A2520" t="inlineStr">
        <is>
          <t>Gabrielle</t>
        </is>
      </c>
      <c r="B2520" t="inlineStr">
        <is>
          <t>+5528999712076</t>
        </is>
      </c>
      <c r="C2520" t="inlineStr">
        <is>
          <t>Refill</t>
        </is>
      </c>
      <c r="D2520" t="inlineStr">
        <is>
          <t>Primer Cachos</t>
        </is>
      </c>
      <c r="E2520" t="n">
        <v>1</v>
      </c>
      <c r="F2520" t="inlineStr">
        <is>
          <t>2026-01-29</t>
        </is>
      </c>
      <c r="G2520" t="n">
        <v>156</v>
      </c>
      <c r="H2520" t="inlineStr">
        <is>
          <t>Y</t>
        </is>
      </c>
      <c r="I2520">
        <f>HYPERLINK("https://admin.shopify.com/store/ge-beauty-cosmeticos/customers/8355672785216","abrir")</f>
        <v/>
      </c>
      <c r="J2520">
        <f>HYPERLINK("https://www.gebeauty.com.br/products/primer-cachos-definidos?ref=review","review")</f>
        <v/>
      </c>
      <c r="K2520" t="inlineStr">
        <is>
          <t>SEND</t>
        </is>
      </c>
    </row>
    <row r="2521">
      <c r="A2521" t="inlineStr">
        <is>
          <t>Chahane</t>
        </is>
      </c>
      <c r="B2521" t="inlineStr">
        <is>
          <t>+5548999784050</t>
        </is>
      </c>
      <c r="C2521" t="inlineStr">
        <is>
          <t>Refill</t>
        </is>
      </c>
      <c r="D2521" t="inlineStr">
        <is>
          <t>Primer Cachos</t>
        </is>
      </c>
      <c r="E2521" t="n">
        <v>1</v>
      </c>
      <c r="F2521" t="inlineStr">
        <is>
          <t>2026-01-29</t>
        </is>
      </c>
      <c r="G2521" t="n">
        <v>156</v>
      </c>
      <c r="H2521" t="inlineStr">
        <is>
          <t>Y</t>
        </is>
      </c>
      <c r="I2521">
        <f>HYPERLINK("https://admin.shopify.com/store/ge-beauty-cosmeticos/customers/10091945001280","abrir")</f>
        <v/>
      </c>
      <c r="J2521">
        <f>HYPERLINK("https://www.gebeauty.com.br/products/primer-cachos-definidos?ref=review","review")</f>
        <v/>
      </c>
      <c r="K2521" t="inlineStr">
        <is>
          <t>SEND</t>
        </is>
      </c>
    </row>
    <row r="2522">
      <c r="A2522" t="inlineStr">
        <is>
          <t>Camila</t>
        </is>
      </c>
      <c r="B2522" t="inlineStr">
        <is>
          <t>+5511984186618</t>
        </is>
      </c>
      <c r="C2522" t="inlineStr">
        <is>
          <t>Refill</t>
        </is>
      </c>
      <c r="D2522" t="inlineStr">
        <is>
          <t>Primer Cachos</t>
        </is>
      </c>
      <c r="E2522" t="n">
        <v>1</v>
      </c>
      <c r="F2522" t="inlineStr">
        <is>
          <t>2026-01-29</t>
        </is>
      </c>
      <c r="G2522" t="n">
        <v>156</v>
      </c>
      <c r="H2522" t="inlineStr">
        <is>
          <t>Y</t>
        </is>
      </c>
      <c r="I2522">
        <f>HYPERLINK("https://admin.shopify.com/store/ge-beauty-cosmeticos/customers/9655061610816","abrir")</f>
        <v/>
      </c>
      <c r="J2522">
        <f>HYPERLINK("https://www.gebeauty.com.br/products/primer-cachos-definidos?ref=review","review")</f>
        <v/>
      </c>
      <c r="K2522" t="inlineStr">
        <is>
          <t>SEND</t>
        </is>
      </c>
    </row>
    <row r="2523">
      <c r="A2523" t="inlineStr">
        <is>
          <t>Maria Carolina</t>
        </is>
      </c>
      <c r="B2523" t="inlineStr">
        <is>
          <t>+5516991523089</t>
        </is>
      </c>
      <c r="C2523" t="inlineStr">
        <is>
          <t>Refill</t>
        </is>
      </c>
      <c r="D2523" t="inlineStr">
        <is>
          <t>Primer Cachos</t>
        </is>
      </c>
      <c r="E2523" t="n">
        <v>1</v>
      </c>
      <c r="F2523" t="inlineStr">
        <is>
          <t>2026-01-29</t>
        </is>
      </c>
      <c r="G2523" t="n">
        <v>156</v>
      </c>
      <c r="H2523" t="inlineStr">
        <is>
          <t>Y</t>
        </is>
      </c>
      <c r="I2523">
        <f>HYPERLINK("https://admin.shopify.com/store/ge-beauty-cosmeticos/customers/10091967414592","abrir")</f>
        <v/>
      </c>
      <c r="J2523">
        <f>HYPERLINK("https://www.gebeauty.com.br/products/primer-cachos-definidos?ref=review","review")</f>
        <v/>
      </c>
      <c r="K2523" t="inlineStr">
        <is>
          <t>SEND</t>
        </is>
      </c>
    </row>
    <row r="2524">
      <c r="A2524" t="inlineStr">
        <is>
          <t>Daniele</t>
        </is>
      </c>
      <c r="B2524" t="inlineStr">
        <is>
          <t>+5511996764682</t>
        </is>
      </c>
      <c r="C2524" t="inlineStr">
        <is>
          <t>Refill</t>
        </is>
      </c>
      <c r="D2524" t="inlineStr">
        <is>
          <t>Primer Cachos</t>
        </is>
      </c>
      <c r="E2524" t="n">
        <v>1</v>
      </c>
      <c r="F2524" t="inlineStr">
        <is>
          <t>2026-01-29</t>
        </is>
      </c>
      <c r="G2524" t="n">
        <v>156</v>
      </c>
      <c r="H2524" t="inlineStr">
        <is>
          <t>Y</t>
        </is>
      </c>
      <c r="I2524">
        <f>HYPERLINK("https://admin.shopify.com/store/ge-beauty-cosmeticos/customers/10074326270272","abrir")</f>
        <v/>
      </c>
      <c r="J2524">
        <f>HYPERLINK("https://www.gebeauty.com.br/products/primer-cachos-definidos?ref=review","review")</f>
        <v/>
      </c>
      <c r="K2524" t="inlineStr">
        <is>
          <t>SEND</t>
        </is>
      </c>
    </row>
    <row r="2525">
      <c r="A2525" t="inlineStr">
        <is>
          <t>Suellen</t>
        </is>
      </c>
      <c r="B2525" t="inlineStr">
        <is>
          <t>+5511962250606</t>
        </is>
      </c>
      <c r="C2525" t="inlineStr">
        <is>
          <t>Refill</t>
        </is>
      </c>
      <c r="D2525" t="inlineStr">
        <is>
          <t>Primer Cachos</t>
        </is>
      </c>
      <c r="E2525" t="n">
        <v>1</v>
      </c>
      <c r="F2525" t="inlineStr">
        <is>
          <t>2026-01-29</t>
        </is>
      </c>
      <c r="G2525" t="n">
        <v>156</v>
      </c>
      <c r="H2525" t="inlineStr">
        <is>
          <t>Y</t>
        </is>
      </c>
      <c r="I2525">
        <f>HYPERLINK("https://admin.shopify.com/store/ge-beauty-cosmeticos/customers/10092022694208","abrir")</f>
        <v/>
      </c>
      <c r="J2525">
        <f>HYPERLINK("https://www.gebeauty.com.br/products/primer-cachos-definidos?ref=review","review")</f>
        <v/>
      </c>
      <c r="K2525" t="inlineStr">
        <is>
          <t>SEND</t>
        </is>
      </c>
    </row>
    <row r="2526">
      <c r="A2526" t="inlineStr">
        <is>
          <t>Katherine</t>
        </is>
      </c>
      <c r="B2526" t="inlineStr">
        <is>
          <t>+5527998846997</t>
        </is>
      </c>
      <c r="C2526" t="inlineStr">
        <is>
          <t>Refill</t>
        </is>
      </c>
      <c r="D2526" t="inlineStr">
        <is>
          <t>Primer Cachos</t>
        </is>
      </c>
      <c r="E2526" t="n">
        <v>1</v>
      </c>
      <c r="F2526" t="inlineStr">
        <is>
          <t>2026-01-29</t>
        </is>
      </c>
      <c r="G2526" t="n">
        <v>156</v>
      </c>
      <c r="H2526" t="inlineStr">
        <is>
          <t>Y</t>
        </is>
      </c>
      <c r="I2526">
        <f>HYPERLINK("https://admin.shopify.com/store/ge-beauty-cosmeticos/customers/10092024791360","abrir")</f>
        <v/>
      </c>
      <c r="J2526">
        <f>HYPERLINK("https://www.gebeauty.com.br/products/primer-cachos-definidos?ref=review","review")</f>
        <v/>
      </c>
      <c r="K2526" t="inlineStr">
        <is>
          <t>SEND</t>
        </is>
      </c>
    </row>
    <row r="2527">
      <c r="A2527" t="inlineStr">
        <is>
          <t>Rudimarta</t>
        </is>
      </c>
      <c r="B2527" t="inlineStr">
        <is>
          <t>+5547991885407</t>
        </is>
      </c>
      <c r="C2527" t="inlineStr">
        <is>
          <t>Refill</t>
        </is>
      </c>
      <c r="D2527" t="inlineStr">
        <is>
          <t>Primer Cachos</t>
        </is>
      </c>
      <c r="E2527" t="n">
        <v>1</v>
      </c>
      <c r="F2527" t="inlineStr">
        <is>
          <t>2026-01-29</t>
        </is>
      </c>
      <c r="G2527" t="n">
        <v>156</v>
      </c>
      <c r="H2527" t="inlineStr">
        <is>
          <t>Y</t>
        </is>
      </c>
      <c r="I2527">
        <f>HYPERLINK("https://admin.shopify.com/store/ge-beauty-cosmeticos/customers/10074093683008","abrir")</f>
        <v/>
      </c>
      <c r="J2527">
        <f>HYPERLINK("https://www.gebeauty.com.br/products/primer-cachos-definidos?ref=review","review")</f>
        <v/>
      </c>
      <c r="K2527" t="inlineStr">
        <is>
          <t>SEND</t>
        </is>
      </c>
    </row>
    <row r="2528">
      <c r="A2528" t="inlineStr">
        <is>
          <t>Mayara</t>
        </is>
      </c>
      <c r="B2528" t="inlineStr">
        <is>
          <t>+5521997490706</t>
        </is>
      </c>
      <c r="C2528" t="inlineStr">
        <is>
          <t>Refill</t>
        </is>
      </c>
      <c r="D2528" t="inlineStr">
        <is>
          <t>Primer Cachos</t>
        </is>
      </c>
      <c r="E2528" t="n">
        <v>1</v>
      </c>
      <c r="F2528" t="inlineStr">
        <is>
          <t>2026-01-29</t>
        </is>
      </c>
      <c r="G2528" t="n">
        <v>156</v>
      </c>
      <c r="H2528" t="inlineStr">
        <is>
          <t>Y</t>
        </is>
      </c>
      <c r="I2528">
        <f>HYPERLINK("https://admin.shopify.com/store/ge-beauty-cosmeticos/customers/10092048351552","abrir")</f>
        <v/>
      </c>
      <c r="J2528">
        <f>HYPERLINK("https://www.gebeauty.com.br/products/primer-cachos-definidos?ref=review","review")</f>
        <v/>
      </c>
      <c r="K2528" t="inlineStr">
        <is>
          <t>HOLDOUT</t>
        </is>
      </c>
    </row>
    <row r="2529">
      <c r="A2529" t="inlineStr">
        <is>
          <t>Luciane</t>
        </is>
      </c>
      <c r="B2529" t="inlineStr">
        <is>
          <t>+5511983252500</t>
        </is>
      </c>
      <c r="C2529" t="inlineStr">
        <is>
          <t>Refill</t>
        </is>
      </c>
      <c r="D2529" t="inlineStr">
        <is>
          <t>Primer Cachos</t>
        </is>
      </c>
      <c r="E2529" t="n">
        <v>1</v>
      </c>
      <c r="F2529" t="inlineStr">
        <is>
          <t>2026-01-29</t>
        </is>
      </c>
      <c r="G2529" t="n">
        <v>156</v>
      </c>
      <c r="H2529" t="inlineStr">
        <is>
          <t>Y</t>
        </is>
      </c>
      <c r="I2529">
        <f>HYPERLINK("https://admin.shopify.com/store/ge-beauty-cosmeticos/customers/9993739534656","abrir")</f>
        <v/>
      </c>
      <c r="J2529">
        <f>HYPERLINK("https://www.gebeauty.com.br/products/primer-cachos-definidos?ref=review","review")</f>
        <v/>
      </c>
      <c r="K2529" t="inlineStr">
        <is>
          <t>SEND</t>
        </is>
      </c>
    </row>
    <row r="2530">
      <c r="A2530" t="inlineStr">
        <is>
          <t>Fabia Simone</t>
        </is>
      </c>
      <c r="B2530" t="inlineStr">
        <is>
          <t>+5566999081513</t>
        </is>
      </c>
      <c r="C2530" t="inlineStr">
        <is>
          <t>Refill</t>
        </is>
      </c>
      <c r="D2530" t="inlineStr">
        <is>
          <t>Primer Cachos</t>
        </is>
      </c>
      <c r="E2530" t="n">
        <v>1</v>
      </c>
      <c r="F2530" t="inlineStr">
        <is>
          <t>2026-01-29</t>
        </is>
      </c>
      <c r="G2530" t="n">
        <v>156</v>
      </c>
      <c r="H2530" t="inlineStr">
        <is>
          <t>Y</t>
        </is>
      </c>
      <c r="I2530">
        <f>HYPERLINK("https://admin.shopify.com/store/ge-beauty-cosmeticos/customers/10087996883264","abrir")</f>
        <v/>
      </c>
      <c r="J2530">
        <f>HYPERLINK("https://www.gebeauty.com.br/products/primer-cachos-definidos?ref=review","review")</f>
        <v/>
      </c>
      <c r="K2530" t="inlineStr">
        <is>
          <t>SEND</t>
        </is>
      </c>
    </row>
    <row r="2531">
      <c r="A2531" t="inlineStr">
        <is>
          <t>Maysa</t>
        </is>
      </c>
      <c r="B2531" t="inlineStr">
        <is>
          <t>+5571991123029</t>
        </is>
      </c>
      <c r="C2531" t="inlineStr">
        <is>
          <t>Refill</t>
        </is>
      </c>
      <c r="D2531" t="inlineStr">
        <is>
          <t>Primer Cachos</t>
        </is>
      </c>
      <c r="E2531" t="n">
        <v>1</v>
      </c>
      <c r="F2531" t="inlineStr">
        <is>
          <t>2026-01-29</t>
        </is>
      </c>
      <c r="G2531" t="n">
        <v>156</v>
      </c>
      <c r="H2531" t="inlineStr">
        <is>
          <t>Y</t>
        </is>
      </c>
      <c r="I2531">
        <f>HYPERLINK("https://admin.shopify.com/store/ge-beauty-cosmeticos/customers/10092104417600","abrir")</f>
        <v/>
      </c>
      <c r="J2531">
        <f>HYPERLINK("https://www.gebeauty.com.br/products/primer-cachos-definidos?ref=review","review")</f>
        <v/>
      </c>
      <c r="K2531" t="inlineStr">
        <is>
          <t>SEND</t>
        </is>
      </c>
    </row>
    <row r="2532">
      <c r="A2532" t="inlineStr">
        <is>
          <t>Anna</t>
        </is>
      </c>
      <c r="B2532" t="inlineStr">
        <is>
          <t>+5555997071610</t>
        </is>
      </c>
      <c r="C2532" t="inlineStr">
        <is>
          <t>Refill</t>
        </is>
      </c>
      <c r="D2532" t="inlineStr">
        <is>
          <t>Primer Cachos</t>
        </is>
      </c>
      <c r="E2532" t="n">
        <v>1</v>
      </c>
      <c r="F2532" t="inlineStr">
        <is>
          <t>2026-01-29</t>
        </is>
      </c>
      <c r="G2532" t="n">
        <v>156</v>
      </c>
      <c r="H2532" t="inlineStr">
        <is>
          <t>Y</t>
        </is>
      </c>
      <c r="I2532">
        <f>HYPERLINK("https://admin.shopify.com/store/ge-beauty-cosmeticos/customers/10092130140480","abrir")</f>
        <v/>
      </c>
      <c r="J2532">
        <f>HYPERLINK("https://www.gebeauty.com.br/products/primer-cachos-definidos?ref=review","review")</f>
        <v/>
      </c>
      <c r="K2532" t="inlineStr">
        <is>
          <t>SEND</t>
        </is>
      </c>
    </row>
    <row r="2533">
      <c r="A2533" t="inlineStr">
        <is>
          <t>Leticia</t>
        </is>
      </c>
      <c r="B2533" t="inlineStr">
        <is>
          <t>+5519993050682</t>
        </is>
      </c>
      <c r="C2533" t="inlineStr">
        <is>
          <t>Refill</t>
        </is>
      </c>
      <c r="D2533" t="inlineStr">
        <is>
          <t>Primer Cachos</t>
        </is>
      </c>
      <c r="E2533" t="n">
        <v>1</v>
      </c>
      <c r="F2533" t="inlineStr">
        <is>
          <t>2026-01-29</t>
        </is>
      </c>
      <c r="G2533" t="n">
        <v>156</v>
      </c>
      <c r="H2533" t="inlineStr">
        <is>
          <t>Y</t>
        </is>
      </c>
      <c r="I2533">
        <f>HYPERLINK("https://admin.shopify.com/store/ge-beauty-cosmeticos/customers/10092173328704","abrir")</f>
        <v/>
      </c>
      <c r="J2533">
        <f>HYPERLINK("https://www.gebeauty.com.br/products/primer-cachos-definidos?ref=review","review")</f>
        <v/>
      </c>
      <c r="K2533" t="inlineStr">
        <is>
          <t>SEND</t>
        </is>
      </c>
    </row>
    <row r="2534">
      <c r="A2534" t="inlineStr">
        <is>
          <t>Debora</t>
        </is>
      </c>
      <c r="B2534" t="inlineStr">
        <is>
          <t>+5535988383533</t>
        </is>
      </c>
      <c r="C2534" t="inlineStr">
        <is>
          <t>Refill</t>
        </is>
      </c>
      <c r="D2534" t="inlineStr">
        <is>
          <t>Primer Cachos</t>
        </is>
      </c>
      <c r="E2534" t="n">
        <v>1</v>
      </c>
      <c r="F2534" t="inlineStr">
        <is>
          <t>2026-01-29</t>
        </is>
      </c>
      <c r="G2534" t="n">
        <v>156</v>
      </c>
      <c r="H2534" t="inlineStr">
        <is>
          <t>Y</t>
        </is>
      </c>
      <c r="I2534">
        <f>HYPERLINK("https://admin.shopify.com/store/ge-beauty-cosmeticos/customers/10092176572736","abrir")</f>
        <v/>
      </c>
      <c r="J2534">
        <f>HYPERLINK("https://www.gebeauty.com.br/products/primer-cachos-definidos?ref=review","review")</f>
        <v/>
      </c>
      <c r="K2534" t="inlineStr">
        <is>
          <t>SEND</t>
        </is>
      </c>
    </row>
    <row r="2535">
      <c r="A2535" t="inlineStr">
        <is>
          <t>Marilda</t>
        </is>
      </c>
      <c r="B2535" t="inlineStr">
        <is>
          <t>+5561999641110</t>
        </is>
      </c>
      <c r="C2535" t="inlineStr">
        <is>
          <t>Refill</t>
        </is>
      </c>
      <c r="D2535" t="inlineStr">
        <is>
          <t>Primer Cachos</t>
        </is>
      </c>
      <c r="E2535" t="n">
        <v>1</v>
      </c>
      <c r="F2535" t="inlineStr">
        <is>
          <t>2026-01-29</t>
        </is>
      </c>
      <c r="G2535" t="n">
        <v>156</v>
      </c>
      <c r="H2535" t="inlineStr">
        <is>
          <t>Y</t>
        </is>
      </c>
      <c r="I2535">
        <f>HYPERLINK("https://admin.shopify.com/store/ge-beauty-cosmeticos/customers/10074598539584","abrir")</f>
        <v/>
      </c>
      <c r="J2535">
        <f>HYPERLINK("https://www.gebeauty.com.br/products/primer-cachos-definidos?ref=review","review")</f>
        <v/>
      </c>
      <c r="K2535" t="inlineStr">
        <is>
          <t>SEND</t>
        </is>
      </c>
    </row>
    <row r="2536">
      <c r="A2536" t="inlineStr">
        <is>
          <t>Alessandra</t>
        </is>
      </c>
      <c r="B2536" t="inlineStr">
        <is>
          <t>+5512991794719</t>
        </is>
      </c>
      <c r="C2536" t="inlineStr">
        <is>
          <t>Refill</t>
        </is>
      </c>
      <c r="D2536" t="inlineStr">
        <is>
          <t>Primer Cachos</t>
        </is>
      </c>
      <c r="E2536" t="n">
        <v>1</v>
      </c>
      <c r="F2536" t="inlineStr">
        <is>
          <t>2026-01-29</t>
        </is>
      </c>
      <c r="G2536" t="n">
        <v>156</v>
      </c>
      <c r="H2536" t="inlineStr">
        <is>
          <t>Y</t>
        </is>
      </c>
      <c r="I2536">
        <f>HYPERLINK("https://admin.shopify.com/store/ge-beauty-cosmeticos/customers/10092300173632","abrir")</f>
        <v/>
      </c>
      <c r="J2536">
        <f>HYPERLINK("https://www.gebeauty.com.br/products/primer-cachos-definidos?ref=review","review")</f>
        <v/>
      </c>
      <c r="K2536" t="inlineStr">
        <is>
          <t>SEND</t>
        </is>
      </c>
    </row>
    <row r="2537">
      <c r="A2537" t="inlineStr">
        <is>
          <t>Ana Paula</t>
        </is>
      </c>
      <c r="B2537" t="inlineStr">
        <is>
          <t>+5511981237503</t>
        </is>
      </c>
      <c r="C2537" t="inlineStr">
        <is>
          <t>Refill</t>
        </is>
      </c>
      <c r="D2537" t="inlineStr">
        <is>
          <t>Primer Cachos</t>
        </is>
      </c>
      <c r="E2537" t="n">
        <v>1</v>
      </c>
      <c r="F2537" t="inlineStr">
        <is>
          <t>2026-01-29</t>
        </is>
      </c>
      <c r="G2537" t="n">
        <v>156</v>
      </c>
      <c r="H2537" t="inlineStr">
        <is>
          <t>Y</t>
        </is>
      </c>
      <c r="I2537">
        <f>HYPERLINK("https://admin.shopify.com/store/ge-beauty-cosmeticos/customers/10091911381312","abrir")</f>
        <v/>
      </c>
      <c r="J2537">
        <f>HYPERLINK("https://www.gebeauty.com.br/products/primer-cachos-definidos?ref=review","review")</f>
        <v/>
      </c>
      <c r="K2537" t="inlineStr">
        <is>
          <t>HOLDOUT</t>
        </is>
      </c>
    </row>
    <row r="2538">
      <c r="A2538" t="inlineStr">
        <is>
          <t>Wanda</t>
        </is>
      </c>
      <c r="B2538" t="inlineStr">
        <is>
          <t>+5581999710226</t>
        </is>
      </c>
      <c r="C2538" t="inlineStr">
        <is>
          <t>Refill</t>
        </is>
      </c>
      <c r="D2538" t="inlineStr">
        <is>
          <t>Primer Cachos</t>
        </is>
      </c>
      <c r="E2538" t="n">
        <v>1</v>
      </c>
      <c r="F2538" t="inlineStr">
        <is>
          <t>2026-01-29</t>
        </is>
      </c>
      <c r="G2538" t="n">
        <v>156</v>
      </c>
      <c r="H2538" t="inlineStr">
        <is>
          <t>Y</t>
        </is>
      </c>
      <c r="I2538">
        <f>HYPERLINK("https://admin.shopify.com/store/ge-beauty-cosmeticos/customers/10092398051648","abrir")</f>
        <v/>
      </c>
      <c r="J2538">
        <f>HYPERLINK("https://www.gebeauty.com.br/products/primer-cachos-definidos?ref=review","review")</f>
        <v/>
      </c>
      <c r="K2538" t="inlineStr">
        <is>
          <t>SEND</t>
        </is>
      </c>
    </row>
    <row r="2539">
      <c r="A2539" t="inlineStr">
        <is>
          <t>Glaucilene</t>
        </is>
      </c>
      <c r="B2539" t="inlineStr">
        <is>
          <t>+5531986595701</t>
        </is>
      </c>
      <c r="C2539" t="inlineStr">
        <is>
          <t>Refill</t>
        </is>
      </c>
      <c r="D2539" t="inlineStr">
        <is>
          <t>Primer Cachos</t>
        </is>
      </c>
      <c r="E2539" t="n">
        <v>1</v>
      </c>
      <c r="F2539" t="inlineStr">
        <is>
          <t>2026-01-29</t>
        </is>
      </c>
      <c r="G2539" t="n">
        <v>156</v>
      </c>
      <c r="H2539" t="inlineStr">
        <is>
          <t>Y</t>
        </is>
      </c>
      <c r="I2539">
        <f>HYPERLINK("https://admin.shopify.com/store/ge-beauty-cosmeticos/customers/10092431212864","abrir")</f>
        <v/>
      </c>
      <c r="J2539">
        <f>HYPERLINK("https://www.gebeauty.com.br/products/primer-cachos-definidos?ref=review","review")</f>
        <v/>
      </c>
      <c r="K2539" t="inlineStr">
        <is>
          <t>SEND</t>
        </is>
      </c>
    </row>
    <row r="2540">
      <c r="A2540" t="inlineStr">
        <is>
          <t>Andressa</t>
        </is>
      </c>
      <c r="B2540" t="inlineStr">
        <is>
          <t>+5521987936988</t>
        </is>
      </c>
      <c r="C2540" t="inlineStr">
        <is>
          <t>Refill</t>
        </is>
      </c>
      <c r="D2540" t="inlineStr">
        <is>
          <t>Primer Cachos</t>
        </is>
      </c>
      <c r="E2540" t="n">
        <v>1</v>
      </c>
      <c r="F2540" t="inlineStr">
        <is>
          <t>2026-01-29</t>
        </is>
      </c>
      <c r="G2540" t="n">
        <v>156</v>
      </c>
      <c r="H2540" t="inlineStr">
        <is>
          <t>Y</t>
        </is>
      </c>
      <c r="I2540">
        <f>HYPERLINK("https://admin.shopify.com/store/ge-beauty-cosmeticos/customers/10092441272640","abrir")</f>
        <v/>
      </c>
      <c r="J2540">
        <f>HYPERLINK("https://www.gebeauty.com.br/products/primer-cachos-definidos?ref=review","review")</f>
        <v/>
      </c>
      <c r="K2540" t="inlineStr">
        <is>
          <t>SEND</t>
        </is>
      </c>
    </row>
    <row r="2541">
      <c r="A2541" t="inlineStr">
        <is>
          <t>Natasha</t>
        </is>
      </c>
      <c r="B2541" t="inlineStr">
        <is>
          <t>+5585986140857</t>
        </is>
      </c>
      <c r="C2541" t="inlineStr">
        <is>
          <t>Refill</t>
        </is>
      </c>
      <c r="D2541" t="inlineStr">
        <is>
          <t>Primer Cachos</t>
        </is>
      </c>
      <c r="E2541" t="n">
        <v>1</v>
      </c>
      <c r="F2541" t="inlineStr">
        <is>
          <t>2026-01-29</t>
        </is>
      </c>
      <c r="G2541" t="n">
        <v>156</v>
      </c>
      <c r="H2541" t="inlineStr">
        <is>
          <t>Y</t>
        </is>
      </c>
      <c r="I2541">
        <f>HYPERLINK("https://admin.shopify.com/store/ge-beauty-cosmeticos/customers/9485940031808","abrir")</f>
        <v/>
      </c>
      <c r="J2541">
        <f>HYPERLINK("https://www.gebeauty.com.br/products/primer-cachos-definidos?ref=review","review")</f>
        <v/>
      </c>
      <c r="K2541" t="inlineStr">
        <is>
          <t>SEND</t>
        </is>
      </c>
    </row>
    <row r="2542">
      <c r="A2542" t="inlineStr">
        <is>
          <t>Nathalia</t>
        </is>
      </c>
      <c r="B2542" t="inlineStr">
        <is>
          <t>+5585987257112</t>
        </is>
      </c>
      <c r="C2542" t="inlineStr">
        <is>
          <t>Refill</t>
        </is>
      </c>
      <c r="D2542" t="inlineStr">
        <is>
          <t>Primer Cachos</t>
        </is>
      </c>
      <c r="E2542" t="n">
        <v>1</v>
      </c>
      <c r="F2542" t="inlineStr">
        <is>
          <t>2026-01-29</t>
        </is>
      </c>
      <c r="G2542" t="n">
        <v>156</v>
      </c>
      <c r="H2542" t="inlineStr">
        <is>
          <t>Y</t>
        </is>
      </c>
      <c r="I2542">
        <f>HYPERLINK("https://admin.shopify.com/store/ge-beauty-cosmeticos/customers/10092462801216","abrir")</f>
        <v/>
      </c>
      <c r="J2542">
        <f>HYPERLINK("https://www.gebeauty.com.br/products/primer-cachos-definidos?ref=review","review")</f>
        <v/>
      </c>
      <c r="K2542" t="inlineStr">
        <is>
          <t>SEND</t>
        </is>
      </c>
    </row>
    <row r="2543">
      <c r="A2543" t="inlineStr">
        <is>
          <t>Marilia</t>
        </is>
      </c>
      <c r="B2543" t="inlineStr">
        <is>
          <t>+5519999324476</t>
        </is>
      </c>
      <c r="C2543" t="inlineStr">
        <is>
          <t>Refill</t>
        </is>
      </c>
      <c r="D2543" t="inlineStr">
        <is>
          <t>Primer Cachos</t>
        </is>
      </c>
      <c r="E2543" t="n">
        <v>1</v>
      </c>
      <c r="F2543" t="inlineStr">
        <is>
          <t>2026-01-29</t>
        </is>
      </c>
      <c r="G2543" t="n">
        <v>156</v>
      </c>
      <c r="H2543" t="inlineStr">
        <is>
          <t>Y</t>
        </is>
      </c>
      <c r="I2543">
        <f>HYPERLINK("https://admin.shopify.com/store/ge-beauty-cosmeticos/customers/10092461654336","abrir")</f>
        <v/>
      </c>
      <c r="J2543">
        <f>HYPERLINK("https://www.gebeauty.com.br/products/primer-cachos-definidos?ref=review","review")</f>
        <v/>
      </c>
      <c r="K2543" t="inlineStr">
        <is>
          <t>SEND</t>
        </is>
      </c>
    </row>
    <row r="2544">
      <c r="A2544" t="inlineStr">
        <is>
          <t>Gabriela</t>
        </is>
      </c>
      <c r="B2544" t="inlineStr">
        <is>
          <t>+5511992526065</t>
        </is>
      </c>
      <c r="C2544" t="inlineStr">
        <is>
          <t>Refill</t>
        </is>
      </c>
      <c r="D2544" t="inlineStr">
        <is>
          <t>Primer Cachos</t>
        </is>
      </c>
      <c r="E2544" t="n">
        <v>1</v>
      </c>
      <c r="F2544" t="inlineStr">
        <is>
          <t>2026-01-29</t>
        </is>
      </c>
      <c r="G2544" t="n">
        <v>156</v>
      </c>
      <c r="H2544" t="inlineStr">
        <is>
          <t>Y</t>
        </is>
      </c>
      <c r="I2544">
        <f>HYPERLINK("https://admin.shopify.com/store/ge-beauty-cosmeticos/customers/10092535284032","abrir")</f>
        <v/>
      </c>
      <c r="J2544">
        <f>HYPERLINK("https://www.gebeauty.com.br/products/primer-cachos-definidos?ref=review","review")</f>
        <v/>
      </c>
      <c r="K2544" t="inlineStr">
        <is>
          <t>SEND</t>
        </is>
      </c>
    </row>
    <row r="2545">
      <c r="A2545" t="inlineStr">
        <is>
          <t>Lisiane Cláudia</t>
        </is>
      </c>
      <c r="B2545" t="inlineStr">
        <is>
          <t>+5554981102959</t>
        </is>
      </c>
      <c r="C2545" t="inlineStr">
        <is>
          <t>Refill</t>
        </is>
      </c>
      <c r="D2545" t="inlineStr">
        <is>
          <t>Primer Cachos</t>
        </is>
      </c>
      <c r="E2545" t="n">
        <v>1</v>
      </c>
      <c r="F2545" t="inlineStr">
        <is>
          <t>2026-01-29</t>
        </is>
      </c>
      <c r="G2545" t="n">
        <v>156</v>
      </c>
      <c r="H2545" t="inlineStr">
        <is>
          <t>Y</t>
        </is>
      </c>
      <c r="I2545">
        <f>HYPERLINK("https://admin.shopify.com/store/ge-beauty-cosmeticos/customers/10092534530368","abrir")</f>
        <v/>
      </c>
      <c r="J2545">
        <f>HYPERLINK("https://www.gebeauty.com.br/products/primer-cachos-definidos?ref=review","review")</f>
        <v/>
      </c>
      <c r="K2545" t="inlineStr">
        <is>
          <t>SEND</t>
        </is>
      </c>
    </row>
    <row r="2546">
      <c r="A2546" t="inlineStr">
        <is>
          <t>Fernanda</t>
        </is>
      </c>
      <c r="B2546" t="inlineStr">
        <is>
          <t>+5519992067880</t>
        </is>
      </c>
      <c r="C2546" t="inlineStr">
        <is>
          <t>Refill</t>
        </is>
      </c>
      <c r="D2546" t="inlineStr">
        <is>
          <t>Primer Cachos</t>
        </is>
      </c>
      <c r="E2546" t="n">
        <v>1</v>
      </c>
      <c r="F2546" t="inlineStr">
        <is>
          <t>2026-01-29</t>
        </is>
      </c>
      <c r="G2546" t="n">
        <v>156</v>
      </c>
      <c r="H2546" t="inlineStr">
        <is>
          <t>Y</t>
        </is>
      </c>
      <c r="I2546">
        <f>HYPERLINK("https://admin.shopify.com/store/ge-beauty-cosmeticos/customers/10092528206144","abrir")</f>
        <v/>
      </c>
      <c r="J2546">
        <f>HYPERLINK("https://www.gebeauty.com.br/products/primer-cachos-definidos?ref=review","review")</f>
        <v/>
      </c>
      <c r="K2546" t="inlineStr">
        <is>
          <t>SEND</t>
        </is>
      </c>
    </row>
    <row r="2547">
      <c r="A2547" t="inlineStr">
        <is>
          <t>Paula</t>
        </is>
      </c>
      <c r="B2547" t="inlineStr">
        <is>
          <t>+5516997053070</t>
        </is>
      </c>
      <c r="C2547" t="inlineStr">
        <is>
          <t>Refill</t>
        </is>
      </c>
      <c r="D2547" t="inlineStr">
        <is>
          <t>Primer Cachos</t>
        </is>
      </c>
      <c r="E2547" t="n">
        <v>1</v>
      </c>
      <c r="F2547" t="inlineStr">
        <is>
          <t>2026-01-29</t>
        </is>
      </c>
      <c r="G2547" t="n">
        <v>156</v>
      </c>
      <c r="H2547" t="inlineStr">
        <is>
          <t>Y</t>
        </is>
      </c>
      <c r="I2547">
        <f>HYPERLINK("https://admin.shopify.com/store/ge-beauty-cosmeticos/customers/10092571558208","abrir")</f>
        <v/>
      </c>
      <c r="J2547">
        <f>HYPERLINK("https://www.gebeauty.com.br/products/primer-cachos-definidos?ref=review","review")</f>
        <v/>
      </c>
      <c r="K2547" t="inlineStr">
        <is>
          <t>SEND</t>
        </is>
      </c>
    </row>
    <row r="2548">
      <c r="A2548" t="inlineStr">
        <is>
          <t>Vanessa</t>
        </is>
      </c>
      <c r="B2548" t="inlineStr">
        <is>
          <t>+5511995298732</t>
        </is>
      </c>
      <c r="C2548" t="inlineStr">
        <is>
          <t>Refill</t>
        </is>
      </c>
      <c r="D2548" t="inlineStr">
        <is>
          <t>Primer Cachos</t>
        </is>
      </c>
      <c r="E2548" t="n">
        <v>1</v>
      </c>
      <c r="F2548" t="inlineStr">
        <is>
          <t>2026-01-29</t>
        </is>
      </c>
      <c r="G2548" t="n">
        <v>156</v>
      </c>
      <c r="H2548" t="inlineStr">
        <is>
          <t>Y</t>
        </is>
      </c>
      <c r="I2548">
        <f>HYPERLINK("https://admin.shopify.com/store/ge-beauty-cosmeticos/customers/10092572082496","abrir")</f>
        <v/>
      </c>
      <c r="J2548">
        <f>HYPERLINK("https://www.gebeauty.com.br/products/primer-cachos-definidos?ref=review","review")</f>
        <v/>
      </c>
      <c r="K2548" t="inlineStr">
        <is>
          <t>SEND</t>
        </is>
      </c>
    </row>
    <row r="2549">
      <c r="A2549" t="inlineStr">
        <is>
          <t>Nayara</t>
        </is>
      </c>
      <c r="B2549" t="inlineStr">
        <is>
          <t>+5531991095136</t>
        </is>
      </c>
      <c r="C2549" t="inlineStr">
        <is>
          <t>Refill</t>
        </is>
      </c>
      <c r="D2549" t="inlineStr">
        <is>
          <t>Primer Cachos</t>
        </is>
      </c>
      <c r="E2549" t="n">
        <v>1</v>
      </c>
      <c r="F2549" t="inlineStr">
        <is>
          <t>2026-01-29</t>
        </is>
      </c>
      <c r="G2549" t="n">
        <v>156</v>
      </c>
      <c r="H2549" t="inlineStr">
        <is>
          <t>Y</t>
        </is>
      </c>
      <c r="I2549">
        <f>HYPERLINK("https://admin.shopify.com/store/ge-beauty-cosmeticos/customers/10092584141120","abrir")</f>
        <v/>
      </c>
      <c r="J2549">
        <f>HYPERLINK("https://www.gebeauty.com.br/products/primer-cachos-definidos?ref=review","review")</f>
        <v/>
      </c>
      <c r="K2549" t="inlineStr">
        <is>
          <t>SEND</t>
        </is>
      </c>
    </row>
    <row r="2550">
      <c r="A2550" t="inlineStr">
        <is>
          <t>Ana</t>
        </is>
      </c>
      <c r="B2550" t="inlineStr">
        <is>
          <t>+5581996087087</t>
        </is>
      </c>
      <c r="C2550" t="inlineStr">
        <is>
          <t>Refill</t>
        </is>
      </c>
      <c r="D2550" t="inlineStr">
        <is>
          <t>Primer Cachos</t>
        </is>
      </c>
      <c r="E2550" t="n">
        <v>1</v>
      </c>
      <c r="F2550" t="inlineStr">
        <is>
          <t>2026-01-29</t>
        </is>
      </c>
      <c r="G2550" t="n">
        <v>156</v>
      </c>
      <c r="H2550" t="inlineStr">
        <is>
          <t>Y</t>
        </is>
      </c>
      <c r="I2550">
        <f>HYPERLINK("https://admin.shopify.com/store/ge-beauty-cosmeticos/customers/9486599586112","abrir")</f>
        <v/>
      </c>
      <c r="J2550">
        <f>HYPERLINK("https://www.gebeauty.com.br/products/primer-cachos-definidos?ref=review","review")</f>
        <v/>
      </c>
      <c r="K2550" t="inlineStr">
        <is>
          <t>SEND</t>
        </is>
      </c>
    </row>
    <row r="2551">
      <c r="A2551" t="inlineStr">
        <is>
          <t>Debora</t>
        </is>
      </c>
      <c r="B2551" t="inlineStr">
        <is>
          <t>+5531982640300</t>
        </is>
      </c>
      <c r="C2551" t="inlineStr">
        <is>
          <t>Refill</t>
        </is>
      </c>
      <c r="D2551" t="inlineStr">
        <is>
          <t>Primer Cachos</t>
        </is>
      </c>
      <c r="E2551" t="n">
        <v>1</v>
      </c>
      <c r="F2551" t="inlineStr">
        <is>
          <t>2026-01-29</t>
        </is>
      </c>
      <c r="G2551" t="n">
        <v>156</v>
      </c>
      <c r="H2551" t="inlineStr">
        <is>
          <t>Y</t>
        </is>
      </c>
      <c r="I2551">
        <f>HYPERLINK("https://admin.shopify.com/store/ge-beauty-cosmeticos/customers/10092708397376","abrir")</f>
        <v/>
      </c>
      <c r="J2551">
        <f>HYPERLINK("https://www.gebeauty.com.br/products/primer-cachos-definidos?ref=review","review")</f>
        <v/>
      </c>
      <c r="K2551" t="inlineStr">
        <is>
          <t>SEND</t>
        </is>
      </c>
    </row>
    <row r="2552">
      <c r="A2552" t="inlineStr">
        <is>
          <t>Sarah</t>
        </is>
      </c>
      <c r="B2552" t="inlineStr">
        <is>
          <t>+5519997019963</t>
        </is>
      </c>
      <c r="C2552" t="inlineStr">
        <is>
          <t>Refill</t>
        </is>
      </c>
      <c r="D2552" t="inlineStr">
        <is>
          <t>Primer Cachos</t>
        </is>
      </c>
      <c r="E2552" t="n">
        <v>1</v>
      </c>
      <c r="F2552" t="inlineStr">
        <is>
          <t>2026-01-29</t>
        </is>
      </c>
      <c r="G2552" t="n">
        <v>156</v>
      </c>
      <c r="H2552" t="inlineStr">
        <is>
          <t>Y</t>
        </is>
      </c>
      <c r="I2552">
        <f>HYPERLINK("https://admin.shopify.com/store/ge-beauty-cosmeticos/customers/10092745916736","abrir")</f>
        <v/>
      </c>
      <c r="J2552">
        <f>HYPERLINK("https://www.gebeauty.com.br/products/primer-cachos-definidos?ref=review","review")</f>
        <v/>
      </c>
      <c r="K2552" t="inlineStr">
        <is>
          <t>SEND</t>
        </is>
      </c>
    </row>
    <row r="2553">
      <c r="A2553" t="inlineStr">
        <is>
          <t>Priscila</t>
        </is>
      </c>
      <c r="B2553" t="inlineStr">
        <is>
          <t>+5511963385362</t>
        </is>
      </c>
      <c r="C2553" t="inlineStr">
        <is>
          <t>Refill</t>
        </is>
      </c>
      <c r="D2553" t="inlineStr">
        <is>
          <t>Primer Cachos</t>
        </is>
      </c>
      <c r="E2553" t="n">
        <v>1</v>
      </c>
      <c r="F2553" t="inlineStr">
        <is>
          <t>2026-01-29</t>
        </is>
      </c>
      <c r="G2553" t="n">
        <v>156</v>
      </c>
      <c r="H2553" t="inlineStr">
        <is>
          <t>Y</t>
        </is>
      </c>
      <c r="I2553">
        <f>HYPERLINK("https://admin.shopify.com/store/ge-beauty-cosmeticos/customers/10092797985088","abrir")</f>
        <v/>
      </c>
      <c r="J2553">
        <f>HYPERLINK("https://www.gebeauty.com.br/products/primer-cachos-definidos?ref=review","review")</f>
        <v/>
      </c>
      <c r="K2553" t="inlineStr">
        <is>
          <t>SEND</t>
        </is>
      </c>
    </row>
    <row r="2554">
      <c r="A2554" t="inlineStr">
        <is>
          <t>Guilherme</t>
        </is>
      </c>
      <c r="B2554" t="inlineStr">
        <is>
          <t>+5511981515021</t>
        </is>
      </c>
      <c r="C2554" t="inlineStr">
        <is>
          <t>Refill</t>
        </is>
      </c>
      <c r="D2554" t="inlineStr">
        <is>
          <t>Primer Cachos</t>
        </is>
      </c>
      <c r="E2554" t="n">
        <v>1</v>
      </c>
      <c r="F2554" t="inlineStr">
        <is>
          <t>2026-01-29</t>
        </is>
      </c>
      <c r="G2554" t="n">
        <v>156</v>
      </c>
      <c r="H2554" t="inlineStr">
        <is>
          <t>Y</t>
        </is>
      </c>
      <c r="I2554">
        <f>HYPERLINK("https://admin.shopify.com/store/ge-beauty-cosmeticos/customers/10072759206208","abrir")</f>
        <v/>
      </c>
      <c r="J2554">
        <f>HYPERLINK("https://www.gebeauty.com.br/products/primer-cachos-definidos?ref=review","review")</f>
        <v/>
      </c>
      <c r="K2554" t="inlineStr">
        <is>
          <t>SEND</t>
        </is>
      </c>
    </row>
    <row r="2555">
      <c r="A2555" t="inlineStr">
        <is>
          <t>Isabel</t>
        </is>
      </c>
      <c r="B2555" t="inlineStr">
        <is>
          <t>+5527999273418</t>
        </is>
      </c>
      <c r="C2555" t="inlineStr">
        <is>
          <t>Refill</t>
        </is>
      </c>
      <c r="D2555" t="inlineStr">
        <is>
          <t>Primer Cachos</t>
        </is>
      </c>
      <c r="E2555" t="n">
        <v>1</v>
      </c>
      <c r="F2555" t="inlineStr">
        <is>
          <t>2026-01-29</t>
        </is>
      </c>
      <c r="G2555" t="n">
        <v>156</v>
      </c>
      <c r="H2555" t="inlineStr">
        <is>
          <t>Y</t>
        </is>
      </c>
      <c r="I2555">
        <f>HYPERLINK("https://admin.shopify.com/store/ge-beauty-cosmeticos/customers/10092834160960","abrir")</f>
        <v/>
      </c>
      <c r="J2555">
        <f>HYPERLINK("https://www.gebeauty.com.br/products/primer-cachos-definidos?ref=review","review")</f>
        <v/>
      </c>
      <c r="K2555" t="inlineStr">
        <is>
          <t>HOLDOUT</t>
        </is>
      </c>
    </row>
    <row r="2556">
      <c r="A2556" t="inlineStr">
        <is>
          <t>Adriana Rita</t>
        </is>
      </c>
      <c r="B2556" t="inlineStr">
        <is>
          <t>+5548999240653</t>
        </is>
      </c>
      <c r="C2556" t="inlineStr">
        <is>
          <t>Refill</t>
        </is>
      </c>
      <c r="D2556" t="inlineStr">
        <is>
          <t>Primer Cachos</t>
        </is>
      </c>
      <c r="E2556" t="n">
        <v>1</v>
      </c>
      <c r="F2556" t="inlineStr">
        <is>
          <t>2026-01-29</t>
        </is>
      </c>
      <c r="G2556" t="n">
        <v>156</v>
      </c>
      <c r="H2556" t="inlineStr">
        <is>
          <t>Y</t>
        </is>
      </c>
      <c r="I2556">
        <f>HYPERLINK("https://admin.shopify.com/store/ge-beauty-cosmeticos/customers/10088352219456","abrir")</f>
        <v/>
      </c>
      <c r="J2556">
        <f>HYPERLINK("https://www.gebeauty.com.br/products/primer-cachos-definidos?ref=review","review")</f>
        <v/>
      </c>
      <c r="K2556" t="inlineStr">
        <is>
          <t>SEND</t>
        </is>
      </c>
    </row>
    <row r="2557">
      <c r="A2557" t="inlineStr">
        <is>
          <t>Maria Luiza</t>
        </is>
      </c>
      <c r="B2557" t="inlineStr">
        <is>
          <t>+5511974343707</t>
        </is>
      </c>
      <c r="C2557" t="inlineStr">
        <is>
          <t>Refill</t>
        </is>
      </c>
      <c r="D2557" t="inlineStr">
        <is>
          <t>Primer Cachos</t>
        </is>
      </c>
      <c r="E2557" t="n">
        <v>1</v>
      </c>
      <c r="F2557" t="inlineStr">
        <is>
          <t>2026-01-29</t>
        </is>
      </c>
      <c r="G2557" t="n">
        <v>156</v>
      </c>
      <c r="H2557" t="inlineStr">
        <is>
          <t>Y</t>
        </is>
      </c>
      <c r="I2557">
        <f>HYPERLINK("https://admin.shopify.com/store/ge-beauty-cosmeticos/customers/10092854149440","abrir")</f>
        <v/>
      </c>
      <c r="J2557">
        <f>HYPERLINK("https://www.gebeauty.com.br/products/primer-cachos-definidos?ref=review","review")</f>
        <v/>
      </c>
      <c r="K2557" t="inlineStr">
        <is>
          <t>SEND</t>
        </is>
      </c>
    </row>
    <row r="2558">
      <c r="A2558" t="inlineStr">
        <is>
          <t>Aline</t>
        </is>
      </c>
      <c r="B2558" t="inlineStr">
        <is>
          <t>+5564999079560</t>
        </is>
      </c>
      <c r="C2558" t="inlineStr">
        <is>
          <t>Refill</t>
        </is>
      </c>
      <c r="D2558" t="inlineStr">
        <is>
          <t>Primer Cachos</t>
        </is>
      </c>
      <c r="E2558" t="n">
        <v>1</v>
      </c>
      <c r="F2558" t="inlineStr">
        <is>
          <t>2026-01-29</t>
        </is>
      </c>
      <c r="G2558" t="n">
        <v>156</v>
      </c>
      <c r="H2558" t="inlineStr">
        <is>
          <t>Y</t>
        </is>
      </c>
      <c r="I2558">
        <f>HYPERLINK("https://admin.shopify.com/store/ge-beauty-cosmeticos/customers/10092945932608","abrir")</f>
        <v/>
      </c>
      <c r="J2558">
        <f>HYPERLINK("https://www.gebeauty.com.br/products/primer-cachos-definidos?ref=review","review")</f>
        <v/>
      </c>
      <c r="K2558" t="inlineStr">
        <is>
          <t>SEND</t>
        </is>
      </c>
    </row>
    <row r="2559">
      <c r="A2559" t="inlineStr">
        <is>
          <t>Regina</t>
        </is>
      </c>
      <c r="B2559" t="inlineStr">
        <is>
          <t>+5548996350020</t>
        </is>
      </c>
      <c r="C2559" t="inlineStr">
        <is>
          <t>Refill</t>
        </is>
      </c>
      <c r="D2559" t="inlineStr">
        <is>
          <t>Primer Cachos</t>
        </is>
      </c>
      <c r="E2559" t="n">
        <v>1</v>
      </c>
      <c r="F2559" t="inlineStr">
        <is>
          <t>2026-01-29</t>
        </is>
      </c>
      <c r="G2559" t="n">
        <v>156</v>
      </c>
      <c r="H2559" t="inlineStr">
        <is>
          <t>Y</t>
        </is>
      </c>
      <c r="I2559">
        <f>HYPERLINK("https://admin.shopify.com/store/ge-beauty-cosmeticos/customers/10092962152768","abrir")</f>
        <v/>
      </c>
      <c r="J2559">
        <f>HYPERLINK("https://www.gebeauty.com.br/products/primer-cachos-definidos?ref=review","review")</f>
        <v/>
      </c>
      <c r="K2559" t="inlineStr">
        <is>
          <t>SEND</t>
        </is>
      </c>
    </row>
    <row r="2560">
      <c r="A2560" t="inlineStr">
        <is>
          <t>Rafaela</t>
        </is>
      </c>
      <c r="B2560" t="inlineStr">
        <is>
          <t>+5537998584010</t>
        </is>
      </c>
      <c r="C2560" t="inlineStr">
        <is>
          <t>Refill</t>
        </is>
      </c>
      <c r="D2560" t="inlineStr">
        <is>
          <t>Primer Cachos</t>
        </is>
      </c>
      <c r="E2560" t="n">
        <v>1</v>
      </c>
      <c r="F2560" t="inlineStr">
        <is>
          <t>2026-01-29</t>
        </is>
      </c>
      <c r="G2560" t="n">
        <v>156</v>
      </c>
      <c r="H2560" t="inlineStr">
        <is>
          <t>Y</t>
        </is>
      </c>
      <c r="I2560">
        <f>HYPERLINK("https://admin.shopify.com/store/ge-beauty-cosmeticos/customers/10089205825856","abrir")</f>
        <v/>
      </c>
      <c r="J2560">
        <f>HYPERLINK("https://www.gebeauty.com.br/products/primer-cachos-definidos?ref=review","review")</f>
        <v/>
      </c>
      <c r="K2560" t="inlineStr">
        <is>
          <t>SEND</t>
        </is>
      </c>
    </row>
    <row r="2561">
      <c r="A2561" t="inlineStr">
        <is>
          <t>Camila</t>
        </is>
      </c>
      <c r="B2561" t="inlineStr">
        <is>
          <t>+5567999410886</t>
        </is>
      </c>
      <c r="C2561" t="inlineStr">
        <is>
          <t>Refill</t>
        </is>
      </c>
      <c r="D2561" t="inlineStr">
        <is>
          <t>Primer Cachos</t>
        </is>
      </c>
      <c r="E2561" t="n">
        <v>1</v>
      </c>
      <c r="F2561" t="inlineStr">
        <is>
          <t>2026-01-30</t>
        </is>
      </c>
      <c r="G2561" t="n">
        <v>155</v>
      </c>
      <c r="H2561" t="inlineStr">
        <is>
          <t>Y</t>
        </is>
      </c>
      <c r="I2561">
        <f>HYPERLINK("https://admin.shopify.com/store/ge-beauty-cosmeticos/customers/10093113147712","abrir")</f>
        <v/>
      </c>
      <c r="J2561">
        <f>HYPERLINK("https://www.gebeauty.com.br/products/primer-cachos-definidos?ref=review","review")</f>
        <v/>
      </c>
      <c r="K2561" t="inlineStr">
        <is>
          <t>SEND</t>
        </is>
      </c>
    </row>
    <row r="2562">
      <c r="A2562" t="inlineStr">
        <is>
          <t>Mauby</t>
        </is>
      </c>
      <c r="B2562" t="inlineStr">
        <is>
          <t>+5586999223212</t>
        </is>
      </c>
      <c r="C2562" t="inlineStr">
        <is>
          <t>Refill</t>
        </is>
      </c>
      <c r="D2562" t="inlineStr">
        <is>
          <t>Primer Cachos</t>
        </is>
      </c>
      <c r="E2562" t="n">
        <v>1</v>
      </c>
      <c r="F2562" t="inlineStr">
        <is>
          <t>2026-01-30</t>
        </is>
      </c>
      <c r="G2562" t="n">
        <v>155</v>
      </c>
      <c r="H2562" t="inlineStr">
        <is>
          <t>Y</t>
        </is>
      </c>
      <c r="I2562">
        <f>HYPERLINK("https://admin.shopify.com/store/ge-beauty-cosmeticos/customers/10093144637760","abrir")</f>
        <v/>
      </c>
      <c r="J2562">
        <f>HYPERLINK("https://www.gebeauty.com.br/products/primer-cachos-definidos?ref=review","review")</f>
        <v/>
      </c>
      <c r="K2562" t="inlineStr">
        <is>
          <t>HOLDOUT</t>
        </is>
      </c>
    </row>
    <row r="2563">
      <c r="A2563" t="inlineStr">
        <is>
          <t>Letícia</t>
        </is>
      </c>
      <c r="B2563" t="inlineStr">
        <is>
          <t>+5511987741392</t>
        </is>
      </c>
      <c r="C2563" t="inlineStr">
        <is>
          <t>Refill</t>
        </is>
      </c>
      <c r="D2563" t="inlineStr">
        <is>
          <t>Primer Cachos</t>
        </is>
      </c>
      <c r="E2563" t="n">
        <v>1</v>
      </c>
      <c r="F2563" t="inlineStr">
        <is>
          <t>2026-01-30</t>
        </is>
      </c>
      <c r="G2563" t="n">
        <v>155</v>
      </c>
      <c r="H2563" t="inlineStr">
        <is>
          <t>Y</t>
        </is>
      </c>
      <c r="I2563">
        <f>HYPERLINK("https://admin.shopify.com/store/ge-beauty-cosmeticos/customers/10071591223616","abrir")</f>
        <v/>
      </c>
      <c r="J2563">
        <f>HYPERLINK("https://www.gebeauty.com.br/products/primer-cachos-definidos?ref=review","review")</f>
        <v/>
      </c>
      <c r="K2563" t="inlineStr">
        <is>
          <t>SEND</t>
        </is>
      </c>
    </row>
    <row r="2564">
      <c r="A2564" t="inlineStr">
        <is>
          <t>Eduarda</t>
        </is>
      </c>
      <c r="B2564" t="inlineStr">
        <is>
          <t>+5511956546661</t>
        </is>
      </c>
      <c r="C2564" t="inlineStr">
        <is>
          <t>Refill</t>
        </is>
      </c>
      <c r="D2564" t="inlineStr">
        <is>
          <t>Primer Cachos</t>
        </is>
      </c>
      <c r="E2564" t="n">
        <v>1</v>
      </c>
      <c r="F2564" t="inlineStr">
        <is>
          <t>2026-01-30</t>
        </is>
      </c>
      <c r="G2564" t="n">
        <v>155</v>
      </c>
      <c r="H2564" t="inlineStr">
        <is>
          <t>Y</t>
        </is>
      </c>
      <c r="I2564">
        <f>HYPERLINK("https://admin.shopify.com/store/ge-beauty-cosmeticos/customers/10093253755200","abrir")</f>
        <v/>
      </c>
      <c r="J2564">
        <f>HYPERLINK("https://www.gebeauty.com.br/products/primer-cachos-definidos?ref=review","review")</f>
        <v/>
      </c>
      <c r="K2564" t="inlineStr">
        <is>
          <t>SEND</t>
        </is>
      </c>
    </row>
    <row r="2565">
      <c r="A2565" t="inlineStr">
        <is>
          <t>Bruna</t>
        </is>
      </c>
      <c r="B2565" t="inlineStr">
        <is>
          <t>+5511950244722</t>
        </is>
      </c>
      <c r="C2565" t="inlineStr">
        <is>
          <t>Refill</t>
        </is>
      </c>
      <c r="D2565" t="inlineStr">
        <is>
          <t>Primer Cachos</t>
        </is>
      </c>
      <c r="E2565" t="n">
        <v>1</v>
      </c>
      <c r="F2565" t="inlineStr">
        <is>
          <t>2026-01-30</t>
        </is>
      </c>
      <c r="G2565" t="n">
        <v>155</v>
      </c>
      <c r="H2565" t="inlineStr">
        <is>
          <t>Y</t>
        </is>
      </c>
      <c r="I2565">
        <f>HYPERLINK("https://admin.shopify.com/store/ge-beauty-cosmeticos/customers/10093315359040","abrir")</f>
        <v/>
      </c>
      <c r="J2565">
        <f>HYPERLINK("https://www.gebeauty.com.br/products/primer-cachos-definidos?ref=review","review")</f>
        <v/>
      </c>
      <c r="K2565" t="inlineStr">
        <is>
          <t>SEND</t>
        </is>
      </c>
    </row>
    <row r="2566">
      <c r="A2566" t="inlineStr">
        <is>
          <t>Alessandra</t>
        </is>
      </c>
      <c r="B2566" t="inlineStr">
        <is>
          <t>+5519996302009</t>
        </is>
      </c>
      <c r="C2566" t="inlineStr">
        <is>
          <t>Refill</t>
        </is>
      </c>
      <c r="D2566" t="inlineStr">
        <is>
          <t>Primer Cachos</t>
        </is>
      </c>
      <c r="E2566" t="n">
        <v>1</v>
      </c>
      <c r="F2566" t="inlineStr">
        <is>
          <t>2026-01-30</t>
        </is>
      </c>
      <c r="G2566" t="n">
        <v>155</v>
      </c>
      <c r="H2566" t="inlineStr">
        <is>
          <t>Y</t>
        </is>
      </c>
      <c r="I2566">
        <f>HYPERLINK("https://admin.shopify.com/store/ge-beauty-cosmeticos/customers/10093326795072","abrir")</f>
        <v/>
      </c>
      <c r="J2566">
        <f>HYPERLINK("https://www.gebeauty.com.br/products/primer-cachos-definidos?ref=review","review")</f>
        <v/>
      </c>
      <c r="K2566" t="inlineStr">
        <is>
          <t>SEND</t>
        </is>
      </c>
    </row>
    <row r="2567">
      <c r="A2567" t="inlineStr">
        <is>
          <t>Ana</t>
        </is>
      </c>
      <c r="B2567" t="inlineStr">
        <is>
          <t>+5575991956128</t>
        </is>
      </c>
      <c r="C2567" t="inlineStr">
        <is>
          <t>Refill</t>
        </is>
      </c>
      <c r="D2567" t="inlineStr">
        <is>
          <t>Primer Cachos</t>
        </is>
      </c>
      <c r="E2567" t="n">
        <v>1</v>
      </c>
      <c r="F2567" t="inlineStr">
        <is>
          <t>2026-01-30</t>
        </is>
      </c>
      <c r="G2567" t="n">
        <v>155</v>
      </c>
      <c r="H2567" t="inlineStr">
        <is>
          <t>Y</t>
        </is>
      </c>
      <c r="I2567">
        <f>HYPERLINK("https://admin.shopify.com/store/ge-beauty-cosmeticos/customers/10093372113216","abrir")</f>
        <v/>
      </c>
      <c r="J2567">
        <f>HYPERLINK("https://www.gebeauty.com.br/products/primer-cachos-definidos?ref=review","review")</f>
        <v/>
      </c>
      <c r="K2567" t="inlineStr">
        <is>
          <t>SEND</t>
        </is>
      </c>
    </row>
    <row r="2568">
      <c r="A2568" t="inlineStr">
        <is>
          <t>Janaina</t>
        </is>
      </c>
      <c r="B2568" t="inlineStr">
        <is>
          <t>+5511992505599</t>
        </is>
      </c>
      <c r="C2568" t="inlineStr">
        <is>
          <t>Refill</t>
        </is>
      </c>
      <c r="D2568" t="inlineStr">
        <is>
          <t>Primer Cachos</t>
        </is>
      </c>
      <c r="E2568" t="n">
        <v>1</v>
      </c>
      <c r="F2568" t="inlineStr">
        <is>
          <t>2026-01-30</t>
        </is>
      </c>
      <c r="G2568" t="n">
        <v>155</v>
      </c>
      <c r="H2568" t="inlineStr">
        <is>
          <t>Y</t>
        </is>
      </c>
      <c r="I2568">
        <f>HYPERLINK("https://admin.shopify.com/store/ge-beauty-cosmeticos/customers/10091953324352","abrir")</f>
        <v/>
      </c>
      <c r="J2568">
        <f>HYPERLINK("https://www.gebeauty.com.br/products/primer-cachos-definidos?ref=review","review")</f>
        <v/>
      </c>
      <c r="K2568" t="inlineStr">
        <is>
          <t>SEND</t>
        </is>
      </c>
    </row>
    <row r="2569">
      <c r="A2569" t="inlineStr">
        <is>
          <t>Roberta</t>
        </is>
      </c>
      <c r="B2569" t="inlineStr">
        <is>
          <t>+5562981648334</t>
        </is>
      </c>
      <c r="C2569" t="inlineStr">
        <is>
          <t>Refill</t>
        </is>
      </c>
      <c r="D2569" t="inlineStr">
        <is>
          <t>Primer Cachos</t>
        </is>
      </c>
      <c r="E2569" t="n">
        <v>1</v>
      </c>
      <c r="F2569" t="inlineStr">
        <is>
          <t>2026-01-30</t>
        </is>
      </c>
      <c r="G2569" t="n">
        <v>155</v>
      </c>
      <c r="H2569" t="inlineStr">
        <is>
          <t>Y</t>
        </is>
      </c>
      <c r="I2569">
        <f>HYPERLINK("https://admin.shopify.com/store/ge-beauty-cosmeticos/customers/10093772931392","abrir")</f>
        <v/>
      </c>
      <c r="J2569">
        <f>HYPERLINK("https://www.gebeauty.com.br/products/primer-cachos-definidos?ref=review","review")</f>
        <v/>
      </c>
      <c r="K2569" t="inlineStr">
        <is>
          <t>SEND</t>
        </is>
      </c>
    </row>
    <row r="2570">
      <c r="A2570" t="inlineStr">
        <is>
          <t>Glória</t>
        </is>
      </c>
      <c r="B2570" t="inlineStr">
        <is>
          <t>+5541999820872</t>
        </is>
      </c>
      <c r="C2570" t="inlineStr">
        <is>
          <t>Refill</t>
        </is>
      </c>
      <c r="D2570" t="inlineStr">
        <is>
          <t>Primer Cachos</t>
        </is>
      </c>
      <c r="E2570" t="n">
        <v>1</v>
      </c>
      <c r="F2570" t="inlineStr">
        <is>
          <t>2026-01-30</t>
        </is>
      </c>
      <c r="G2570" t="n">
        <v>155</v>
      </c>
      <c r="H2570" t="inlineStr">
        <is>
          <t>Y</t>
        </is>
      </c>
      <c r="I2570">
        <f>HYPERLINK("https://admin.shopify.com/store/ge-beauty-cosmeticos/customers/10093831291200","abrir")</f>
        <v/>
      </c>
      <c r="J2570">
        <f>HYPERLINK("https://www.gebeauty.com.br/products/primer-cachos-definidos?ref=review","review")</f>
        <v/>
      </c>
      <c r="K2570" t="inlineStr">
        <is>
          <t>SEND</t>
        </is>
      </c>
    </row>
    <row r="2571">
      <c r="A2571" t="inlineStr">
        <is>
          <t>Flavia</t>
        </is>
      </c>
      <c r="B2571" t="inlineStr">
        <is>
          <t>+5511981240483</t>
        </is>
      </c>
      <c r="C2571" t="inlineStr">
        <is>
          <t>Refill</t>
        </is>
      </c>
      <c r="D2571" t="inlineStr">
        <is>
          <t>Primer Cachos</t>
        </is>
      </c>
      <c r="E2571" t="n">
        <v>1</v>
      </c>
      <c r="F2571" t="inlineStr">
        <is>
          <t>2026-01-30</t>
        </is>
      </c>
      <c r="G2571" t="n">
        <v>155</v>
      </c>
      <c r="H2571" t="inlineStr">
        <is>
          <t>Y</t>
        </is>
      </c>
      <c r="I2571">
        <f>HYPERLINK("https://admin.shopify.com/store/ge-beauty-cosmeticos/customers/10093847576896","abrir")</f>
        <v/>
      </c>
      <c r="J2571">
        <f>HYPERLINK("https://www.gebeauty.com.br/products/primer-cachos-definidos?ref=review","review")</f>
        <v/>
      </c>
      <c r="K2571" t="inlineStr">
        <is>
          <t>SEND</t>
        </is>
      </c>
    </row>
    <row r="2572">
      <c r="A2572" t="inlineStr">
        <is>
          <t>Maria Teresa</t>
        </is>
      </c>
      <c r="B2572" t="inlineStr">
        <is>
          <t>+5515981235910</t>
        </is>
      </c>
      <c r="C2572" t="inlineStr">
        <is>
          <t>Refill</t>
        </is>
      </c>
      <c r="D2572" t="inlineStr">
        <is>
          <t>Primer Cachos</t>
        </is>
      </c>
      <c r="E2572" t="n">
        <v>1</v>
      </c>
      <c r="F2572" t="inlineStr">
        <is>
          <t>2026-01-30</t>
        </is>
      </c>
      <c r="G2572" t="n">
        <v>155</v>
      </c>
      <c r="H2572" t="inlineStr">
        <is>
          <t>Y</t>
        </is>
      </c>
      <c r="I2572">
        <f>HYPERLINK("https://admin.shopify.com/store/ge-beauty-cosmeticos/customers/10093935984960","abrir")</f>
        <v/>
      </c>
      <c r="J2572">
        <f>HYPERLINK("https://www.gebeauty.com.br/products/primer-cachos-definidos?ref=review","review")</f>
        <v/>
      </c>
      <c r="K2572" t="inlineStr">
        <is>
          <t>SEND</t>
        </is>
      </c>
    </row>
    <row r="2573">
      <c r="A2573" t="inlineStr">
        <is>
          <t>Juliana</t>
        </is>
      </c>
      <c r="B2573" t="inlineStr">
        <is>
          <t>+5511981323904</t>
        </is>
      </c>
      <c r="C2573" t="inlineStr">
        <is>
          <t>Refill</t>
        </is>
      </c>
      <c r="D2573" t="inlineStr">
        <is>
          <t>Primer Cachos</t>
        </is>
      </c>
      <c r="E2573" t="n">
        <v>1</v>
      </c>
      <c r="F2573" t="inlineStr">
        <is>
          <t>2026-01-30</t>
        </is>
      </c>
      <c r="G2573" t="n">
        <v>155</v>
      </c>
      <c r="H2573" t="inlineStr">
        <is>
          <t>Y</t>
        </is>
      </c>
      <c r="I2573">
        <f>HYPERLINK("https://admin.shopify.com/store/ge-beauty-cosmeticos/customers/10094091764032","abrir")</f>
        <v/>
      </c>
      <c r="J2573">
        <f>HYPERLINK("https://www.gebeauty.com.br/products/primer-cachos-definidos?ref=review","review")</f>
        <v/>
      </c>
      <c r="K2573" t="inlineStr">
        <is>
          <t>SEND</t>
        </is>
      </c>
    </row>
    <row r="2574">
      <c r="A2574" t="inlineStr">
        <is>
          <t>Hanna</t>
        </is>
      </c>
      <c r="B2574" t="inlineStr">
        <is>
          <t>+5581986991956</t>
        </is>
      </c>
      <c r="C2574" t="inlineStr">
        <is>
          <t>Refill</t>
        </is>
      </c>
      <c r="D2574" t="inlineStr">
        <is>
          <t>Primer Cachos</t>
        </is>
      </c>
      <c r="E2574" t="n">
        <v>1</v>
      </c>
      <c r="F2574" t="inlineStr">
        <is>
          <t>2026-01-30</t>
        </is>
      </c>
      <c r="G2574" t="n">
        <v>155</v>
      </c>
      <c r="H2574" t="inlineStr">
        <is>
          <t>Y</t>
        </is>
      </c>
      <c r="I2574">
        <f>HYPERLINK("https://admin.shopify.com/store/ge-beauty-cosmeticos/customers/10094234239296","abrir")</f>
        <v/>
      </c>
      <c r="J2574">
        <f>HYPERLINK("https://www.gebeauty.com.br/products/primer-cachos-definidos?ref=review","review")</f>
        <v/>
      </c>
      <c r="K2574" t="inlineStr">
        <is>
          <t>SEND</t>
        </is>
      </c>
    </row>
    <row r="2575">
      <c r="A2575" t="inlineStr">
        <is>
          <t>Mitchelle</t>
        </is>
      </c>
      <c r="B2575" t="inlineStr">
        <is>
          <t>+5521964411022</t>
        </is>
      </c>
      <c r="C2575" t="inlineStr">
        <is>
          <t>Refill</t>
        </is>
      </c>
      <c r="D2575" t="inlineStr">
        <is>
          <t>Primer Cachos</t>
        </is>
      </c>
      <c r="E2575" t="n">
        <v>1</v>
      </c>
      <c r="F2575" t="inlineStr">
        <is>
          <t>2026-01-30</t>
        </is>
      </c>
      <c r="G2575" t="n">
        <v>155</v>
      </c>
      <c r="H2575" t="inlineStr">
        <is>
          <t>Y</t>
        </is>
      </c>
      <c r="I2575">
        <f>HYPERLINK("https://admin.shopify.com/store/ge-beauty-cosmeticos/customers/10094259831104","abrir")</f>
        <v/>
      </c>
      <c r="J2575">
        <f>HYPERLINK("https://www.gebeauty.com.br/products/primer-cachos-definidos?ref=review","review")</f>
        <v/>
      </c>
      <c r="K2575" t="inlineStr">
        <is>
          <t>SEND</t>
        </is>
      </c>
    </row>
    <row r="2576">
      <c r="A2576" t="inlineStr">
        <is>
          <t>Fernanda</t>
        </is>
      </c>
      <c r="B2576" t="inlineStr">
        <is>
          <t>+5567998211179</t>
        </is>
      </c>
      <c r="C2576" t="inlineStr">
        <is>
          <t>Refill</t>
        </is>
      </c>
      <c r="D2576" t="inlineStr">
        <is>
          <t>Primer Cachos</t>
        </is>
      </c>
      <c r="E2576" t="n">
        <v>1</v>
      </c>
      <c r="F2576" t="inlineStr">
        <is>
          <t>2026-01-30</t>
        </is>
      </c>
      <c r="G2576" t="n">
        <v>155</v>
      </c>
      <c r="H2576" t="inlineStr">
        <is>
          <t>Y</t>
        </is>
      </c>
      <c r="I2576">
        <f>HYPERLINK("https://admin.shopify.com/store/ge-beauty-cosmeticos/customers/10074500038976","abrir")</f>
        <v/>
      </c>
      <c r="J2576">
        <f>HYPERLINK("https://www.gebeauty.com.br/products/primer-cachos-definidos?ref=review","review")</f>
        <v/>
      </c>
      <c r="K2576" t="inlineStr">
        <is>
          <t>SEND</t>
        </is>
      </c>
    </row>
    <row r="2577">
      <c r="A2577" t="inlineStr">
        <is>
          <t>Thais</t>
        </is>
      </c>
      <c r="B2577" t="inlineStr">
        <is>
          <t>+5567998255372</t>
        </is>
      </c>
      <c r="C2577" t="inlineStr">
        <is>
          <t>Refill</t>
        </is>
      </c>
      <c r="D2577" t="inlineStr">
        <is>
          <t>Primer Cachos</t>
        </is>
      </c>
      <c r="E2577" t="n">
        <v>1</v>
      </c>
      <c r="F2577" t="inlineStr">
        <is>
          <t>2026-01-30</t>
        </is>
      </c>
      <c r="G2577" t="n">
        <v>155</v>
      </c>
      <c r="H2577" t="inlineStr">
        <is>
          <t>Y</t>
        </is>
      </c>
      <c r="I2577">
        <f>HYPERLINK("https://admin.shopify.com/store/ge-beauty-cosmeticos/customers/10093328761152","abrir")</f>
        <v/>
      </c>
      <c r="J2577">
        <f>HYPERLINK("https://www.gebeauty.com.br/products/primer-cachos-definidos?ref=review","review")</f>
        <v/>
      </c>
      <c r="K2577" t="inlineStr">
        <is>
          <t>SEND</t>
        </is>
      </c>
    </row>
    <row r="2578">
      <c r="A2578" t="inlineStr">
        <is>
          <t>Mara</t>
        </is>
      </c>
      <c r="B2578" t="inlineStr">
        <is>
          <t>+5584999538937</t>
        </is>
      </c>
      <c r="C2578" t="inlineStr">
        <is>
          <t>Refill</t>
        </is>
      </c>
      <c r="D2578" t="inlineStr">
        <is>
          <t>Primer Cachos</t>
        </is>
      </c>
      <c r="E2578" t="n">
        <v>1</v>
      </c>
      <c r="F2578" t="inlineStr">
        <is>
          <t>2026-01-30</t>
        </is>
      </c>
      <c r="G2578" t="n">
        <v>155</v>
      </c>
      <c r="H2578" t="inlineStr">
        <is>
          <t>Y</t>
        </is>
      </c>
      <c r="I2578">
        <f>HYPERLINK("https://admin.shopify.com/store/ge-beauty-cosmeticos/customers/9486439940416","abrir")</f>
        <v/>
      </c>
      <c r="J2578">
        <f>HYPERLINK("https://www.gebeauty.com.br/products/primer-cachos-definidos?ref=review","review")</f>
        <v/>
      </c>
      <c r="K2578" t="inlineStr">
        <is>
          <t>SEND</t>
        </is>
      </c>
    </row>
    <row r="2579">
      <c r="A2579" t="inlineStr">
        <is>
          <t>Carla Cristiane</t>
        </is>
      </c>
      <c r="B2579" t="inlineStr">
        <is>
          <t>+5573988296813</t>
        </is>
      </c>
      <c r="C2579" t="inlineStr">
        <is>
          <t>Refill</t>
        </is>
      </c>
      <c r="D2579" t="inlineStr">
        <is>
          <t>Primer Cachos</t>
        </is>
      </c>
      <c r="E2579" t="n">
        <v>1</v>
      </c>
      <c r="F2579" t="inlineStr">
        <is>
          <t>2026-01-30</t>
        </is>
      </c>
      <c r="G2579" t="n">
        <v>155</v>
      </c>
      <c r="H2579" t="inlineStr">
        <is>
          <t>Y</t>
        </is>
      </c>
      <c r="I2579">
        <f>HYPERLINK("https://admin.shopify.com/store/ge-beauty-cosmeticos/customers/10094316355904","abrir")</f>
        <v/>
      </c>
      <c r="J2579">
        <f>HYPERLINK("https://www.gebeauty.com.br/products/primer-cachos-definidos?ref=review","review")</f>
        <v/>
      </c>
      <c r="K2579" t="inlineStr">
        <is>
          <t>SEND</t>
        </is>
      </c>
    </row>
    <row r="2580">
      <c r="A2580" t="inlineStr">
        <is>
          <t>Paola</t>
        </is>
      </c>
      <c r="B2580" t="inlineStr">
        <is>
          <t>+5511953223535</t>
        </is>
      </c>
      <c r="C2580" t="inlineStr">
        <is>
          <t>Refill</t>
        </is>
      </c>
      <c r="D2580" t="inlineStr">
        <is>
          <t>Primer Cachos</t>
        </is>
      </c>
      <c r="E2580" t="n">
        <v>1</v>
      </c>
      <c r="F2580" t="inlineStr">
        <is>
          <t>2026-01-30</t>
        </is>
      </c>
      <c r="G2580" t="n">
        <v>155</v>
      </c>
      <c r="H2580" t="inlineStr">
        <is>
          <t>Y</t>
        </is>
      </c>
      <c r="I2580">
        <f>HYPERLINK("https://admin.shopify.com/store/ge-beauty-cosmeticos/customers/10047292899648","abrir")</f>
        <v/>
      </c>
      <c r="J2580">
        <f>HYPERLINK("https://www.gebeauty.com.br/products/primer-cachos-definidos?ref=review","review")</f>
        <v/>
      </c>
      <c r="K2580" t="inlineStr">
        <is>
          <t>SEND</t>
        </is>
      </c>
    </row>
    <row r="2581">
      <c r="A2581" t="inlineStr">
        <is>
          <t>Sônia</t>
        </is>
      </c>
      <c r="B2581" t="inlineStr">
        <is>
          <t>+5571991056691</t>
        </is>
      </c>
      <c r="C2581" t="inlineStr">
        <is>
          <t>Refill</t>
        </is>
      </c>
      <c r="D2581" t="inlineStr">
        <is>
          <t>Primer Cachos</t>
        </is>
      </c>
      <c r="E2581" t="n">
        <v>1</v>
      </c>
      <c r="F2581" t="inlineStr">
        <is>
          <t>2026-01-30</t>
        </is>
      </c>
      <c r="G2581" t="n">
        <v>155</v>
      </c>
      <c r="H2581" t="inlineStr">
        <is>
          <t>Y</t>
        </is>
      </c>
      <c r="I2581">
        <f>HYPERLINK("https://admin.shopify.com/store/ge-beauty-cosmeticos/customers/10094446707008","abrir")</f>
        <v/>
      </c>
      <c r="J2581">
        <f>HYPERLINK("https://www.gebeauty.com.br/products/primer-cachos-definidos?ref=review","review")</f>
        <v/>
      </c>
      <c r="K2581" t="inlineStr">
        <is>
          <t>SEND</t>
        </is>
      </c>
    </row>
    <row r="2582">
      <c r="A2582" t="inlineStr">
        <is>
          <t>Francieli</t>
        </is>
      </c>
      <c r="B2582" t="inlineStr">
        <is>
          <t>+5519998412862</t>
        </is>
      </c>
      <c r="C2582" t="inlineStr">
        <is>
          <t>Refill</t>
        </is>
      </c>
      <c r="D2582" t="inlineStr">
        <is>
          <t>Primer Cachos</t>
        </is>
      </c>
      <c r="E2582" t="n">
        <v>1</v>
      </c>
      <c r="F2582" t="inlineStr">
        <is>
          <t>2026-01-30</t>
        </is>
      </c>
      <c r="G2582" t="n">
        <v>155</v>
      </c>
      <c r="H2582" t="inlineStr">
        <is>
          <t>Y</t>
        </is>
      </c>
      <c r="I2582">
        <f>HYPERLINK("https://admin.shopify.com/store/ge-beauty-cosmeticos/customers/10094559396160","abrir")</f>
        <v/>
      </c>
      <c r="J2582">
        <f>HYPERLINK("https://www.gebeauty.com.br/products/primer-cachos-definidos?ref=review","review")</f>
        <v/>
      </c>
      <c r="K2582" t="inlineStr">
        <is>
          <t>SEND</t>
        </is>
      </c>
    </row>
    <row r="2583">
      <c r="A2583" t="inlineStr">
        <is>
          <t>Luciana</t>
        </is>
      </c>
      <c r="B2583" t="inlineStr">
        <is>
          <t>+5519995074678</t>
        </is>
      </c>
      <c r="C2583" t="inlineStr">
        <is>
          <t>Refill</t>
        </is>
      </c>
      <c r="D2583" t="inlineStr">
        <is>
          <t>Primer Cachos</t>
        </is>
      </c>
      <c r="E2583" t="n">
        <v>1</v>
      </c>
      <c r="F2583" t="inlineStr">
        <is>
          <t>2026-01-30</t>
        </is>
      </c>
      <c r="G2583" t="n">
        <v>155</v>
      </c>
      <c r="H2583" t="inlineStr">
        <is>
          <t>Y</t>
        </is>
      </c>
      <c r="I2583">
        <f>HYPERLINK("https://admin.shopify.com/store/ge-beauty-cosmeticos/customers/10092075909440","abrir")</f>
        <v/>
      </c>
      <c r="J2583">
        <f>HYPERLINK("https://www.gebeauty.com.br/products/primer-cachos-definidos?ref=review","review")</f>
        <v/>
      </c>
      <c r="K2583" t="inlineStr">
        <is>
          <t>SEND</t>
        </is>
      </c>
    </row>
    <row r="2584">
      <c r="A2584" t="inlineStr">
        <is>
          <t>Patricia</t>
        </is>
      </c>
      <c r="B2584" t="inlineStr">
        <is>
          <t>+5511999005765</t>
        </is>
      </c>
      <c r="C2584" t="inlineStr">
        <is>
          <t>Refill</t>
        </is>
      </c>
      <c r="D2584" t="inlineStr">
        <is>
          <t>Primer Cachos</t>
        </is>
      </c>
      <c r="E2584" t="n">
        <v>1</v>
      </c>
      <c r="F2584" t="inlineStr">
        <is>
          <t>2026-01-30</t>
        </is>
      </c>
      <c r="G2584" t="n">
        <v>155</v>
      </c>
      <c r="H2584" t="inlineStr">
        <is>
          <t>Y</t>
        </is>
      </c>
      <c r="I2584">
        <f>HYPERLINK("https://admin.shopify.com/store/ge-beauty-cosmeticos/customers/10074909081920","abrir")</f>
        <v/>
      </c>
      <c r="J2584">
        <f>HYPERLINK("https://www.gebeauty.com.br/products/primer-cachos-definidos?ref=review","review")</f>
        <v/>
      </c>
      <c r="K2584" t="inlineStr">
        <is>
          <t>SEND</t>
        </is>
      </c>
    </row>
    <row r="2585">
      <c r="A2585" t="inlineStr">
        <is>
          <t>Malu</t>
        </is>
      </c>
      <c r="B2585" t="inlineStr">
        <is>
          <t>+5555999434443</t>
        </is>
      </c>
      <c r="C2585" t="inlineStr">
        <is>
          <t>Refill</t>
        </is>
      </c>
      <c r="D2585" t="inlineStr">
        <is>
          <t>Primer Cachos</t>
        </is>
      </c>
      <c r="E2585" t="n">
        <v>1</v>
      </c>
      <c r="F2585" t="inlineStr">
        <is>
          <t>2026-01-30</t>
        </is>
      </c>
      <c r="G2585" t="n">
        <v>155</v>
      </c>
      <c r="H2585" t="inlineStr">
        <is>
          <t>Y</t>
        </is>
      </c>
      <c r="I2585">
        <f>HYPERLINK("https://admin.shopify.com/store/ge-beauty-cosmeticos/customers/9994092052800","abrir")</f>
        <v/>
      </c>
      <c r="J2585">
        <f>HYPERLINK("https://www.gebeauty.com.br/products/primer-cachos-definidos?ref=review","review")</f>
        <v/>
      </c>
      <c r="K2585" t="inlineStr">
        <is>
          <t>HOLDOUT</t>
        </is>
      </c>
    </row>
    <row r="2586">
      <c r="A2586" t="inlineStr">
        <is>
          <t>Cibele</t>
        </is>
      </c>
      <c r="B2586" t="inlineStr">
        <is>
          <t>+5551997222861</t>
        </is>
      </c>
      <c r="C2586" t="inlineStr">
        <is>
          <t>Refill</t>
        </is>
      </c>
      <c r="D2586" t="inlineStr">
        <is>
          <t>Primer Cachos</t>
        </is>
      </c>
      <c r="E2586" t="n">
        <v>1</v>
      </c>
      <c r="F2586" t="inlineStr">
        <is>
          <t>2026-01-30</t>
        </is>
      </c>
      <c r="G2586" t="n">
        <v>155</v>
      </c>
      <c r="H2586" t="inlineStr">
        <is>
          <t>Y</t>
        </is>
      </c>
      <c r="I2586">
        <f>HYPERLINK("https://admin.shopify.com/store/ge-beauty-cosmeticos/customers/10094630895936","abrir")</f>
        <v/>
      </c>
      <c r="J2586">
        <f>HYPERLINK("https://www.gebeauty.com.br/products/primer-cachos-definidos?ref=review","review")</f>
        <v/>
      </c>
      <c r="K2586" t="inlineStr">
        <is>
          <t>SEND</t>
        </is>
      </c>
    </row>
    <row r="2587">
      <c r="A2587" t="inlineStr">
        <is>
          <t>Adriana</t>
        </is>
      </c>
      <c r="B2587" t="inlineStr">
        <is>
          <t>+5511942457648</t>
        </is>
      </c>
      <c r="C2587" t="inlineStr">
        <is>
          <t>Refill</t>
        </is>
      </c>
      <c r="D2587" t="inlineStr">
        <is>
          <t>Primer Cachos</t>
        </is>
      </c>
      <c r="E2587" t="n">
        <v>1</v>
      </c>
      <c r="F2587" t="inlineStr">
        <is>
          <t>2026-01-30</t>
        </is>
      </c>
      <c r="G2587" t="n">
        <v>155</v>
      </c>
      <c r="H2587" t="inlineStr">
        <is>
          <t>Y</t>
        </is>
      </c>
      <c r="I2587">
        <f>HYPERLINK("https://admin.shopify.com/store/ge-beauty-cosmeticos/customers/10089236693312","abrir")</f>
        <v/>
      </c>
      <c r="J2587">
        <f>HYPERLINK("https://www.gebeauty.com.br/products/primer-cachos-definidos?ref=review","review")</f>
        <v/>
      </c>
      <c r="K2587" t="inlineStr">
        <is>
          <t>SEND</t>
        </is>
      </c>
    </row>
    <row r="2588">
      <c r="A2588" t="inlineStr">
        <is>
          <t>Scheila</t>
        </is>
      </c>
      <c r="B2588" t="inlineStr">
        <is>
          <t>+5561996598778</t>
        </is>
      </c>
      <c r="C2588" t="inlineStr">
        <is>
          <t>Refill</t>
        </is>
      </c>
      <c r="D2588" t="inlineStr">
        <is>
          <t>Primer Cachos</t>
        </is>
      </c>
      <c r="E2588" t="n">
        <v>1</v>
      </c>
      <c r="F2588" t="inlineStr">
        <is>
          <t>2026-01-30</t>
        </is>
      </c>
      <c r="G2588" t="n">
        <v>155</v>
      </c>
      <c r="H2588" t="inlineStr">
        <is>
          <t>Y</t>
        </is>
      </c>
      <c r="I2588">
        <f>HYPERLINK("https://admin.shopify.com/store/ge-beauty-cosmeticos/customers/10094661992768","abrir")</f>
        <v/>
      </c>
      <c r="J2588">
        <f>HYPERLINK("https://www.gebeauty.com.br/products/primer-cachos-definidos?ref=review","review")</f>
        <v/>
      </c>
      <c r="K2588" t="inlineStr">
        <is>
          <t>SEND</t>
        </is>
      </c>
    </row>
    <row r="2589">
      <c r="A2589" t="inlineStr">
        <is>
          <t>Alessandra</t>
        </is>
      </c>
      <c r="B2589" t="inlineStr">
        <is>
          <t>+5521996651977</t>
        </is>
      </c>
      <c r="C2589" t="inlineStr">
        <is>
          <t>Refill</t>
        </is>
      </c>
      <c r="D2589" t="inlineStr">
        <is>
          <t>Primer Cachos</t>
        </is>
      </c>
      <c r="E2589" t="n">
        <v>1</v>
      </c>
      <c r="F2589" t="inlineStr">
        <is>
          <t>2026-01-30</t>
        </is>
      </c>
      <c r="G2589" t="n">
        <v>155</v>
      </c>
      <c r="H2589" t="inlineStr">
        <is>
          <t>Y</t>
        </is>
      </c>
      <c r="I2589">
        <f>HYPERLINK("https://admin.shopify.com/store/ge-beauty-cosmeticos/customers/10094670840128","abrir")</f>
        <v/>
      </c>
      <c r="J2589">
        <f>HYPERLINK("https://www.gebeauty.com.br/products/primer-cachos-definidos?ref=review","review")</f>
        <v/>
      </c>
      <c r="K2589" t="inlineStr">
        <is>
          <t>SEND</t>
        </is>
      </c>
    </row>
    <row r="2590">
      <c r="A2590" t="inlineStr">
        <is>
          <t>Suelem</t>
        </is>
      </c>
      <c r="B2590" t="inlineStr">
        <is>
          <t>+5522992771151</t>
        </is>
      </c>
      <c r="C2590" t="inlineStr">
        <is>
          <t>Refill</t>
        </is>
      </c>
      <c r="D2590" t="inlineStr">
        <is>
          <t>Primer Cachos</t>
        </is>
      </c>
      <c r="E2590" t="n">
        <v>1</v>
      </c>
      <c r="F2590" t="inlineStr">
        <is>
          <t>2026-01-30</t>
        </is>
      </c>
      <c r="G2590" t="n">
        <v>155</v>
      </c>
      <c r="H2590" t="inlineStr">
        <is>
          <t>Y</t>
        </is>
      </c>
      <c r="I2590">
        <f>HYPERLINK("https://admin.shopify.com/store/ge-beauty-cosmeticos/customers/10074253754688","abrir")</f>
        <v/>
      </c>
      <c r="J2590">
        <f>HYPERLINK("https://www.gebeauty.com.br/products/primer-cachos-definidos?ref=review","review")</f>
        <v/>
      </c>
      <c r="K2590" t="inlineStr">
        <is>
          <t>HOLDOUT</t>
        </is>
      </c>
    </row>
    <row r="2591">
      <c r="A2591" t="inlineStr">
        <is>
          <t>Làura</t>
        </is>
      </c>
      <c r="B2591" t="inlineStr">
        <is>
          <t>+5551981158249</t>
        </is>
      </c>
      <c r="C2591" t="inlineStr">
        <is>
          <t>Refill</t>
        </is>
      </c>
      <c r="D2591" t="inlineStr">
        <is>
          <t>Primer Cachos</t>
        </is>
      </c>
      <c r="E2591" t="n">
        <v>1</v>
      </c>
      <c r="F2591" t="inlineStr">
        <is>
          <t>2026-01-30</t>
        </is>
      </c>
      <c r="G2591" t="n">
        <v>155</v>
      </c>
      <c r="H2591" t="inlineStr">
        <is>
          <t>Y</t>
        </is>
      </c>
      <c r="I2591">
        <f>HYPERLINK("https://admin.shopify.com/store/ge-beauty-cosmeticos/customers/10094654423360","abrir")</f>
        <v/>
      </c>
      <c r="J2591">
        <f>HYPERLINK("https://www.gebeauty.com.br/products/primer-cachos-definidos?ref=review","review")</f>
        <v/>
      </c>
      <c r="K2591" t="inlineStr">
        <is>
          <t>SEND</t>
        </is>
      </c>
    </row>
    <row r="2592">
      <c r="A2592" t="inlineStr">
        <is>
          <t>Fernanda</t>
        </is>
      </c>
      <c r="B2592" t="inlineStr">
        <is>
          <t>+5585991490877</t>
        </is>
      </c>
      <c r="C2592" t="inlineStr">
        <is>
          <t>Refill</t>
        </is>
      </c>
      <c r="D2592" t="inlineStr">
        <is>
          <t>Primer Cachos</t>
        </is>
      </c>
      <c r="E2592" t="n">
        <v>1</v>
      </c>
      <c r="F2592" t="inlineStr">
        <is>
          <t>2026-01-30</t>
        </is>
      </c>
      <c r="G2592" t="n">
        <v>155</v>
      </c>
      <c r="H2592" t="inlineStr">
        <is>
          <t>Y</t>
        </is>
      </c>
      <c r="I2592">
        <f>HYPERLINK("https://admin.shopify.com/store/ge-beauty-cosmeticos/customers/10094727856448","abrir")</f>
        <v/>
      </c>
      <c r="J2592">
        <f>HYPERLINK("https://www.gebeauty.com.br/products/primer-cachos-definidos?ref=review","review")</f>
        <v/>
      </c>
      <c r="K2592" t="inlineStr">
        <is>
          <t>SEND</t>
        </is>
      </c>
    </row>
    <row r="2593">
      <c r="A2593" t="inlineStr">
        <is>
          <t>Vastir Maria</t>
        </is>
      </c>
      <c r="B2593" t="inlineStr">
        <is>
          <t>+5511997894792</t>
        </is>
      </c>
      <c r="C2593" t="inlineStr">
        <is>
          <t>Refill</t>
        </is>
      </c>
      <c r="D2593" t="inlineStr">
        <is>
          <t>Primer Cachos</t>
        </is>
      </c>
      <c r="E2593" t="n">
        <v>1</v>
      </c>
      <c r="F2593" t="inlineStr">
        <is>
          <t>2026-01-30</t>
        </is>
      </c>
      <c r="G2593" t="n">
        <v>155</v>
      </c>
      <c r="H2593" t="inlineStr">
        <is>
          <t>Y</t>
        </is>
      </c>
      <c r="I2593">
        <f>HYPERLINK("https://admin.shopify.com/store/ge-beauty-cosmeticos/customers/10094751613248","abrir")</f>
        <v/>
      </c>
      <c r="J2593">
        <f>HYPERLINK("https://www.gebeauty.com.br/products/primer-cachos-definidos?ref=review","review")</f>
        <v/>
      </c>
      <c r="K2593" t="inlineStr">
        <is>
          <t>SEND</t>
        </is>
      </c>
    </row>
    <row r="2594">
      <c r="B2594" t="inlineStr">
        <is>
          <t>+5511999070708</t>
        </is>
      </c>
      <c r="C2594" t="inlineStr">
        <is>
          <t>Refill</t>
        </is>
      </c>
      <c r="D2594" t="inlineStr">
        <is>
          <t>Primer Cachos</t>
        </is>
      </c>
      <c r="E2594" t="n">
        <v>1</v>
      </c>
      <c r="F2594" t="inlineStr">
        <is>
          <t>2026-01-30</t>
        </is>
      </c>
      <c r="G2594" t="n">
        <v>155</v>
      </c>
      <c r="H2594" t="inlineStr">
        <is>
          <t>Y</t>
        </is>
      </c>
      <c r="I2594">
        <f>HYPERLINK("https://admin.shopify.com/store/ge-beauty-cosmeticos/customers/10094733984064","abrir")</f>
        <v/>
      </c>
      <c r="J2594">
        <f>HYPERLINK("https://www.gebeauty.com.br/products/primer-cachos-definidos?ref=review","review")</f>
        <v/>
      </c>
      <c r="K2594" t="inlineStr">
        <is>
          <t>SEND</t>
        </is>
      </c>
    </row>
    <row r="2595">
      <c r="A2595" t="inlineStr">
        <is>
          <t>Danielle</t>
        </is>
      </c>
      <c r="B2595" t="inlineStr">
        <is>
          <t>+5511942808877</t>
        </is>
      </c>
      <c r="C2595" t="inlineStr">
        <is>
          <t>Refill</t>
        </is>
      </c>
      <c r="D2595" t="inlineStr">
        <is>
          <t>Primer Cachos</t>
        </is>
      </c>
      <c r="E2595" t="n">
        <v>1</v>
      </c>
      <c r="F2595" t="inlineStr">
        <is>
          <t>2026-01-30</t>
        </is>
      </c>
      <c r="G2595" t="n">
        <v>155</v>
      </c>
      <c r="H2595" t="inlineStr">
        <is>
          <t>Y</t>
        </is>
      </c>
      <c r="I2595">
        <f>HYPERLINK("https://admin.shopify.com/store/ge-beauty-cosmeticos/customers/10093354975552","abrir")</f>
        <v/>
      </c>
      <c r="J2595">
        <f>HYPERLINK("https://www.gebeauty.com.br/products/primer-cachos-definidos?ref=review","review")</f>
        <v/>
      </c>
      <c r="K2595" t="inlineStr">
        <is>
          <t>SEND</t>
        </is>
      </c>
    </row>
    <row r="2596">
      <c r="A2596" t="inlineStr">
        <is>
          <t>Natasha</t>
        </is>
      </c>
      <c r="B2596" t="inlineStr">
        <is>
          <t>+5511991899565</t>
        </is>
      </c>
      <c r="C2596" t="inlineStr">
        <is>
          <t>Refill</t>
        </is>
      </c>
      <c r="D2596" t="inlineStr">
        <is>
          <t>Primer Cachos</t>
        </is>
      </c>
      <c r="E2596" t="n">
        <v>1</v>
      </c>
      <c r="F2596" t="inlineStr">
        <is>
          <t>2026-01-30</t>
        </is>
      </c>
      <c r="G2596" t="n">
        <v>155</v>
      </c>
      <c r="H2596" t="inlineStr">
        <is>
          <t>Y</t>
        </is>
      </c>
      <c r="I2596">
        <f>HYPERLINK("https://admin.shopify.com/store/ge-beauty-cosmeticos/customers/10094779334976","abrir")</f>
        <v/>
      </c>
      <c r="J2596">
        <f>HYPERLINK("https://www.gebeauty.com.br/products/primer-cachos-definidos?ref=review","review")</f>
        <v/>
      </c>
      <c r="K2596" t="inlineStr">
        <is>
          <t>SEND</t>
        </is>
      </c>
    </row>
    <row r="2597">
      <c r="A2597" t="inlineStr">
        <is>
          <t>Talita</t>
        </is>
      </c>
      <c r="B2597" t="inlineStr">
        <is>
          <t>+5511957550783</t>
        </is>
      </c>
      <c r="C2597" t="inlineStr">
        <is>
          <t>Refill</t>
        </is>
      </c>
      <c r="D2597" t="inlineStr">
        <is>
          <t>Primer Cachos</t>
        </is>
      </c>
      <c r="E2597" t="n">
        <v>1</v>
      </c>
      <c r="F2597" t="inlineStr">
        <is>
          <t>2026-01-30</t>
        </is>
      </c>
      <c r="G2597" t="n">
        <v>155</v>
      </c>
      <c r="H2597" t="inlineStr">
        <is>
          <t>Y</t>
        </is>
      </c>
      <c r="I2597">
        <f>HYPERLINK("https://admin.shopify.com/store/ge-beauty-cosmeticos/customers/10093118488896","abrir")</f>
        <v/>
      </c>
      <c r="J2597">
        <f>HYPERLINK("https://www.gebeauty.com.br/products/primer-cachos-definidos?ref=review","review")</f>
        <v/>
      </c>
      <c r="K2597" t="inlineStr">
        <is>
          <t>HOLDOUT</t>
        </is>
      </c>
    </row>
    <row r="2598">
      <c r="A2598" t="inlineStr">
        <is>
          <t>Raquel</t>
        </is>
      </c>
      <c r="B2598" t="inlineStr">
        <is>
          <t>+5562993257284</t>
        </is>
      </c>
      <c r="C2598" t="inlineStr">
        <is>
          <t>Refill</t>
        </is>
      </c>
      <c r="D2598" t="inlineStr">
        <is>
          <t>Primer Cachos</t>
        </is>
      </c>
      <c r="E2598" t="n">
        <v>1</v>
      </c>
      <c r="F2598" t="inlineStr">
        <is>
          <t>2026-01-30</t>
        </is>
      </c>
      <c r="G2598" t="n">
        <v>155</v>
      </c>
      <c r="H2598" t="inlineStr">
        <is>
          <t>Y</t>
        </is>
      </c>
      <c r="I2598">
        <f>HYPERLINK("https://admin.shopify.com/store/ge-beauty-cosmeticos/customers/10094844477760","abrir")</f>
        <v/>
      </c>
      <c r="J2598">
        <f>HYPERLINK("https://www.gebeauty.com.br/products/primer-cachos-definidos?ref=review","review")</f>
        <v/>
      </c>
      <c r="K2598" t="inlineStr">
        <is>
          <t>SEND</t>
        </is>
      </c>
    </row>
    <row r="2599">
      <c r="A2599" t="inlineStr">
        <is>
          <t>Ana</t>
        </is>
      </c>
      <c r="B2599" t="inlineStr">
        <is>
          <t>+5516999940667</t>
        </is>
      </c>
      <c r="C2599" t="inlineStr">
        <is>
          <t>Refill</t>
        </is>
      </c>
      <c r="D2599" t="inlineStr">
        <is>
          <t>Primer Cachos</t>
        </is>
      </c>
      <c r="E2599" t="n">
        <v>1</v>
      </c>
      <c r="F2599" t="inlineStr">
        <is>
          <t>2026-01-30</t>
        </is>
      </c>
      <c r="G2599" t="n">
        <v>155</v>
      </c>
      <c r="H2599" t="inlineStr">
        <is>
          <t>Y</t>
        </is>
      </c>
      <c r="I2599">
        <f>HYPERLINK("https://admin.shopify.com/store/ge-beauty-cosmeticos/customers/10094855422272","abrir")</f>
        <v/>
      </c>
      <c r="J2599">
        <f>HYPERLINK("https://www.gebeauty.com.br/products/primer-cachos-definidos?ref=review","review")</f>
        <v/>
      </c>
      <c r="K2599" t="inlineStr">
        <is>
          <t>SEND</t>
        </is>
      </c>
    </row>
    <row r="2600">
      <c r="A2600" t="inlineStr">
        <is>
          <t>Daniele</t>
        </is>
      </c>
      <c r="B2600" t="inlineStr">
        <is>
          <t>+5511938785734</t>
        </is>
      </c>
      <c r="C2600" t="inlineStr">
        <is>
          <t>Refill</t>
        </is>
      </c>
      <c r="D2600" t="inlineStr">
        <is>
          <t>Primer Cachos</t>
        </is>
      </c>
      <c r="E2600" t="n">
        <v>1</v>
      </c>
      <c r="F2600" t="inlineStr">
        <is>
          <t>2026-01-30</t>
        </is>
      </c>
      <c r="G2600" t="n">
        <v>155</v>
      </c>
      <c r="H2600" t="inlineStr">
        <is>
          <t>Y</t>
        </is>
      </c>
      <c r="I2600">
        <f>HYPERLINK("https://admin.shopify.com/store/ge-beauty-cosmeticos/customers/10075648786752","abrir")</f>
        <v/>
      </c>
      <c r="J2600">
        <f>HYPERLINK("https://www.gebeauty.com.br/products/primer-cachos-definidos?ref=review","review")</f>
        <v/>
      </c>
      <c r="K2600" t="inlineStr">
        <is>
          <t>SEND</t>
        </is>
      </c>
    </row>
    <row r="2601">
      <c r="A2601" t="inlineStr">
        <is>
          <t>Beth</t>
        </is>
      </c>
      <c r="B2601" t="inlineStr">
        <is>
          <t>+5521999817897</t>
        </is>
      </c>
      <c r="C2601" t="inlineStr">
        <is>
          <t>Refill</t>
        </is>
      </c>
      <c r="D2601" t="inlineStr">
        <is>
          <t>Primer Cachos</t>
        </is>
      </c>
      <c r="E2601" t="n">
        <v>1</v>
      </c>
      <c r="F2601" t="inlineStr">
        <is>
          <t>2026-01-30</t>
        </is>
      </c>
      <c r="G2601" t="n">
        <v>155</v>
      </c>
      <c r="H2601" t="inlineStr">
        <is>
          <t>Y</t>
        </is>
      </c>
      <c r="I2601">
        <f>HYPERLINK("https://admin.shopify.com/store/ge-beauty-cosmeticos/customers/10073237061952","abrir")</f>
        <v/>
      </c>
      <c r="J2601">
        <f>HYPERLINK("https://www.gebeauty.com.br/products/primer-cachos-definidos?ref=review","review")</f>
        <v/>
      </c>
      <c r="K2601" t="inlineStr">
        <is>
          <t>SEND</t>
        </is>
      </c>
    </row>
    <row r="2602">
      <c r="A2602" t="inlineStr">
        <is>
          <t>Mireli</t>
        </is>
      </c>
      <c r="B2602" t="inlineStr">
        <is>
          <t>+5581995372189</t>
        </is>
      </c>
      <c r="C2602" t="inlineStr">
        <is>
          <t>Refill</t>
        </is>
      </c>
      <c r="D2602" t="inlineStr">
        <is>
          <t>Primer Cachos</t>
        </is>
      </c>
      <c r="E2602" t="n">
        <v>1</v>
      </c>
      <c r="F2602" t="inlineStr">
        <is>
          <t>2026-01-30</t>
        </is>
      </c>
      <c r="G2602" t="n">
        <v>155</v>
      </c>
      <c r="H2602" t="inlineStr">
        <is>
          <t>Y</t>
        </is>
      </c>
      <c r="I2602">
        <f>HYPERLINK("https://admin.shopify.com/store/ge-beauty-cosmeticos/customers/10094903558464","abrir")</f>
        <v/>
      </c>
      <c r="J2602">
        <f>HYPERLINK("https://www.gebeauty.com.br/products/primer-cachos-definidos?ref=review","review")</f>
        <v/>
      </c>
      <c r="K2602" t="inlineStr">
        <is>
          <t>SEND</t>
        </is>
      </c>
    </row>
    <row r="2603">
      <c r="A2603" t="inlineStr">
        <is>
          <t>Leticia</t>
        </is>
      </c>
      <c r="B2603" t="inlineStr">
        <is>
          <t>+5515991229193</t>
        </is>
      </c>
      <c r="C2603" t="inlineStr">
        <is>
          <t>Refill</t>
        </is>
      </c>
      <c r="D2603" t="inlineStr">
        <is>
          <t>Primer Cachos</t>
        </is>
      </c>
      <c r="E2603" t="n">
        <v>1</v>
      </c>
      <c r="F2603" t="inlineStr">
        <is>
          <t>2026-01-30</t>
        </is>
      </c>
      <c r="G2603" t="n">
        <v>155</v>
      </c>
      <c r="H2603" t="inlineStr">
        <is>
          <t>Y</t>
        </is>
      </c>
      <c r="I2603">
        <f>HYPERLINK("https://admin.shopify.com/store/ge-beauty-cosmeticos/customers/10094951727424","abrir")</f>
        <v/>
      </c>
      <c r="J2603">
        <f>HYPERLINK("https://www.gebeauty.com.br/products/primer-cachos-definidos?ref=review","review")</f>
        <v/>
      </c>
      <c r="K2603" t="inlineStr">
        <is>
          <t>SEND</t>
        </is>
      </c>
    </row>
    <row r="2604">
      <c r="A2604" t="inlineStr">
        <is>
          <t>Maria Rafaela</t>
        </is>
      </c>
      <c r="B2604" t="inlineStr">
        <is>
          <t>+5517988086875</t>
        </is>
      </c>
      <c r="C2604" t="inlineStr">
        <is>
          <t>Refill</t>
        </is>
      </c>
      <c r="D2604" t="inlineStr">
        <is>
          <t>Primer Cachos</t>
        </is>
      </c>
      <c r="E2604" t="n">
        <v>1</v>
      </c>
      <c r="F2604" t="inlineStr">
        <is>
          <t>2026-01-30</t>
        </is>
      </c>
      <c r="G2604" t="n">
        <v>155</v>
      </c>
      <c r="H2604" t="inlineStr">
        <is>
          <t>Y</t>
        </is>
      </c>
      <c r="I2604">
        <f>HYPERLINK("https://admin.shopify.com/store/ge-beauty-cosmeticos/customers/9994959388992","abrir")</f>
        <v/>
      </c>
      <c r="J2604">
        <f>HYPERLINK("https://www.gebeauty.com.br/products/primer-cachos-definidos?ref=review","review")</f>
        <v/>
      </c>
      <c r="K2604" t="inlineStr">
        <is>
          <t>SEND</t>
        </is>
      </c>
    </row>
    <row r="2605">
      <c r="A2605" t="inlineStr">
        <is>
          <t>Patrícia</t>
        </is>
      </c>
      <c r="B2605" t="inlineStr">
        <is>
          <t>+5511999440316</t>
        </is>
      </c>
      <c r="C2605" t="inlineStr">
        <is>
          <t>Refill</t>
        </is>
      </c>
      <c r="D2605" t="inlineStr">
        <is>
          <t>Primer Cachos</t>
        </is>
      </c>
      <c r="E2605" t="n">
        <v>1</v>
      </c>
      <c r="F2605" t="inlineStr">
        <is>
          <t>2026-01-30</t>
        </is>
      </c>
      <c r="G2605" t="n">
        <v>155</v>
      </c>
      <c r="H2605" t="inlineStr">
        <is>
          <t>Y</t>
        </is>
      </c>
      <c r="I2605">
        <f>HYPERLINK("https://admin.shopify.com/store/ge-beauty-cosmeticos/customers/10094977777984","abrir")</f>
        <v/>
      </c>
      <c r="J2605">
        <f>HYPERLINK("https://www.gebeauty.com.br/products/primer-cachos-definidos?ref=review","review")</f>
        <v/>
      </c>
      <c r="K2605" t="inlineStr">
        <is>
          <t>SEND</t>
        </is>
      </c>
    </row>
    <row r="2606">
      <c r="A2606" t="inlineStr">
        <is>
          <t>Adriana</t>
        </is>
      </c>
      <c r="B2606" t="inlineStr">
        <is>
          <t>+5519981002273</t>
        </is>
      </c>
      <c r="C2606" t="inlineStr">
        <is>
          <t>Refill</t>
        </is>
      </c>
      <c r="D2606" t="inlineStr">
        <is>
          <t>Primer Cachos</t>
        </is>
      </c>
      <c r="E2606" t="n">
        <v>1</v>
      </c>
      <c r="F2606" t="inlineStr">
        <is>
          <t>2026-01-30</t>
        </is>
      </c>
      <c r="G2606" t="n">
        <v>155</v>
      </c>
      <c r="H2606" t="inlineStr">
        <is>
          <t>Y</t>
        </is>
      </c>
      <c r="I2606">
        <f>HYPERLINK("https://admin.shopify.com/store/ge-beauty-cosmeticos/customers/10095012708672","abrir")</f>
        <v/>
      </c>
      <c r="J2606">
        <f>HYPERLINK("https://www.gebeauty.com.br/products/primer-cachos-definidos?ref=review","review")</f>
        <v/>
      </c>
      <c r="K2606" t="inlineStr">
        <is>
          <t>SEND</t>
        </is>
      </c>
    </row>
    <row r="2607">
      <c r="A2607" t="inlineStr">
        <is>
          <t>Michelle</t>
        </is>
      </c>
      <c r="B2607" t="inlineStr">
        <is>
          <t>+5521999940352</t>
        </is>
      </c>
      <c r="C2607" t="inlineStr">
        <is>
          <t>Refill</t>
        </is>
      </c>
      <c r="D2607" t="inlineStr">
        <is>
          <t>Primer Cachos</t>
        </is>
      </c>
      <c r="E2607" t="n">
        <v>1</v>
      </c>
      <c r="F2607" t="inlineStr">
        <is>
          <t>2026-01-30</t>
        </is>
      </c>
      <c r="G2607" t="n">
        <v>155</v>
      </c>
      <c r="H2607" t="inlineStr">
        <is>
          <t>Y</t>
        </is>
      </c>
      <c r="I2607">
        <f>HYPERLINK("https://admin.shopify.com/store/ge-beauty-cosmeticos/customers/10095032435008","abrir")</f>
        <v/>
      </c>
      <c r="J2607">
        <f>HYPERLINK("https://www.gebeauty.com.br/products/primer-cachos-definidos?ref=review","review")</f>
        <v/>
      </c>
      <c r="K2607" t="inlineStr">
        <is>
          <t>HOLDOUT</t>
        </is>
      </c>
    </row>
    <row r="2608">
      <c r="A2608" t="inlineStr">
        <is>
          <t>Alethea</t>
        </is>
      </c>
      <c r="B2608" t="inlineStr">
        <is>
          <t>+5511947320949</t>
        </is>
      </c>
      <c r="C2608" t="inlineStr">
        <is>
          <t>Refill</t>
        </is>
      </c>
      <c r="D2608" t="inlineStr">
        <is>
          <t>Primer Cachos</t>
        </is>
      </c>
      <c r="E2608" t="n">
        <v>1</v>
      </c>
      <c r="F2608" t="inlineStr">
        <is>
          <t>2026-01-30</t>
        </is>
      </c>
      <c r="G2608" t="n">
        <v>155</v>
      </c>
      <c r="H2608" t="inlineStr">
        <is>
          <t>Y</t>
        </is>
      </c>
      <c r="I2608">
        <f>HYPERLINK("https://admin.shopify.com/store/ge-beauty-cosmeticos/customers/10091815731520","abrir")</f>
        <v/>
      </c>
      <c r="J2608">
        <f>HYPERLINK("https://www.gebeauty.com.br/products/primer-cachos-definidos?ref=review","review")</f>
        <v/>
      </c>
      <c r="K2608" t="inlineStr">
        <is>
          <t>SEND</t>
        </is>
      </c>
    </row>
    <row r="2609">
      <c r="A2609" t="inlineStr">
        <is>
          <t>Sandra</t>
        </is>
      </c>
      <c r="B2609" t="inlineStr">
        <is>
          <t>+5585999103969</t>
        </is>
      </c>
      <c r="C2609" t="inlineStr">
        <is>
          <t>Refill</t>
        </is>
      </c>
      <c r="D2609" t="inlineStr">
        <is>
          <t>Primer Cachos</t>
        </is>
      </c>
      <c r="E2609" t="n">
        <v>1</v>
      </c>
      <c r="F2609" t="inlineStr">
        <is>
          <t>2026-01-30</t>
        </is>
      </c>
      <c r="G2609" t="n">
        <v>155</v>
      </c>
      <c r="H2609" t="inlineStr">
        <is>
          <t>Y</t>
        </is>
      </c>
      <c r="I2609">
        <f>HYPERLINK("https://admin.shopify.com/store/ge-beauty-cosmeticos/customers/10095042527552","abrir")</f>
        <v/>
      </c>
      <c r="J2609">
        <f>HYPERLINK("https://www.gebeauty.com.br/products/primer-cachos-definidos?ref=review","review")</f>
        <v/>
      </c>
      <c r="K2609" t="inlineStr">
        <is>
          <t>SEND</t>
        </is>
      </c>
    </row>
    <row r="2610">
      <c r="A2610" t="inlineStr">
        <is>
          <t>Vanessa</t>
        </is>
      </c>
      <c r="B2610" t="inlineStr">
        <is>
          <t>+5561984129667</t>
        </is>
      </c>
      <c r="C2610" t="inlineStr">
        <is>
          <t>Refill</t>
        </is>
      </c>
      <c r="D2610" t="inlineStr">
        <is>
          <t>Primer Cachos</t>
        </is>
      </c>
      <c r="E2610" t="n">
        <v>1</v>
      </c>
      <c r="F2610" t="inlineStr">
        <is>
          <t>2026-01-31</t>
        </is>
      </c>
      <c r="G2610" t="n">
        <v>154</v>
      </c>
      <c r="H2610" t="inlineStr">
        <is>
          <t>Y</t>
        </is>
      </c>
      <c r="I2610">
        <f>HYPERLINK("https://admin.shopify.com/store/ge-beauty-cosmeticos/customers/10095065104704","abrir")</f>
        <v/>
      </c>
      <c r="J2610">
        <f>HYPERLINK("https://www.gebeauty.com.br/products/primer-cachos-definidos?ref=review","review")</f>
        <v/>
      </c>
      <c r="K2610" t="inlineStr">
        <is>
          <t>SEND</t>
        </is>
      </c>
    </row>
    <row r="2611">
      <c r="A2611" t="inlineStr">
        <is>
          <t>Isadora</t>
        </is>
      </c>
      <c r="B2611" t="inlineStr">
        <is>
          <t>+5511999017740</t>
        </is>
      </c>
      <c r="C2611" t="inlineStr">
        <is>
          <t>Refill</t>
        </is>
      </c>
      <c r="D2611" t="inlineStr">
        <is>
          <t>Primer Cachos</t>
        </is>
      </c>
      <c r="E2611" t="n">
        <v>1</v>
      </c>
      <c r="F2611" t="inlineStr">
        <is>
          <t>2026-01-31</t>
        </is>
      </c>
      <c r="G2611" t="n">
        <v>154</v>
      </c>
      <c r="H2611" t="inlineStr">
        <is>
          <t>Y</t>
        </is>
      </c>
      <c r="I2611">
        <f>HYPERLINK("https://admin.shopify.com/store/ge-beauty-cosmeticos/customers/9650967773504","abrir")</f>
        <v/>
      </c>
      <c r="J2611">
        <f>HYPERLINK("https://www.gebeauty.com.br/products/primer-cachos-definidos?ref=review","review")</f>
        <v/>
      </c>
      <c r="K2611" t="inlineStr">
        <is>
          <t>SEND</t>
        </is>
      </c>
    </row>
    <row r="2612">
      <c r="A2612" t="inlineStr">
        <is>
          <t>Bruna</t>
        </is>
      </c>
      <c r="B2612" t="inlineStr">
        <is>
          <t>+5521981093133</t>
        </is>
      </c>
      <c r="C2612" t="inlineStr">
        <is>
          <t>Refill</t>
        </is>
      </c>
      <c r="D2612" t="inlineStr">
        <is>
          <t>Primer Cachos</t>
        </is>
      </c>
      <c r="E2612" t="n">
        <v>1</v>
      </c>
      <c r="F2612" t="inlineStr">
        <is>
          <t>2026-01-31</t>
        </is>
      </c>
      <c r="G2612" t="n">
        <v>154</v>
      </c>
      <c r="H2612" t="inlineStr">
        <is>
          <t>Y</t>
        </is>
      </c>
      <c r="I2612">
        <f>HYPERLINK("https://admin.shopify.com/store/ge-beauty-cosmeticos/customers/10095142732096","abrir")</f>
        <v/>
      </c>
      <c r="J2612">
        <f>HYPERLINK("https://www.gebeauty.com.br/products/primer-cachos-definidos?ref=review","review")</f>
        <v/>
      </c>
      <c r="K2612" t="inlineStr">
        <is>
          <t>SEND</t>
        </is>
      </c>
    </row>
    <row r="2613">
      <c r="A2613" t="inlineStr">
        <is>
          <t>Claudia</t>
        </is>
      </c>
      <c r="B2613" t="inlineStr">
        <is>
          <t>+5511999087781</t>
        </is>
      </c>
      <c r="C2613" t="inlineStr">
        <is>
          <t>Refill</t>
        </is>
      </c>
      <c r="D2613" t="inlineStr">
        <is>
          <t>Primer Cachos</t>
        </is>
      </c>
      <c r="E2613" t="n">
        <v>1</v>
      </c>
      <c r="F2613" t="inlineStr">
        <is>
          <t>2026-01-31</t>
        </is>
      </c>
      <c r="G2613" t="n">
        <v>154</v>
      </c>
      <c r="H2613" t="inlineStr">
        <is>
          <t>Y</t>
        </is>
      </c>
      <c r="I2613">
        <f>HYPERLINK("https://admin.shopify.com/store/ge-beauty-cosmeticos/customers/10074198835520","abrir")</f>
        <v/>
      </c>
      <c r="J2613">
        <f>HYPERLINK("https://www.gebeauty.com.br/products/primer-cachos-definidos?ref=review","review")</f>
        <v/>
      </c>
      <c r="K2613" t="inlineStr">
        <is>
          <t>SEND</t>
        </is>
      </c>
    </row>
    <row r="2614">
      <c r="A2614" t="inlineStr">
        <is>
          <t>Mariana</t>
        </is>
      </c>
      <c r="B2614" t="inlineStr">
        <is>
          <t>+5511999711491</t>
        </is>
      </c>
      <c r="C2614" t="inlineStr">
        <is>
          <t>Refill</t>
        </is>
      </c>
      <c r="D2614" t="inlineStr">
        <is>
          <t>Primer Cachos</t>
        </is>
      </c>
      <c r="E2614" t="n">
        <v>1</v>
      </c>
      <c r="F2614" t="inlineStr">
        <is>
          <t>2026-01-31</t>
        </is>
      </c>
      <c r="G2614" t="n">
        <v>154</v>
      </c>
      <c r="H2614" t="inlineStr">
        <is>
          <t>Y</t>
        </is>
      </c>
      <c r="I2614">
        <f>HYPERLINK("https://admin.shopify.com/store/ge-beauty-cosmeticos/customers/10095237857600","abrir")</f>
        <v/>
      </c>
      <c r="J2614">
        <f>HYPERLINK("https://www.gebeauty.com.br/products/primer-cachos-definidos?ref=review","review")</f>
        <v/>
      </c>
      <c r="K2614" t="inlineStr">
        <is>
          <t>HOLDOUT</t>
        </is>
      </c>
    </row>
    <row r="2615">
      <c r="A2615" t="inlineStr">
        <is>
          <t>Valeria</t>
        </is>
      </c>
      <c r="B2615" t="inlineStr">
        <is>
          <t>+5521981244509</t>
        </is>
      </c>
      <c r="C2615" t="inlineStr">
        <is>
          <t>Refill</t>
        </is>
      </c>
      <c r="D2615" t="inlineStr">
        <is>
          <t>Primer Cachos</t>
        </is>
      </c>
      <c r="E2615" t="n">
        <v>1</v>
      </c>
      <c r="F2615" t="inlineStr">
        <is>
          <t>2026-01-31</t>
        </is>
      </c>
      <c r="G2615" t="n">
        <v>154</v>
      </c>
      <c r="H2615" t="inlineStr">
        <is>
          <t>Y</t>
        </is>
      </c>
      <c r="I2615">
        <f>HYPERLINK("https://admin.shopify.com/store/ge-beauty-cosmeticos/customers/10095249359168","abrir")</f>
        <v/>
      </c>
      <c r="J2615">
        <f>HYPERLINK("https://www.gebeauty.com.br/products/primer-cachos-definidos?ref=review","review")</f>
        <v/>
      </c>
      <c r="K2615" t="inlineStr">
        <is>
          <t>HOLDOUT</t>
        </is>
      </c>
    </row>
    <row r="2616">
      <c r="A2616" t="inlineStr">
        <is>
          <t>Érica</t>
        </is>
      </c>
      <c r="B2616" t="inlineStr">
        <is>
          <t>+5511994444718</t>
        </is>
      </c>
      <c r="C2616" t="inlineStr">
        <is>
          <t>Refill</t>
        </is>
      </c>
      <c r="D2616" t="inlineStr">
        <is>
          <t>Primer Cachos</t>
        </is>
      </c>
      <c r="E2616" t="n">
        <v>1</v>
      </c>
      <c r="F2616" t="inlineStr">
        <is>
          <t>2026-01-31</t>
        </is>
      </c>
      <c r="G2616" t="n">
        <v>154</v>
      </c>
      <c r="H2616" t="inlineStr">
        <is>
          <t>Y</t>
        </is>
      </c>
      <c r="I2616">
        <f>HYPERLINK("https://admin.shopify.com/store/ge-beauty-cosmeticos/customers/9485899170112","abrir")</f>
        <v/>
      </c>
      <c r="J2616">
        <f>HYPERLINK("https://www.gebeauty.com.br/products/primer-cachos-definidos?ref=review","review")</f>
        <v/>
      </c>
      <c r="K2616" t="inlineStr">
        <is>
          <t>SEND</t>
        </is>
      </c>
    </row>
    <row r="2617">
      <c r="A2617" t="inlineStr">
        <is>
          <t>Ana</t>
        </is>
      </c>
      <c r="B2617" t="inlineStr">
        <is>
          <t>+5524999208564</t>
        </is>
      </c>
      <c r="C2617" t="inlineStr">
        <is>
          <t>Refill</t>
        </is>
      </c>
      <c r="D2617" t="inlineStr">
        <is>
          <t>Primer Cachos</t>
        </is>
      </c>
      <c r="E2617" t="n">
        <v>1</v>
      </c>
      <c r="F2617" t="inlineStr">
        <is>
          <t>2026-01-31</t>
        </is>
      </c>
      <c r="G2617" t="n">
        <v>154</v>
      </c>
      <c r="H2617" t="inlineStr">
        <is>
          <t>Y</t>
        </is>
      </c>
      <c r="I2617">
        <f>HYPERLINK("https://admin.shopify.com/store/ge-beauty-cosmeticos/customers/10094066565440","abrir")</f>
        <v/>
      </c>
      <c r="J2617">
        <f>HYPERLINK("https://www.gebeauty.com.br/products/primer-cachos-definidos?ref=review","review")</f>
        <v/>
      </c>
      <c r="K2617" t="inlineStr">
        <is>
          <t>SEND</t>
        </is>
      </c>
    </row>
    <row r="2618">
      <c r="A2618" t="inlineStr">
        <is>
          <t>Luciana</t>
        </is>
      </c>
      <c r="B2618" t="inlineStr">
        <is>
          <t>+5521985179747</t>
        </is>
      </c>
      <c r="C2618" t="inlineStr">
        <is>
          <t>Refill</t>
        </is>
      </c>
      <c r="D2618" t="inlineStr">
        <is>
          <t>Primer Cachos</t>
        </is>
      </c>
      <c r="E2618" t="n">
        <v>1</v>
      </c>
      <c r="F2618" t="inlineStr">
        <is>
          <t>2026-01-31</t>
        </is>
      </c>
      <c r="G2618" t="n">
        <v>154</v>
      </c>
      <c r="H2618" t="inlineStr">
        <is>
          <t>Y</t>
        </is>
      </c>
      <c r="I2618">
        <f>HYPERLINK("https://admin.shopify.com/store/ge-beauty-cosmeticos/customers/8140030443840","abrir")</f>
        <v/>
      </c>
      <c r="J2618">
        <f>HYPERLINK("https://www.gebeauty.com.br/products/primer-cachos-definidos?ref=review","review")</f>
        <v/>
      </c>
      <c r="K2618" t="inlineStr">
        <is>
          <t>SEND</t>
        </is>
      </c>
    </row>
    <row r="2619">
      <c r="A2619" t="inlineStr">
        <is>
          <t>Maria</t>
        </is>
      </c>
      <c r="B2619" t="inlineStr">
        <is>
          <t>+5521981954282</t>
        </is>
      </c>
      <c r="C2619" t="inlineStr">
        <is>
          <t>Refill</t>
        </is>
      </c>
      <c r="D2619" t="inlineStr">
        <is>
          <t>Primer Cachos</t>
        </is>
      </c>
      <c r="E2619" t="n">
        <v>1</v>
      </c>
      <c r="F2619" t="inlineStr">
        <is>
          <t>2026-01-31</t>
        </is>
      </c>
      <c r="G2619" t="n">
        <v>154</v>
      </c>
      <c r="H2619" t="inlineStr">
        <is>
          <t>Y</t>
        </is>
      </c>
      <c r="I2619">
        <f>HYPERLINK("https://admin.shopify.com/store/ge-beauty-cosmeticos/customers/10080821903680","abrir")</f>
        <v/>
      </c>
      <c r="J2619">
        <f>HYPERLINK("https://www.gebeauty.com.br/products/primer-cachos-definidos?ref=review","review")</f>
        <v/>
      </c>
      <c r="K2619" t="inlineStr">
        <is>
          <t>SEND</t>
        </is>
      </c>
    </row>
    <row r="2620">
      <c r="A2620" t="inlineStr">
        <is>
          <t>Sthefanie</t>
        </is>
      </c>
      <c r="B2620" t="inlineStr">
        <is>
          <t>+5531984040617</t>
        </is>
      </c>
      <c r="C2620" t="inlineStr">
        <is>
          <t>Refill</t>
        </is>
      </c>
      <c r="D2620" t="inlineStr">
        <is>
          <t>Primer Cachos</t>
        </is>
      </c>
      <c r="E2620" t="n">
        <v>1</v>
      </c>
      <c r="F2620" t="inlineStr">
        <is>
          <t>2026-01-31</t>
        </is>
      </c>
      <c r="G2620" t="n">
        <v>154</v>
      </c>
      <c r="H2620" t="inlineStr">
        <is>
          <t>Y</t>
        </is>
      </c>
      <c r="I2620">
        <f>HYPERLINK("https://admin.shopify.com/store/ge-beauty-cosmeticos/customers/10075442643264","abrir")</f>
        <v/>
      </c>
      <c r="J2620">
        <f>HYPERLINK("https://www.gebeauty.com.br/products/primer-cachos-definidos?ref=review","review")</f>
        <v/>
      </c>
      <c r="K2620" t="inlineStr">
        <is>
          <t>SEND</t>
        </is>
      </c>
    </row>
    <row r="2621">
      <c r="A2621" t="inlineStr">
        <is>
          <t>Ana Carolina</t>
        </is>
      </c>
      <c r="B2621" t="inlineStr">
        <is>
          <t>+5527999627150</t>
        </is>
      </c>
      <c r="C2621" t="inlineStr">
        <is>
          <t>Refill</t>
        </is>
      </c>
      <c r="D2621" t="inlineStr">
        <is>
          <t>Primer Cachos</t>
        </is>
      </c>
      <c r="E2621" t="n">
        <v>1</v>
      </c>
      <c r="F2621" t="inlineStr">
        <is>
          <t>2026-01-31</t>
        </is>
      </c>
      <c r="G2621" t="n">
        <v>154</v>
      </c>
      <c r="H2621" t="inlineStr">
        <is>
          <t>Y</t>
        </is>
      </c>
      <c r="I2621">
        <f>HYPERLINK("https://admin.shopify.com/store/ge-beauty-cosmeticos/customers/9986757951808","abrir")</f>
        <v/>
      </c>
      <c r="J2621">
        <f>HYPERLINK("https://www.gebeauty.com.br/products/primer-cachos-definidos?ref=review","review")</f>
        <v/>
      </c>
      <c r="K2621" t="inlineStr">
        <is>
          <t>SEND</t>
        </is>
      </c>
    </row>
    <row r="2622">
      <c r="A2622" t="inlineStr">
        <is>
          <t>Juliana</t>
        </is>
      </c>
      <c r="B2622" t="inlineStr">
        <is>
          <t>+5527999891252</t>
        </is>
      </c>
      <c r="C2622" t="inlineStr">
        <is>
          <t>Refill</t>
        </is>
      </c>
      <c r="D2622" t="inlineStr">
        <is>
          <t>Primer Cachos</t>
        </is>
      </c>
      <c r="E2622" t="n">
        <v>1</v>
      </c>
      <c r="F2622" t="inlineStr">
        <is>
          <t>2026-01-31</t>
        </is>
      </c>
      <c r="G2622" t="n">
        <v>154</v>
      </c>
      <c r="H2622" t="inlineStr">
        <is>
          <t>Y</t>
        </is>
      </c>
      <c r="I2622">
        <f>HYPERLINK("https://admin.shopify.com/store/ge-beauty-cosmeticos/customers/10095861039424","abrir")</f>
        <v/>
      </c>
      <c r="J2622">
        <f>HYPERLINK("https://www.gebeauty.com.br/products/primer-cachos-definidos?ref=review","review")</f>
        <v/>
      </c>
      <c r="K2622" t="inlineStr">
        <is>
          <t>SEND</t>
        </is>
      </c>
    </row>
    <row r="2623">
      <c r="A2623" t="inlineStr">
        <is>
          <t>Josiane</t>
        </is>
      </c>
      <c r="B2623" t="inlineStr">
        <is>
          <t>+5511970226286</t>
        </is>
      </c>
      <c r="C2623" t="inlineStr">
        <is>
          <t>Refill</t>
        </is>
      </c>
      <c r="D2623" t="inlineStr">
        <is>
          <t>Primer Cachos</t>
        </is>
      </c>
      <c r="E2623" t="n">
        <v>1</v>
      </c>
      <c r="F2623" t="inlineStr">
        <is>
          <t>2026-01-31</t>
        </is>
      </c>
      <c r="G2623" t="n">
        <v>154</v>
      </c>
      <c r="H2623" t="inlineStr">
        <is>
          <t>Y</t>
        </is>
      </c>
      <c r="I2623">
        <f>HYPERLINK("https://admin.shopify.com/store/ge-beauty-cosmeticos/customers/10091417960768","abrir")</f>
        <v/>
      </c>
      <c r="J2623">
        <f>HYPERLINK("https://www.gebeauty.com.br/products/primer-cachos-definidos?ref=review","review")</f>
        <v/>
      </c>
      <c r="K2623" t="inlineStr">
        <is>
          <t>SEND</t>
        </is>
      </c>
    </row>
    <row r="2624">
      <c r="A2624" t="inlineStr">
        <is>
          <t>Gabriela</t>
        </is>
      </c>
      <c r="B2624" t="inlineStr">
        <is>
          <t>+5511968125859</t>
        </is>
      </c>
      <c r="C2624" t="inlineStr">
        <is>
          <t>Refill</t>
        </is>
      </c>
      <c r="D2624" t="inlineStr">
        <is>
          <t>Primer Cachos</t>
        </is>
      </c>
      <c r="E2624" t="n">
        <v>1</v>
      </c>
      <c r="F2624" t="inlineStr">
        <is>
          <t>2026-01-31</t>
        </is>
      </c>
      <c r="G2624" t="n">
        <v>154</v>
      </c>
      <c r="H2624" t="inlineStr">
        <is>
          <t>Y</t>
        </is>
      </c>
      <c r="I2624">
        <f>HYPERLINK("https://admin.shopify.com/store/ge-beauty-cosmeticos/customers/10095873065280","abrir")</f>
        <v/>
      </c>
      <c r="J2624">
        <f>HYPERLINK("https://www.gebeauty.com.br/products/primer-cachos-definidos?ref=review","review")</f>
        <v/>
      </c>
      <c r="K2624" t="inlineStr">
        <is>
          <t>SEND</t>
        </is>
      </c>
    </row>
    <row r="2625">
      <c r="A2625" t="inlineStr">
        <is>
          <t>Priscila</t>
        </is>
      </c>
      <c r="B2625" t="inlineStr">
        <is>
          <t>+5519988679165</t>
        </is>
      </c>
      <c r="C2625" t="inlineStr">
        <is>
          <t>Refill</t>
        </is>
      </c>
      <c r="D2625" t="inlineStr">
        <is>
          <t>Primer Cachos</t>
        </is>
      </c>
      <c r="E2625" t="n">
        <v>1</v>
      </c>
      <c r="F2625" t="inlineStr">
        <is>
          <t>2026-01-31</t>
        </is>
      </c>
      <c r="G2625" t="n">
        <v>154</v>
      </c>
      <c r="H2625" t="inlineStr">
        <is>
          <t>Y</t>
        </is>
      </c>
      <c r="I2625">
        <f>HYPERLINK("https://admin.shopify.com/store/ge-beauty-cosmeticos/customers/10095895183680","abrir")</f>
        <v/>
      </c>
      <c r="J2625">
        <f>HYPERLINK("https://www.gebeauty.com.br/products/primer-cachos-definidos?ref=review","review")</f>
        <v/>
      </c>
      <c r="K2625" t="inlineStr">
        <is>
          <t>SEND</t>
        </is>
      </c>
    </row>
    <row r="2626">
      <c r="A2626" t="inlineStr">
        <is>
          <t>Tatiane</t>
        </is>
      </c>
      <c r="B2626" t="inlineStr">
        <is>
          <t>+5565996779288</t>
        </is>
      </c>
      <c r="C2626" t="inlineStr">
        <is>
          <t>Refill</t>
        </is>
      </c>
      <c r="D2626" t="inlineStr">
        <is>
          <t>Primer Cachos</t>
        </is>
      </c>
      <c r="E2626" t="n">
        <v>1</v>
      </c>
      <c r="F2626" t="inlineStr">
        <is>
          <t>2026-01-31</t>
        </is>
      </c>
      <c r="G2626" t="n">
        <v>154</v>
      </c>
      <c r="H2626" t="inlineStr">
        <is>
          <t>Y</t>
        </is>
      </c>
      <c r="I2626">
        <f>HYPERLINK("https://admin.shopify.com/store/ge-beauty-cosmeticos/customers/10095929295168","abrir")</f>
        <v/>
      </c>
      <c r="J2626">
        <f>HYPERLINK("https://www.gebeauty.com.br/products/primer-cachos-definidos?ref=review","review")</f>
        <v/>
      </c>
      <c r="K2626" t="inlineStr">
        <is>
          <t>HOLDOUT</t>
        </is>
      </c>
    </row>
    <row r="2627">
      <c r="A2627" t="inlineStr">
        <is>
          <t>Katianne</t>
        </is>
      </c>
      <c r="B2627" t="inlineStr">
        <is>
          <t>+5577999935558</t>
        </is>
      </c>
      <c r="C2627" t="inlineStr">
        <is>
          <t>Refill</t>
        </is>
      </c>
      <c r="D2627" t="inlineStr">
        <is>
          <t>Primer Cachos</t>
        </is>
      </c>
      <c r="E2627" t="n">
        <v>1</v>
      </c>
      <c r="F2627" t="inlineStr">
        <is>
          <t>2026-01-31</t>
        </is>
      </c>
      <c r="G2627" t="n">
        <v>154</v>
      </c>
      <c r="H2627" t="inlineStr">
        <is>
          <t>Y</t>
        </is>
      </c>
      <c r="I2627">
        <f>HYPERLINK("https://admin.shopify.com/store/ge-beauty-cosmeticos/customers/10096009675072","abrir")</f>
        <v/>
      </c>
      <c r="J2627">
        <f>HYPERLINK("https://www.gebeauty.com.br/products/primer-cachos-definidos?ref=review","review")</f>
        <v/>
      </c>
      <c r="K2627" t="inlineStr">
        <is>
          <t>SEND</t>
        </is>
      </c>
    </row>
    <row r="2628">
      <c r="A2628" t="inlineStr">
        <is>
          <t>Renata</t>
        </is>
      </c>
      <c r="B2628" t="inlineStr">
        <is>
          <t>+5521988162011</t>
        </is>
      </c>
      <c r="C2628" t="inlineStr">
        <is>
          <t>Refill</t>
        </is>
      </c>
      <c r="D2628" t="inlineStr">
        <is>
          <t>Primer Cachos</t>
        </is>
      </c>
      <c r="E2628" t="n">
        <v>1</v>
      </c>
      <c r="F2628" t="inlineStr">
        <is>
          <t>2026-01-31</t>
        </is>
      </c>
      <c r="G2628" t="n">
        <v>154</v>
      </c>
      <c r="H2628" t="inlineStr">
        <is>
          <t>Y</t>
        </is>
      </c>
      <c r="I2628">
        <f>HYPERLINK("https://admin.shopify.com/store/ge-beauty-cosmeticos/customers/9486319878464","abrir")</f>
        <v/>
      </c>
      <c r="J2628">
        <f>HYPERLINK("https://www.gebeauty.com.br/products/primer-cachos-definidos?ref=review","review")</f>
        <v/>
      </c>
      <c r="K2628" t="inlineStr">
        <is>
          <t>SEND</t>
        </is>
      </c>
    </row>
    <row r="2629">
      <c r="A2629" t="inlineStr">
        <is>
          <t>Raquel</t>
        </is>
      </c>
      <c r="B2629" t="inlineStr">
        <is>
          <t>+5511997643278</t>
        </is>
      </c>
      <c r="C2629" t="inlineStr">
        <is>
          <t>Refill</t>
        </is>
      </c>
      <c r="D2629" t="inlineStr">
        <is>
          <t>Primer Cachos</t>
        </is>
      </c>
      <c r="E2629" t="n">
        <v>1</v>
      </c>
      <c r="F2629" t="inlineStr">
        <is>
          <t>2026-01-31</t>
        </is>
      </c>
      <c r="G2629" t="n">
        <v>154</v>
      </c>
      <c r="H2629" t="inlineStr">
        <is>
          <t>N</t>
        </is>
      </c>
      <c r="I2629">
        <f>HYPERLINK("https://admin.shopify.com/store/ge-beauty-cosmeticos/customers/10096120922432","abrir")</f>
        <v/>
      </c>
      <c r="J2629">
        <f>HYPERLINK("https://www.gebeauty.com.br/products/primer-cachos-definidos?ref=review","review")</f>
        <v/>
      </c>
      <c r="K2629" t="inlineStr">
        <is>
          <t>SEND</t>
        </is>
      </c>
    </row>
    <row r="2630">
      <c r="A2630" t="inlineStr">
        <is>
          <t>Juliana</t>
        </is>
      </c>
      <c r="B2630" t="inlineStr">
        <is>
          <t>+5521993048440</t>
        </is>
      </c>
      <c r="C2630" t="inlineStr">
        <is>
          <t>Refill</t>
        </is>
      </c>
      <c r="D2630" t="inlineStr">
        <is>
          <t>Primer Cachos</t>
        </is>
      </c>
      <c r="E2630" t="n">
        <v>1</v>
      </c>
      <c r="F2630" t="inlineStr">
        <is>
          <t>2026-01-31</t>
        </is>
      </c>
      <c r="G2630" t="n">
        <v>154</v>
      </c>
      <c r="H2630" t="inlineStr">
        <is>
          <t>Y</t>
        </is>
      </c>
      <c r="I2630">
        <f>HYPERLINK("https://admin.shopify.com/store/ge-beauty-cosmeticos/customers/9485743489344","abrir")</f>
        <v/>
      </c>
      <c r="J2630">
        <f>HYPERLINK("https://www.gebeauty.com.br/products/primer-cachos-definidos?ref=review","review")</f>
        <v/>
      </c>
      <c r="K2630" t="inlineStr">
        <is>
          <t>SEND</t>
        </is>
      </c>
    </row>
    <row r="2631">
      <c r="A2631" t="inlineStr">
        <is>
          <t>Larissa</t>
        </is>
      </c>
      <c r="B2631" t="inlineStr">
        <is>
          <t>+5524992243418</t>
        </is>
      </c>
      <c r="C2631" t="inlineStr">
        <is>
          <t>Refill</t>
        </is>
      </c>
      <c r="D2631" t="inlineStr">
        <is>
          <t>Primer Cachos</t>
        </is>
      </c>
      <c r="E2631" t="n">
        <v>1</v>
      </c>
      <c r="F2631" t="inlineStr">
        <is>
          <t>2026-01-31</t>
        </is>
      </c>
      <c r="G2631" t="n">
        <v>154</v>
      </c>
      <c r="H2631" t="inlineStr">
        <is>
          <t>Y</t>
        </is>
      </c>
      <c r="I2631">
        <f>HYPERLINK("https://admin.shopify.com/store/ge-beauty-cosmeticos/customers/10096199827776","abrir")</f>
        <v/>
      </c>
      <c r="J2631">
        <f>HYPERLINK("https://www.gebeauty.com.br/products/primer-cachos-definidos?ref=review","review")</f>
        <v/>
      </c>
      <c r="K2631" t="inlineStr">
        <is>
          <t>SEND</t>
        </is>
      </c>
    </row>
    <row r="2632">
      <c r="A2632" t="inlineStr">
        <is>
          <t>Natália</t>
        </is>
      </c>
      <c r="B2632" t="inlineStr">
        <is>
          <t>+5566996909662</t>
        </is>
      </c>
      <c r="C2632" t="inlineStr">
        <is>
          <t>Refill</t>
        </is>
      </c>
      <c r="D2632" t="inlineStr">
        <is>
          <t>Primer Cachos</t>
        </is>
      </c>
      <c r="E2632" t="n">
        <v>1</v>
      </c>
      <c r="F2632" t="inlineStr">
        <is>
          <t>2026-01-31</t>
        </is>
      </c>
      <c r="G2632" t="n">
        <v>154</v>
      </c>
      <c r="H2632" t="inlineStr">
        <is>
          <t>Y</t>
        </is>
      </c>
      <c r="I2632">
        <f>HYPERLINK("https://admin.shopify.com/store/ge-beauty-cosmeticos/customers/10096289939776","abrir")</f>
        <v/>
      </c>
      <c r="J2632">
        <f>HYPERLINK("https://www.gebeauty.com.br/products/primer-cachos-definidos?ref=review","review")</f>
        <v/>
      </c>
      <c r="K2632" t="inlineStr">
        <is>
          <t>SEND</t>
        </is>
      </c>
    </row>
    <row r="2633">
      <c r="A2633" t="inlineStr">
        <is>
          <t>Angelita</t>
        </is>
      </c>
      <c r="B2633" t="inlineStr">
        <is>
          <t>+5511994213548</t>
        </is>
      </c>
      <c r="C2633" t="inlineStr">
        <is>
          <t>Refill</t>
        </is>
      </c>
      <c r="D2633" t="inlineStr">
        <is>
          <t>Primer Cachos</t>
        </is>
      </c>
      <c r="E2633" t="n">
        <v>1</v>
      </c>
      <c r="F2633" t="inlineStr">
        <is>
          <t>2026-01-31</t>
        </is>
      </c>
      <c r="G2633" t="n">
        <v>154</v>
      </c>
      <c r="H2633" t="inlineStr">
        <is>
          <t>N</t>
        </is>
      </c>
      <c r="I2633">
        <f>HYPERLINK("https://admin.shopify.com/store/ge-beauty-cosmeticos/customers/10081437483328","abrir")</f>
        <v/>
      </c>
      <c r="J2633">
        <f>HYPERLINK("https://www.gebeauty.com.br/products/primer-cachos-definidos?ref=review","review")</f>
        <v/>
      </c>
      <c r="K2633" t="inlineStr">
        <is>
          <t>SEND</t>
        </is>
      </c>
    </row>
    <row r="2634">
      <c r="A2634" t="inlineStr">
        <is>
          <t>Silvana</t>
        </is>
      </c>
      <c r="B2634" t="inlineStr">
        <is>
          <t>+5561999685818</t>
        </is>
      </c>
      <c r="C2634" t="inlineStr">
        <is>
          <t>Refill</t>
        </is>
      </c>
      <c r="D2634" t="inlineStr">
        <is>
          <t>Primer Cachos</t>
        </is>
      </c>
      <c r="E2634" t="n">
        <v>1</v>
      </c>
      <c r="F2634" t="inlineStr">
        <is>
          <t>2026-01-31</t>
        </is>
      </c>
      <c r="G2634" t="n">
        <v>154</v>
      </c>
      <c r="H2634" t="inlineStr">
        <is>
          <t>Y</t>
        </is>
      </c>
      <c r="I2634">
        <f>HYPERLINK("https://admin.shopify.com/store/ge-beauty-cosmeticos/customers/10096341909824","abrir")</f>
        <v/>
      </c>
      <c r="J2634">
        <f>HYPERLINK("https://www.gebeauty.com.br/products/primer-cachos-definidos?ref=review","review")</f>
        <v/>
      </c>
      <c r="K2634" t="inlineStr">
        <is>
          <t>SEND</t>
        </is>
      </c>
    </row>
    <row r="2635">
      <c r="A2635" t="inlineStr">
        <is>
          <t>Luziama</t>
        </is>
      </c>
      <c r="B2635" t="inlineStr">
        <is>
          <t>+5579991262842</t>
        </is>
      </c>
      <c r="C2635" t="inlineStr">
        <is>
          <t>Refill</t>
        </is>
      </c>
      <c r="D2635" t="inlineStr">
        <is>
          <t>Primer Cachos</t>
        </is>
      </c>
      <c r="E2635" t="n">
        <v>1</v>
      </c>
      <c r="F2635" t="inlineStr">
        <is>
          <t>2026-01-31</t>
        </is>
      </c>
      <c r="G2635" t="n">
        <v>154</v>
      </c>
      <c r="H2635" t="inlineStr">
        <is>
          <t>Y</t>
        </is>
      </c>
      <c r="I2635">
        <f>HYPERLINK("https://admin.shopify.com/store/ge-beauty-cosmeticos/customers/10096349184320","abrir")</f>
        <v/>
      </c>
      <c r="J2635">
        <f>HYPERLINK("https://www.gebeauty.com.br/products/primer-cachos-definidos?ref=review","review")</f>
        <v/>
      </c>
      <c r="K2635" t="inlineStr">
        <is>
          <t>HOLDOUT</t>
        </is>
      </c>
    </row>
    <row r="2636">
      <c r="B2636" t="inlineStr">
        <is>
          <t>+5511992171037</t>
        </is>
      </c>
      <c r="C2636" t="inlineStr">
        <is>
          <t>Refill</t>
        </is>
      </c>
      <c r="D2636" t="inlineStr">
        <is>
          <t>Primer Cachos</t>
        </is>
      </c>
      <c r="E2636" t="n">
        <v>1</v>
      </c>
      <c r="F2636" t="inlineStr">
        <is>
          <t>2026-01-31</t>
        </is>
      </c>
      <c r="G2636" t="n">
        <v>154</v>
      </c>
      <c r="H2636" t="inlineStr">
        <is>
          <t>Y</t>
        </is>
      </c>
      <c r="I2636">
        <f>HYPERLINK("https://admin.shopify.com/store/ge-beauty-cosmeticos/customers/10096328835392","abrir")</f>
        <v/>
      </c>
      <c r="J2636">
        <f>HYPERLINK("https://www.gebeauty.com.br/products/primer-cachos-definidos?ref=review","review")</f>
        <v/>
      </c>
      <c r="K2636" t="inlineStr">
        <is>
          <t>SEND</t>
        </is>
      </c>
    </row>
    <row r="2637">
      <c r="A2637" t="inlineStr">
        <is>
          <t>Rosângela</t>
        </is>
      </c>
      <c r="B2637" t="inlineStr">
        <is>
          <t>+5551982649190</t>
        </is>
      </c>
      <c r="C2637" t="inlineStr">
        <is>
          <t>Refill</t>
        </is>
      </c>
      <c r="D2637" t="inlineStr">
        <is>
          <t>Primer Cachos</t>
        </is>
      </c>
      <c r="E2637" t="n">
        <v>1</v>
      </c>
      <c r="F2637" t="inlineStr">
        <is>
          <t>2026-01-31</t>
        </is>
      </c>
      <c r="G2637" t="n">
        <v>154</v>
      </c>
      <c r="H2637" t="inlineStr">
        <is>
          <t>Y</t>
        </is>
      </c>
      <c r="I2637">
        <f>HYPERLINK("https://admin.shopify.com/store/ge-beauty-cosmeticos/customers/10096362914112","abrir")</f>
        <v/>
      </c>
      <c r="J2637">
        <f>HYPERLINK("https://www.gebeauty.com.br/products/primer-cachos-definidos?ref=review","review")</f>
        <v/>
      </c>
      <c r="K2637" t="inlineStr">
        <is>
          <t>SEND</t>
        </is>
      </c>
    </row>
    <row r="2638">
      <c r="A2638" t="inlineStr">
        <is>
          <t>Mariana</t>
        </is>
      </c>
      <c r="B2638" t="inlineStr">
        <is>
          <t>+5511970340725</t>
        </is>
      </c>
      <c r="C2638" t="inlineStr">
        <is>
          <t>Refill</t>
        </is>
      </c>
      <c r="D2638" t="inlineStr">
        <is>
          <t>Primer Cachos</t>
        </is>
      </c>
      <c r="E2638" t="n">
        <v>1</v>
      </c>
      <c r="F2638" t="inlineStr">
        <is>
          <t>2026-01-31</t>
        </is>
      </c>
      <c r="G2638" t="n">
        <v>154</v>
      </c>
      <c r="H2638" t="inlineStr">
        <is>
          <t>Y</t>
        </is>
      </c>
      <c r="I2638">
        <f>HYPERLINK("https://admin.shopify.com/store/ge-beauty-cosmeticos/customers/10096369074496","abrir")</f>
        <v/>
      </c>
      <c r="J2638">
        <f>HYPERLINK("https://www.gebeauty.com.br/products/primer-cachos-definidos?ref=review","review")</f>
        <v/>
      </c>
      <c r="K2638" t="inlineStr">
        <is>
          <t>SEND</t>
        </is>
      </c>
    </row>
    <row r="2639">
      <c r="A2639" t="inlineStr">
        <is>
          <t>Beatriz</t>
        </is>
      </c>
      <c r="B2639" t="inlineStr">
        <is>
          <t>+5581992831227</t>
        </is>
      </c>
      <c r="C2639" t="inlineStr">
        <is>
          <t>Refill</t>
        </is>
      </c>
      <c r="D2639" t="inlineStr">
        <is>
          <t>Primer Cachos</t>
        </is>
      </c>
      <c r="E2639" t="n">
        <v>1</v>
      </c>
      <c r="F2639" t="inlineStr">
        <is>
          <t>2026-01-31</t>
        </is>
      </c>
      <c r="G2639" t="n">
        <v>154</v>
      </c>
      <c r="H2639" t="inlineStr">
        <is>
          <t>Y</t>
        </is>
      </c>
      <c r="I2639">
        <f>HYPERLINK("https://admin.shopify.com/store/ge-beauty-cosmeticos/customers/10096397975872","abrir")</f>
        <v/>
      </c>
      <c r="J2639">
        <f>HYPERLINK("https://www.gebeauty.com.br/products/primer-cachos-definidos?ref=review","review")</f>
        <v/>
      </c>
      <c r="K2639" t="inlineStr">
        <is>
          <t>HOLDOUT</t>
        </is>
      </c>
    </row>
    <row r="2640">
      <c r="A2640" t="inlineStr">
        <is>
          <t>Lara</t>
        </is>
      </c>
      <c r="B2640" t="inlineStr">
        <is>
          <t>+5585999996239</t>
        </is>
      </c>
      <c r="C2640" t="inlineStr">
        <is>
          <t>Refill</t>
        </is>
      </c>
      <c r="D2640" t="inlineStr">
        <is>
          <t>Primer Cachos</t>
        </is>
      </c>
      <c r="E2640" t="n">
        <v>1</v>
      </c>
      <c r="F2640" t="inlineStr">
        <is>
          <t>2026-01-31</t>
        </is>
      </c>
      <c r="G2640" t="n">
        <v>154</v>
      </c>
      <c r="H2640" t="inlineStr">
        <is>
          <t>Y</t>
        </is>
      </c>
      <c r="I2640">
        <f>HYPERLINK("https://admin.shopify.com/store/ge-beauty-cosmeticos/customers/10096409215296","abrir")</f>
        <v/>
      </c>
      <c r="J2640">
        <f>HYPERLINK("https://www.gebeauty.com.br/products/primer-cachos-definidos?ref=review","review")</f>
        <v/>
      </c>
      <c r="K2640" t="inlineStr">
        <is>
          <t>HOLDOUT</t>
        </is>
      </c>
    </row>
    <row r="2641">
      <c r="A2641" t="inlineStr">
        <is>
          <t>Lucy</t>
        </is>
      </c>
      <c r="B2641" t="inlineStr">
        <is>
          <t>+5581982361475</t>
        </is>
      </c>
      <c r="C2641" t="inlineStr">
        <is>
          <t>Refill</t>
        </is>
      </c>
      <c r="D2641" t="inlineStr">
        <is>
          <t>Primer Cachos</t>
        </is>
      </c>
      <c r="E2641" t="n">
        <v>1</v>
      </c>
      <c r="F2641" t="inlineStr">
        <is>
          <t>2026-01-31</t>
        </is>
      </c>
      <c r="G2641" t="n">
        <v>154</v>
      </c>
      <c r="H2641" t="inlineStr">
        <is>
          <t>Y</t>
        </is>
      </c>
      <c r="I2641">
        <f>HYPERLINK("https://admin.shopify.com/store/ge-beauty-cosmeticos/customers/9940908376384","abrir")</f>
        <v/>
      </c>
      <c r="J2641">
        <f>HYPERLINK("https://www.gebeauty.com.br/products/primer-cachos-definidos?ref=review","review")</f>
        <v/>
      </c>
      <c r="K2641" t="inlineStr">
        <is>
          <t>SEND</t>
        </is>
      </c>
    </row>
    <row r="2642">
      <c r="A2642" t="inlineStr">
        <is>
          <t>Amanda</t>
        </is>
      </c>
      <c r="B2642" t="inlineStr">
        <is>
          <t>+5516997718025</t>
        </is>
      </c>
      <c r="C2642" t="inlineStr">
        <is>
          <t>Refill</t>
        </is>
      </c>
      <c r="D2642" t="inlineStr">
        <is>
          <t>Primer Cachos</t>
        </is>
      </c>
      <c r="E2642" t="n">
        <v>1</v>
      </c>
      <c r="F2642" t="inlineStr">
        <is>
          <t>2026-01-31</t>
        </is>
      </c>
      <c r="G2642" t="n">
        <v>154</v>
      </c>
      <c r="H2642" t="inlineStr">
        <is>
          <t>Y</t>
        </is>
      </c>
      <c r="I2642">
        <f>HYPERLINK("https://admin.shopify.com/store/ge-beauty-cosmeticos/customers/10096629350720","abrir")</f>
        <v/>
      </c>
      <c r="J2642">
        <f>HYPERLINK("https://www.gebeauty.com.br/products/primer-cachos-definidos?ref=review","review")</f>
        <v/>
      </c>
      <c r="K2642" t="inlineStr">
        <is>
          <t>SEND</t>
        </is>
      </c>
    </row>
    <row r="2643">
      <c r="A2643" t="inlineStr">
        <is>
          <t>Leticia</t>
        </is>
      </c>
      <c r="B2643" t="inlineStr">
        <is>
          <t>+5521991697690</t>
        </is>
      </c>
      <c r="C2643" t="inlineStr">
        <is>
          <t>Refill</t>
        </is>
      </c>
      <c r="D2643" t="inlineStr">
        <is>
          <t>Primer Cachos</t>
        </is>
      </c>
      <c r="E2643" t="n">
        <v>1</v>
      </c>
      <c r="F2643" t="inlineStr">
        <is>
          <t>2026-01-31</t>
        </is>
      </c>
      <c r="G2643" t="n">
        <v>154</v>
      </c>
      <c r="H2643" t="inlineStr">
        <is>
          <t>Y</t>
        </is>
      </c>
      <c r="I2643">
        <f>HYPERLINK("https://admin.shopify.com/store/ge-beauty-cosmeticos/customers/8476480373056","abrir")</f>
        <v/>
      </c>
      <c r="J2643">
        <f>HYPERLINK("https://www.gebeauty.com.br/products/primer-cachos-definidos?ref=review","review")</f>
        <v/>
      </c>
      <c r="K2643" t="inlineStr">
        <is>
          <t>SEND</t>
        </is>
      </c>
    </row>
    <row r="2644">
      <c r="A2644" t="inlineStr">
        <is>
          <t>Ruanna</t>
        </is>
      </c>
      <c r="B2644" t="inlineStr">
        <is>
          <t>+5585981433003</t>
        </is>
      </c>
      <c r="C2644" t="inlineStr">
        <is>
          <t>Refill</t>
        </is>
      </c>
      <c r="D2644" t="inlineStr">
        <is>
          <t>Primer Cachos</t>
        </is>
      </c>
      <c r="E2644" t="n">
        <v>1</v>
      </c>
      <c r="F2644" t="inlineStr">
        <is>
          <t>2026-01-31</t>
        </is>
      </c>
      <c r="G2644" t="n">
        <v>154</v>
      </c>
      <c r="H2644" t="inlineStr">
        <is>
          <t>Y</t>
        </is>
      </c>
      <c r="I2644">
        <f>HYPERLINK("https://admin.shopify.com/store/ge-beauty-cosmeticos/customers/10096676307264","abrir")</f>
        <v/>
      </c>
      <c r="J2644">
        <f>HYPERLINK("https://www.gebeauty.com.br/products/primer-cachos-definidos?ref=review","review")</f>
        <v/>
      </c>
      <c r="K2644" t="inlineStr">
        <is>
          <t>SEND</t>
        </is>
      </c>
    </row>
    <row r="2645">
      <c r="A2645" t="inlineStr">
        <is>
          <t>Rafaela</t>
        </is>
      </c>
      <c r="B2645" t="inlineStr">
        <is>
          <t>+5571992996555</t>
        </is>
      </c>
      <c r="C2645" t="inlineStr">
        <is>
          <t>Refill</t>
        </is>
      </c>
      <c r="D2645" t="inlineStr">
        <is>
          <t>Primer Cachos</t>
        </is>
      </c>
      <c r="E2645" t="n">
        <v>1</v>
      </c>
      <c r="F2645" t="inlineStr">
        <is>
          <t>2026-01-31</t>
        </is>
      </c>
      <c r="G2645" t="n">
        <v>154</v>
      </c>
      <c r="H2645" t="inlineStr">
        <is>
          <t>Y</t>
        </is>
      </c>
      <c r="I2645">
        <f>HYPERLINK("https://admin.shopify.com/store/ge-beauty-cosmeticos/customers/9975705174336","abrir")</f>
        <v/>
      </c>
      <c r="J2645">
        <f>HYPERLINK("https://www.gebeauty.com.br/products/primer-cachos-definidos?ref=review","review")</f>
        <v/>
      </c>
      <c r="K2645" t="inlineStr">
        <is>
          <t>SEND</t>
        </is>
      </c>
    </row>
    <row r="2646">
      <c r="A2646" t="inlineStr">
        <is>
          <t>Helena</t>
        </is>
      </c>
      <c r="B2646" t="inlineStr">
        <is>
          <t>+5511993737566</t>
        </is>
      </c>
      <c r="C2646" t="inlineStr">
        <is>
          <t>Refill</t>
        </is>
      </c>
      <c r="D2646" t="inlineStr">
        <is>
          <t>Primer Cachos</t>
        </is>
      </c>
      <c r="E2646" t="n">
        <v>1</v>
      </c>
      <c r="F2646" t="inlineStr">
        <is>
          <t>2026-01-31</t>
        </is>
      </c>
      <c r="G2646" t="n">
        <v>154</v>
      </c>
      <c r="H2646" t="inlineStr">
        <is>
          <t>Y</t>
        </is>
      </c>
      <c r="I2646">
        <f>HYPERLINK("https://admin.shopify.com/store/ge-beauty-cosmeticos/customers/10091432706368","abrir")</f>
        <v/>
      </c>
      <c r="J2646">
        <f>HYPERLINK("https://www.gebeauty.com.br/products/primer-cachos-definidos?ref=review","review")</f>
        <v/>
      </c>
      <c r="K2646" t="inlineStr">
        <is>
          <t>SEND</t>
        </is>
      </c>
    </row>
    <row r="2647">
      <c r="A2647" t="inlineStr">
        <is>
          <t>Rose</t>
        </is>
      </c>
      <c r="B2647" t="inlineStr">
        <is>
          <t>+5516991783560</t>
        </is>
      </c>
      <c r="C2647" t="inlineStr">
        <is>
          <t>Refill</t>
        </is>
      </c>
      <c r="D2647" t="inlineStr">
        <is>
          <t>Primer Cachos</t>
        </is>
      </c>
      <c r="E2647" t="n">
        <v>1</v>
      </c>
      <c r="F2647" t="inlineStr">
        <is>
          <t>2026-01-31</t>
        </is>
      </c>
      <c r="G2647" t="n">
        <v>154</v>
      </c>
      <c r="H2647" t="inlineStr">
        <is>
          <t>Y</t>
        </is>
      </c>
      <c r="I2647">
        <f>HYPERLINK("https://admin.shopify.com/store/ge-beauty-cosmeticos/customers/10096781197632","abrir")</f>
        <v/>
      </c>
      <c r="J2647">
        <f>HYPERLINK("https://www.gebeauty.com.br/products/primer-cachos-definidos?ref=review","review")</f>
        <v/>
      </c>
      <c r="K2647" t="inlineStr">
        <is>
          <t>SEND</t>
        </is>
      </c>
    </row>
    <row r="2648">
      <c r="A2648" t="inlineStr">
        <is>
          <t>Julia</t>
        </is>
      </c>
      <c r="B2648" t="inlineStr">
        <is>
          <t>+5546991272005</t>
        </is>
      </c>
      <c r="C2648" t="inlineStr">
        <is>
          <t>Refill</t>
        </is>
      </c>
      <c r="D2648" t="inlineStr">
        <is>
          <t>Primer Cachos</t>
        </is>
      </c>
      <c r="E2648" t="n">
        <v>1</v>
      </c>
      <c r="F2648" t="inlineStr">
        <is>
          <t>2026-01-31</t>
        </is>
      </c>
      <c r="G2648" t="n">
        <v>154</v>
      </c>
      <c r="H2648" t="inlineStr">
        <is>
          <t>Y</t>
        </is>
      </c>
      <c r="I2648">
        <f>HYPERLINK("https://admin.shopify.com/store/ge-beauty-cosmeticos/customers/10095919857984","abrir")</f>
        <v/>
      </c>
      <c r="J2648">
        <f>HYPERLINK("https://www.gebeauty.com.br/products/primer-cachos-definidos?ref=review","review")</f>
        <v/>
      </c>
      <c r="K2648" t="inlineStr">
        <is>
          <t>SEND</t>
        </is>
      </c>
    </row>
    <row r="2649">
      <c r="B2649" t="inlineStr">
        <is>
          <t>+5581996726192</t>
        </is>
      </c>
      <c r="C2649" t="inlineStr">
        <is>
          <t>Refill</t>
        </is>
      </c>
      <c r="D2649" t="inlineStr">
        <is>
          <t>Primer Cachos</t>
        </is>
      </c>
      <c r="E2649" t="n">
        <v>1</v>
      </c>
      <c r="F2649" t="inlineStr">
        <is>
          <t>2026-02-01</t>
        </is>
      </c>
      <c r="G2649" t="n">
        <v>153</v>
      </c>
      <c r="H2649" t="inlineStr">
        <is>
          <t>Y</t>
        </is>
      </c>
      <c r="I2649">
        <f>HYPERLINK("https://admin.shopify.com/store/ge-beauty-cosmeticos/customers/10096982753600","abrir")</f>
        <v/>
      </c>
      <c r="J2649">
        <f>HYPERLINK("https://www.gebeauty.com.br/products/primer-cachos-definidos?ref=review","review")</f>
        <v/>
      </c>
      <c r="K2649" t="inlineStr">
        <is>
          <t>SEND</t>
        </is>
      </c>
    </row>
    <row r="2650">
      <c r="A2650" t="inlineStr">
        <is>
          <t>Milena</t>
        </is>
      </c>
      <c r="B2650" t="inlineStr">
        <is>
          <t>+5583988130550</t>
        </is>
      </c>
      <c r="C2650" t="inlineStr">
        <is>
          <t>Refill</t>
        </is>
      </c>
      <c r="D2650" t="inlineStr">
        <is>
          <t>Primer Cachos</t>
        </is>
      </c>
      <c r="E2650" t="n">
        <v>1</v>
      </c>
      <c r="F2650" t="inlineStr">
        <is>
          <t>2026-02-01</t>
        </is>
      </c>
      <c r="G2650" t="n">
        <v>153</v>
      </c>
      <c r="H2650" t="inlineStr">
        <is>
          <t>Y</t>
        </is>
      </c>
      <c r="I2650">
        <f>HYPERLINK("https://admin.shopify.com/store/ge-beauty-cosmeticos/customers/9665368850752","abrir")</f>
        <v/>
      </c>
      <c r="J2650">
        <f>HYPERLINK("https://www.gebeauty.com.br/products/primer-cachos-definidos?ref=review","review")</f>
        <v/>
      </c>
      <c r="K2650" t="inlineStr">
        <is>
          <t>SEND</t>
        </is>
      </c>
    </row>
    <row r="2651">
      <c r="A2651" t="inlineStr">
        <is>
          <t>Andrea</t>
        </is>
      </c>
      <c r="B2651" t="inlineStr">
        <is>
          <t>+5521996271424</t>
        </is>
      </c>
      <c r="C2651" t="inlineStr">
        <is>
          <t>Refill</t>
        </is>
      </c>
      <c r="D2651" t="inlineStr">
        <is>
          <t>Primer Cachos</t>
        </is>
      </c>
      <c r="E2651" t="n">
        <v>1</v>
      </c>
      <c r="F2651" t="inlineStr">
        <is>
          <t>2026-02-01</t>
        </is>
      </c>
      <c r="G2651" t="n">
        <v>153</v>
      </c>
      <c r="H2651" t="inlineStr">
        <is>
          <t>Y</t>
        </is>
      </c>
      <c r="I2651">
        <f>HYPERLINK("https://admin.shopify.com/store/ge-beauty-cosmeticos/customers/10098464653632","abrir")</f>
        <v/>
      </c>
      <c r="J2651">
        <f>HYPERLINK("https://www.gebeauty.com.br/products/primer-cachos-definidos?ref=review","review")</f>
        <v/>
      </c>
      <c r="K2651" t="inlineStr">
        <is>
          <t>HOLDOUT</t>
        </is>
      </c>
    </row>
    <row r="2652">
      <c r="A2652" t="inlineStr">
        <is>
          <t>Larissa</t>
        </is>
      </c>
      <c r="B2652" t="inlineStr">
        <is>
          <t>+5511955509801</t>
        </is>
      </c>
      <c r="C2652" t="inlineStr">
        <is>
          <t>Refill</t>
        </is>
      </c>
      <c r="D2652" t="inlineStr">
        <is>
          <t>Primer Cachos</t>
        </is>
      </c>
      <c r="E2652" t="n">
        <v>1</v>
      </c>
      <c r="F2652" t="inlineStr">
        <is>
          <t>2026-02-01</t>
        </is>
      </c>
      <c r="G2652" t="n">
        <v>153</v>
      </c>
      <c r="H2652" t="inlineStr">
        <is>
          <t>Y</t>
        </is>
      </c>
      <c r="I2652">
        <f>HYPERLINK("https://admin.shopify.com/store/ge-beauty-cosmeticos/customers/10074271056192","abrir")</f>
        <v/>
      </c>
      <c r="J2652">
        <f>HYPERLINK("https://www.gebeauty.com.br/products/primer-cachos-definidos?ref=review","review")</f>
        <v/>
      </c>
      <c r="K2652" t="inlineStr">
        <is>
          <t>HOLDOUT</t>
        </is>
      </c>
    </row>
    <row r="2653">
      <c r="A2653" t="inlineStr">
        <is>
          <t>Renata</t>
        </is>
      </c>
      <c r="B2653" t="inlineStr">
        <is>
          <t>+5521976757255</t>
        </is>
      </c>
      <c r="C2653" t="inlineStr">
        <is>
          <t>Refill</t>
        </is>
      </c>
      <c r="D2653" t="inlineStr">
        <is>
          <t>Primer Cachos</t>
        </is>
      </c>
      <c r="E2653" t="n">
        <v>1</v>
      </c>
      <c r="F2653" t="inlineStr">
        <is>
          <t>2026-02-01</t>
        </is>
      </c>
      <c r="G2653" t="n">
        <v>153</v>
      </c>
      <c r="H2653" t="inlineStr">
        <is>
          <t>Y</t>
        </is>
      </c>
      <c r="I2653">
        <f>HYPERLINK("https://admin.shopify.com/store/ge-beauty-cosmeticos/customers/10079144739136","abrir")</f>
        <v/>
      </c>
      <c r="J2653">
        <f>HYPERLINK("https://www.gebeauty.com.br/products/primer-cachos-definidos?ref=review","review")</f>
        <v/>
      </c>
      <c r="K2653" t="inlineStr">
        <is>
          <t>SEND</t>
        </is>
      </c>
    </row>
    <row r="2654">
      <c r="A2654" t="inlineStr">
        <is>
          <t>Gabriela</t>
        </is>
      </c>
      <c r="B2654" t="inlineStr">
        <is>
          <t>+5581991325247</t>
        </is>
      </c>
      <c r="C2654" t="inlineStr">
        <is>
          <t>Refill</t>
        </is>
      </c>
      <c r="D2654" t="inlineStr">
        <is>
          <t>Primer Cachos</t>
        </is>
      </c>
      <c r="E2654" t="n">
        <v>1</v>
      </c>
      <c r="F2654" t="inlineStr">
        <is>
          <t>2026-02-02</t>
        </is>
      </c>
      <c r="G2654" t="n">
        <v>152</v>
      </c>
      <c r="H2654" t="inlineStr">
        <is>
          <t>Y</t>
        </is>
      </c>
      <c r="I2654">
        <f>HYPERLINK("https://admin.shopify.com/store/ge-beauty-cosmeticos/customers/8543956828480","abrir")</f>
        <v/>
      </c>
      <c r="J2654">
        <f>HYPERLINK("https://www.gebeauty.com.br/products/primer-cachos-definidos?ref=review","review")</f>
        <v/>
      </c>
      <c r="K2654" t="inlineStr">
        <is>
          <t>SEND</t>
        </is>
      </c>
    </row>
    <row r="2655">
      <c r="A2655" t="inlineStr">
        <is>
          <t>Vivian</t>
        </is>
      </c>
      <c r="B2655" t="inlineStr">
        <is>
          <t>+5511983266410</t>
        </is>
      </c>
      <c r="C2655" t="inlineStr">
        <is>
          <t>Refill</t>
        </is>
      </c>
      <c r="D2655" t="inlineStr">
        <is>
          <t>Primer Cachos</t>
        </is>
      </c>
      <c r="E2655" t="n">
        <v>1</v>
      </c>
      <c r="F2655" t="inlineStr">
        <is>
          <t>2026-02-02</t>
        </is>
      </c>
      <c r="G2655" t="n">
        <v>152</v>
      </c>
      <c r="H2655" t="inlineStr">
        <is>
          <t>Y</t>
        </is>
      </c>
      <c r="I2655">
        <f>HYPERLINK("https://admin.shopify.com/store/ge-beauty-cosmeticos/customers/10098883035456","abrir")</f>
        <v/>
      </c>
      <c r="J2655">
        <f>HYPERLINK("https://www.gebeauty.com.br/products/primer-cachos-definidos?ref=review","review")</f>
        <v/>
      </c>
      <c r="K2655" t="inlineStr">
        <is>
          <t>SEND</t>
        </is>
      </c>
    </row>
    <row r="2656">
      <c r="A2656" t="inlineStr">
        <is>
          <t>Deniz</t>
        </is>
      </c>
      <c r="B2656" t="inlineStr">
        <is>
          <t>+5511999390064</t>
        </is>
      </c>
      <c r="C2656" t="inlineStr">
        <is>
          <t>Refill</t>
        </is>
      </c>
      <c r="D2656" t="inlineStr">
        <is>
          <t>Primer Cachos</t>
        </is>
      </c>
      <c r="E2656" t="n">
        <v>1</v>
      </c>
      <c r="F2656" t="inlineStr">
        <is>
          <t>2026-02-02</t>
        </is>
      </c>
      <c r="G2656" t="n">
        <v>152</v>
      </c>
      <c r="H2656" t="inlineStr">
        <is>
          <t>Y</t>
        </is>
      </c>
      <c r="I2656">
        <f>HYPERLINK("https://admin.shopify.com/store/ge-beauty-cosmeticos/customers/9584651305280","abrir")</f>
        <v/>
      </c>
      <c r="J2656">
        <f>HYPERLINK("https://www.gebeauty.com.br/products/primer-cachos-definidos?ref=review","review")</f>
        <v/>
      </c>
      <c r="K2656" t="inlineStr">
        <is>
          <t>SEND</t>
        </is>
      </c>
    </row>
    <row r="2657">
      <c r="A2657" t="inlineStr">
        <is>
          <t>Debora</t>
        </is>
      </c>
      <c r="B2657" t="inlineStr">
        <is>
          <t>+5547992123511</t>
        </is>
      </c>
      <c r="C2657" t="inlineStr">
        <is>
          <t>Refill</t>
        </is>
      </c>
      <c r="D2657" t="inlineStr">
        <is>
          <t>Primer Cachos</t>
        </is>
      </c>
      <c r="E2657" t="n">
        <v>1</v>
      </c>
      <c r="F2657" t="inlineStr">
        <is>
          <t>2026-02-02</t>
        </is>
      </c>
      <c r="G2657" t="n">
        <v>152</v>
      </c>
      <c r="H2657" t="inlineStr">
        <is>
          <t>Y</t>
        </is>
      </c>
      <c r="I2657">
        <f>HYPERLINK("https://admin.shopify.com/store/ge-beauty-cosmeticos/customers/10100841054528","abrir")</f>
        <v/>
      </c>
      <c r="J2657">
        <f>HYPERLINK("https://www.gebeauty.com.br/products/primer-cachos-definidos?ref=review","review")</f>
        <v/>
      </c>
      <c r="K2657" t="inlineStr">
        <is>
          <t>SEND</t>
        </is>
      </c>
    </row>
    <row r="2658">
      <c r="A2658" t="inlineStr">
        <is>
          <t>Graziella</t>
        </is>
      </c>
      <c r="B2658" t="inlineStr">
        <is>
          <t>+5521996220606</t>
        </is>
      </c>
      <c r="C2658" t="inlineStr">
        <is>
          <t>Refill</t>
        </is>
      </c>
      <c r="D2658" t="inlineStr">
        <is>
          <t>Primer Cachos</t>
        </is>
      </c>
      <c r="E2658" t="n">
        <v>1</v>
      </c>
      <c r="F2658" t="inlineStr">
        <is>
          <t>2026-02-02</t>
        </is>
      </c>
      <c r="G2658" t="n">
        <v>152</v>
      </c>
      <c r="H2658" t="inlineStr">
        <is>
          <t>Y</t>
        </is>
      </c>
      <c r="I2658">
        <f>HYPERLINK("https://admin.shopify.com/store/ge-beauty-cosmeticos/customers/10100863533376","abrir")</f>
        <v/>
      </c>
      <c r="J2658">
        <f>HYPERLINK("https://www.gebeauty.com.br/products/primer-cachos-definidos?ref=review","review")</f>
        <v/>
      </c>
      <c r="K2658" t="inlineStr">
        <is>
          <t>HOLDOUT</t>
        </is>
      </c>
    </row>
    <row r="2659">
      <c r="A2659" t="inlineStr">
        <is>
          <t>Paula</t>
        </is>
      </c>
      <c r="B2659" t="inlineStr">
        <is>
          <t>+5511972726380</t>
        </is>
      </c>
      <c r="C2659" t="inlineStr">
        <is>
          <t>Refill</t>
        </is>
      </c>
      <c r="D2659" t="inlineStr">
        <is>
          <t>Primer Cachos</t>
        </is>
      </c>
      <c r="E2659" t="n">
        <v>1</v>
      </c>
      <c r="F2659" t="inlineStr">
        <is>
          <t>2026-02-03</t>
        </is>
      </c>
      <c r="G2659" t="n">
        <v>151</v>
      </c>
      <c r="H2659" t="inlineStr">
        <is>
          <t>Y</t>
        </is>
      </c>
      <c r="I2659">
        <f>HYPERLINK("https://admin.shopify.com/store/ge-beauty-cosmeticos/customers/7759882289472","abrir")</f>
        <v/>
      </c>
      <c r="J2659">
        <f>HYPERLINK("https://www.gebeauty.com.br/products/primer-cachos-definidos?ref=review","review")</f>
        <v/>
      </c>
      <c r="K2659" t="inlineStr">
        <is>
          <t>SEND</t>
        </is>
      </c>
    </row>
    <row r="2660">
      <c r="A2660" t="inlineStr">
        <is>
          <t>Isabela</t>
        </is>
      </c>
      <c r="B2660" t="inlineStr">
        <is>
          <t>+5511960635322</t>
        </is>
      </c>
      <c r="C2660" t="inlineStr">
        <is>
          <t>Refill</t>
        </is>
      </c>
      <c r="D2660" t="inlineStr">
        <is>
          <t>Primer Cachos</t>
        </is>
      </c>
      <c r="E2660" t="n">
        <v>1</v>
      </c>
      <c r="F2660" t="inlineStr">
        <is>
          <t>2026-02-03</t>
        </is>
      </c>
      <c r="G2660" t="n">
        <v>151</v>
      </c>
      <c r="H2660" t="inlineStr">
        <is>
          <t>Y</t>
        </is>
      </c>
      <c r="I2660">
        <f>HYPERLINK("https://admin.shopify.com/store/ge-beauty-cosmeticos/customers/10102021882176","abrir")</f>
        <v/>
      </c>
      <c r="J2660">
        <f>HYPERLINK("https://www.gebeauty.com.br/products/primer-cachos-definidos?ref=review","review")</f>
        <v/>
      </c>
      <c r="K2660" t="inlineStr">
        <is>
          <t>SEND</t>
        </is>
      </c>
    </row>
    <row r="2661">
      <c r="A2661" t="inlineStr">
        <is>
          <t>Fernanda</t>
        </is>
      </c>
      <c r="B2661" t="inlineStr">
        <is>
          <t>+5521988889885</t>
        </is>
      </c>
      <c r="C2661" t="inlineStr">
        <is>
          <t>Refill</t>
        </is>
      </c>
      <c r="D2661" t="inlineStr">
        <is>
          <t>Primer Cachos</t>
        </is>
      </c>
      <c r="E2661" t="n">
        <v>1</v>
      </c>
      <c r="F2661" t="inlineStr">
        <is>
          <t>2026-02-03</t>
        </is>
      </c>
      <c r="G2661" t="n">
        <v>151</v>
      </c>
      <c r="H2661" t="inlineStr">
        <is>
          <t>Y</t>
        </is>
      </c>
      <c r="I2661">
        <f>HYPERLINK("https://admin.shopify.com/store/ge-beauty-cosmeticos/customers/10101000339776","abrir")</f>
        <v/>
      </c>
      <c r="J2661">
        <f>HYPERLINK("https://www.gebeauty.com.br/products/primer-cachos-definidos?ref=review","review")</f>
        <v/>
      </c>
      <c r="K2661" t="inlineStr">
        <is>
          <t>SEND</t>
        </is>
      </c>
    </row>
    <row r="2662">
      <c r="A2662" t="inlineStr">
        <is>
          <t>Karina</t>
        </is>
      </c>
      <c r="B2662" t="inlineStr">
        <is>
          <t>+5511996224955</t>
        </is>
      </c>
      <c r="C2662" t="inlineStr">
        <is>
          <t>Refill</t>
        </is>
      </c>
      <c r="D2662" t="inlineStr">
        <is>
          <t>Primer Cachos</t>
        </is>
      </c>
      <c r="E2662" t="n">
        <v>1</v>
      </c>
      <c r="F2662" t="inlineStr">
        <is>
          <t>2026-02-03</t>
        </is>
      </c>
      <c r="G2662" t="n">
        <v>151</v>
      </c>
      <c r="H2662" t="inlineStr">
        <is>
          <t>Y</t>
        </is>
      </c>
      <c r="I2662">
        <f>HYPERLINK("https://admin.shopify.com/store/ge-beauty-cosmeticos/customers/10063132590400","abrir")</f>
        <v/>
      </c>
      <c r="J2662">
        <f>HYPERLINK("https://www.gebeauty.com.br/products/primer-cachos-definidos?ref=review","review")</f>
        <v/>
      </c>
      <c r="K2662" t="inlineStr">
        <is>
          <t>SEND</t>
        </is>
      </c>
    </row>
    <row r="2663">
      <c r="A2663" t="inlineStr">
        <is>
          <t>Gladys</t>
        </is>
      </c>
      <c r="B2663" t="inlineStr">
        <is>
          <t>+5511999734661</t>
        </is>
      </c>
      <c r="C2663" t="inlineStr">
        <is>
          <t>Refill</t>
        </is>
      </c>
      <c r="D2663" t="inlineStr">
        <is>
          <t>Primer Cachos</t>
        </is>
      </c>
      <c r="E2663" t="n">
        <v>1</v>
      </c>
      <c r="F2663" t="inlineStr">
        <is>
          <t>2026-02-03</t>
        </is>
      </c>
      <c r="G2663" t="n">
        <v>151</v>
      </c>
      <c r="H2663" t="inlineStr">
        <is>
          <t>Y</t>
        </is>
      </c>
      <c r="I2663">
        <f>HYPERLINK("https://admin.shopify.com/store/ge-beauty-cosmeticos/customers/10074360217920","abrir")</f>
        <v/>
      </c>
      <c r="J2663">
        <f>HYPERLINK("https://www.gebeauty.com.br/products/primer-cachos-definidos?ref=review","review")</f>
        <v/>
      </c>
      <c r="K2663" t="inlineStr">
        <is>
          <t>SEND</t>
        </is>
      </c>
    </row>
    <row r="2664">
      <c r="A2664" t="inlineStr">
        <is>
          <t>Thatiana</t>
        </is>
      </c>
      <c r="B2664" t="inlineStr">
        <is>
          <t>+5521974485855</t>
        </is>
      </c>
      <c r="C2664" t="inlineStr">
        <is>
          <t>Refill</t>
        </is>
      </c>
      <c r="D2664" t="inlineStr">
        <is>
          <t>Primer Cachos</t>
        </is>
      </c>
      <c r="E2664" t="n">
        <v>1</v>
      </c>
      <c r="F2664" t="inlineStr">
        <is>
          <t>2026-02-03</t>
        </is>
      </c>
      <c r="G2664" t="n">
        <v>151</v>
      </c>
      <c r="H2664" t="inlineStr">
        <is>
          <t>Y</t>
        </is>
      </c>
      <c r="I2664">
        <f>HYPERLINK("https://admin.shopify.com/store/ge-beauty-cosmeticos/customers/10107698217280","abrir")</f>
        <v/>
      </c>
      <c r="J2664">
        <f>HYPERLINK("https://www.gebeauty.com.br/products/primer-cachos-definidos?ref=review","review")</f>
        <v/>
      </c>
      <c r="K2664" t="inlineStr">
        <is>
          <t>SEND</t>
        </is>
      </c>
    </row>
    <row r="2665">
      <c r="A2665" t="inlineStr">
        <is>
          <t>Rana</t>
        </is>
      </c>
      <c r="B2665" t="inlineStr">
        <is>
          <t>+5511943900109</t>
        </is>
      </c>
      <c r="C2665" t="inlineStr">
        <is>
          <t>Refill</t>
        </is>
      </c>
      <c r="D2665" t="inlineStr">
        <is>
          <t>Primer Cachos</t>
        </is>
      </c>
      <c r="E2665" t="n">
        <v>1</v>
      </c>
      <c r="F2665" t="inlineStr">
        <is>
          <t>2026-02-04</t>
        </is>
      </c>
      <c r="G2665" t="n">
        <v>150</v>
      </c>
      <c r="H2665" t="inlineStr">
        <is>
          <t>Y</t>
        </is>
      </c>
      <c r="I2665">
        <f>HYPERLINK("https://admin.shopify.com/store/ge-beauty-cosmeticos/customers/10112955973952","abrir")</f>
        <v/>
      </c>
      <c r="J2665">
        <f>HYPERLINK("https://www.gebeauty.com.br/products/primer-cachos-definidos?ref=review","review")</f>
        <v/>
      </c>
      <c r="K2665" t="inlineStr">
        <is>
          <t>SEND</t>
        </is>
      </c>
    </row>
    <row r="2666">
      <c r="A2666" t="inlineStr">
        <is>
          <t>Cecília</t>
        </is>
      </c>
      <c r="B2666" t="inlineStr">
        <is>
          <t>+5511999389158</t>
        </is>
      </c>
      <c r="C2666" t="inlineStr">
        <is>
          <t>Refill</t>
        </is>
      </c>
      <c r="D2666" t="inlineStr">
        <is>
          <t>Primer Cachos</t>
        </is>
      </c>
      <c r="E2666" t="n">
        <v>1</v>
      </c>
      <c r="F2666" t="inlineStr">
        <is>
          <t>2026-02-04</t>
        </is>
      </c>
      <c r="G2666" t="n">
        <v>150</v>
      </c>
      <c r="H2666" t="inlineStr">
        <is>
          <t>Y</t>
        </is>
      </c>
      <c r="I2666">
        <f>HYPERLINK("https://admin.shopify.com/store/ge-beauty-cosmeticos/customers/10096554606912","abrir")</f>
        <v/>
      </c>
      <c r="J2666">
        <f>HYPERLINK("https://www.gebeauty.com.br/products/primer-cachos-definidos?ref=review","review")</f>
        <v/>
      </c>
      <c r="K2666" t="inlineStr">
        <is>
          <t>SEND</t>
        </is>
      </c>
    </row>
    <row r="2667">
      <c r="A2667" t="inlineStr">
        <is>
          <t>Karina</t>
        </is>
      </c>
      <c r="B2667" t="inlineStr">
        <is>
          <t>+5511988383506</t>
        </is>
      </c>
      <c r="C2667" t="inlineStr">
        <is>
          <t>Refill</t>
        </is>
      </c>
      <c r="D2667" t="inlineStr">
        <is>
          <t>Primer Cachos</t>
        </is>
      </c>
      <c r="E2667" t="n">
        <v>1</v>
      </c>
      <c r="F2667" t="inlineStr">
        <is>
          <t>2026-02-04</t>
        </is>
      </c>
      <c r="G2667" t="n">
        <v>150</v>
      </c>
      <c r="H2667" t="inlineStr">
        <is>
          <t>Y</t>
        </is>
      </c>
      <c r="I2667">
        <f>HYPERLINK("https://admin.shopify.com/store/ge-beauty-cosmeticos/customers/10107968815424","abrir")</f>
        <v/>
      </c>
      <c r="J2667">
        <f>HYPERLINK("https://www.gebeauty.com.br/products/primer-cachos-definidos?ref=review","review")</f>
        <v/>
      </c>
      <c r="K2667" t="inlineStr">
        <is>
          <t>SEND</t>
        </is>
      </c>
    </row>
    <row r="2668">
      <c r="A2668" t="inlineStr">
        <is>
          <t>Mayara</t>
        </is>
      </c>
      <c r="B2668" t="inlineStr">
        <is>
          <t>+5567999793001</t>
        </is>
      </c>
      <c r="C2668" t="inlineStr">
        <is>
          <t>Refill</t>
        </is>
      </c>
      <c r="D2668" t="inlineStr">
        <is>
          <t>Primer Cachos</t>
        </is>
      </c>
      <c r="E2668" t="n">
        <v>1</v>
      </c>
      <c r="F2668" t="inlineStr">
        <is>
          <t>2026-02-04</t>
        </is>
      </c>
      <c r="G2668" t="n">
        <v>150</v>
      </c>
      <c r="H2668" t="inlineStr">
        <is>
          <t>Y</t>
        </is>
      </c>
      <c r="I2668">
        <f>HYPERLINK("https://admin.shopify.com/store/ge-beauty-cosmeticos/customers/10130532794688","abrir")</f>
        <v/>
      </c>
      <c r="J2668">
        <f>HYPERLINK("https://www.gebeauty.com.br/products/primer-cachos-definidos?ref=review","review")</f>
        <v/>
      </c>
      <c r="K2668" t="inlineStr">
        <is>
          <t>SEND</t>
        </is>
      </c>
    </row>
    <row r="2669">
      <c r="A2669" t="inlineStr">
        <is>
          <t>Adriana</t>
        </is>
      </c>
      <c r="B2669" t="inlineStr">
        <is>
          <t>+5562999684312</t>
        </is>
      </c>
      <c r="C2669" t="inlineStr">
        <is>
          <t>Refill</t>
        </is>
      </c>
      <c r="D2669" t="inlineStr">
        <is>
          <t>Primer Cachos</t>
        </is>
      </c>
      <c r="E2669" t="n">
        <v>1</v>
      </c>
      <c r="F2669" t="inlineStr">
        <is>
          <t>2026-02-04</t>
        </is>
      </c>
      <c r="G2669" t="n">
        <v>150</v>
      </c>
      <c r="H2669" t="inlineStr">
        <is>
          <t>Y</t>
        </is>
      </c>
      <c r="I2669">
        <f>HYPERLINK("https://admin.shopify.com/store/ge-beauty-cosmeticos/customers/10096947986752","abrir")</f>
        <v/>
      </c>
      <c r="J2669">
        <f>HYPERLINK("https://www.gebeauty.com.br/products/primer-cachos-definidos?ref=review","review")</f>
        <v/>
      </c>
      <c r="K2669" t="inlineStr">
        <is>
          <t>SEND</t>
        </is>
      </c>
    </row>
    <row r="2670">
      <c r="A2670" t="inlineStr">
        <is>
          <t>Ana Beatriz</t>
        </is>
      </c>
      <c r="B2670" t="inlineStr">
        <is>
          <t>+5511978238696</t>
        </is>
      </c>
      <c r="C2670" t="inlineStr">
        <is>
          <t>Refill</t>
        </is>
      </c>
      <c r="D2670" t="inlineStr">
        <is>
          <t>Primer Cachos</t>
        </is>
      </c>
      <c r="E2670" t="n">
        <v>1</v>
      </c>
      <c r="F2670" t="inlineStr">
        <is>
          <t>2026-02-04</t>
        </is>
      </c>
      <c r="G2670" t="n">
        <v>150</v>
      </c>
      <c r="H2670" t="inlineStr">
        <is>
          <t>Y</t>
        </is>
      </c>
      <c r="I2670">
        <f>HYPERLINK("https://admin.shopify.com/store/ge-beauty-cosmeticos/customers/10075427930432","abrir")</f>
        <v/>
      </c>
      <c r="J2670">
        <f>HYPERLINK("https://www.gebeauty.com.br/products/primer-cachos-definidos?ref=review","review")</f>
        <v/>
      </c>
      <c r="K2670" t="inlineStr">
        <is>
          <t>SEND</t>
        </is>
      </c>
    </row>
    <row r="2671">
      <c r="A2671" t="inlineStr">
        <is>
          <t>Ellen</t>
        </is>
      </c>
      <c r="B2671" t="inlineStr">
        <is>
          <t>+5519992456815</t>
        </is>
      </c>
      <c r="C2671" t="inlineStr">
        <is>
          <t>Refill</t>
        </is>
      </c>
      <c r="D2671" t="inlineStr">
        <is>
          <t>Primer Cachos</t>
        </is>
      </c>
      <c r="E2671" t="n">
        <v>1</v>
      </c>
      <c r="F2671" t="inlineStr">
        <is>
          <t>2026-02-04</t>
        </is>
      </c>
      <c r="G2671" t="n">
        <v>150</v>
      </c>
      <c r="H2671" t="inlineStr">
        <is>
          <t>Y</t>
        </is>
      </c>
      <c r="I2671">
        <f>HYPERLINK("https://admin.shopify.com/store/ge-beauty-cosmeticos/customers/10096424091968","abrir")</f>
        <v/>
      </c>
      <c r="J2671">
        <f>HYPERLINK("https://www.gebeauty.com.br/products/primer-cachos-definidos?ref=review","review")</f>
        <v/>
      </c>
      <c r="K2671" t="inlineStr">
        <is>
          <t>SEND</t>
        </is>
      </c>
    </row>
    <row r="2672">
      <c r="A2672" t="inlineStr">
        <is>
          <t>Mariana</t>
        </is>
      </c>
      <c r="B2672" t="inlineStr">
        <is>
          <t>+5511989356456</t>
        </is>
      </c>
      <c r="C2672" t="inlineStr">
        <is>
          <t>Refill</t>
        </is>
      </c>
      <c r="D2672" t="inlineStr">
        <is>
          <t>Primer Cachos</t>
        </is>
      </c>
      <c r="E2672" t="n">
        <v>1</v>
      </c>
      <c r="F2672" t="inlineStr">
        <is>
          <t>2026-02-04</t>
        </is>
      </c>
      <c r="G2672" t="n">
        <v>150</v>
      </c>
      <c r="H2672" t="inlineStr">
        <is>
          <t>Y</t>
        </is>
      </c>
      <c r="I2672">
        <f>HYPERLINK("https://admin.shopify.com/store/ge-beauty-cosmeticos/customers/10096409936192","abrir")</f>
        <v/>
      </c>
      <c r="J2672">
        <f>HYPERLINK("https://www.gebeauty.com.br/products/primer-cachos-definidos?ref=review","review")</f>
        <v/>
      </c>
      <c r="K2672" t="inlineStr">
        <is>
          <t>SEND</t>
        </is>
      </c>
    </row>
    <row r="2673">
      <c r="A2673" t="inlineStr">
        <is>
          <t>Dany</t>
        </is>
      </c>
      <c r="B2673" t="inlineStr">
        <is>
          <t>+5511946122980</t>
        </is>
      </c>
      <c r="C2673" t="inlineStr">
        <is>
          <t>Refill</t>
        </is>
      </c>
      <c r="D2673" t="inlineStr">
        <is>
          <t>Primer Cachos</t>
        </is>
      </c>
      <c r="E2673" t="n">
        <v>1</v>
      </c>
      <c r="F2673" t="inlineStr">
        <is>
          <t>2026-02-04</t>
        </is>
      </c>
      <c r="G2673" t="n">
        <v>150</v>
      </c>
      <c r="H2673" t="inlineStr">
        <is>
          <t>Y</t>
        </is>
      </c>
      <c r="I2673">
        <f>HYPERLINK("https://admin.shopify.com/store/ge-beauty-cosmeticos/customers/10096394207552","abrir")</f>
        <v/>
      </c>
      <c r="J2673">
        <f>HYPERLINK("https://www.gebeauty.com.br/products/primer-cachos-definidos?ref=review","review")</f>
        <v/>
      </c>
      <c r="K2673" t="inlineStr">
        <is>
          <t>SEND</t>
        </is>
      </c>
    </row>
    <row r="2674">
      <c r="A2674" t="inlineStr">
        <is>
          <t>Mariana</t>
        </is>
      </c>
      <c r="B2674" t="inlineStr">
        <is>
          <t>+5511975301989</t>
        </is>
      </c>
      <c r="C2674" t="inlineStr">
        <is>
          <t>Refill</t>
        </is>
      </c>
      <c r="D2674" t="inlineStr">
        <is>
          <t>Primer Cachos</t>
        </is>
      </c>
      <c r="E2674" t="n">
        <v>1</v>
      </c>
      <c r="F2674" t="inlineStr">
        <is>
          <t>2026-02-04</t>
        </is>
      </c>
      <c r="G2674" t="n">
        <v>150</v>
      </c>
      <c r="H2674" t="inlineStr">
        <is>
          <t>Y</t>
        </is>
      </c>
      <c r="I2674">
        <f>HYPERLINK("https://admin.shopify.com/store/ge-beauty-cosmeticos/customers/8477653107008","abrir")</f>
        <v/>
      </c>
      <c r="J2674">
        <f>HYPERLINK("https://www.gebeauty.com.br/products/primer-cachos-definidos?ref=review","review")</f>
        <v/>
      </c>
      <c r="K2674" t="inlineStr">
        <is>
          <t>SEND</t>
        </is>
      </c>
    </row>
    <row r="2675">
      <c r="A2675" t="inlineStr">
        <is>
          <t>Viviane</t>
        </is>
      </c>
      <c r="B2675" t="inlineStr">
        <is>
          <t>+5511992145623</t>
        </is>
      </c>
      <c r="C2675" t="inlineStr">
        <is>
          <t>Refill</t>
        </is>
      </c>
      <c r="D2675" t="inlineStr">
        <is>
          <t>Primer Cachos</t>
        </is>
      </c>
      <c r="E2675" t="n">
        <v>1</v>
      </c>
      <c r="F2675" t="inlineStr">
        <is>
          <t>2026-02-04</t>
        </is>
      </c>
      <c r="G2675" t="n">
        <v>150</v>
      </c>
      <c r="H2675" t="inlineStr">
        <is>
          <t>Y</t>
        </is>
      </c>
      <c r="I2675">
        <f>HYPERLINK("https://admin.shopify.com/store/ge-beauty-cosmeticos/customers/10130957009216","abrir")</f>
        <v/>
      </c>
      <c r="J2675">
        <f>HYPERLINK("https://www.gebeauty.com.br/products/primer-cachos-definidos?ref=review","review")</f>
        <v/>
      </c>
      <c r="K2675" t="inlineStr">
        <is>
          <t>HOLDOUT</t>
        </is>
      </c>
    </row>
    <row r="2676">
      <c r="A2676" t="inlineStr">
        <is>
          <t>Carolina</t>
        </is>
      </c>
      <c r="B2676" t="inlineStr">
        <is>
          <t>+5512981109248</t>
        </is>
      </c>
      <c r="C2676" t="inlineStr">
        <is>
          <t>Refill</t>
        </is>
      </c>
      <c r="D2676" t="inlineStr">
        <is>
          <t>Primer Cachos</t>
        </is>
      </c>
      <c r="E2676" t="n">
        <v>1</v>
      </c>
      <c r="F2676" t="inlineStr">
        <is>
          <t>2026-02-05</t>
        </is>
      </c>
      <c r="G2676" t="n">
        <v>149</v>
      </c>
      <c r="H2676" t="inlineStr">
        <is>
          <t>Y</t>
        </is>
      </c>
      <c r="I2676">
        <f>HYPERLINK("https://admin.shopify.com/store/ge-beauty-cosmeticos/customers/10131107905856","abrir")</f>
        <v/>
      </c>
      <c r="J2676">
        <f>HYPERLINK("https://www.gebeauty.com.br/products/primer-cachos-definidos?ref=review","review")</f>
        <v/>
      </c>
      <c r="K2676" t="inlineStr">
        <is>
          <t>SEND</t>
        </is>
      </c>
    </row>
    <row r="2677">
      <c r="A2677" t="inlineStr">
        <is>
          <t>Lara</t>
        </is>
      </c>
      <c r="B2677" t="inlineStr">
        <is>
          <t>+5518996169853</t>
        </is>
      </c>
      <c r="C2677" t="inlineStr">
        <is>
          <t>Refill</t>
        </is>
      </c>
      <c r="D2677" t="inlineStr">
        <is>
          <t>Primer Cachos</t>
        </is>
      </c>
      <c r="E2677" t="n">
        <v>1</v>
      </c>
      <c r="F2677" t="inlineStr">
        <is>
          <t>2026-02-05</t>
        </is>
      </c>
      <c r="G2677" t="n">
        <v>149</v>
      </c>
      <c r="H2677" t="inlineStr">
        <is>
          <t>Y</t>
        </is>
      </c>
      <c r="I2677">
        <f>HYPERLINK("https://admin.shopify.com/store/ge-beauty-cosmeticos/customers/10107933851968","abrir")</f>
        <v/>
      </c>
      <c r="J2677">
        <f>HYPERLINK("https://www.gebeauty.com.br/products/primer-cachos-definidos?ref=review","review")</f>
        <v/>
      </c>
      <c r="K2677" t="inlineStr">
        <is>
          <t>HOLDOUT</t>
        </is>
      </c>
    </row>
    <row r="2678">
      <c r="A2678" t="inlineStr">
        <is>
          <t>Carla</t>
        </is>
      </c>
      <c r="B2678" t="inlineStr">
        <is>
          <t>+5581984810047</t>
        </is>
      </c>
      <c r="C2678" t="inlineStr">
        <is>
          <t>Refill</t>
        </is>
      </c>
      <c r="D2678" t="inlineStr">
        <is>
          <t>Primer Cachos</t>
        </is>
      </c>
      <c r="E2678" t="n">
        <v>1</v>
      </c>
      <c r="F2678" t="inlineStr">
        <is>
          <t>2026-02-05</t>
        </is>
      </c>
      <c r="G2678" t="n">
        <v>149</v>
      </c>
      <c r="H2678" t="inlineStr">
        <is>
          <t>Y</t>
        </is>
      </c>
      <c r="I2678">
        <f>HYPERLINK("https://admin.shopify.com/store/ge-beauty-cosmeticos/customers/10132079345984","abrir")</f>
        <v/>
      </c>
      <c r="J2678">
        <f>HYPERLINK("https://www.gebeauty.com.br/products/primer-cachos-definidos?ref=review","review")</f>
        <v/>
      </c>
      <c r="K2678" t="inlineStr">
        <is>
          <t>SEND</t>
        </is>
      </c>
    </row>
    <row r="2679">
      <c r="A2679" t="inlineStr">
        <is>
          <t>Simone</t>
        </is>
      </c>
      <c r="B2679" t="inlineStr">
        <is>
          <t>+5511999863562</t>
        </is>
      </c>
      <c r="C2679" t="inlineStr">
        <is>
          <t>Refill</t>
        </is>
      </c>
      <c r="D2679" t="inlineStr">
        <is>
          <t>Primer Cachos</t>
        </is>
      </c>
      <c r="E2679" t="n">
        <v>1</v>
      </c>
      <c r="F2679" t="inlineStr">
        <is>
          <t>2026-02-05</t>
        </is>
      </c>
      <c r="G2679" t="n">
        <v>149</v>
      </c>
      <c r="H2679" t="inlineStr">
        <is>
          <t>Y</t>
        </is>
      </c>
      <c r="I2679">
        <f>HYPERLINK("https://admin.shopify.com/store/ge-beauty-cosmeticos/customers/10072940872000","abrir")</f>
        <v/>
      </c>
      <c r="J2679">
        <f>HYPERLINK("https://www.gebeauty.com.br/products/primer-cachos-definidos?ref=review","review")</f>
        <v/>
      </c>
      <c r="K2679" t="inlineStr">
        <is>
          <t>HOLDOUT</t>
        </is>
      </c>
    </row>
    <row r="2680">
      <c r="A2680" t="inlineStr">
        <is>
          <t>Dalilla</t>
        </is>
      </c>
      <c r="B2680" t="inlineStr">
        <is>
          <t>+5521998084827</t>
        </is>
      </c>
      <c r="C2680" t="inlineStr">
        <is>
          <t>Refill</t>
        </is>
      </c>
      <c r="D2680" t="inlineStr">
        <is>
          <t>Primer Cachos</t>
        </is>
      </c>
      <c r="E2680" t="n">
        <v>1</v>
      </c>
      <c r="F2680" t="inlineStr">
        <is>
          <t>2026-02-06</t>
        </is>
      </c>
      <c r="G2680" t="n">
        <v>148</v>
      </c>
      <c r="H2680" t="inlineStr">
        <is>
          <t>Y</t>
        </is>
      </c>
      <c r="I2680">
        <f>HYPERLINK("https://admin.shopify.com/store/ge-beauty-cosmeticos/customers/10138131300672","abrir")</f>
        <v/>
      </c>
      <c r="J2680">
        <f>HYPERLINK("https://www.gebeauty.com.br/products/primer-cachos-definidos?ref=review","review")</f>
        <v/>
      </c>
      <c r="K2680" t="inlineStr">
        <is>
          <t>SEND</t>
        </is>
      </c>
    </row>
    <row r="2681">
      <c r="A2681" t="inlineStr">
        <is>
          <t>Ana</t>
        </is>
      </c>
      <c r="B2681" t="inlineStr">
        <is>
          <t>+5511996111069</t>
        </is>
      </c>
      <c r="C2681" t="inlineStr">
        <is>
          <t>Refill</t>
        </is>
      </c>
      <c r="D2681" t="inlineStr">
        <is>
          <t>Primer Cachos</t>
        </is>
      </c>
      <c r="E2681" t="n">
        <v>1</v>
      </c>
      <c r="F2681" t="inlineStr">
        <is>
          <t>2026-02-06</t>
        </is>
      </c>
      <c r="G2681" t="n">
        <v>148</v>
      </c>
      <c r="H2681" t="inlineStr">
        <is>
          <t>Y</t>
        </is>
      </c>
      <c r="I2681">
        <f>HYPERLINK("https://admin.shopify.com/store/ge-beauty-cosmeticos/customers/9134119584064","abrir")</f>
        <v/>
      </c>
      <c r="J2681">
        <f>HYPERLINK("https://www.gebeauty.com.br/products/primer-cachos-definidos?ref=review","review")</f>
        <v/>
      </c>
      <c r="K2681" t="inlineStr">
        <is>
          <t>HOLDOUT</t>
        </is>
      </c>
    </row>
    <row r="2682">
      <c r="A2682" t="inlineStr">
        <is>
          <t>Natalia</t>
        </is>
      </c>
      <c r="B2682" t="inlineStr">
        <is>
          <t>+5511973102628</t>
        </is>
      </c>
      <c r="C2682" t="inlineStr">
        <is>
          <t>Refill</t>
        </is>
      </c>
      <c r="D2682" t="inlineStr">
        <is>
          <t>Primer Cachos</t>
        </is>
      </c>
      <c r="E2682" t="n">
        <v>1</v>
      </c>
      <c r="F2682" t="inlineStr">
        <is>
          <t>2026-02-06</t>
        </is>
      </c>
      <c r="G2682" t="n">
        <v>148</v>
      </c>
      <c r="H2682" t="inlineStr">
        <is>
          <t>Y</t>
        </is>
      </c>
      <c r="I2682">
        <f>HYPERLINK("https://admin.shopify.com/store/ge-beauty-cosmeticos/customers/9484955681088","abrir")</f>
        <v/>
      </c>
      <c r="J2682">
        <f>HYPERLINK("https://www.gebeauty.com.br/products/primer-cachos-definidos?ref=review","review")</f>
        <v/>
      </c>
      <c r="K2682" t="inlineStr">
        <is>
          <t>SEND</t>
        </is>
      </c>
    </row>
    <row r="2683">
      <c r="A2683" t="inlineStr">
        <is>
          <t>Adriana</t>
        </is>
      </c>
      <c r="B2683" t="inlineStr">
        <is>
          <t>+5511992136855</t>
        </is>
      </c>
      <c r="C2683" t="inlineStr">
        <is>
          <t>Refill</t>
        </is>
      </c>
      <c r="D2683" t="inlineStr">
        <is>
          <t>Primer Cachos</t>
        </is>
      </c>
      <c r="E2683" t="n">
        <v>1</v>
      </c>
      <c r="F2683" t="inlineStr">
        <is>
          <t>2026-02-06</t>
        </is>
      </c>
      <c r="G2683" t="n">
        <v>148</v>
      </c>
      <c r="H2683" t="inlineStr">
        <is>
          <t>Y</t>
        </is>
      </c>
      <c r="I2683">
        <f>HYPERLINK("https://admin.shopify.com/store/ge-beauty-cosmeticos/customers/10143811076416","abrir")</f>
        <v/>
      </c>
      <c r="J2683">
        <f>HYPERLINK("https://www.gebeauty.com.br/products/primer-cachos-definidos?ref=review","review")</f>
        <v/>
      </c>
      <c r="K2683" t="inlineStr">
        <is>
          <t>HOLDOUT</t>
        </is>
      </c>
    </row>
    <row r="2684">
      <c r="A2684" t="inlineStr">
        <is>
          <t>Silvia</t>
        </is>
      </c>
      <c r="B2684" t="inlineStr">
        <is>
          <t>+5511993916297</t>
        </is>
      </c>
      <c r="C2684" t="inlineStr">
        <is>
          <t>Refill</t>
        </is>
      </c>
      <c r="D2684" t="inlineStr">
        <is>
          <t>Primer Cachos</t>
        </is>
      </c>
      <c r="E2684" t="n">
        <v>1</v>
      </c>
      <c r="F2684" t="inlineStr">
        <is>
          <t>2026-02-06</t>
        </is>
      </c>
      <c r="G2684" t="n">
        <v>148</v>
      </c>
      <c r="H2684" t="inlineStr">
        <is>
          <t>Y</t>
        </is>
      </c>
      <c r="I2684">
        <f>HYPERLINK("https://admin.shopify.com/store/ge-beauty-cosmeticos/customers/8931325608256","abrir")</f>
        <v/>
      </c>
      <c r="J2684">
        <f>HYPERLINK("https://www.gebeauty.com.br/products/primer-cachos-definidos?ref=review","review")</f>
        <v/>
      </c>
      <c r="K2684" t="inlineStr">
        <is>
          <t>SEND</t>
        </is>
      </c>
    </row>
    <row r="2685">
      <c r="A2685" t="inlineStr">
        <is>
          <t>Lucas</t>
        </is>
      </c>
      <c r="B2685" t="inlineStr">
        <is>
          <t>+5511959759851</t>
        </is>
      </c>
      <c r="C2685" t="inlineStr">
        <is>
          <t>Refill</t>
        </is>
      </c>
      <c r="D2685" t="inlineStr">
        <is>
          <t>Primer Cachos</t>
        </is>
      </c>
      <c r="E2685" t="n">
        <v>1</v>
      </c>
      <c r="F2685" t="inlineStr">
        <is>
          <t>2026-02-06</t>
        </is>
      </c>
      <c r="G2685" t="n">
        <v>148</v>
      </c>
      <c r="H2685" t="inlineStr">
        <is>
          <t>Y</t>
        </is>
      </c>
      <c r="I2685">
        <f>HYPERLINK("https://admin.shopify.com/store/ge-beauty-cosmeticos/customers/8350657249600","abrir")</f>
        <v/>
      </c>
      <c r="J2685">
        <f>HYPERLINK("https://www.gebeauty.com.br/products/primer-cachos-definidos?ref=review","review")</f>
        <v/>
      </c>
      <c r="K2685" t="inlineStr">
        <is>
          <t>SEND</t>
        </is>
      </c>
    </row>
    <row r="2686">
      <c r="A2686" t="inlineStr">
        <is>
          <t>Germinieth</t>
        </is>
      </c>
      <c r="B2686" t="inlineStr">
        <is>
          <t>+5583996980046</t>
        </is>
      </c>
      <c r="C2686" t="inlineStr">
        <is>
          <t>Refill</t>
        </is>
      </c>
      <c r="D2686" t="inlineStr">
        <is>
          <t>Primer Cachos</t>
        </is>
      </c>
      <c r="E2686" t="n">
        <v>1</v>
      </c>
      <c r="F2686" t="inlineStr">
        <is>
          <t>2026-02-06</t>
        </is>
      </c>
      <c r="G2686" t="n">
        <v>148</v>
      </c>
      <c r="H2686" t="inlineStr">
        <is>
          <t>Y</t>
        </is>
      </c>
      <c r="I2686">
        <f>HYPERLINK("https://admin.shopify.com/store/ge-beauty-cosmeticos/customers/10094539964736","abrir")</f>
        <v/>
      </c>
      <c r="J2686">
        <f>HYPERLINK("https://www.gebeauty.com.br/products/primer-cachos-definidos?ref=review","review")</f>
        <v/>
      </c>
      <c r="K2686" t="inlineStr">
        <is>
          <t>HOLDOUT</t>
        </is>
      </c>
    </row>
    <row r="2687">
      <c r="A2687" t="inlineStr">
        <is>
          <t>Karla</t>
        </is>
      </c>
      <c r="B2687" t="inlineStr">
        <is>
          <t>+5519997363619</t>
        </is>
      </c>
      <c r="C2687" t="inlineStr">
        <is>
          <t>Refill</t>
        </is>
      </c>
      <c r="D2687" t="inlineStr">
        <is>
          <t>Primer Cachos</t>
        </is>
      </c>
      <c r="E2687" t="n">
        <v>1</v>
      </c>
      <c r="F2687" t="inlineStr">
        <is>
          <t>2026-02-06</t>
        </is>
      </c>
      <c r="G2687" t="n">
        <v>148</v>
      </c>
      <c r="H2687" t="inlineStr">
        <is>
          <t>Y</t>
        </is>
      </c>
      <c r="I2687">
        <f>HYPERLINK("https://admin.shopify.com/store/ge-beauty-cosmeticos/customers/10144315441472","abrir")</f>
        <v/>
      </c>
      <c r="J2687">
        <f>HYPERLINK("https://www.gebeauty.com.br/products/primer-cachos-definidos?ref=review","review")</f>
        <v/>
      </c>
      <c r="K2687" t="inlineStr">
        <is>
          <t>SEND</t>
        </is>
      </c>
    </row>
    <row r="2688">
      <c r="A2688" t="inlineStr">
        <is>
          <t>Aline</t>
        </is>
      </c>
      <c r="B2688" t="inlineStr">
        <is>
          <t>+5581996359436</t>
        </is>
      </c>
      <c r="C2688" t="inlineStr">
        <is>
          <t>Refill</t>
        </is>
      </c>
      <c r="D2688" t="inlineStr">
        <is>
          <t>Primer Cachos</t>
        </is>
      </c>
      <c r="E2688" t="n">
        <v>1</v>
      </c>
      <c r="F2688" t="inlineStr">
        <is>
          <t>2026-02-07</t>
        </is>
      </c>
      <c r="G2688" t="n">
        <v>147</v>
      </c>
      <c r="H2688" t="inlineStr">
        <is>
          <t>Y</t>
        </is>
      </c>
      <c r="I2688">
        <f>HYPERLINK("https://admin.shopify.com/store/ge-beauty-cosmeticos/customers/10146266087744","abrir")</f>
        <v/>
      </c>
      <c r="J2688">
        <f>HYPERLINK("https://www.gebeauty.com.br/products/primer-cachos-definidos?ref=review","review")</f>
        <v/>
      </c>
      <c r="K2688" t="inlineStr">
        <is>
          <t>SEND</t>
        </is>
      </c>
    </row>
    <row r="2689">
      <c r="A2689" t="inlineStr">
        <is>
          <t>Ana</t>
        </is>
      </c>
      <c r="B2689" t="inlineStr">
        <is>
          <t>+5511969068077</t>
        </is>
      </c>
      <c r="C2689" t="inlineStr">
        <is>
          <t>Refill</t>
        </is>
      </c>
      <c r="D2689" t="inlineStr">
        <is>
          <t>Primer Cachos</t>
        </is>
      </c>
      <c r="E2689" t="n">
        <v>1</v>
      </c>
      <c r="F2689" t="inlineStr">
        <is>
          <t>2026-02-07</t>
        </is>
      </c>
      <c r="G2689" t="n">
        <v>147</v>
      </c>
      <c r="H2689" t="inlineStr">
        <is>
          <t>Y</t>
        </is>
      </c>
      <c r="I2689">
        <f>HYPERLINK("https://admin.shopify.com/store/ge-beauty-cosmeticos/customers/9319331201344","abrir")</f>
        <v/>
      </c>
      <c r="J2689">
        <f>HYPERLINK("https://www.gebeauty.com.br/products/primer-cachos-definidos?ref=review","review")</f>
        <v/>
      </c>
      <c r="K2689" t="inlineStr">
        <is>
          <t>SEND</t>
        </is>
      </c>
    </row>
    <row r="2690">
      <c r="A2690" t="inlineStr">
        <is>
          <t>Georgia</t>
        </is>
      </c>
      <c r="B2690" t="inlineStr">
        <is>
          <t>+5581992442650</t>
        </is>
      </c>
      <c r="C2690" t="inlineStr">
        <is>
          <t>Refill</t>
        </is>
      </c>
      <c r="D2690" t="inlineStr">
        <is>
          <t>Primer Cachos</t>
        </is>
      </c>
      <c r="E2690" t="n">
        <v>1</v>
      </c>
      <c r="F2690" t="inlineStr">
        <is>
          <t>2026-02-07</t>
        </is>
      </c>
      <c r="G2690" t="n">
        <v>147</v>
      </c>
      <c r="H2690" t="inlineStr">
        <is>
          <t>Y</t>
        </is>
      </c>
      <c r="I2690">
        <f>HYPERLINK("https://admin.shopify.com/store/ge-beauty-cosmeticos/customers/9485797065024","abrir")</f>
        <v/>
      </c>
      <c r="J2690">
        <f>HYPERLINK("https://www.gebeauty.com.br/products/primer-cachos-definidos?ref=review","review")</f>
        <v/>
      </c>
      <c r="K2690" t="inlineStr">
        <is>
          <t>HOLDOUT</t>
        </is>
      </c>
    </row>
    <row r="2691">
      <c r="A2691" t="inlineStr">
        <is>
          <t>Aline</t>
        </is>
      </c>
      <c r="B2691" t="inlineStr">
        <is>
          <t>+5534999924408</t>
        </is>
      </c>
      <c r="C2691" t="inlineStr">
        <is>
          <t>Refill</t>
        </is>
      </c>
      <c r="D2691" t="inlineStr">
        <is>
          <t>Primer Cachos</t>
        </is>
      </c>
      <c r="E2691" t="n">
        <v>1</v>
      </c>
      <c r="F2691" t="inlineStr">
        <is>
          <t>2026-02-07</t>
        </is>
      </c>
      <c r="G2691" t="n">
        <v>147</v>
      </c>
      <c r="H2691" t="inlineStr">
        <is>
          <t>Y</t>
        </is>
      </c>
      <c r="I2691">
        <f>HYPERLINK("https://admin.shopify.com/store/ge-beauty-cosmeticos/customers/10147290349888","abrir")</f>
        <v/>
      </c>
      <c r="J2691">
        <f>HYPERLINK("https://www.gebeauty.com.br/products/primer-cachos-definidos?ref=review","review")</f>
        <v/>
      </c>
      <c r="K2691" t="inlineStr">
        <is>
          <t>SEND</t>
        </is>
      </c>
    </row>
    <row r="2692">
      <c r="A2692" t="inlineStr">
        <is>
          <t>Renata</t>
        </is>
      </c>
      <c r="B2692" t="inlineStr">
        <is>
          <t>+5581998977478</t>
        </is>
      </c>
      <c r="C2692" t="inlineStr">
        <is>
          <t>Refill</t>
        </is>
      </c>
      <c r="D2692" t="inlineStr">
        <is>
          <t>Primer Cachos</t>
        </is>
      </c>
      <c r="E2692" t="n">
        <v>1</v>
      </c>
      <c r="F2692" t="inlineStr">
        <is>
          <t>2026-02-07</t>
        </is>
      </c>
      <c r="G2692" t="n">
        <v>147</v>
      </c>
      <c r="H2692" t="inlineStr">
        <is>
          <t>Y</t>
        </is>
      </c>
      <c r="I2692">
        <f>HYPERLINK("https://admin.shopify.com/store/ge-beauty-cosmeticos/customers/9876145307968","abrir")</f>
        <v/>
      </c>
      <c r="J2692">
        <f>HYPERLINK("https://www.gebeauty.com.br/products/primer-cachos-definidos?ref=review","review")</f>
        <v/>
      </c>
      <c r="K2692" t="inlineStr">
        <is>
          <t>SEND</t>
        </is>
      </c>
    </row>
    <row r="2693">
      <c r="A2693" t="inlineStr">
        <is>
          <t>Patricia</t>
        </is>
      </c>
      <c r="B2693" t="inlineStr">
        <is>
          <t>+5581999257359</t>
        </is>
      </c>
      <c r="C2693" t="inlineStr">
        <is>
          <t>Refill</t>
        </is>
      </c>
      <c r="D2693" t="inlineStr">
        <is>
          <t>Primer Cachos</t>
        </is>
      </c>
      <c r="E2693" t="n">
        <v>1</v>
      </c>
      <c r="F2693" t="inlineStr">
        <is>
          <t>2026-02-08</t>
        </is>
      </c>
      <c r="G2693" t="n">
        <v>146</v>
      </c>
      <c r="H2693" t="inlineStr">
        <is>
          <t>Y</t>
        </is>
      </c>
      <c r="I2693">
        <f>HYPERLINK("https://admin.shopify.com/store/ge-beauty-cosmeticos/customers/10148844994880","abrir")</f>
        <v/>
      </c>
      <c r="J2693">
        <f>HYPERLINK("https://www.gebeauty.com.br/products/primer-cachos-definidos?ref=review","review")</f>
        <v/>
      </c>
      <c r="K2693" t="inlineStr">
        <is>
          <t>SEND</t>
        </is>
      </c>
    </row>
    <row r="2694">
      <c r="A2694" t="inlineStr">
        <is>
          <t>Denise</t>
        </is>
      </c>
      <c r="B2694" t="inlineStr">
        <is>
          <t>+5511995812500</t>
        </is>
      </c>
      <c r="C2694" t="inlineStr">
        <is>
          <t>Refill</t>
        </is>
      </c>
      <c r="D2694" t="inlineStr">
        <is>
          <t>Primer Cachos</t>
        </is>
      </c>
      <c r="E2694" t="n">
        <v>1</v>
      </c>
      <c r="F2694" t="inlineStr">
        <is>
          <t>2026-02-08</t>
        </is>
      </c>
      <c r="G2694" t="n">
        <v>146</v>
      </c>
      <c r="H2694" t="inlineStr">
        <is>
          <t>Y</t>
        </is>
      </c>
      <c r="I2694">
        <f>HYPERLINK("https://admin.shopify.com/store/ge-beauty-cosmeticos/customers/9660248392000","abrir")</f>
        <v/>
      </c>
      <c r="J2694">
        <f>HYPERLINK("https://www.gebeauty.com.br/products/primer-cachos-definidos?ref=review","review")</f>
        <v/>
      </c>
      <c r="K2694" t="inlineStr">
        <is>
          <t>HOLDOUT</t>
        </is>
      </c>
    </row>
    <row r="2695">
      <c r="A2695" t="inlineStr">
        <is>
          <t>Livia</t>
        </is>
      </c>
      <c r="B2695" t="inlineStr">
        <is>
          <t>+5518997178681</t>
        </is>
      </c>
      <c r="C2695" t="inlineStr">
        <is>
          <t>Refill</t>
        </is>
      </c>
      <c r="D2695" t="inlineStr">
        <is>
          <t>Primer Cachos</t>
        </is>
      </c>
      <c r="E2695" t="n">
        <v>1</v>
      </c>
      <c r="F2695" t="inlineStr">
        <is>
          <t>2026-02-08</t>
        </is>
      </c>
      <c r="G2695" t="n">
        <v>146</v>
      </c>
      <c r="H2695" t="inlineStr">
        <is>
          <t>Y</t>
        </is>
      </c>
      <c r="I2695">
        <f>HYPERLINK("https://admin.shopify.com/store/ge-beauty-cosmeticos/customers/9486390985024","abrir")</f>
        <v/>
      </c>
      <c r="J2695">
        <f>HYPERLINK("https://www.gebeauty.com.br/products/primer-cachos-definidos?ref=review","review")</f>
        <v/>
      </c>
      <c r="K2695" t="inlineStr">
        <is>
          <t>SEND</t>
        </is>
      </c>
    </row>
    <row r="2696">
      <c r="A2696" t="inlineStr">
        <is>
          <t>Arethusa</t>
        </is>
      </c>
      <c r="B2696" t="inlineStr">
        <is>
          <t>+5511963699218</t>
        </is>
      </c>
      <c r="C2696" t="inlineStr">
        <is>
          <t>Refill</t>
        </is>
      </c>
      <c r="D2696" t="inlineStr">
        <is>
          <t>Primer Cachos</t>
        </is>
      </c>
      <c r="E2696" t="n">
        <v>1</v>
      </c>
      <c r="F2696" t="inlineStr">
        <is>
          <t>2026-02-08</t>
        </is>
      </c>
      <c r="G2696" t="n">
        <v>146</v>
      </c>
      <c r="H2696" t="inlineStr">
        <is>
          <t>Y</t>
        </is>
      </c>
      <c r="I2696">
        <f>HYPERLINK("https://admin.shopify.com/store/ge-beauty-cosmeticos/customers/9970520457536","abrir")</f>
        <v/>
      </c>
      <c r="J2696">
        <f>HYPERLINK("https://www.gebeauty.com.br/products/primer-cachos-definidos?ref=review","review")</f>
        <v/>
      </c>
      <c r="K2696" t="inlineStr">
        <is>
          <t>SEND</t>
        </is>
      </c>
    </row>
    <row r="2697">
      <c r="A2697" t="inlineStr">
        <is>
          <t>Patrícia</t>
        </is>
      </c>
      <c r="B2697" t="inlineStr">
        <is>
          <t>+5599981396020</t>
        </is>
      </c>
      <c r="C2697" t="inlineStr">
        <is>
          <t>Refill</t>
        </is>
      </c>
      <c r="D2697" t="inlineStr">
        <is>
          <t>Primer Cachos</t>
        </is>
      </c>
      <c r="E2697" t="n">
        <v>1</v>
      </c>
      <c r="F2697" t="inlineStr">
        <is>
          <t>2026-02-08</t>
        </is>
      </c>
      <c r="G2697" t="n">
        <v>146</v>
      </c>
      <c r="H2697" t="inlineStr">
        <is>
          <t>Y</t>
        </is>
      </c>
      <c r="I2697">
        <f>HYPERLINK("https://admin.shopify.com/store/ge-beauty-cosmeticos/customers/8215990632768","abrir")</f>
        <v/>
      </c>
      <c r="J2697">
        <f>HYPERLINK("https://www.gebeauty.com.br/products/primer-cachos-definidos?ref=review","review")</f>
        <v/>
      </c>
      <c r="K2697" t="inlineStr">
        <is>
          <t>SEND</t>
        </is>
      </c>
    </row>
    <row r="2698">
      <c r="A2698" t="inlineStr">
        <is>
          <t>Natalia</t>
        </is>
      </c>
      <c r="B2698" t="inlineStr">
        <is>
          <t>+5521975577225</t>
        </is>
      </c>
      <c r="C2698" t="inlineStr">
        <is>
          <t>Refill</t>
        </is>
      </c>
      <c r="D2698" t="inlineStr">
        <is>
          <t>Primer Cachos</t>
        </is>
      </c>
      <c r="E2698" t="n">
        <v>1</v>
      </c>
      <c r="F2698" t="inlineStr">
        <is>
          <t>2026-02-09</t>
        </is>
      </c>
      <c r="G2698" t="n">
        <v>145</v>
      </c>
      <c r="H2698" t="inlineStr">
        <is>
          <t>Y</t>
        </is>
      </c>
      <c r="I2698">
        <f>HYPERLINK("https://admin.shopify.com/store/ge-beauty-cosmeticos/customers/10148937400640","abrir")</f>
        <v/>
      </c>
      <c r="J2698">
        <f>HYPERLINK("https://www.gebeauty.com.br/products/primer-cachos-definidos?ref=review","review")</f>
        <v/>
      </c>
      <c r="K2698" t="inlineStr">
        <is>
          <t>SEND</t>
        </is>
      </c>
    </row>
    <row r="2699">
      <c r="A2699" t="inlineStr">
        <is>
          <t>Magaly</t>
        </is>
      </c>
      <c r="B2699" t="inlineStr">
        <is>
          <t>+5511987705643</t>
        </is>
      </c>
      <c r="C2699" t="inlineStr">
        <is>
          <t>Refill</t>
        </is>
      </c>
      <c r="D2699" t="inlineStr">
        <is>
          <t>Primer Cachos</t>
        </is>
      </c>
      <c r="E2699" t="n">
        <v>1</v>
      </c>
      <c r="F2699" t="inlineStr">
        <is>
          <t>2026-02-09</t>
        </is>
      </c>
      <c r="G2699" t="n">
        <v>145</v>
      </c>
      <c r="H2699" t="inlineStr">
        <is>
          <t>N</t>
        </is>
      </c>
      <c r="I2699">
        <f>HYPERLINK("https://admin.shopify.com/store/ge-beauty-cosmeticos/customers/10150995296576","abrir")</f>
        <v/>
      </c>
      <c r="J2699">
        <f>HYPERLINK("https://www.gebeauty.com.br/products/primer-cachos-definidos?ref=review","review")</f>
        <v/>
      </c>
      <c r="K2699" t="inlineStr">
        <is>
          <t>SEND</t>
        </is>
      </c>
    </row>
    <row r="2700">
      <c r="A2700" t="inlineStr">
        <is>
          <t>Amanda</t>
        </is>
      </c>
      <c r="B2700" t="inlineStr">
        <is>
          <t>+5511974043973</t>
        </is>
      </c>
      <c r="C2700" t="inlineStr">
        <is>
          <t>Refill</t>
        </is>
      </c>
      <c r="D2700" t="inlineStr">
        <is>
          <t>Primer Cachos</t>
        </is>
      </c>
      <c r="E2700" t="n">
        <v>1</v>
      </c>
      <c r="F2700" t="inlineStr">
        <is>
          <t>2026-02-09</t>
        </is>
      </c>
      <c r="G2700" t="n">
        <v>145</v>
      </c>
      <c r="H2700" t="inlineStr">
        <is>
          <t>Y</t>
        </is>
      </c>
      <c r="I2700">
        <f>HYPERLINK("https://admin.shopify.com/store/ge-beauty-cosmeticos/customers/10151208943936","abrir")</f>
        <v/>
      </c>
      <c r="J2700">
        <f>HYPERLINK("https://www.gebeauty.com.br/products/primer-cachos-definidos?ref=review","review")</f>
        <v/>
      </c>
      <c r="K2700" t="inlineStr">
        <is>
          <t>SEND</t>
        </is>
      </c>
    </row>
    <row r="2701">
      <c r="A2701" t="inlineStr">
        <is>
          <t>Cláudia</t>
        </is>
      </c>
      <c r="B2701" t="inlineStr">
        <is>
          <t>+5581999592375</t>
        </is>
      </c>
      <c r="C2701" t="inlineStr">
        <is>
          <t>Refill</t>
        </is>
      </c>
      <c r="D2701" t="inlineStr">
        <is>
          <t>Primer Cachos</t>
        </is>
      </c>
      <c r="E2701" t="n">
        <v>1</v>
      </c>
      <c r="F2701" t="inlineStr">
        <is>
          <t>2026-02-09</t>
        </is>
      </c>
      <c r="G2701" t="n">
        <v>145</v>
      </c>
      <c r="H2701" t="inlineStr">
        <is>
          <t>Y</t>
        </is>
      </c>
      <c r="I2701">
        <f>HYPERLINK("https://admin.shopify.com/store/ge-beauty-cosmeticos/customers/10151329136960","abrir")</f>
        <v/>
      </c>
      <c r="J2701">
        <f>HYPERLINK("https://www.gebeauty.com.br/products/primer-cachos-definidos?ref=review","review")</f>
        <v/>
      </c>
      <c r="K2701" t="inlineStr">
        <is>
          <t>SEND</t>
        </is>
      </c>
    </row>
    <row r="2702">
      <c r="A2702" t="inlineStr">
        <is>
          <t>Juliana</t>
        </is>
      </c>
      <c r="B2702" t="inlineStr">
        <is>
          <t>+5511981028255</t>
        </is>
      </c>
      <c r="C2702" t="inlineStr">
        <is>
          <t>Refill</t>
        </is>
      </c>
      <c r="D2702" t="inlineStr">
        <is>
          <t>Primer Cachos</t>
        </is>
      </c>
      <c r="E2702" t="n">
        <v>1</v>
      </c>
      <c r="F2702" t="inlineStr">
        <is>
          <t>2026-02-09</t>
        </is>
      </c>
      <c r="G2702" t="n">
        <v>145</v>
      </c>
      <c r="H2702" t="inlineStr">
        <is>
          <t>Y</t>
        </is>
      </c>
      <c r="I2702">
        <f>HYPERLINK("https://admin.shopify.com/store/ge-beauty-cosmeticos/customers/9485554876736","abrir")</f>
        <v/>
      </c>
      <c r="J2702">
        <f>HYPERLINK("https://www.gebeauty.com.br/products/primer-cachos-definidos?ref=review","review")</f>
        <v/>
      </c>
      <c r="K2702" t="inlineStr">
        <is>
          <t>SEND</t>
        </is>
      </c>
    </row>
    <row r="2703">
      <c r="A2703" t="inlineStr">
        <is>
          <t>Vivian</t>
        </is>
      </c>
      <c r="B2703" t="inlineStr">
        <is>
          <t>+5511967290851</t>
        </is>
      </c>
      <c r="C2703" t="inlineStr">
        <is>
          <t>Refill</t>
        </is>
      </c>
      <c r="D2703" t="inlineStr">
        <is>
          <t>Primer Cachos</t>
        </is>
      </c>
      <c r="E2703" t="n">
        <v>1</v>
      </c>
      <c r="F2703" t="inlineStr">
        <is>
          <t>2026-02-09</t>
        </is>
      </c>
      <c r="G2703" t="n">
        <v>145</v>
      </c>
      <c r="H2703" t="inlineStr">
        <is>
          <t>Y</t>
        </is>
      </c>
      <c r="I2703">
        <f>HYPERLINK("https://admin.shopify.com/store/ge-beauty-cosmeticos/customers/10087651606848","abrir")</f>
        <v/>
      </c>
      <c r="J2703">
        <f>HYPERLINK("https://www.gebeauty.com.br/products/primer-cachos-definidos?ref=review","review")</f>
        <v/>
      </c>
      <c r="K2703" t="inlineStr">
        <is>
          <t>SEND</t>
        </is>
      </c>
    </row>
    <row r="2704">
      <c r="A2704" t="inlineStr">
        <is>
          <t>Karla</t>
        </is>
      </c>
      <c r="B2704" t="inlineStr">
        <is>
          <t>+5521981887300</t>
        </is>
      </c>
      <c r="C2704" t="inlineStr">
        <is>
          <t>Refill</t>
        </is>
      </c>
      <c r="D2704" t="inlineStr">
        <is>
          <t>Primer Cachos</t>
        </is>
      </c>
      <c r="E2704" t="n">
        <v>1</v>
      </c>
      <c r="F2704" t="inlineStr">
        <is>
          <t>2026-02-09</t>
        </is>
      </c>
      <c r="G2704" t="n">
        <v>145</v>
      </c>
      <c r="H2704" t="inlineStr">
        <is>
          <t>Y</t>
        </is>
      </c>
      <c r="I2704">
        <f>HYPERLINK("https://admin.shopify.com/store/ge-beauty-cosmeticos/customers/10151570080064","abrir")</f>
        <v/>
      </c>
      <c r="J2704">
        <f>HYPERLINK("https://www.gebeauty.com.br/products/primer-cachos-definidos?ref=review","review")</f>
        <v/>
      </c>
      <c r="K2704" t="inlineStr">
        <is>
          <t>SEND</t>
        </is>
      </c>
    </row>
    <row r="2705">
      <c r="A2705" t="inlineStr">
        <is>
          <t>Daniela</t>
        </is>
      </c>
      <c r="B2705" t="inlineStr">
        <is>
          <t>+5511991375191</t>
        </is>
      </c>
      <c r="C2705" t="inlineStr">
        <is>
          <t>Refill</t>
        </is>
      </c>
      <c r="D2705" t="inlineStr">
        <is>
          <t>Primer Cachos</t>
        </is>
      </c>
      <c r="E2705" t="n">
        <v>1</v>
      </c>
      <c r="F2705" t="inlineStr">
        <is>
          <t>2026-02-09</t>
        </is>
      </c>
      <c r="G2705" t="n">
        <v>145</v>
      </c>
      <c r="H2705" t="inlineStr">
        <is>
          <t>Y</t>
        </is>
      </c>
      <c r="I2705">
        <f>HYPERLINK("https://admin.shopify.com/store/ge-beauty-cosmeticos/customers/10151191675200","abrir")</f>
        <v/>
      </c>
      <c r="J2705">
        <f>HYPERLINK("https://www.gebeauty.com.br/products/primer-cachos-definidos?ref=review","review")</f>
        <v/>
      </c>
      <c r="K2705" t="inlineStr">
        <is>
          <t>SEND</t>
        </is>
      </c>
    </row>
    <row r="2706">
      <c r="A2706" t="inlineStr">
        <is>
          <t>Ana</t>
        </is>
      </c>
      <c r="B2706" t="inlineStr">
        <is>
          <t>+5581995094888</t>
        </is>
      </c>
      <c r="C2706" t="inlineStr">
        <is>
          <t>Refill</t>
        </is>
      </c>
      <c r="D2706" t="inlineStr">
        <is>
          <t>Primer Cachos</t>
        </is>
      </c>
      <c r="E2706" t="n">
        <v>1</v>
      </c>
      <c r="F2706" t="inlineStr">
        <is>
          <t>2026-02-09</t>
        </is>
      </c>
      <c r="G2706" t="n">
        <v>145</v>
      </c>
      <c r="H2706" t="inlineStr">
        <is>
          <t>Y</t>
        </is>
      </c>
      <c r="I2706">
        <f>HYPERLINK("https://admin.shopify.com/store/ge-beauty-cosmeticos/customers/7761862852928","abrir")</f>
        <v/>
      </c>
      <c r="J2706">
        <f>HYPERLINK("https://www.gebeauty.com.br/products/primer-cachos-definidos?ref=review","review")</f>
        <v/>
      </c>
      <c r="K2706" t="inlineStr">
        <is>
          <t>SEND</t>
        </is>
      </c>
    </row>
    <row r="2707">
      <c r="A2707" t="inlineStr">
        <is>
          <t>Juliana</t>
        </is>
      </c>
      <c r="B2707" t="inlineStr">
        <is>
          <t>+5521988322762</t>
        </is>
      </c>
      <c r="C2707" t="inlineStr">
        <is>
          <t>Refill</t>
        </is>
      </c>
      <c r="D2707" t="inlineStr">
        <is>
          <t>Primer Cachos</t>
        </is>
      </c>
      <c r="E2707" t="n">
        <v>1</v>
      </c>
      <c r="F2707" t="inlineStr">
        <is>
          <t>2026-02-10</t>
        </is>
      </c>
      <c r="G2707" t="n">
        <v>144</v>
      </c>
      <c r="H2707" t="inlineStr">
        <is>
          <t>Y</t>
        </is>
      </c>
      <c r="I2707">
        <f>HYPERLINK("https://admin.shopify.com/store/ge-beauty-cosmeticos/customers/10136446697792","abrir")</f>
        <v/>
      </c>
      <c r="J2707">
        <f>HYPERLINK("https://www.gebeauty.com.br/products/primer-cachos-definidos?ref=review","review")</f>
        <v/>
      </c>
      <c r="K2707" t="inlineStr">
        <is>
          <t>SEND</t>
        </is>
      </c>
    </row>
    <row r="2708">
      <c r="A2708" t="inlineStr">
        <is>
          <t>Patricia</t>
        </is>
      </c>
      <c r="B2708" t="inlineStr">
        <is>
          <t>+5554996878383</t>
        </is>
      </c>
      <c r="C2708" t="inlineStr">
        <is>
          <t>Refill</t>
        </is>
      </c>
      <c r="D2708" t="inlineStr">
        <is>
          <t>Primer Cachos</t>
        </is>
      </c>
      <c r="E2708" t="n">
        <v>1</v>
      </c>
      <c r="F2708" t="inlineStr">
        <is>
          <t>2026-02-10</t>
        </is>
      </c>
      <c r="G2708" t="n">
        <v>144</v>
      </c>
      <c r="H2708" t="inlineStr">
        <is>
          <t>Y</t>
        </is>
      </c>
      <c r="I2708">
        <f>HYPERLINK("https://admin.shopify.com/store/ge-beauty-cosmeticos/customers/10153193931072","abrir")</f>
        <v/>
      </c>
      <c r="J2708">
        <f>HYPERLINK("https://www.gebeauty.com.br/products/primer-cachos-definidos?ref=review","review")</f>
        <v/>
      </c>
      <c r="K2708" t="inlineStr">
        <is>
          <t>HOLDOUT</t>
        </is>
      </c>
    </row>
    <row r="2709">
      <c r="A2709" t="inlineStr">
        <is>
          <t>Rafaella</t>
        </is>
      </c>
      <c r="B2709" t="inlineStr">
        <is>
          <t>+5561981556850</t>
        </is>
      </c>
      <c r="C2709" t="inlineStr">
        <is>
          <t>Refill</t>
        </is>
      </c>
      <c r="D2709" t="inlineStr">
        <is>
          <t>Primer Cachos</t>
        </is>
      </c>
      <c r="E2709" t="n">
        <v>1</v>
      </c>
      <c r="F2709" t="inlineStr">
        <is>
          <t>2026-02-10</t>
        </is>
      </c>
      <c r="G2709" t="n">
        <v>144</v>
      </c>
      <c r="H2709" t="inlineStr">
        <is>
          <t>Y</t>
        </is>
      </c>
      <c r="I2709">
        <f>HYPERLINK("https://admin.shopify.com/store/ge-beauty-cosmeticos/customers/9584934486336","abrir")</f>
        <v/>
      </c>
      <c r="J2709">
        <f>HYPERLINK("https://www.gebeauty.com.br/products/primer-cachos-definidos?ref=review","review")</f>
        <v/>
      </c>
      <c r="K2709" t="inlineStr">
        <is>
          <t>SEND</t>
        </is>
      </c>
    </row>
    <row r="2710">
      <c r="A2710" t="inlineStr">
        <is>
          <t>Beatriz</t>
        </is>
      </c>
      <c r="B2710" t="inlineStr">
        <is>
          <t>+5511972273074</t>
        </is>
      </c>
      <c r="C2710" t="inlineStr">
        <is>
          <t>Refill</t>
        </is>
      </c>
      <c r="D2710" t="inlineStr">
        <is>
          <t>Primer Cachos</t>
        </is>
      </c>
      <c r="E2710" t="n">
        <v>1</v>
      </c>
      <c r="F2710" t="inlineStr">
        <is>
          <t>2026-02-10</t>
        </is>
      </c>
      <c r="G2710" t="n">
        <v>144</v>
      </c>
      <c r="H2710" t="inlineStr">
        <is>
          <t>Y</t>
        </is>
      </c>
      <c r="I2710">
        <f>HYPERLINK("https://admin.shopify.com/store/ge-beauty-cosmeticos/customers/10153776873792","abrir")</f>
        <v/>
      </c>
      <c r="J2710">
        <f>HYPERLINK("https://www.gebeauty.com.br/products/primer-cachos-definidos?ref=review","review")</f>
        <v/>
      </c>
      <c r="K2710" t="inlineStr">
        <is>
          <t>SEND</t>
        </is>
      </c>
    </row>
    <row r="2711">
      <c r="A2711" t="inlineStr">
        <is>
          <t>Sandra</t>
        </is>
      </c>
      <c r="B2711" t="inlineStr">
        <is>
          <t>+5571981873415</t>
        </is>
      </c>
      <c r="C2711" t="inlineStr">
        <is>
          <t>Refill</t>
        </is>
      </c>
      <c r="D2711" t="inlineStr">
        <is>
          <t>Primer Cachos</t>
        </is>
      </c>
      <c r="E2711" t="n">
        <v>1</v>
      </c>
      <c r="F2711" t="inlineStr">
        <is>
          <t>2026-02-10</t>
        </is>
      </c>
      <c r="G2711" t="n">
        <v>144</v>
      </c>
      <c r="H2711" t="inlineStr">
        <is>
          <t>Y</t>
        </is>
      </c>
      <c r="I2711">
        <f>HYPERLINK("https://admin.shopify.com/store/ge-beauty-cosmeticos/customers/10085289918784","abrir")</f>
        <v/>
      </c>
      <c r="J2711">
        <f>HYPERLINK("https://www.gebeauty.com.br/products/primer-cachos-definidos?ref=review","review")</f>
        <v/>
      </c>
      <c r="K2711" t="inlineStr">
        <is>
          <t>HOLDOUT</t>
        </is>
      </c>
    </row>
    <row r="2712">
      <c r="A2712" t="inlineStr">
        <is>
          <t>Patricia</t>
        </is>
      </c>
      <c r="B2712" t="inlineStr">
        <is>
          <t>+5511991874847</t>
        </is>
      </c>
      <c r="C2712" t="inlineStr">
        <is>
          <t>Refill</t>
        </is>
      </c>
      <c r="D2712" t="inlineStr">
        <is>
          <t>Primer Cachos</t>
        </is>
      </c>
      <c r="E2712" t="n">
        <v>1</v>
      </c>
      <c r="F2712" t="inlineStr">
        <is>
          <t>2026-02-10</t>
        </is>
      </c>
      <c r="G2712" t="n">
        <v>144</v>
      </c>
      <c r="H2712" t="inlineStr">
        <is>
          <t>Y</t>
        </is>
      </c>
      <c r="I2712">
        <f>HYPERLINK("https://admin.shopify.com/store/ge-beauty-cosmeticos/customers/9513874063680","abrir")</f>
        <v/>
      </c>
      <c r="J2712">
        <f>HYPERLINK("https://www.gebeauty.com.br/products/primer-cachos-definidos?ref=review","review")</f>
        <v/>
      </c>
      <c r="K2712" t="inlineStr">
        <is>
          <t>HOLDOUT</t>
        </is>
      </c>
    </row>
    <row r="2713">
      <c r="A2713" t="inlineStr">
        <is>
          <t>Nathalia</t>
        </is>
      </c>
      <c r="B2713" t="inlineStr">
        <is>
          <t>+5511940355998</t>
        </is>
      </c>
      <c r="C2713" t="inlineStr">
        <is>
          <t>Refill</t>
        </is>
      </c>
      <c r="D2713" t="inlineStr">
        <is>
          <t>Primer Cachos</t>
        </is>
      </c>
      <c r="E2713" t="n">
        <v>1</v>
      </c>
      <c r="F2713" t="inlineStr">
        <is>
          <t>2026-02-10</t>
        </is>
      </c>
      <c r="G2713" t="n">
        <v>144</v>
      </c>
      <c r="H2713" t="inlineStr">
        <is>
          <t>Y</t>
        </is>
      </c>
      <c r="I2713">
        <f>HYPERLINK("https://admin.shopify.com/store/ge-beauty-cosmeticos/customers/10151709376832","abrir")</f>
        <v/>
      </c>
      <c r="J2713">
        <f>HYPERLINK("https://www.gebeauty.com.br/products/primer-cachos-definidos?ref=review","review")</f>
        <v/>
      </c>
      <c r="K2713" t="inlineStr">
        <is>
          <t>SEND</t>
        </is>
      </c>
    </row>
    <row r="2714">
      <c r="A2714" t="inlineStr">
        <is>
          <t>Andrea Carla</t>
        </is>
      </c>
      <c r="B2714" t="inlineStr">
        <is>
          <t>+5513997125935</t>
        </is>
      </c>
      <c r="C2714" t="inlineStr">
        <is>
          <t>Refill</t>
        </is>
      </c>
      <c r="D2714" t="inlineStr">
        <is>
          <t>Primer Cachos</t>
        </is>
      </c>
      <c r="E2714" t="n">
        <v>1</v>
      </c>
      <c r="F2714" t="inlineStr">
        <is>
          <t>2026-02-10</t>
        </is>
      </c>
      <c r="G2714" t="n">
        <v>144</v>
      </c>
      <c r="H2714" t="inlineStr">
        <is>
          <t>Y</t>
        </is>
      </c>
      <c r="I2714">
        <f>HYPERLINK("https://admin.shopify.com/store/ge-beauty-cosmeticos/customers/10153780019520","abrir")</f>
        <v/>
      </c>
      <c r="J2714">
        <f>HYPERLINK("https://www.gebeauty.com.br/products/primer-cachos-definidos?ref=review","review")</f>
        <v/>
      </c>
      <c r="K2714" t="inlineStr">
        <is>
          <t>SEND</t>
        </is>
      </c>
    </row>
    <row r="2715">
      <c r="A2715" t="inlineStr">
        <is>
          <t>Maria</t>
        </is>
      </c>
      <c r="B2715" t="inlineStr">
        <is>
          <t>+5521976664686</t>
        </is>
      </c>
      <c r="C2715" t="inlineStr">
        <is>
          <t>Refill</t>
        </is>
      </c>
      <c r="D2715" t="inlineStr">
        <is>
          <t>Primer Cachos</t>
        </is>
      </c>
      <c r="E2715" t="n">
        <v>1</v>
      </c>
      <c r="F2715" t="inlineStr">
        <is>
          <t>2026-02-10</t>
        </is>
      </c>
      <c r="G2715" t="n">
        <v>144</v>
      </c>
      <c r="H2715" t="inlineStr">
        <is>
          <t>Y</t>
        </is>
      </c>
      <c r="I2715">
        <f>HYPERLINK("https://admin.shopify.com/store/ge-beauty-cosmeticos/customers/10039061676352","abrir")</f>
        <v/>
      </c>
      <c r="J2715">
        <f>HYPERLINK("https://www.gebeauty.com.br/products/primer-cachos-definidos?ref=review","review")</f>
        <v/>
      </c>
      <c r="K2715" t="inlineStr">
        <is>
          <t>SEND</t>
        </is>
      </c>
    </row>
    <row r="2716">
      <c r="A2716" t="inlineStr">
        <is>
          <t>Carolina</t>
        </is>
      </c>
      <c r="B2716" t="inlineStr">
        <is>
          <t>+5511995313270</t>
        </is>
      </c>
      <c r="C2716" t="inlineStr">
        <is>
          <t>Refill</t>
        </is>
      </c>
      <c r="D2716" t="inlineStr">
        <is>
          <t>Primer Cachos</t>
        </is>
      </c>
      <c r="E2716" t="n">
        <v>1</v>
      </c>
      <c r="F2716" t="inlineStr">
        <is>
          <t>2026-02-10</t>
        </is>
      </c>
      <c r="G2716" t="n">
        <v>144</v>
      </c>
      <c r="H2716" t="inlineStr">
        <is>
          <t>Y</t>
        </is>
      </c>
      <c r="I2716">
        <f>HYPERLINK("https://admin.shopify.com/store/ge-beauty-cosmeticos/customers/10079132647744","abrir")</f>
        <v/>
      </c>
      <c r="J2716">
        <f>HYPERLINK("https://www.gebeauty.com.br/products/primer-cachos-definidos?ref=review","review")</f>
        <v/>
      </c>
      <c r="K2716" t="inlineStr">
        <is>
          <t>SEND</t>
        </is>
      </c>
    </row>
    <row r="2717">
      <c r="A2717" t="inlineStr">
        <is>
          <t>Kelly</t>
        </is>
      </c>
      <c r="B2717" t="inlineStr">
        <is>
          <t>+5549991943924</t>
        </is>
      </c>
      <c r="C2717" t="inlineStr">
        <is>
          <t>Refill</t>
        </is>
      </c>
      <c r="D2717" t="inlineStr">
        <is>
          <t>Primer Cachos</t>
        </is>
      </c>
      <c r="E2717" t="n">
        <v>1</v>
      </c>
      <c r="F2717" t="inlineStr">
        <is>
          <t>2026-02-10</t>
        </is>
      </c>
      <c r="G2717" t="n">
        <v>144</v>
      </c>
      <c r="H2717" t="inlineStr">
        <is>
          <t>Y</t>
        </is>
      </c>
      <c r="I2717">
        <f>HYPERLINK("https://admin.shopify.com/store/ge-beauty-cosmeticos/customers/10097940529472","abrir")</f>
        <v/>
      </c>
      <c r="J2717">
        <f>HYPERLINK("https://www.gebeauty.com.br/products/primer-cachos-definidos?ref=review","review")</f>
        <v/>
      </c>
      <c r="K2717" t="inlineStr">
        <is>
          <t>SEND</t>
        </is>
      </c>
    </row>
    <row r="2718">
      <c r="A2718" t="inlineStr">
        <is>
          <t>Khyona</t>
        </is>
      </c>
      <c r="B2718" t="inlineStr">
        <is>
          <t>+5547999611780</t>
        </is>
      </c>
      <c r="C2718" t="inlineStr">
        <is>
          <t>Refill</t>
        </is>
      </c>
      <c r="D2718" t="inlineStr">
        <is>
          <t>Primer Cachos</t>
        </is>
      </c>
      <c r="E2718" t="n">
        <v>1</v>
      </c>
      <c r="F2718" t="inlineStr">
        <is>
          <t>2026-02-10</t>
        </is>
      </c>
      <c r="G2718" t="n">
        <v>144</v>
      </c>
      <c r="H2718" t="inlineStr">
        <is>
          <t>Y</t>
        </is>
      </c>
      <c r="I2718">
        <f>HYPERLINK("https://admin.shopify.com/store/ge-beauty-cosmeticos/customers/10129426383168","abrir")</f>
        <v/>
      </c>
      <c r="J2718">
        <f>HYPERLINK("https://www.gebeauty.com.br/products/primer-cachos-definidos?ref=review","review")</f>
        <v/>
      </c>
      <c r="K2718" t="inlineStr">
        <is>
          <t>SEND</t>
        </is>
      </c>
    </row>
    <row r="2719">
      <c r="A2719" t="inlineStr">
        <is>
          <t>Renata</t>
        </is>
      </c>
      <c r="B2719" t="inlineStr">
        <is>
          <t>+5514997126662</t>
        </is>
      </c>
      <c r="C2719" t="inlineStr">
        <is>
          <t>Refill</t>
        </is>
      </c>
      <c r="D2719" t="inlineStr">
        <is>
          <t>Primer Cachos</t>
        </is>
      </c>
      <c r="E2719" t="n">
        <v>1</v>
      </c>
      <c r="F2719" t="inlineStr">
        <is>
          <t>2026-02-10</t>
        </is>
      </c>
      <c r="G2719" t="n">
        <v>144</v>
      </c>
      <c r="H2719" t="inlineStr">
        <is>
          <t>Y</t>
        </is>
      </c>
      <c r="I2719">
        <f>HYPERLINK("https://admin.shopify.com/store/ge-beauty-cosmeticos/customers/10146526101824","abrir")</f>
        <v/>
      </c>
      <c r="J2719">
        <f>HYPERLINK("https://www.gebeauty.com.br/products/primer-cachos-definidos?ref=review","review")</f>
        <v/>
      </c>
      <c r="K2719" t="inlineStr">
        <is>
          <t>SEND</t>
        </is>
      </c>
    </row>
    <row r="2720">
      <c r="A2720" t="inlineStr">
        <is>
          <t>Nathaly</t>
        </is>
      </c>
      <c r="B2720" t="inlineStr">
        <is>
          <t>+5542999380708</t>
        </is>
      </c>
      <c r="C2720" t="inlineStr">
        <is>
          <t>Refill</t>
        </is>
      </c>
      <c r="D2720" t="inlineStr">
        <is>
          <t>Primer Cachos</t>
        </is>
      </c>
      <c r="E2720" t="n">
        <v>1</v>
      </c>
      <c r="F2720" t="inlineStr">
        <is>
          <t>2026-02-10</t>
        </is>
      </c>
      <c r="G2720" t="n">
        <v>144</v>
      </c>
      <c r="H2720" t="inlineStr">
        <is>
          <t>Y</t>
        </is>
      </c>
      <c r="I2720">
        <f>HYPERLINK("https://admin.shopify.com/store/ge-beauty-cosmeticos/customers/10153815933248","abrir")</f>
        <v/>
      </c>
      <c r="J2720">
        <f>HYPERLINK("https://www.gebeauty.com.br/products/primer-cachos-definidos?ref=review","review")</f>
        <v/>
      </c>
      <c r="K2720" t="inlineStr">
        <is>
          <t>HOLDOUT</t>
        </is>
      </c>
    </row>
    <row r="2721">
      <c r="A2721" t="inlineStr">
        <is>
          <t>Giovanna</t>
        </is>
      </c>
      <c r="B2721" t="inlineStr">
        <is>
          <t>+5511972331312</t>
        </is>
      </c>
      <c r="C2721" t="inlineStr">
        <is>
          <t>Refill</t>
        </is>
      </c>
      <c r="D2721" t="inlineStr">
        <is>
          <t>Primer Cachos</t>
        </is>
      </c>
      <c r="E2721" t="n">
        <v>1</v>
      </c>
      <c r="F2721" t="inlineStr">
        <is>
          <t>2026-02-10</t>
        </is>
      </c>
      <c r="G2721" t="n">
        <v>144</v>
      </c>
      <c r="H2721" t="inlineStr">
        <is>
          <t>Y</t>
        </is>
      </c>
      <c r="I2721">
        <f>HYPERLINK("https://admin.shopify.com/store/ge-beauty-cosmeticos/customers/10149559206208","abrir")</f>
        <v/>
      </c>
      <c r="J2721">
        <f>HYPERLINK("https://www.gebeauty.com.br/products/primer-cachos-definidos?ref=review","review")</f>
        <v/>
      </c>
      <c r="K2721" t="inlineStr">
        <is>
          <t>SEND</t>
        </is>
      </c>
    </row>
    <row r="2722">
      <c r="A2722" t="inlineStr">
        <is>
          <t>Tamiris</t>
        </is>
      </c>
      <c r="B2722" t="inlineStr">
        <is>
          <t>+5511997187694</t>
        </is>
      </c>
      <c r="C2722" t="inlineStr">
        <is>
          <t>Refill</t>
        </is>
      </c>
      <c r="D2722" t="inlineStr">
        <is>
          <t>Primer Cachos</t>
        </is>
      </c>
      <c r="E2722" t="n">
        <v>1</v>
      </c>
      <c r="F2722" t="inlineStr">
        <is>
          <t>2026-02-10</t>
        </is>
      </c>
      <c r="G2722" t="n">
        <v>144</v>
      </c>
      <c r="H2722" t="inlineStr">
        <is>
          <t>Y</t>
        </is>
      </c>
      <c r="I2722">
        <f>HYPERLINK("https://admin.shopify.com/store/ge-beauty-cosmeticos/customers/10097767842112","abrir")</f>
        <v/>
      </c>
      <c r="J2722">
        <f>HYPERLINK("https://www.gebeauty.com.br/products/primer-cachos-definidos?ref=review","review")</f>
        <v/>
      </c>
      <c r="K2722" t="inlineStr">
        <is>
          <t>SEND</t>
        </is>
      </c>
    </row>
    <row r="2723">
      <c r="A2723" t="inlineStr">
        <is>
          <t>Alice</t>
        </is>
      </c>
      <c r="B2723" t="inlineStr">
        <is>
          <t>+5551999780161</t>
        </is>
      </c>
      <c r="C2723" t="inlineStr">
        <is>
          <t>Refill</t>
        </is>
      </c>
      <c r="D2723" t="inlineStr">
        <is>
          <t>Primer Cachos</t>
        </is>
      </c>
      <c r="E2723" t="n">
        <v>1</v>
      </c>
      <c r="F2723" t="inlineStr">
        <is>
          <t>2026-02-10</t>
        </is>
      </c>
      <c r="G2723" t="n">
        <v>144</v>
      </c>
      <c r="H2723" t="inlineStr">
        <is>
          <t>Y</t>
        </is>
      </c>
      <c r="I2723">
        <f>HYPERLINK("https://admin.shopify.com/store/ge-beauty-cosmeticos/customers/9486237368640","abrir")</f>
        <v/>
      </c>
      <c r="J2723">
        <f>HYPERLINK("https://www.gebeauty.com.br/products/primer-cachos-definidos?ref=review","review")</f>
        <v/>
      </c>
      <c r="K2723" t="inlineStr">
        <is>
          <t>SEND</t>
        </is>
      </c>
    </row>
    <row r="2724">
      <c r="A2724" t="inlineStr">
        <is>
          <t>Vivian</t>
        </is>
      </c>
      <c r="B2724" t="inlineStr">
        <is>
          <t>+5567981418984</t>
        </is>
      </c>
      <c r="C2724" t="inlineStr">
        <is>
          <t>Refill</t>
        </is>
      </c>
      <c r="D2724" t="inlineStr">
        <is>
          <t>Primer Cachos</t>
        </is>
      </c>
      <c r="E2724" t="n">
        <v>1</v>
      </c>
      <c r="F2724" t="inlineStr">
        <is>
          <t>2026-02-10</t>
        </is>
      </c>
      <c r="G2724" t="n">
        <v>144</v>
      </c>
      <c r="H2724" t="inlineStr">
        <is>
          <t>Y</t>
        </is>
      </c>
      <c r="I2724">
        <f>HYPERLINK("https://admin.shopify.com/store/ge-beauty-cosmeticos/customers/10099868270912","abrir")</f>
        <v/>
      </c>
      <c r="J2724">
        <f>HYPERLINK("https://www.gebeauty.com.br/products/primer-cachos-definidos?ref=review","review")</f>
        <v/>
      </c>
      <c r="K2724" t="inlineStr">
        <is>
          <t>SEND</t>
        </is>
      </c>
    </row>
    <row r="2725">
      <c r="A2725" t="inlineStr">
        <is>
          <t>Simone</t>
        </is>
      </c>
      <c r="B2725" t="inlineStr">
        <is>
          <t>+5571988997697</t>
        </is>
      </c>
      <c r="C2725" t="inlineStr">
        <is>
          <t>Refill</t>
        </is>
      </c>
      <c r="D2725" t="inlineStr">
        <is>
          <t>Primer Cachos</t>
        </is>
      </c>
      <c r="E2725" t="n">
        <v>1</v>
      </c>
      <c r="F2725" t="inlineStr">
        <is>
          <t>2026-02-10</t>
        </is>
      </c>
      <c r="G2725" t="n">
        <v>144</v>
      </c>
      <c r="H2725" t="inlineStr">
        <is>
          <t>Y</t>
        </is>
      </c>
      <c r="I2725">
        <f>HYPERLINK("https://admin.shopify.com/store/ge-beauty-cosmeticos/customers/10153851126080","abrir")</f>
        <v/>
      </c>
      <c r="J2725">
        <f>HYPERLINK("https://www.gebeauty.com.br/products/primer-cachos-definidos?ref=review","review")</f>
        <v/>
      </c>
      <c r="K2725" t="inlineStr">
        <is>
          <t>SEND</t>
        </is>
      </c>
    </row>
    <row r="2726">
      <c r="A2726" t="inlineStr">
        <is>
          <t>Cristiane</t>
        </is>
      </c>
      <c r="B2726" t="inlineStr">
        <is>
          <t>+5516981657185</t>
        </is>
      </c>
      <c r="C2726" t="inlineStr">
        <is>
          <t>Refill</t>
        </is>
      </c>
      <c r="D2726" t="inlineStr">
        <is>
          <t>Primer Cachos</t>
        </is>
      </c>
      <c r="E2726" t="n">
        <v>1</v>
      </c>
      <c r="F2726" t="inlineStr">
        <is>
          <t>2026-02-10</t>
        </is>
      </c>
      <c r="G2726" t="n">
        <v>144</v>
      </c>
      <c r="H2726" t="inlineStr">
        <is>
          <t>Y</t>
        </is>
      </c>
      <c r="I2726">
        <f>HYPERLINK("https://admin.shopify.com/store/ge-beauty-cosmeticos/customers/10153860170048","abrir")</f>
        <v/>
      </c>
      <c r="J2726">
        <f>HYPERLINK("https://www.gebeauty.com.br/products/primer-cachos-definidos?ref=review","review")</f>
        <v/>
      </c>
      <c r="K2726" t="inlineStr">
        <is>
          <t>SEND</t>
        </is>
      </c>
    </row>
    <row r="2727">
      <c r="A2727" t="inlineStr">
        <is>
          <t>Elaine</t>
        </is>
      </c>
      <c r="B2727" t="inlineStr">
        <is>
          <t>+5565999303289</t>
        </is>
      </c>
      <c r="C2727" t="inlineStr">
        <is>
          <t>Refill</t>
        </is>
      </c>
      <c r="D2727" t="inlineStr">
        <is>
          <t>Primer Cachos</t>
        </is>
      </c>
      <c r="E2727" t="n">
        <v>1</v>
      </c>
      <c r="F2727" t="inlineStr">
        <is>
          <t>2026-02-10</t>
        </is>
      </c>
      <c r="G2727" t="n">
        <v>144</v>
      </c>
      <c r="H2727" t="inlineStr">
        <is>
          <t>Y</t>
        </is>
      </c>
      <c r="I2727">
        <f>HYPERLINK("https://admin.shopify.com/store/ge-beauty-cosmeticos/customers/10130633425216","abrir")</f>
        <v/>
      </c>
      <c r="J2727">
        <f>HYPERLINK("https://www.gebeauty.com.br/products/primer-cachos-definidos?ref=review","review")</f>
        <v/>
      </c>
      <c r="K2727" t="inlineStr">
        <is>
          <t>SEND</t>
        </is>
      </c>
    </row>
    <row r="2728">
      <c r="B2728" t="inlineStr">
        <is>
          <t>+5555992690909</t>
        </is>
      </c>
      <c r="C2728" t="inlineStr">
        <is>
          <t>Refill</t>
        </is>
      </c>
      <c r="D2728" t="inlineStr">
        <is>
          <t>Primer Cachos</t>
        </is>
      </c>
      <c r="E2728" t="n">
        <v>1</v>
      </c>
      <c r="F2728" t="inlineStr">
        <is>
          <t>2026-02-10</t>
        </is>
      </c>
      <c r="G2728" t="n">
        <v>144</v>
      </c>
      <c r="H2728" t="inlineStr">
        <is>
          <t>Y</t>
        </is>
      </c>
      <c r="I2728">
        <f>HYPERLINK("https://admin.shopify.com/store/ge-beauty-cosmeticos/customers/10083188703552","abrir")</f>
        <v/>
      </c>
      <c r="J2728">
        <f>HYPERLINK("https://www.gebeauty.com.br/products/primer-cachos-definidos?ref=review","review")</f>
        <v/>
      </c>
      <c r="K2728" t="inlineStr">
        <is>
          <t>SEND</t>
        </is>
      </c>
    </row>
    <row r="2729">
      <c r="A2729" t="inlineStr">
        <is>
          <t>Caroline</t>
        </is>
      </c>
      <c r="B2729" t="inlineStr">
        <is>
          <t>+5599988291819</t>
        </is>
      </c>
      <c r="C2729" t="inlineStr">
        <is>
          <t>Refill</t>
        </is>
      </c>
      <c r="D2729" t="inlineStr">
        <is>
          <t>Primer Cachos</t>
        </is>
      </c>
      <c r="E2729" t="n">
        <v>1</v>
      </c>
      <c r="F2729" t="inlineStr">
        <is>
          <t>2026-02-10</t>
        </is>
      </c>
      <c r="G2729" t="n">
        <v>144</v>
      </c>
      <c r="H2729" t="inlineStr">
        <is>
          <t>Y</t>
        </is>
      </c>
      <c r="I2729">
        <f>HYPERLINK("https://admin.shopify.com/store/ge-beauty-cosmeticos/customers/10150292029760","abrir")</f>
        <v/>
      </c>
      <c r="J2729">
        <f>HYPERLINK("https://www.gebeauty.com.br/products/primer-cachos-definidos?ref=review","review")</f>
        <v/>
      </c>
      <c r="K2729" t="inlineStr">
        <is>
          <t>SEND</t>
        </is>
      </c>
    </row>
    <row r="2730">
      <c r="A2730" t="inlineStr">
        <is>
          <t>Alice</t>
        </is>
      </c>
      <c r="B2730" t="inlineStr">
        <is>
          <t>+5511937654512</t>
        </is>
      </c>
      <c r="C2730" t="inlineStr">
        <is>
          <t>Refill</t>
        </is>
      </c>
      <c r="D2730" t="inlineStr">
        <is>
          <t>Primer Cachos</t>
        </is>
      </c>
      <c r="E2730" t="n">
        <v>1</v>
      </c>
      <c r="F2730" t="inlineStr">
        <is>
          <t>2026-02-10</t>
        </is>
      </c>
      <c r="G2730" t="n">
        <v>144</v>
      </c>
      <c r="H2730" t="inlineStr">
        <is>
          <t>Y</t>
        </is>
      </c>
      <c r="I2730">
        <f>HYPERLINK("https://admin.shopify.com/store/ge-beauty-cosmeticos/customers/7760449798464","abrir")</f>
        <v/>
      </c>
      <c r="J2730">
        <f>HYPERLINK("https://www.gebeauty.com.br/products/primer-cachos-definidos?ref=review","review")</f>
        <v/>
      </c>
      <c r="K2730" t="inlineStr">
        <is>
          <t>SEND</t>
        </is>
      </c>
    </row>
    <row r="2731">
      <c r="A2731" t="inlineStr">
        <is>
          <t>Cecilia</t>
        </is>
      </c>
      <c r="B2731" t="inlineStr">
        <is>
          <t>+5579996000063</t>
        </is>
      </c>
      <c r="C2731" t="inlineStr">
        <is>
          <t>Refill</t>
        </is>
      </c>
      <c r="D2731" t="inlineStr">
        <is>
          <t>Primer Cachos</t>
        </is>
      </c>
      <c r="E2731" t="n">
        <v>1</v>
      </c>
      <c r="F2731" t="inlineStr">
        <is>
          <t>2026-02-10</t>
        </is>
      </c>
      <c r="G2731" t="n">
        <v>144</v>
      </c>
      <c r="H2731" t="inlineStr">
        <is>
          <t>Y</t>
        </is>
      </c>
      <c r="I2731">
        <f>HYPERLINK("https://admin.shopify.com/store/ge-beauty-cosmeticos/customers/10131817431360","abrir")</f>
        <v/>
      </c>
      <c r="J2731">
        <f>HYPERLINK("https://www.gebeauty.com.br/products/primer-cachos-definidos?ref=review","review")</f>
        <v/>
      </c>
      <c r="K2731" t="inlineStr">
        <is>
          <t>SEND</t>
        </is>
      </c>
    </row>
    <row r="2732">
      <c r="A2732" t="inlineStr">
        <is>
          <t>Beatriz</t>
        </is>
      </c>
      <c r="B2732" t="inlineStr">
        <is>
          <t>+5522999853176</t>
        </is>
      </c>
      <c r="C2732" t="inlineStr">
        <is>
          <t>Refill</t>
        </is>
      </c>
      <c r="D2732" t="inlineStr">
        <is>
          <t>Primer Cachos</t>
        </is>
      </c>
      <c r="E2732" t="n">
        <v>1</v>
      </c>
      <c r="F2732" t="inlineStr">
        <is>
          <t>2026-02-10</t>
        </is>
      </c>
      <c r="G2732" t="n">
        <v>144</v>
      </c>
      <c r="H2732" t="inlineStr">
        <is>
          <t>Y</t>
        </is>
      </c>
      <c r="I2732">
        <f>HYPERLINK("https://admin.shopify.com/store/ge-beauty-cosmeticos/customers/9492512276800","abrir")</f>
        <v/>
      </c>
      <c r="J2732">
        <f>HYPERLINK("https://www.gebeauty.com.br/products/primer-cachos-definidos?ref=review","review")</f>
        <v/>
      </c>
      <c r="K2732" t="inlineStr">
        <is>
          <t>SEND</t>
        </is>
      </c>
    </row>
    <row r="2733">
      <c r="A2733" t="inlineStr">
        <is>
          <t>Ananda</t>
        </is>
      </c>
      <c r="B2733" t="inlineStr">
        <is>
          <t>+5555997026583</t>
        </is>
      </c>
      <c r="C2733" t="inlineStr">
        <is>
          <t>Refill</t>
        </is>
      </c>
      <c r="D2733" t="inlineStr">
        <is>
          <t>Primer Cachos</t>
        </is>
      </c>
      <c r="E2733" t="n">
        <v>1</v>
      </c>
      <c r="F2733" t="inlineStr">
        <is>
          <t>2026-02-10</t>
        </is>
      </c>
      <c r="G2733" t="n">
        <v>144</v>
      </c>
      <c r="H2733" t="inlineStr">
        <is>
          <t>Y</t>
        </is>
      </c>
      <c r="I2733">
        <f>HYPERLINK("https://admin.shopify.com/store/ge-beauty-cosmeticos/customers/10096254222656","abrir")</f>
        <v/>
      </c>
      <c r="J2733">
        <f>HYPERLINK("https://www.gebeauty.com.br/products/primer-cachos-definidos?ref=review","review")</f>
        <v/>
      </c>
      <c r="K2733" t="inlineStr">
        <is>
          <t>SEND</t>
        </is>
      </c>
    </row>
    <row r="2734">
      <c r="A2734" t="inlineStr">
        <is>
          <t>Luciana</t>
        </is>
      </c>
      <c r="B2734" t="inlineStr">
        <is>
          <t>+5531986066067</t>
        </is>
      </c>
      <c r="C2734" t="inlineStr">
        <is>
          <t>Refill</t>
        </is>
      </c>
      <c r="D2734" t="inlineStr">
        <is>
          <t>Primer Cachos</t>
        </is>
      </c>
      <c r="E2734" t="n">
        <v>1</v>
      </c>
      <c r="F2734" t="inlineStr">
        <is>
          <t>2026-02-10</t>
        </is>
      </c>
      <c r="G2734" t="n">
        <v>144</v>
      </c>
      <c r="H2734" t="inlineStr">
        <is>
          <t>Y</t>
        </is>
      </c>
      <c r="I2734">
        <f>HYPERLINK("https://admin.shopify.com/store/ge-beauty-cosmeticos/customers/10153899262272","abrir")</f>
        <v/>
      </c>
      <c r="J2734">
        <f>HYPERLINK("https://www.gebeauty.com.br/products/primer-cachos-definidos?ref=review","review")</f>
        <v/>
      </c>
      <c r="K2734" t="inlineStr">
        <is>
          <t>SEND</t>
        </is>
      </c>
    </row>
    <row r="2735">
      <c r="A2735" t="inlineStr">
        <is>
          <t>Suzana</t>
        </is>
      </c>
      <c r="B2735" t="inlineStr">
        <is>
          <t>+5562992952832</t>
        </is>
      </c>
      <c r="C2735" t="inlineStr">
        <is>
          <t>Refill</t>
        </is>
      </c>
      <c r="D2735" t="inlineStr">
        <is>
          <t>Primer Cachos</t>
        </is>
      </c>
      <c r="E2735" t="n">
        <v>1</v>
      </c>
      <c r="F2735" t="inlineStr">
        <is>
          <t>2026-02-10</t>
        </is>
      </c>
      <c r="G2735" t="n">
        <v>144</v>
      </c>
      <c r="H2735" t="inlineStr">
        <is>
          <t>Y</t>
        </is>
      </c>
      <c r="I2735">
        <f>HYPERLINK("https://admin.shopify.com/store/ge-beauty-cosmeticos/customers/10130646303040","abrir")</f>
        <v/>
      </c>
      <c r="J2735">
        <f>HYPERLINK("https://www.gebeauty.com.br/products/primer-cachos-definidos?ref=review","review")</f>
        <v/>
      </c>
      <c r="K2735" t="inlineStr">
        <is>
          <t>SEND</t>
        </is>
      </c>
    </row>
    <row r="2736">
      <c r="A2736" t="inlineStr">
        <is>
          <t>Isis</t>
        </is>
      </c>
      <c r="B2736" t="inlineStr">
        <is>
          <t>+5531996443016</t>
        </is>
      </c>
      <c r="C2736" t="inlineStr">
        <is>
          <t>Refill</t>
        </is>
      </c>
      <c r="D2736" t="inlineStr">
        <is>
          <t>Primer Cachos</t>
        </is>
      </c>
      <c r="E2736" t="n">
        <v>1</v>
      </c>
      <c r="F2736" t="inlineStr">
        <is>
          <t>2026-02-10</t>
        </is>
      </c>
      <c r="G2736" t="n">
        <v>144</v>
      </c>
      <c r="H2736" t="inlineStr">
        <is>
          <t>Y</t>
        </is>
      </c>
      <c r="I2736">
        <f>HYPERLINK("https://admin.shopify.com/store/ge-beauty-cosmeticos/customers/10153170469184","abrir")</f>
        <v/>
      </c>
      <c r="J2736">
        <f>HYPERLINK("https://www.gebeauty.com.br/products/primer-cachos-definidos?ref=review","review")</f>
        <v/>
      </c>
      <c r="K2736" t="inlineStr">
        <is>
          <t>SEND</t>
        </is>
      </c>
    </row>
    <row r="2737">
      <c r="A2737" t="inlineStr">
        <is>
          <t>Alessandra</t>
        </is>
      </c>
      <c r="B2737" t="inlineStr">
        <is>
          <t>+5513988367655</t>
        </is>
      </c>
      <c r="C2737" t="inlineStr">
        <is>
          <t>Refill</t>
        </is>
      </c>
      <c r="D2737" t="inlineStr">
        <is>
          <t>Primer Cachos</t>
        </is>
      </c>
      <c r="E2737" t="n">
        <v>1</v>
      </c>
      <c r="F2737" t="inlineStr">
        <is>
          <t>2026-02-10</t>
        </is>
      </c>
      <c r="G2737" t="n">
        <v>144</v>
      </c>
      <c r="H2737" t="inlineStr">
        <is>
          <t>Y</t>
        </is>
      </c>
      <c r="I2737">
        <f>HYPERLINK("https://admin.shopify.com/store/ge-beauty-cosmeticos/customers/10153971417408","abrir")</f>
        <v/>
      </c>
      <c r="J2737">
        <f>HYPERLINK("https://www.gebeauty.com.br/products/primer-cachos-definidos?ref=review","review")</f>
        <v/>
      </c>
      <c r="K2737" t="inlineStr">
        <is>
          <t>SEND</t>
        </is>
      </c>
    </row>
    <row r="2738">
      <c r="A2738" t="inlineStr">
        <is>
          <t>Mariana</t>
        </is>
      </c>
      <c r="B2738" t="inlineStr">
        <is>
          <t>+5571992997288</t>
        </is>
      </c>
      <c r="C2738" t="inlineStr">
        <is>
          <t>Refill</t>
        </is>
      </c>
      <c r="D2738" t="inlineStr">
        <is>
          <t>Primer Cachos</t>
        </is>
      </c>
      <c r="E2738" t="n">
        <v>1</v>
      </c>
      <c r="F2738" t="inlineStr">
        <is>
          <t>2026-02-10</t>
        </is>
      </c>
      <c r="G2738" t="n">
        <v>144</v>
      </c>
      <c r="H2738" t="inlineStr">
        <is>
          <t>Y</t>
        </is>
      </c>
      <c r="I2738">
        <f>HYPERLINK("https://admin.shopify.com/store/ge-beauty-cosmeticos/customers/10098125373760","abrir")</f>
        <v/>
      </c>
      <c r="J2738">
        <f>HYPERLINK("https://www.gebeauty.com.br/products/primer-cachos-definidos?ref=review","review")</f>
        <v/>
      </c>
      <c r="K2738" t="inlineStr">
        <is>
          <t>SEND</t>
        </is>
      </c>
    </row>
    <row r="2739">
      <c r="A2739" t="inlineStr">
        <is>
          <t>Amanda</t>
        </is>
      </c>
      <c r="B2739" t="inlineStr">
        <is>
          <t>+5531996693813</t>
        </is>
      </c>
      <c r="C2739" t="inlineStr">
        <is>
          <t>Refill</t>
        </is>
      </c>
      <c r="D2739" t="inlineStr">
        <is>
          <t>Primer Cachos</t>
        </is>
      </c>
      <c r="E2739" t="n">
        <v>1</v>
      </c>
      <c r="F2739" t="inlineStr">
        <is>
          <t>2026-02-10</t>
        </is>
      </c>
      <c r="G2739" t="n">
        <v>144</v>
      </c>
      <c r="H2739" t="inlineStr">
        <is>
          <t>Y</t>
        </is>
      </c>
      <c r="I2739">
        <f>HYPERLINK("https://admin.shopify.com/store/ge-beauty-cosmeticos/customers/10130569625920","abrir")</f>
        <v/>
      </c>
      <c r="J2739">
        <f>HYPERLINK("https://www.gebeauty.com.br/products/primer-cachos-definidos?ref=review","review")</f>
        <v/>
      </c>
      <c r="K2739" t="inlineStr">
        <is>
          <t>SEND</t>
        </is>
      </c>
    </row>
    <row r="2740">
      <c r="A2740" t="inlineStr">
        <is>
          <t>Bruna Karoline</t>
        </is>
      </c>
      <c r="B2740" t="inlineStr">
        <is>
          <t>+5541997785051</t>
        </is>
      </c>
      <c r="C2740" t="inlineStr">
        <is>
          <t>Refill</t>
        </is>
      </c>
      <c r="D2740" t="inlineStr">
        <is>
          <t>Primer Cachos</t>
        </is>
      </c>
      <c r="E2740" t="n">
        <v>1</v>
      </c>
      <c r="F2740" t="inlineStr">
        <is>
          <t>2026-02-10</t>
        </is>
      </c>
      <c r="G2740" t="n">
        <v>144</v>
      </c>
      <c r="H2740" t="inlineStr">
        <is>
          <t>Y</t>
        </is>
      </c>
      <c r="I2740">
        <f>HYPERLINK("https://admin.shopify.com/store/ge-beauty-cosmeticos/customers/10153846145344","abrir")</f>
        <v/>
      </c>
      <c r="J2740">
        <f>HYPERLINK("https://www.gebeauty.com.br/products/primer-cachos-definidos?ref=review","review")</f>
        <v/>
      </c>
      <c r="K2740" t="inlineStr">
        <is>
          <t>SEND</t>
        </is>
      </c>
    </row>
    <row r="2741">
      <c r="A2741" t="inlineStr">
        <is>
          <t>Daniele</t>
        </is>
      </c>
      <c r="B2741" t="inlineStr">
        <is>
          <t>+5511954640262</t>
        </is>
      </c>
      <c r="C2741" t="inlineStr">
        <is>
          <t>Refill</t>
        </is>
      </c>
      <c r="D2741" t="inlineStr">
        <is>
          <t>Primer Cachos</t>
        </is>
      </c>
      <c r="E2741" t="n">
        <v>1</v>
      </c>
      <c r="F2741" t="inlineStr">
        <is>
          <t>2026-02-10</t>
        </is>
      </c>
      <c r="G2741" t="n">
        <v>144</v>
      </c>
      <c r="H2741" t="inlineStr">
        <is>
          <t>Y</t>
        </is>
      </c>
      <c r="I2741">
        <f>HYPERLINK("https://admin.shopify.com/store/ge-beauty-cosmeticos/customers/9486384267584","abrir")</f>
        <v/>
      </c>
      <c r="J2741">
        <f>HYPERLINK("https://www.gebeauty.com.br/products/primer-cachos-definidos?ref=review","review")</f>
        <v/>
      </c>
      <c r="K2741" t="inlineStr">
        <is>
          <t>SEND</t>
        </is>
      </c>
    </row>
    <row r="2742">
      <c r="A2742" t="inlineStr">
        <is>
          <t>Lilian</t>
        </is>
      </c>
      <c r="B2742" t="inlineStr">
        <is>
          <t>+5521996499968</t>
        </is>
      </c>
      <c r="C2742" t="inlineStr">
        <is>
          <t>Refill</t>
        </is>
      </c>
      <c r="D2742" t="inlineStr">
        <is>
          <t>Primer Cachos</t>
        </is>
      </c>
      <c r="E2742" t="n">
        <v>1</v>
      </c>
      <c r="F2742" t="inlineStr">
        <is>
          <t>2026-02-11</t>
        </is>
      </c>
      <c r="G2742" t="n">
        <v>143</v>
      </c>
      <c r="H2742" t="inlineStr">
        <is>
          <t>Y</t>
        </is>
      </c>
      <c r="I2742">
        <f>HYPERLINK("https://admin.shopify.com/store/ge-beauty-cosmeticos/customers/10154040721728","abrir")</f>
        <v/>
      </c>
      <c r="J2742">
        <f>HYPERLINK("https://www.gebeauty.com.br/products/primer-cachos-definidos?ref=review","review")</f>
        <v/>
      </c>
      <c r="K2742" t="inlineStr">
        <is>
          <t>SEND</t>
        </is>
      </c>
    </row>
    <row r="2743">
      <c r="A2743" t="inlineStr">
        <is>
          <t>Nádia</t>
        </is>
      </c>
      <c r="B2743" t="inlineStr">
        <is>
          <t>+5545999863388</t>
        </is>
      </c>
      <c r="C2743" t="inlineStr">
        <is>
          <t>Refill</t>
        </is>
      </c>
      <c r="D2743" t="inlineStr">
        <is>
          <t>Primer Cachos</t>
        </is>
      </c>
      <c r="E2743" t="n">
        <v>1</v>
      </c>
      <c r="F2743" t="inlineStr">
        <is>
          <t>2026-02-11</t>
        </is>
      </c>
      <c r="G2743" t="n">
        <v>143</v>
      </c>
      <c r="H2743" t="inlineStr">
        <is>
          <t>Y</t>
        </is>
      </c>
      <c r="I2743">
        <f>HYPERLINK("https://admin.shopify.com/store/ge-beauty-cosmeticos/customers/10075821670720","abrir")</f>
        <v/>
      </c>
      <c r="J2743">
        <f>HYPERLINK("https://www.gebeauty.com.br/products/primer-cachos-definidos?ref=review","review")</f>
        <v/>
      </c>
      <c r="K2743" t="inlineStr">
        <is>
          <t>SEND</t>
        </is>
      </c>
    </row>
    <row r="2744">
      <c r="A2744" t="inlineStr">
        <is>
          <t>Juliana</t>
        </is>
      </c>
      <c r="B2744" t="inlineStr">
        <is>
          <t>+5521998145465</t>
        </is>
      </c>
      <c r="C2744" t="inlineStr">
        <is>
          <t>Refill</t>
        </is>
      </c>
      <c r="D2744" t="inlineStr">
        <is>
          <t>Primer Cachos</t>
        </is>
      </c>
      <c r="E2744" t="n">
        <v>1</v>
      </c>
      <c r="F2744" t="inlineStr">
        <is>
          <t>2026-02-11</t>
        </is>
      </c>
      <c r="G2744" t="n">
        <v>143</v>
      </c>
      <c r="H2744" t="inlineStr">
        <is>
          <t>Y</t>
        </is>
      </c>
      <c r="I2744">
        <f>HYPERLINK("https://admin.shopify.com/store/ge-beauty-cosmeticos/customers/9646721302848","abrir")</f>
        <v/>
      </c>
      <c r="J2744">
        <f>HYPERLINK("https://www.gebeauty.com.br/products/primer-cachos-definidos?ref=review","review")</f>
        <v/>
      </c>
      <c r="K2744" t="inlineStr">
        <is>
          <t>SEND</t>
        </is>
      </c>
    </row>
    <row r="2745">
      <c r="A2745" t="inlineStr">
        <is>
          <t>Gabriela</t>
        </is>
      </c>
      <c r="B2745" t="inlineStr">
        <is>
          <t>+5519991653988</t>
        </is>
      </c>
      <c r="C2745" t="inlineStr">
        <is>
          <t>Refill</t>
        </is>
      </c>
      <c r="D2745" t="inlineStr">
        <is>
          <t>Primer Cachos</t>
        </is>
      </c>
      <c r="E2745" t="n">
        <v>1</v>
      </c>
      <c r="F2745" t="inlineStr">
        <is>
          <t>2026-02-11</t>
        </is>
      </c>
      <c r="G2745" t="n">
        <v>143</v>
      </c>
      <c r="H2745" t="inlineStr">
        <is>
          <t>Y</t>
        </is>
      </c>
      <c r="I2745">
        <f>HYPERLINK("https://admin.shopify.com/store/ge-beauty-cosmeticos/customers/10084414849344","abrir")</f>
        <v/>
      </c>
      <c r="J2745">
        <f>HYPERLINK("https://www.gebeauty.com.br/products/primer-cachos-definidos?ref=review","review")</f>
        <v/>
      </c>
      <c r="K2745" t="inlineStr">
        <is>
          <t>SEND</t>
        </is>
      </c>
    </row>
    <row r="2746">
      <c r="A2746" t="inlineStr">
        <is>
          <t>Bruna</t>
        </is>
      </c>
      <c r="B2746" t="inlineStr">
        <is>
          <t>+5511986760512</t>
        </is>
      </c>
      <c r="C2746" t="inlineStr">
        <is>
          <t>Refill</t>
        </is>
      </c>
      <c r="D2746" t="inlineStr">
        <is>
          <t>Primer Cachos</t>
        </is>
      </c>
      <c r="E2746" t="n">
        <v>1</v>
      </c>
      <c r="F2746" t="inlineStr">
        <is>
          <t>2026-02-11</t>
        </is>
      </c>
      <c r="G2746" t="n">
        <v>143</v>
      </c>
      <c r="H2746" t="inlineStr">
        <is>
          <t>Y</t>
        </is>
      </c>
      <c r="I2746">
        <f>HYPERLINK("https://admin.shopify.com/store/ge-beauty-cosmeticos/customers/10146679914816","abrir")</f>
        <v/>
      </c>
      <c r="J2746">
        <f>HYPERLINK("https://www.gebeauty.com.br/products/primer-cachos-definidos?ref=review","review")</f>
        <v/>
      </c>
      <c r="K2746" t="inlineStr">
        <is>
          <t>SEND</t>
        </is>
      </c>
    </row>
    <row r="2747">
      <c r="A2747" t="inlineStr">
        <is>
          <t>Aline</t>
        </is>
      </c>
      <c r="B2747" t="inlineStr">
        <is>
          <t>+5511951506943</t>
        </is>
      </c>
      <c r="C2747" t="inlineStr">
        <is>
          <t>Refill</t>
        </is>
      </c>
      <c r="D2747" t="inlineStr">
        <is>
          <t>Primer Cachos</t>
        </is>
      </c>
      <c r="E2747" t="n">
        <v>1</v>
      </c>
      <c r="F2747" t="inlineStr">
        <is>
          <t>2026-02-11</t>
        </is>
      </c>
      <c r="G2747" t="n">
        <v>143</v>
      </c>
      <c r="H2747" t="inlineStr">
        <is>
          <t>Y</t>
        </is>
      </c>
      <c r="I2747">
        <f>HYPERLINK("https://admin.shopify.com/store/ge-beauty-cosmeticos/customers/10154158293312","abrir")</f>
        <v/>
      </c>
      <c r="J2747">
        <f>HYPERLINK("https://www.gebeauty.com.br/products/primer-cachos-definidos?ref=review","review")</f>
        <v/>
      </c>
      <c r="K2747" t="inlineStr">
        <is>
          <t>SEND</t>
        </is>
      </c>
    </row>
    <row r="2748">
      <c r="A2748" t="inlineStr">
        <is>
          <t>Debora</t>
        </is>
      </c>
      <c r="B2748" t="inlineStr">
        <is>
          <t>+5511991568956</t>
        </is>
      </c>
      <c r="C2748" t="inlineStr">
        <is>
          <t>Refill</t>
        </is>
      </c>
      <c r="D2748" t="inlineStr">
        <is>
          <t>Primer Cachos</t>
        </is>
      </c>
      <c r="E2748" t="n">
        <v>1</v>
      </c>
      <c r="F2748" t="inlineStr">
        <is>
          <t>2026-02-11</t>
        </is>
      </c>
      <c r="G2748" t="n">
        <v>143</v>
      </c>
      <c r="H2748" t="inlineStr">
        <is>
          <t>Y</t>
        </is>
      </c>
      <c r="I2748">
        <f>HYPERLINK("https://admin.shopify.com/store/ge-beauty-cosmeticos/customers/10097974018368","abrir")</f>
        <v/>
      </c>
      <c r="J2748">
        <f>HYPERLINK("https://www.gebeauty.com.br/products/primer-cachos-definidos?ref=review","review")</f>
        <v/>
      </c>
      <c r="K2748" t="inlineStr">
        <is>
          <t>SEND</t>
        </is>
      </c>
    </row>
    <row r="2749">
      <c r="A2749" t="inlineStr">
        <is>
          <t>Kênia</t>
        </is>
      </c>
      <c r="B2749" t="inlineStr">
        <is>
          <t>+5561984032777</t>
        </is>
      </c>
      <c r="C2749" t="inlineStr">
        <is>
          <t>Refill</t>
        </is>
      </c>
      <c r="D2749" t="inlineStr">
        <is>
          <t>Primer Cachos</t>
        </is>
      </c>
      <c r="E2749" t="n">
        <v>1</v>
      </c>
      <c r="F2749" t="inlineStr">
        <is>
          <t>2026-02-11</t>
        </is>
      </c>
      <c r="G2749" t="n">
        <v>143</v>
      </c>
      <c r="H2749" t="inlineStr">
        <is>
          <t>Y</t>
        </is>
      </c>
      <c r="I2749">
        <f>HYPERLINK("https://admin.shopify.com/store/ge-beauty-cosmeticos/customers/10154199286080","abrir")</f>
        <v/>
      </c>
      <c r="J2749">
        <f>HYPERLINK("https://www.gebeauty.com.br/products/primer-cachos-definidos?ref=review","review")</f>
        <v/>
      </c>
      <c r="K2749" t="inlineStr">
        <is>
          <t>SEND</t>
        </is>
      </c>
    </row>
    <row r="2750">
      <c r="A2750" t="inlineStr">
        <is>
          <t>Tatiana</t>
        </is>
      </c>
      <c r="B2750" t="inlineStr">
        <is>
          <t>+5511985397002</t>
        </is>
      </c>
      <c r="C2750" t="inlineStr">
        <is>
          <t>Refill</t>
        </is>
      </c>
      <c r="D2750" t="inlineStr">
        <is>
          <t>Primer Cachos</t>
        </is>
      </c>
      <c r="E2750" t="n">
        <v>1</v>
      </c>
      <c r="F2750" t="inlineStr">
        <is>
          <t>2026-02-11</t>
        </is>
      </c>
      <c r="G2750" t="n">
        <v>143</v>
      </c>
      <c r="H2750" t="inlineStr">
        <is>
          <t>Y</t>
        </is>
      </c>
      <c r="I2750">
        <f>HYPERLINK("https://admin.shopify.com/store/ge-beauty-cosmeticos/customers/10149766496576","abrir")</f>
        <v/>
      </c>
      <c r="J2750">
        <f>HYPERLINK("https://www.gebeauty.com.br/products/primer-cachos-definidos?ref=review","review")</f>
        <v/>
      </c>
      <c r="K2750" t="inlineStr">
        <is>
          <t>SEND</t>
        </is>
      </c>
    </row>
    <row r="2751">
      <c r="A2751" t="inlineStr">
        <is>
          <t>Solange</t>
        </is>
      </c>
      <c r="B2751" t="inlineStr">
        <is>
          <t>+5511999613456</t>
        </is>
      </c>
      <c r="C2751" t="inlineStr">
        <is>
          <t>Refill</t>
        </is>
      </c>
      <c r="D2751" t="inlineStr">
        <is>
          <t>Primer Cachos</t>
        </is>
      </c>
      <c r="E2751" t="n">
        <v>1</v>
      </c>
      <c r="F2751" t="inlineStr">
        <is>
          <t>2026-02-11</t>
        </is>
      </c>
      <c r="G2751" t="n">
        <v>143</v>
      </c>
      <c r="H2751" t="inlineStr">
        <is>
          <t>Y</t>
        </is>
      </c>
      <c r="I2751">
        <f>HYPERLINK("https://admin.shopify.com/store/ge-beauty-cosmeticos/customers/10154433478976","abrir")</f>
        <v/>
      </c>
      <c r="J2751">
        <f>HYPERLINK("https://www.gebeauty.com.br/products/primer-cachos-definidos?ref=review","review")</f>
        <v/>
      </c>
      <c r="K2751" t="inlineStr">
        <is>
          <t>SEND</t>
        </is>
      </c>
    </row>
    <row r="2752">
      <c r="A2752" t="inlineStr">
        <is>
          <t>Manoela</t>
        </is>
      </c>
      <c r="B2752" t="inlineStr">
        <is>
          <t>+5511959899829</t>
        </is>
      </c>
      <c r="C2752" t="inlineStr">
        <is>
          <t>Refill</t>
        </is>
      </c>
      <c r="D2752" t="inlineStr">
        <is>
          <t>Primer Cachos</t>
        </is>
      </c>
      <c r="E2752" t="n">
        <v>1</v>
      </c>
      <c r="F2752" t="inlineStr">
        <is>
          <t>2026-02-11</t>
        </is>
      </c>
      <c r="G2752" t="n">
        <v>143</v>
      </c>
      <c r="H2752" t="inlineStr">
        <is>
          <t>Y</t>
        </is>
      </c>
      <c r="I2752">
        <f>HYPERLINK("https://admin.shopify.com/store/ge-beauty-cosmeticos/customers/10154769252672","abrir")</f>
        <v/>
      </c>
      <c r="J2752">
        <f>HYPERLINK("https://www.gebeauty.com.br/products/primer-cachos-definidos?ref=review","review")</f>
        <v/>
      </c>
      <c r="K2752" t="inlineStr">
        <is>
          <t>SEND</t>
        </is>
      </c>
    </row>
    <row r="2753">
      <c r="A2753" t="inlineStr">
        <is>
          <t>Patricia</t>
        </is>
      </c>
      <c r="B2753" t="inlineStr">
        <is>
          <t>+5524992310124</t>
        </is>
      </c>
      <c r="C2753" t="inlineStr">
        <is>
          <t>Refill</t>
        </is>
      </c>
      <c r="D2753" t="inlineStr">
        <is>
          <t>Primer Cachos</t>
        </is>
      </c>
      <c r="E2753" t="n">
        <v>1</v>
      </c>
      <c r="F2753" t="inlineStr">
        <is>
          <t>2026-02-11</t>
        </is>
      </c>
      <c r="G2753" t="n">
        <v>143</v>
      </c>
      <c r="H2753" t="inlineStr">
        <is>
          <t>Y</t>
        </is>
      </c>
      <c r="I2753">
        <f>HYPERLINK("https://admin.shopify.com/store/ge-beauty-cosmeticos/customers/10154870735168","abrir")</f>
        <v/>
      </c>
      <c r="J2753">
        <f>HYPERLINK("https://www.gebeauty.com.br/products/primer-cachos-definidos?ref=review","review")</f>
        <v/>
      </c>
      <c r="K2753" t="inlineStr">
        <is>
          <t>SEND</t>
        </is>
      </c>
    </row>
    <row r="2754">
      <c r="A2754" t="inlineStr">
        <is>
          <t>Lauren</t>
        </is>
      </c>
      <c r="B2754" t="inlineStr">
        <is>
          <t>+5518981644848</t>
        </is>
      </c>
      <c r="C2754" t="inlineStr">
        <is>
          <t>Refill</t>
        </is>
      </c>
      <c r="D2754" t="inlineStr">
        <is>
          <t>Primer Cachos</t>
        </is>
      </c>
      <c r="E2754" t="n">
        <v>1</v>
      </c>
      <c r="F2754" t="inlineStr">
        <is>
          <t>2026-02-11</t>
        </is>
      </c>
      <c r="G2754" t="n">
        <v>143</v>
      </c>
      <c r="H2754" t="inlineStr">
        <is>
          <t>Y</t>
        </is>
      </c>
      <c r="I2754">
        <f>HYPERLINK("https://admin.shopify.com/store/ge-beauty-cosmeticos/customers/10148784734528","abrir")</f>
        <v/>
      </c>
      <c r="J2754">
        <f>HYPERLINK("https://www.gebeauty.com.br/products/primer-cachos-definidos?ref=review","review")</f>
        <v/>
      </c>
      <c r="K2754" t="inlineStr">
        <is>
          <t>SEND</t>
        </is>
      </c>
    </row>
    <row r="2755">
      <c r="A2755" t="inlineStr">
        <is>
          <t>Jessica</t>
        </is>
      </c>
      <c r="B2755" t="inlineStr">
        <is>
          <t>+5547988247158</t>
        </is>
      </c>
      <c r="C2755" t="inlineStr">
        <is>
          <t>Refill</t>
        </is>
      </c>
      <c r="D2755" t="inlineStr">
        <is>
          <t>Primer Cachos</t>
        </is>
      </c>
      <c r="E2755" t="n">
        <v>1</v>
      </c>
      <c r="F2755" t="inlineStr">
        <is>
          <t>2026-02-11</t>
        </is>
      </c>
      <c r="G2755" t="n">
        <v>143</v>
      </c>
      <c r="H2755" t="inlineStr">
        <is>
          <t>Y</t>
        </is>
      </c>
      <c r="I2755">
        <f>HYPERLINK("https://admin.shopify.com/store/ge-beauty-cosmeticos/customers/10149219762496","abrir")</f>
        <v/>
      </c>
      <c r="J2755">
        <f>HYPERLINK("https://www.gebeauty.com.br/products/primer-cachos-definidos?ref=review","review")</f>
        <v/>
      </c>
      <c r="K2755" t="inlineStr">
        <is>
          <t>SEND</t>
        </is>
      </c>
    </row>
    <row r="2756">
      <c r="A2756" t="inlineStr">
        <is>
          <t>Daniela</t>
        </is>
      </c>
      <c r="B2756" t="inlineStr">
        <is>
          <t>+5571982016066</t>
        </is>
      </c>
      <c r="C2756" t="inlineStr">
        <is>
          <t>Refill</t>
        </is>
      </c>
      <c r="D2756" t="inlineStr">
        <is>
          <t>Primer Cachos</t>
        </is>
      </c>
      <c r="E2756" t="n">
        <v>1</v>
      </c>
      <c r="F2756" t="inlineStr">
        <is>
          <t>2026-02-11</t>
        </is>
      </c>
      <c r="G2756" t="n">
        <v>143</v>
      </c>
      <c r="H2756" t="inlineStr">
        <is>
          <t>Y</t>
        </is>
      </c>
      <c r="I2756">
        <f>HYPERLINK("https://admin.shopify.com/store/ge-beauty-cosmeticos/customers/10148411572544","abrir")</f>
        <v/>
      </c>
      <c r="J2756">
        <f>HYPERLINK("https://www.gebeauty.com.br/products/primer-cachos-definidos?ref=review","review")</f>
        <v/>
      </c>
      <c r="K2756" t="inlineStr">
        <is>
          <t>SEND</t>
        </is>
      </c>
    </row>
    <row r="2757">
      <c r="A2757" t="inlineStr">
        <is>
          <t>Lívia Vitória</t>
        </is>
      </c>
      <c r="B2757" t="inlineStr">
        <is>
          <t>+5511982351326</t>
        </is>
      </c>
      <c r="C2757" t="inlineStr">
        <is>
          <t>Refill</t>
        </is>
      </c>
      <c r="D2757" t="inlineStr">
        <is>
          <t>Primer Cachos</t>
        </is>
      </c>
      <c r="E2757" t="n">
        <v>1</v>
      </c>
      <c r="F2757" t="inlineStr">
        <is>
          <t>2026-02-11</t>
        </is>
      </c>
      <c r="G2757" t="n">
        <v>143</v>
      </c>
      <c r="H2757" t="inlineStr">
        <is>
          <t>Y</t>
        </is>
      </c>
      <c r="I2757">
        <f>HYPERLINK("https://admin.shopify.com/store/ge-beauty-cosmeticos/customers/10154912186688","abrir")</f>
        <v/>
      </c>
      <c r="J2757">
        <f>HYPERLINK("https://www.gebeauty.com.br/products/primer-cachos-definidos?ref=review","review")</f>
        <v/>
      </c>
      <c r="K2757" t="inlineStr">
        <is>
          <t>SEND</t>
        </is>
      </c>
    </row>
    <row r="2758">
      <c r="A2758" t="inlineStr">
        <is>
          <t>Carla</t>
        </is>
      </c>
      <c r="B2758" t="inlineStr">
        <is>
          <t>+5549998250800</t>
        </is>
      </c>
      <c r="C2758" t="inlineStr">
        <is>
          <t>Refill</t>
        </is>
      </c>
      <c r="D2758" t="inlineStr">
        <is>
          <t>Primer Cachos</t>
        </is>
      </c>
      <c r="E2758" t="n">
        <v>1</v>
      </c>
      <c r="F2758" t="inlineStr">
        <is>
          <t>2026-02-11</t>
        </is>
      </c>
      <c r="G2758" t="n">
        <v>143</v>
      </c>
      <c r="H2758" t="inlineStr">
        <is>
          <t>Y</t>
        </is>
      </c>
      <c r="I2758">
        <f>HYPERLINK("https://admin.shopify.com/store/ge-beauty-cosmeticos/customers/9486314340672","abrir")</f>
        <v/>
      </c>
      <c r="J2758">
        <f>HYPERLINK("https://www.gebeauty.com.br/products/primer-cachos-definidos?ref=review","review")</f>
        <v/>
      </c>
      <c r="K2758" t="inlineStr">
        <is>
          <t>SEND</t>
        </is>
      </c>
    </row>
    <row r="2759">
      <c r="A2759" t="inlineStr">
        <is>
          <t>Betina</t>
        </is>
      </c>
      <c r="B2759" t="inlineStr">
        <is>
          <t>+5555996747676</t>
        </is>
      </c>
      <c r="C2759" t="inlineStr">
        <is>
          <t>Refill</t>
        </is>
      </c>
      <c r="D2759" t="inlineStr">
        <is>
          <t>Primer Cachos</t>
        </is>
      </c>
      <c r="E2759" t="n">
        <v>1</v>
      </c>
      <c r="F2759" t="inlineStr">
        <is>
          <t>2026-02-11</t>
        </is>
      </c>
      <c r="G2759" t="n">
        <v>143</v>
      </c>
      <c r="H2759" t="inlineStr">
        <is>
          <t>Y</t>
        </is>
      </c>
      <c r="I2759">
        <f>HYPERLINK("https://admin.shopify.com/store/ge-beauty-cosmeticos/customers/10154146038080","abrir")</f>
        <v/>
      </c>
      <c r="J2759">
        <f>HYPERLINK("https://www.gebeauty.com.br/products/primer-cachos-definidos?ref=review","review")</f>
        <v/>
      </c>
      <c r="K2759" t="inlineStr">
        <is>
          <t>SEND</t>
        </is>
      </c>
    </row>
    <row r="2760">
      <c r="A2760" t="inlineStr">
        <is>
          <t>Maria</t>
        </is>
      </c>
      <c r="B2760" t="inlineStr">
        <is>
          <t>+5521995384042</t>
        </is>
      </c>
      <c r="C2760" t="inlineStr">
        <is>
          <t>Refill</t>
        </is>
      </c>
      <c r="D2760" t="inlineStr">
        <is>
          <t>Primer Cachos</t>
        </is>
      </c>
      <c r="E2760" t="n">
        <v>1</v>
      </c>
      <c r="F2760" t="inlineStr">
        <is>
          <t>2026-02-11</t>
        </is>
      </c>
      <c r="G2760" t="n">
        <v>143</v>
      </c>
      <c r="H2760" t="inlineStr">
        <is>
          <t>Y</t>
        </is>
      </c>
      <c r="I2760">
        <f>HYPERLINK("https://admin.shopify.com/store/ge-beauty-cosmeticos/customers/10153076326720","abrir")</f>
        <v/>
      </c>
      <c r="J2760">
        <f>HYPERLINK("https://www.gebeauty.com.br/products/primer-cachos-definidos?ref=review","review")</f>
        <v/>
      </c>
      <c r="K2760" t="inlineStr">
        <is>
          <t>SEND</t>
        </is>
      </c>
    </row>
    <row r="2761">
      <c r="A2761" t="inlineStr">
        <is>
          <t>Anna</t>
        </is>
      </c>
      <c r="B2761" t="inlineStr">
        <is>
          <t>+5562981080978</t>
        </is>
      </c>
      <c r="C2761" t="inlineStr">
        <is>
          <t>Refill</t>
        </is>
      </c>
      <c r="D2761" t="inlineStr">
        <is>
          <t>Primer Cachos</t>
        </is>
      </c>
      <c r="E2761" t="n">
        <v>1</v>
      </c>
      <c r="F2761" t="inlineStr">
        <is>
          <t>2026-02-11</t>
        </is>
      </c>
      <c r="G2761" t="n">
        <v>143</v>
      </c>
      <c r="H2761" t="inlineStr">
        <is>
          <t>Y</t>
        </is>
      </c>
      <c r="I2761">
        <f>HYPERLINK("https://admin.shopify.com/store/ge-beauty-cosmeticos/customers/9485898416448","abrir")</f>
        <v/>
      </c>
      <c r="J2761">
        <f>HYPERLINK("https://www.gebeauty.com.br/products/primer-cachos-definidos?ref=review","review")</f>
        <v/>
      </c>
      <c r="K2761" t="inlineStr">
        <is>
          <t>SEND</t>
        </is>
      </c>
    </row>
    <row r="2762">
      <c r="A2762" t="inlineStr">
        <is>
          <t>Adriana</t>
        </is>
      </c>
      <c r="B2762" t="inlineStr">
        <is>
          <t>+5517997349003</t>
        </is>
      </c>
      <c r="C2762" t="inlineStr">
        <is>
          <t>Refill</t>
        </is>
      </c>
      <c r="D2762" t="inlineStr">
        <is>
          <t>Primer Cachos</t>
        </is>
      </c>
      <c r="E2762" t="n">
        <v>1</v>
      </c>
      <c r="F2762" t="inlineStr">
        <is>
          <t>2026-02-11</t>
        </is>
      </c>
      <c r="G2762" t="n">
        <v>143</v>
      </c>
      <c r="H2762" t="inlineStr">
        <is>
          <t>Y</t>
        </is>
      </c>
      <c r="I2762">
        <f>HYPERLINK("https://admin.shopify.com/store/ge-beauty-cosmeticos/customers/10154952884544","abrir")</f>
        <v/>
      </c>
      <c r="J2762">
        <f>HYPERLINK("https://www.gebeauty.com.br/products/primer-cachos-definidos?ref=review","review")</f>
        <v/>
      </c>
      <c r="K2762" t="inlineStr">
        <is>
          <t>HOLDOUT</t>
        </is>
      </c>
    </row>
    <row r="2763">
      <c r="A2763" t="inlineStr">
        <is>
          <t>Milla</t>
        </is>
      </c>
      <c r="B2763" t="inlineStr">
        <is>
          <t>+5571991964915</t>
        </is>
      </c>
      <c r="C2763" t="inlineStr">
        <is>
          <t>Refill</t>
        </is>
      </c>
      <c r="D2763" t="inlineStr">
        <is>
          <t>Primer Cachos</t>
        </is>
      </c>
      <c r="E2763" t="n">
        <v>1</v>
      </c>
      <c r="F2763" t="inlineStr">
        <is>
          <t>2026-02-11</t>
        </is>
      </c>
      <c r="G2763" t="n">
        <v>143</v>
      </c>
      <c r="H2763" t="inlineStr">
        <is>
          <t>Y</t>
        </is>
      </c>
      <c r="I2763">
        <f>HYPERLINK("https://admin.shopify.com/store/ge-beauty-cosmeticos/customers/10142859919680","abrir")</f>
        <v/>
      </c>
      <c r="J2763">
        <f>HYPERLINK("https://www.gebeauty.com.br/products/primer-cachos-definidos?ref=review","review")</f>
        <v/>
      </c>
      <c r="K2763" t="inlineStr">
        <is>
          <t>HOLDOUT</t>
        </is>
      </c>
    </row>
    <row r="2764">
      <c r="A2764" t="inlineStr">
        <is>
          <t>Mirela</t>
        </is>
      </c>
      <c r="B2764" t="inlineStr">
        <is>
          <t>+5516981987165</t>
        </is>
      </c>
      <c r="C2764" t="inlineStr">
        <is>
          <t>Refill</t>
        </is>
      </c>
      <c r="D2764" t="inlineStr">
        <is>
          <t>Primer Cachos</t>
        </is>
      </c>
      <c r="E2764" t="n">
        <v>1</v>
      </c>
      <c r="F2764" t="inlineStr">
        <is>
          <t>2026-02-11</t>
        </is>
      </c>
      <c r="G2764" t="n">
        <v>143</v>
      </c>
      <c r="H2764" t="inlineStr">
        <is>
          <t>Y</t>
        </is>
      </c>
      <c r="I2764">
        <f>HYPERLINK("https://admin.shopify.com/store/ge-beauty-cosmeticos/customers/9872157933888","abrir")</f>
        <v/>
      </c>
      <c r="J2764">
        <f>HYPERLINK("https://www.gebeauty.com.br/products/primer-cachos-definidos?ref=review","review")</f>
        <v/>
      </c>
      <c r="K2764" t="inlineStr">
        <is>
          <t>SEND</t>
        </is>
      </c>
    </row>
    <row r="2765">
      <c r="A2765" t="inlineStr">
        <is>
          <t>Larissa</t>
        </is>
      </c>
      <c r="B2765" t="inlineStr">
        <is>
          <t>+5516997481272</t>
        </is>
      </c>
      <c r="C2765" t="inlineStr">
        <is>
          <t>Refill</t>
        </is>
      </c>
      <c r="D2765" t="inlineStr">
        <is>
          <t>Primer Cachos</t>
        </is>
      </c>
      <c r="E2765" t="n">
        <v>1</v>
      </c>
      <c r="F2765" t="inlineStr">
        <is>
          <t>2026-02-11</t>
        </is>
      </c>
      <c r="G2765" t="n">
        <v>143</v>
      </c>
      <c r="H2765" t="inlineStr">
        <is>
          <t>Y</t>
        </is>
      </c>
      <c r="I2765">
        <f>HYPERLINK("https://admin.shopify.com/store/ge-beauty-cosmeticos/customers/10091223089472","abrir")</f>
        <v/>
      </c>
      <c r="J2765">
        <f>HYPERLINK("https://www.gebeauty.com.br/products/primer-cachos-definidos?ref=review","review")</f>
        <v/>
      </c>
      <c r="K2765" t="inlineStr">
        <is>
          <t>SEND</t>
        </is>
      </c>
    </row>
    <row r="2766">
      <c r="A2766" t="inlineStr">
        <is>
          <t>Janaina</t>
        </is>
      </c>
      <c r="B2766" t="inlineStr">
        <is>
          <t>+5511947575166</t>
        </is>
      </c>
      <c r="C2766" t="inlineStr">
        <is>
          <t>Refill</t>
        </is>
      </c>
      <c r="D2766" t="inlineStr">
        <is>
          <t>Primer Cachos</t>
        </is>
      </c>
      <c r="E2766" t="n">
        <v>1</v>
      </c>
      <c r="F2766" t="inlineStr">
        <is>
          <t>2026-02-11</t>
        </is>
      </c>
      <c r="G2766" t="n">
        <v>143</v>
      </c>
      <c r="H2766" t="inlineStr">
        <is>
          <t>Y</t>
        </is>
      </c>
      <c r="I2766">
        <f>HYPERLINK("https://admin.shopify.com/store/ge-beauty-cosmeticos/customers/10155072684352","abrir")</f>
        <v/>
      </c>
      <c r="J2766">
        <f>HYPERLINK("https://www.gebeauty.com.br/products/primer-cachos-definidos?ref=review","review")</f>
        <v/>
      </c>
      <c r="K2766" t="inlineStr">
        <is>
          <t>SEND</t>
        </is>
      </c>
    </row>
    <row r="2767">
      <c r="A2767" t="inlineStr">
        <is>
          <t>Adriana</t>
        </is>
      </c>
      <c r="B2767" t="inlineStr">
        <is>
          <t>+5511997689568</t>
        </is>
      </c>
      <c r="C2767" t="inlineStr">
        <is>
          <t>Refill</t>
        </is>
      </c>
      <c r="D2767" t="inlineStr">
        <is>
          <t>Primer Cachos</t>
        </is>
      </c>
      <c r="E2767" t="n">
        <v>1</v>
      </c>
      <c r="F2767" t="inlineStr">
        <is>
          <t>2026-02-11</t>
        </is>
      </c>
      <c r="G2767" t="n">
        <v>143</v>
      </c>
      <c r="H2767" t="inlineStr">
        <is>
          <t>Y</t>
        </is>
      </c>
      <c r="I2767">
        <f>HYPERLINK("https://admin.shopify.com/store/ge-beauty-cosmeticos/customers/10155090936128","abrir")</f>
        <v/>
      </c>
      <c r="J2767">
        <f>HYPERLINK("https://www.gebeauty.com.br/products/primer-cachos-definidos?ref=review","review")</f>
        <v/>
      </c>
      <c r="K2767" t="inlineStr">
        <is>
          <t>SEND</t>
        </is>
      </c>
    </row>
    <row r="2768">
      <c r="A2768" t="inlineStr">
        <is>
          <t>Vivian</t>
        </is>
      </c>
      <c r="B2768" t="inlineStr">
        <is>
          <t>+5583991218990</t>
        </is>
      </c>
      <c r="C2768" t="inlineStr">
        <is>
          <t>Refill</t>
        </is>
      </c>
      <c r="D2768" t="inlineStr">
        <is>
          <t>Primer Cachos</t>
        </is>
      </c>
      <c r="E2768" t="n">
        <v>1</v>
      </c>
      <c r="F2768" t="inlineStr">
        <is>
          <t>2026-02-11</t>
        </is>
      </c>
      <c r="G2768" t="n">
        <v>143</v>
      </c>
      <c r="H2768" t="inlineStr">
        <is>
          <t>Y</t>
        </is>
      </c>
      <c r="I2768">
        <f>HYPERLINK("https://admin.shopify.com/store/ge-beauty-cosmeticos/customers/10153507848512","abrir")</f>
        <v/>
      </c>
      <c r="J2768">
        <f>HYPERLINK("https://www.gebeauty.com.br/products/primer-cachos-definidos?ref=review","review")</f>
        <v/>
      </c>
      <c r="K2768" t="inlineStr">
        <is>
          <t>SEND</t>
        </is>
      </c>
    </row>
    <row r="2769">
      <c r="A2769" t="inlineStr">
        <is>
          <t>Claudia</t>
        </is>
      </c>
      <c r="B2769" t="inlineStr">
        <is>
          <t>+5521988032525</t>
        </is>
      </c>
      <c r="C2769" t="inlineStr">
        <is>
          <t>Refill</t>
        </is>
      </c>
      <c r="D2769" t="inlineStr">
        <is>
          <t>Primer Cachos</t>
        </is>
      </c>
      <c r="E2769" t="n">
        <v>1</v>
      </c>
      <c r="F2769" t="inlineStr">
        <is>
          <t>2026-02-11</t>
        </is>
      </c>
      <c r="G2769" t="n">
        <v>143</v>
      </c>
      <c r="H2769" t="inlineStr">
        <is>
          <t>Y</t>
        </is>
      </c>
      <c r="I2769">
        <f>HYPERLINK("https://admin.shopify.com/store/ge-beauty-cosmeticos/customers/10153890808128","abrir")</f>
        <v/>
      </c>
      <c r="J2769">
        <f>HYPERLINK("https://www.gebeauty.com.br/products/primer-cachos-definidos?ref=review","review")</f>
        <v/>
      </c>
      <c r="K2769" t="inlineStr">
        <is>
          <t>SEND</t>
        </is>
      </c>
    </row>
    <row r="2770">
      <c r="A2770" t="inlineStr">
        <is>
          <t>Vanessa</t>
        </is>
      </c>
      <c r="B2770" t="inlineStr">
        <is>
          <t>+5551999479109</t>
        </is>
      </c>
      <c r="C2770" t="inlineStr">
        <is>
          <t>Refill</t>
        </is>
      </c>
      <c r="D2770" t="inlineStr">
        <is>
          <t>Primer Cachos</t>
        </is>
      </c>
      <c r="E2770" t="n">
        <v>1</v>
      </c>
      <c r="F2770" t="inlineStr">
        <is>
          <t>2026-02-11</t>
        </is>
      </c>
      <c r="G2770" t="n">
        <v>143</v>
      </c>
      <c r="H2770" t="inlineStr">
        <is>
          <t>Y</t>
        </is>
      </c>
      <c r="I2770">
        <f>HYPERLINK("https://admin.shopify.com/store/ge-beauty-cosmeticos/customers/10153229451584","abrir")</f>
        <v/>
      </c>
      <c r="J2770">
        <f>HYPERLINK("https://www.gebeauty.com.br/products/primer-cachos-definidos?ref=review","review")</f>
        <v/>
      </c>
      <c r="K2770" t="inlineStr">
        <is>
          <t>SEND</t>
        </is>
      </c>
    </row>
    <row r="2771">
      <c r="A2771" t="inlineStr">
        <is>
          <t>Júlia</t>
        </is>
      </c>
      <c r="B2771" t="inlineStr">
        <is>
          <t>+5565996747343</t>
        </is>
      </c>
      <c r="C2771" t="inlineStr">
        <is>
          <t>Refill</t>
        </is>
      </c>
      <c r="D2771" t="inlineStr">
        <is>
          <t>Primer Cachos</t>
        </is>
      </c>
      <c r="E2771" t="n">
        <v>1</v>
      </c>
      <c r="F2771" t="inlineStr">
        <is>
          <t>2026-02-11</t>
        </is>
      </c>
      <c r="G2771" t="n">
        <v>143</v>
      </c>
      <c r="H2771" t="inlineStr">
        <is>
          <t>Y</t>
        </is>
      </c>
      <c r="I2771">
        <f>HYPERLINK("https://admin.shopify.com/store/ge-beauty-cosmeticos/customers/10155247698240","abrir")</f>
        <v/>
      </c>
      <c r="J2771">
        <f>HYPERLINK("https://www.gebeauty.com.br/products/primer-cachos-definidos?ref=review","review")</f>
        <v/>
      </c>
      <c r="K2771" t="inlineStr">
        <is>
          <t>SEND</t>
        </is>
      </c>
    </row>
    <row r="2772">
      <c r="A2772" t="inlineStr">
        <is>
          <t>Melina</t>
        </is>
      </c>
      <c r="B2772" t="inlineStr">
        <is>
          <t>+5511974449401</t>
        </is>
      </c>
      <c r="C2772" t="inlineStr">
        <is>
          <t>Refill</t>
        </is>
      </c>
      <c r="D2772" t="inlineStr">
        <is>
          <t>Primer Cachos</t>
        </is>
      </c>
      <c r="E2772" t="n">
        <v>1</v>
      </c>
      <c r="F2772" t="inlineStr">
        <is>
          <t>2026-02-11</t>
        </is>
      </c>
      <c r="G2772" t="n">
        <v>143</v>
      </c>
      <c r="H2772" t="inlineStr">
        <is>
          <t>Y</t>
        </is>
      </c>
      <c r="I2772">
        <f>HYPERLINK("https://admin.shopify.com/store/ge-beauty-cosmeticos/customers/10086972653888","abrir")</f>
        <v/>
      </c>
      <c r="J2772">
        <f>HYPERLINK("https://www.gebeauty.com.br/products/primer-cachos-definidos?ref=review","review")</f>
        <v/>
      </c>
      <c r="K2772" t="inlineStr">
        <is>
          <t>SEND</t>
        </is>
      </c>
    </row>
    <row r="2773">
      <c r="A2773" t="inlineStr">
        <is>
          <t>Mariana</t>
        </is>
      </c>
      <c r="B2773" t="inlineStr">
        <is>
          <t>+5521983852201</t>
        </is>
      </c>
      <c r="C2773" t="inlineStr">
        <is>
          <t>Refill</t>
        </is>
      </c>
      <c r="D2773" t="inlineStr">
        <is>
          <t>Primer Cachos</t>
        </is>
      </c>
      <c r="E2773" t="n">
        <v>1</v>
      </c>
      <c r="F2773" t="inlineStr">
        <is>
          <t>2026-02-11</t>
        </is>
      </c>
      <c r="G2773" t="n">
        <v>143</v>
      </c>
      <c r="H2773" t="inlineStr">
        <is>
          <t>Y</t>
        </is>
      </c>
      <c r="I2773">
        <f>HYPERLINK("https://admin.shopify.com/store/ge-beauty-cosmeticos/customers/10073090523456","abrir")</f>
        <v/>
      </c>
      <c r="J2773">
        <f>HYPERLINK("https://www.gebeauty.com.br/products/primer-cachos-definidos?ref=review","review")</f>
        <v/>
      </c>
      <c r="K2773" t="inlineStr">
        <is>
          <t>SEND</t>
        </is>
      </c>
    </row>
    <row r="2774">
      <c r="A2774" t="inlineStr">
        <is>
          <t>Renata</t>
        </is>
      </c>
      <c r="B2774" t="inlineStr">
        <is>
          <t>+5511982716828</t>
        </is>
      </c>
      <c r="C2774" t="inlineStr">
        <is>
          <t>Refill</t>
        </is>
      </c>
      <c r="D2774" t="inlineStr">
        <is>
          <t>Primer Cachos</t>
        </is>
      </c>
      <c r="E2774" t="n">
        <v>1</v>
      </c>
      <c r="F2774" t="inlineStr">
        <is>
          <t>2026-02-11</t>
        </is>
      </c>
      <c r="G2774" t="n">
        <v>143</v>
      </c>
      <c r="H2774" t="inlineStr">
        <is>
          <t>Y</t>
        </is>
      </c>
      <c r="I2774">
        <f>HYPERLINK("https://admin.shopify.com/store/ge-beauty-cosmeticos/customers/10073347457344","abrir")</f>
        <v/>
      </c>
      <c r="J2774">
        <f>HYPERLINK("https://www.gebeauty.com.br/products/primer-cachos-definidos?ref=review","review")</f>
        <v/>
      </c>
      <c r="K2774" t="inlineStr">
        <is>
          <t>SEND</t>
        </is>
      </c>
    </row>
    <row r="2775">
      <c r="A2775" t="inlineStr">
        <is>
          <t>Paula</t>
        </is>
      </c>
      <c r="B2775" t="inlineStr">
        <is>
          <t>+5511986844542</t>
        </is>
      </c>
      <c r="C2775" t="inlineStr">
        <is>
          <t>Refill</t>
        </is>
      </c>
      <c r="D2775" t="inlineStr">
        <is>
          <t>Primer Cachos</t>
        </is>
      </c>
      <c r="E2775" t="n">
        <v>1</v>
      </c>
      <c r="F2775" t="inlineStr">
        <is>
          <t>2026-02-11</t>
        </is>
      </c>
      <c r="G2775" t="n">
        <v>143</v>
      </c>
      <c r="H2775" t="inlineStr">
        <is>
          <t>Y</t>
        </is>
      </c>
      <c r="I2775">
        <f>HYPERLINK("https://admin.shopify.com/store/ge-beauty-cosmeticos/customers/10077002563904","abrir")</f>
        <v/>
      </c>
      <c r="J2775">
        <f>HYPERLINK("https://www.gebeauty.com.br/products/primer-cachos-definidos?ref=review","review")</f>
        <v/>
      </c>
      <c r="K2775" t="inlineStr">
        <is>
          <t>SEND</t>
        </is>
      </c>
    </row>
    <row r="2776">
      <c r="A2776" t="inlineStr">
        <is>
          <t>Simone</t>
        </is>
      </c>
      <c r="B2776" t="inlineStr">
        <is>
          <t>+5548999692444</t>
        </is>
      </c>
      <c r="C2776" t="inlineStr">
        <is>
          <t>Refill</t>
        </is>
      </c>
      <c r="D2776" t="inlineStr">
        <is>
          <t>Primer Cachos</t>
        </is>
      </c>
      <c r="E2776" t="n">
        <v>1</v>
      </c>
      <c r="F2776" t="inlineStr">
        <is>
          <t>2026-02-11</t>
        </is>
      </c>
      <c r="G2776" t="n">
        <v>143</v>
      </c>
      <c r="H2776" t="inlineStr">
        <is>
          <t>Y</t>
        </is>
      </c>
      <c r="I2776">
        <f>HYPERLINK("https://admin.shopify.com/store/ge-beauty-cosmeticos/customers/10155498701120","abrir")</f>
        <v/>
      </c>
      <c r="J2776">
        <f>HYPERLINK("https://www.gebeauty.com.br/products/primer-cachos-definidos?ref=review","review")</f>
        <v/>
      </c>
      <c r="K2776" t="inlineStr">
        <is>
          <t>SEND</t>
        </is>
      </c>
    </row>
    <row r="2777">
      <c r="A2777" t="inlineStr">
        <is>
          <t>Maria</t>
        </is>
      </c>
      <c r="B2777" t="inlineStr">
        <is>
          <t>+5581991936590</t>
        </is>
      </c>
      <c r="C2777" t="inlineStr">
        <is>
          <t>Refill</t>
        </is>
      </c>
      <c r="D2777" t="inlineStr">
        <is>
          <t>Primer Cachos</t>
        </is>
      </c>
      <c r="E2777" t="n">
        <v>1</v>
      </c>
      <c r="F2777" t="inlineStr">
        <is>
          <t>2026-02-11</t>
        </is>
      </c>
      <c r="G2777" t="n">
        <v>143</v>
      </c>
      <c r="H2777" t="inlineStr">
        <is>
          <t>Y</t>
        </is>
      </c>
      <c r="I2777">
        <f>HYPERLINK("https://admin.shopify.com/store/ge-beauty-cosmeticos/customers/9850826588480","abrir")</f>
        <v/>
      </c>
      <c r="J2777">
        <f>HYPERLINK("https://www.gebeauty.com.br/products/primer-cachos-definidos?ref=review","review")</f>
        <v/>
      </c>
      <c r="K2777" t="inlineStr">
        <is>
          <t>SEND</t>
        </is>
      </c>
    </row>
    <row r="2778">
      <c r="A2778" t="inlineStr">
        <is>
          <t>Amanda</t>
        </is>
      </c>
      <c r="B2778" t="inlineStr">
        <is>
          <t>+5521988448070</t>
        </is>
      </c>
      <c r="C2778" t="inlineStr">
        <is>
          <t>Refill</t>
        </is>
      </c>
      <c r="D2778" t="inlineStr">
        <is>
          <t>Primer Cachos</t>
        </is>
      </c>
      <c r="E2778" t="n">
        <v>1</v>
      </c>
      <c r="F2778" t="inlineStr">
        <is>
          <t>2026-02-11</t>
        </is>
      </c>
      <c r="G2778" t="n">
        <v>143</v>
      </c>
      <c r="H2778" t="inlineStr">
        <is>
          <t>Y</t>
        </is>
      </c>
      <c r="I2778">
        <f>HYPERLINK("https://admin.shopify.com/store/ge-beauty-cosmeticos/customers/10155556208960","abrir")</f>
        <v/>
      </c>
      <c r="J2778">
        <f>HYPERLINK("https://www.gebeauty.com.br/products/primer-cachos-definidos?ref=review","review")</f>
        <v/>
      </c>
      <c r="K2778" t="inlineStr">
        <is>
          <t>SEND</t>
        </is>
      </c>
    </row>
    <row r="2779">
      <c r="A2779" t="inlineStr">
        <is>
          <t>Eliane</t>
        </is>
      </c>
      <c r="B2779" t="inlineStr">
        <is>
          <t>+5511982165277</t>
        </is>
      </c>
      <c r="C2779" t="inlineStr">
        <is>
          <t>Refill</t>
        </is>
      </c>
      <c r="D2779" t="inlineStr">
        <is>
          <t>Primer Cachos</t>
        </is>
      </c>
      <c r="E2779" t="n">
        <v>1</v>
      </c>
      <c r="F2779" t="inlineStr">
        <is>
          <t>2026-02-11</t>
        </is>
      </c>
      <c r="G2779" t="n">
        <v>143</v>
      </c>
      <c r="H2779" t="inlineStr">
        <is>
          <t>Y</t>
        </is>
      </c>
      <c r="I2779">
        <f>HYPERLINK("https://admin.shopify.com/store/ge-beauty-cosmeticos/customers/10154919723328","abrir")</f>
        <v/>
      </c>
      <c r="J2779">
        <f>HYPERLINK("https://www.gebeauty.com.br/products/primer-cachos-definidos?ref=review","review")</f>
        <v/>
      </c>
      <c r="K2779" t="inlineStr">
        <is>
          <t>SEND</t>
        </is>
      </c>
    </row>
    <row r="2780">
      <c r="A2780" t="inlineStr">
        <is>
          <t>Catia</t>
        </is>
      </c>
      <c r="B2780" t="inlineStr">
        <is>
          <t>+5511948840381</t>
        </is>
      </c>
      <c r="C2780" t="inlineStr">
        <is>
          <t>Refill</t>
        </is>
      </c>
      <c r="D2780" t="inlineStr">
        <is>
          <t>Primer Cachos</t>
        </is>
      </c>
      <c r="E2780" t="n">
        <v>1</v>
      </c>
      <c r="F2780" t="inlineStr">
        <is>
          <t>2026-02-11</t>
        </is>
      </c>
      <c r="G2780" t="n">
        <v>143</v>
      </c>
      <c r="H2780" t="inlineStr">
        <is>
          <t>Y</t>
        </is>
      </c>
      <c r="I2780">
        <f>HYPERLINK("https://admin.shopify.com/store/ge-beauty-cosmeticos/customers/10143399018816","abrir")</f>
        <v/>
      </c>
      <c r="J2780">
        <f>HYPERLINK("https://www.gebeauty.com.br/products/primer-cachos-definidos?ref=review","review")</f>
        <v/>
      </c>
      <c r="K2780" t="inlineStr">
        <is>
          <t>SEND</t>
        </is>
      </c>
    </row>
    <row r="2781">
      <c r="A2781" t="inlineStr">
        <is>
          <t>Elis</t>
        </is>
      </c>
      <c r="B2781" t="inlineStr">
        <is>
          <t>+5584988079844</t>
        </is>
      </c>
      <c r="C2781" t="inlineStr">
        <is>
          <t>Refill</t>
        </is>
      </c>
      <c r="D2781" t="inlineStr">
        <is>
          <t>Primer Cachos</t>
        </is>
      </c>
      <c r="E2781" t="n">
        <v>1</v>
      </c>
      <c r="F2781" t="inlineStr">
        <is>
          <t>2026-02-11</t>
        </is>
      </c>
      <c r="G2781" t="n">
        <v>143</v>
      </c>
      <c r="H2781" t="inlineStr">
        <is>
          <t>Y</t>
        </is>
      </c>
      <c r="I2781">
        <f>HYPERLINK("https://admin.shopify.com/store/ge-beauty-cosmeticos/customers/10155616207168","abrir")</f>
        <v/>
      </c>
      <c r="J2781">
        <f>HYPERLINK("https://www.gebeauty.com.br/products/primer-cachos-definidos?ref=review","review")</f>
        <v/>
      </c>
      <c r="K2781" t="inlineStr">
        <is>
          <t>SEND</t>
        </is>
      </c>
    </row>
    <row r="2782">
      <c r="A2782" t="inlineStr">
        <is>
          <t>Leticia</t>
        </is>
      </c>
      <c r="B2782" t="inlineStr">
        <is>
          <t>+5531994469000</t>
        </is>
      </c>
      <c r="C2782" t="inlineStr">
        <is>
          <t>Refill</t>
        </is>
      </c>
      <c r="D2782" t="inlineStr">
        <is>
          <t>Primer Cachos</t>
        </is>
      </c>
      <c r="E2782" t="n">
        <v>1</v>
      </c>
      <c r="F2782" t="inlineStr">
        <is>
          <t>2026-02-11</t>
        </is>
      </c>
      <c r="G2782" t="n">
        <v>143</v>
      </c>
      <c r="H2782" t="inlineStr">
        <is>
          <t>Y</t>
        </is>
      </c>
      <c r="I2782">
        <f>HYPERLINK("https://admin.shopify.com/store/ge-beauty-cosmeticos/customers/10155657920832","abrir")</f>
        <v/>
      </c>
      <c r="J2782">
        <f>HYPERLINK("https://www.gebeauty.com.br/products/primer-cachos-definidos?ref=review","review")</f>
        <v/>
      </c>
      <c r="K2782" t="inlineStr">
        <is>
          <t>SEND</t>
        </is>
      </c>
    </row>
    <row r="2783">
      <c r="A2783" t="inlineStr">
        <is>
          <t>Mercia</t>
        </is>
      </c>
      <c r="B2783" t="inlineStr">
        <is>
          <t>+5561981104059</t>
        </is>
      </c>
      <c r="C2783" t="inlineStr">
        <is>
          <t>Refill</t>
        </is>
      </c>
      <c r="D2783" t="inlineStr">
        <is>
          <t>Primer Cachos</t>
        </is>
      </c>
      <c r="E2783" t="n">
        <v>1</v>
      </c>
      <c r="F2783" t="inlineStr">
        <is>
          <t>2026-02-11</t>
        </is>
      </c>
      <c r="G2783" t="n">
        <v>143</v>
      </c>
      <c r="H2783" t="inlineStr">
        <is>
          <t>Y</t>
        </is>
      </c>
      <c r="I2783">
        <f>HYPERLINK("https://admin.shopify.com/store/ge-beauty-cosmeticos/customers/10155711725888","abrir")</f>
        <v/>
      </c>
      <c r="J2783">
        <f>HYPERLINK("https://www.gebeauty.com.br/products/primer-cachos-definidos?ref=review","review")</f>
        <v/>
      </c>
      <c r="K2783" t="inlineStr">
        <is>
          <t>SEND</t>
        </is>
      </c>
    </row>
    <row r="2784">
      <c r="A2784" t="inlineStr">
        <is>
          <t>Veronica</t>
        </is>
      </c>
      <c r="B2784" t="inlineStr">
        <is>
          <t>+5511999807808</t>
        </is>
      </c>
      <c r="C2784" t="inlineStr">
        <is>
          <t>Refill</t>
        </is>
      </c>
      <c r="D2784" t="inlineStr">
        <is>
          <t>Primer Cachos</t>
        </is>
      </c>
      <c r="E2784" t="n">
        <v>1</v>
      </c>
      <c r="F2784" t="inlineStr">
        <is>
          <t>2026-02-11</t>
        </is>
      </c>
      <c r="G2784" t="n">
        <v>143</v>
      </c>
      <c r="H2784" t="inlineStr">
        <is>
          <t>Y</t>
        </is>
      </c>
      <c r="I2784">
        <f>HYPERLINK("https://admin.shopify.com/store/ge-beauty-cosmeticos/customers/10155631509824","abrir")</f>
        <v/>
      </c>
      <c r="J2784">
        <f>HYPERLINK("https://www.gebeauty.com.br/products/primer-cachos-definidos?ref=review","review")</f>
        <v/>
      </c>
      <c r="K2784" t="inlineStr">
        <is>
          <t>SEND</t>
        </is>
      </c>
    </row>
    <row r="2785">
      <c r="A2785" t="inlineStr">
        <is>
          <t>Vanessa</t>
        </is>
      </c>
      <c r="B2785" t="inlineStr">
        <is>
          <t>+5573998172165</t>
        </is>
      </c>
      <c r="C2785" t="inlineStr">
        <is>
          <t>Refill</t>
        </is>
      </c>
      <c r="D2785" t="inlineStr">
        <is>
          <t>Primer Cachos</t>
        </is>
      </c>
      <c r="E2785" t="n">
        <v>1</v>
      </c>
      <c r="F2785" t="inlineStr">
        <is>
          <t>2026-02-11</t>
        </is>
      </c>
      <c r="G2785" t="n">
        <v>143</v>
      </c>
      <c r="H2785" t="inlineStr">
        <is>
          <t>Y</t>
        </is>
      </c>
      <c r="I2785">
        <f>HYPERLINK("https://admin.shopify.com/store/ge-beauty-cosmeticos/customers/10095121072448","abrir")</f>
        <v/>
      </c>
      <c r="J2785">
        <f>HYPERLINK("https://www.gebeauty.com.br/products/primer-cachos-definidos?ref=review","review")</f>
        <v/>
      </c>
      <c r="K2785" t="inlineStr">
        <is>
          <t>SEND</t>
        </is>
      </c>
    </row>
    <row r="2786">
      <c r="A2786" t="inlineStr">
        <is>
          <t>Ana Paula</t>
        </is>
      </c>
      <c r="B2786" t="inlineStr">
        <is>
          <t>+5511984223882</t>
        </is>
      </c>
      <c r="C2786" t="inlineStr">
        <is>
          <t>Refill</t>
        </is>
      </c>
      <c r="D2786" t="inlineStr">
        <is>
          <t>Primer Cachos</t>
        </is>
      </c>
      <c r="E2786" t="n">
        <v>1</v>
      </c>
      <c r="F2786" t="inlineStr">
        <is>
          <t>2026-02-11</t>
        </is>
      </c>
      <c r="G2786" t="n">
        <v>143</v>
      </c>
      <c r="H2786" t="inlineStr">
        <is>
          <t>Y</t>
        </is>
      </c>
      <c r="I2786">
        <f>HYPERLINK("https://admin.shopify.com/store/ge-beauty-cosmeticos/customers/10155713528128","abrir")</f>
        <v/>
      </c>
      <c r="J2786">
        <f>HYPERLINK("https://www.gebeauty.com.br/products/primer-cachos-definidos?ref=review","review")</f>
        <v/>
      </c>
      <c r="K2786" t="inlineStr">
        <is>
          <t>SEND</t>
        </is>
      </c>
    </row>
    <row r="2787">
      <c r="A2787" t="inlineStr">
        <is>
          <t>Lina</t>
        </is>
      </c>
      <c r="B2787" t="inlineStr">
        <is>
          <t>+5511934595299</t>
        </is>
      </c>
      <c r="C2787" t="inlineStr">
        <is>
          <t>Refill</t>
        </is>
      </c>
      <c r="D2787" t="inlineStr">
        <is>
          <t>Primer Cachos</t>
        </is>
      </c>
      <c r="E2787" t="n">
        <v>1</v>
      </c>
      <c r="F2787" t="inlineStr">
        <is>
          <t>2026-02-11</t>
        </is>
      </c>
      <c r="G2787" t="n">
        <v>143</v>
      </c>
      <c r="H2787" t="inlineStr">
        <is>
          <t>N</t>
        </is>
      </c>
      <c r="I2787">
        <f>HYPERLINK("https://admin.shopify.com/store/ge-beauty-cosmeticos/customers/10011885011264","abrir")</f>
        <v/>
      </c>
      <c r="J2787">
        <f>HYPERLINK("https://www.gebeauty.com.br/products/primer-cachos-definidos?ref=review","review")</f>
        <v/>
      </c>
      <c r="K2787" t="inlineStr">
        <is>
          <t>SEND</t>
        </is>
      </c>
    </row>
    <row r="2788">
      <c r="A2788" t="inlineStr">
        <is>
          <t>Camila</t>
        </is>
      </c>
      <c r="B2788" t="inlineStr">
        <is>
          <t>+5516981259340</t>
        </is>
      </c>
      <c r="C2788" t="inlineStr">
        <is>
          <t>Refill</t>
        </is>
      </c>
      <c r="D2788" t="inlineStr">
        <is>
          <t>Primer Cachos</t>
        </is>
      </c>
      <c r="E2788" t="n">
        <v>1</v>
      </c>
      <c r="F2788" t="inlineStr">
        <is>
          <t>2026-02-11</t>
        </is>
      </c>
      <c r="G2788" t="n">
        <v>143</v>
      </c>
      <c r="H2788" t="inlineStr">
        <is>
          <t>Y</t>
        </is>
      </c>
      <c r="I2788">
        <f>HYPERLINK("https://admin.shopify.com/store/ge-beauty-cosmeticos/customers/10155879956800","abrir")</f>
        <v/>
      </c>
      <c r="J2788">
        <f>HYPERLINK("https://www.gebeauty.com.br/products/primer-cachos-definidos?ref=review","review")</f>
        <v/>
      </c>
      <c r="K2788" t="inlineStr">
        <is>
          <t>HOLDOUT</t>
        </is>
      </c>
    </row>
    <row r="2789">
      <c r="A2789" t="inlineStr">
        <is>
          <t>Hildrani</t>
        </is>
      </c>
      <c r="B2789" t="inlineStr">
        <is>
          <t>+5528999102828</t>
        </is>
      </c>
      <c r="C2789" t="inlineStr">
        <is>
          <t>Refill</t>
        </is>
      </c>
      <c r="D2789" t="inlineStr">
        <is>
          <t>Primer Cachos</t>
        </is>
      </c>
      <c r="E2789" t="n">
        <v>1</v>
      </c>
      <c r="F2789" t="inlineStr">
        <is>
          <t>2026-02-11</t>
        </is>
      </c>
      <c r="G2789" t="n">
        <v>143</v>
      </c>
      <c r="H2789" t="inlineStr">
        <is>
          <t>Y</t>
        </is>
      </c>
      <c r="I2789">
        <f>HYPERLINK("https://admin.shopify.com/store/ge-beauty-cosmeticos/customers/10074083426624","abrir")</f>
        <v/>
      </c>
      <c r="J2789">
        <f>HYPERLINK("https://www.gebeauty.com.br/products/primer-cachos-definidos?ref=review","review")</f>
        <v/>
      </c>
      <c r="K2789" t="inlineStr">
        <is>
          <t>SEND</t>
        </is>
      </c>
    </row>
    <row r="2790">
      <c r="A2790" t="inlineStr">
        <is>
          <t>Eliane</t>
        </is>
      </c>
      <c r="B2790" t="inlineStr">
        <is>
          <t>+5521970265662</t>
        </is>
      </c>
      <c r="C2790" t="inlineStr">
        <is>
          <t>Refill</t>
        </is>
      </c>
      <c r="D2790" t="inlineStr">
        <is>
          <t>Primer Cachos</t>
        </is>
      </c>
      <c r="E2790" t="n">
        <v>1</v>
      </c>
      <c r="F2790" t="inlineStr">
        <is>
          <t>2026-02-11</t>
        </is>
      </c>
      <c r="G2790" t="n">
        <v>143</v>
      </c>
      <c r="H2790" t="inlineStr">
        <is>
          <t>Y</t>
        </is>
      </c>
      <c r="I2790">
        <f>HYPERLINK("https://admin.shopify.com/store/ge-beauty-cosmeticos/customers/10155974295872","abrir")</f>
        <v/>
      </c>
      <c r="J2790">
        <f>HYPERLINK("https://www.gebeauty.com.br/products/primer-cachos-definidos?ref=review","review")</f>
        <v/>
      </c>
      <c r="K2790" t="inlineStr">
        <is>
          <t>HOLDOUT</t>
        </is>
      </c>
    </row>
    <row r="2791">
      <c r="A2791" t="inlineStr">
        <is>
          <t>Maria Fernanda</t>
        </is>
      </c>
      <c r="B2791" t="inlineStr">
        <is>
          <t>+5514981657778</t>
        </is>
      </c>
      <c r="C2791" t="inlineStr">
        <is>
          <t>Refill</t>
        </is>
      </c>
      <c r="D2791" t="inlineStr">
        <is>
          <t>Primer Cachos</t>
        </is>
      </c>
      <c r="E2791" t="n">
        <v>1</v>
      </c>
      <c r="F2791" t="inlineStr">
        <is>
          <t>2026-02-11</t>
        </is>
      </c>
      <c r="G2791" t="n">
        <v>143</v>
      </c>
      <c r="H2791" t="inlineStr">
        <is>
          <t>Y</t>
        </is>
      </c>
      <c r="I2791">
        <f>HYPERLINK("https://admin.shopify.com/store/ge-beauty-cosmeticos/customers/10156104646976","abrir")</f>
        <v/>
      </c>
      <c r="J2791">
        <f>HYPERLINK("https://www.gebeauty.com.br/products/primer-cachos-definidos?ref=review","review")</f>
        <v/>
      </c>
      <c r="K2791" t="inlineStr">
        <is>
          <t>SEND</t>
        </is>
      </c>
    </row>
    <row r="2792">
      <c r="A2792" t="inlineStr">
        <is>
          <t>Sabrina</t>
        </is>
      </c>
      <c r="B2792" t="inlineStr">
        <is>
          <t>+5511949965035</t>
        </is>
      </c>
      <c r="C2792" t="inlineStr">
        <is>
          <t>Refill</t>
        </is>
      </c>
      <c r="D2792" t="inlineStr">
        <is>
          <t>Primer Cachos</t>
        </is>
      </c>
      <c r="E2792" t="n">
        <v>1</v>
      </c>
      <c r="F2792" t="inlineStr">
        <is>
          <t>2026-02-12</t>
        </is>
      </c>
      <c r="G2792" t="n">
        <v>142</v>
      </c>
      <c r="H2792" t="inlineStr">
        <is>
          <t>Y</t>
        </is>
      </c>
      <c r="I2792">
        <f>HYPERLINK("https://admin.shopify.com/store/ge-beauty-cosmeticos/customers/10156147114304","abrir")</f>
        <v/>
      </c>
      <c r="J2792">
        <f>HYPERLINK("https://www.gebeauty.com.br/products/primer-cachos-definidos?ref=review","review")</f>
        <v/>
      </c>
      <c r="K2792" t="inlineStr">
        <is>
          <t>SEND</t>
        </is>
      </c>
    </row>
    <row r="2793">
      <c r="A2793" t="inlineStr">
        <is>
          <t>Vivian</t>
        </is>
      </c>
      <c r="B2793" t="inlineStr">
        <is>
          <t>+5535997239483</t>
        </is>
      </c>
      <c r="C2793" t="inlineStr">
        <is>
          <t>Refill</t>
        </is>
      </c>
      <c r="D2793" t="inlineStr">
        <is>
          <t>Primer Cachos</t>
        </is>
      </c>
      <c r="E2793" t="n">
        <v>1</v>
      </c>
      <c r="F2793" t="inlineStr">
        <is>
          <t>2026-02-12</t>
        </is>
      </c>
      <c r="G2793" t="n">
        <v>142</v>
      </c>
      <c r="H2793" t="inlineStr">
        <is>
          <t>Y</t>
        </is>
      </c>
      <c r="I2793">
        <f>HYPERLINK("https://admin.shopify.com/store/ge-beauty-cosmeticos/customers/10143294062912","abrir")</f>
        <v/>
      </c>
      <c r="J2793">
        <f>HYPERLINK("https://www.gebeauty.com.br/products/primer-cachos-definidos?ref=review","review")</f>
        <v/>
      </c>
      <c r="K2793" t="inlineStr">
        <is>
          <t>HOLDOUT</t>
        </is>
      </c>
    </row>
    <row r="2794">
      <c r="A2794" t="inlineStr">
        <is>
          <t>Juzeti</t>
        </is>
      </c>
      <c r="B2794" t="inlineStr">
        <is>
          <t>+5511989273942</t>
        </is>
      </c>
      <c r="C2794" t="inlineStr">
        <is>
          <t>Refill</t>
        </is>
      </c>
      <c r="D2794" t="inlineStr">
        <is>
          <t>Primer Cachos</t>
        </is>
      </c>
      <c r="E2794" t="n">
        <v>1</v>
      </c>
      <c r="F2794" t="inlineStr">
        <is>
          <t>2026-02-12</t>
        </is>
      </c>
      <c r="G2794" t="n">
        <v>142</v>
      </c>
      <c r="H2794" t="inlineStr">
        <is>
          <t>Y</t>
        </is>
      </c>
      <c r="I2794">
        <f>HYPERLINK("https://admin.shopify.com/store/ge-beauty-cosmeticos/customers/10149632344384","abrir")</f>
        <v/>
      </c>
      <c r="J2794">
        <f>HYPERLINK("https://www.gebeauty.com.br/products/primer-cachos-definidos?ref=review","review")</f>
        <v/>
      </c>
      <c r="K2794" t="inlineStr">
        <is>
          <t>SEND</t>
        </is>
      </c>
    </row>
    <row r="2795">
      <c r="A2795" t="inlineStr">
        <is>
          <t>Caroline</t>
        </is>
      </c>
      <c r="B2795" t="inlineStr">
        <is>
          <t>+5511983981553</t>
        </is>
      </c>
      <c r="C2795" t="inlineStr">
        <is>
          <t>Refill</t>
        </is>
      </c>
      <c r="D2795" t="inlineStr">
        <is>
          <t>Primer Cachos</t>
        </is>
      </c>
      <c r="E2795" t="n">
        <v>1</v>
      </c>
      <c r="F2795" t="inlineStr">
        <is>
          <t>2026-02-12</t>
        </is>
      </c>
      <c r="G2795" t="n">
        <v>142</v>
      </c>
      <c r="H2795" t="inlineStr">
        <is>
          <t>Y</t>
        </is>
      </c>
      <c r="I2795">
        <f>HYPERLINK("https://admin.shopify.com/store/ge-beauty-cosmeticos/customers/7761913577792","abrir")</f>
        <v/>
      </c>
      <c r="J2795">
        <f>HYPERLINK("https://www.gebeauty.com.br/products/primer-cachos-definidos?ref=review","review")</f>
        <v/>
      </c>
      <c r="K2795" t="inlineStr">
        <is>
          <t>SEND</t>
        </is>
      </c>
    </row>
    <row r="2796">
      <c r="A2796" t="inlineStr">
        <is>
          <t>Karoliny</t>
        </is>
      </c>
      <c r="B2796" t="inlineStr">
        <is>
          <t>+5548999578878</t>
        </is>
      </c>
      <c r="C2796" t="inlineStr">
        <is>
          <t>Refill</t>
        </is>
      </c>
      <c r="D2796" t="inlineStr">
        <is>
          <t>Primer Cachos</t>
        </is>
      </c>
      <c r="E2796" t="n">
        <v>1</v>
      </c>
      <c r="F2796" t="inlineStr">
        <is>
          <t>2026-02-12</t>
        </is>
      </c>
      <c r="G2796" t="n">
        <v>142</v>
      </c>
      <c r="H2796" t="inlineStr">
        <is>
          <t>Y</t>
        </is>
      </c>
      <c r="I2796">
        <f>HYPERLINK("https://admin.shopify.com/store/ge-beauty-cosmeticos/customers/9567719850304","abrir")</f>
        <v/>
      </c>
      <c r="J2796">
        <f>HYPERLINK("https://www.gebeauty.com.br/products/primer-cachos-definidos?ref=review","review")</f>
        <v/>
      </c>
      <c r="K2796" t="inlineStr">
        <is>
          <t>SEND</t>
        </is>
      </c>
    </row>
    <row r="2797">
      <c r="A2797" t="inlineStr">
        <is>
          <t>Geyna</t>
        </is>
      </c>
      <c r="B2797" t="inlineStr">
        <is>
          <t>+5592981291011</t>
        </is>
      </c>
      <c r="C2797" t="inlineStr">
        <is>
          <t>Refill</t>
        </is>
      </c>
      <c r="D2797" t="inlineStr">
        <is>
          <t>Primer Cachos</t>
        </is>
      </c>
      <c r="E2797" t="n">
        <v>1</v>
      </c>
      <c r="F2797" t="inlineStr">
        <is>
          <t>2026-02-12</t>
        </is>
      </c>
      <c r="G2797" t="n">
        <v>142</v>
      </c>
      <c r="H2797" t="inlineStr">
        <is>
          <t>Y</t>
        </is>
      </c>
      <c r="I2797">
        <f>HYPERLINK("https://admin.shopify.com/store/ge-beauty-cosmeticos/customers/10156991742272","abrir")</f>
        <v/>
      </c>
      <c r="J2797">
        <f>HYPERLINK("https://www.gebeauty.com.br/products/primer-cachos-definidos?ref=review","review")</f>
        <v/>
      </c>
      <c r="K2797" t="inlineStr">
        <is>
          <t>SEND</t>
        </is>
      </c>
    </row>
    <row r="2798">
      <c r="A2798" t="inlineStr">
        <is>
          <t>Renata</t>
        </is>
      </c>
      <c r="B2798" t="inlineStr">
        <is>
          <t>+5519991090994</t>
        </is>
      </c>
      <c r="C2798" t="inlineStr">
        <is>
          <t>Refill</t>
        </is>
      </c>
      <c r="D2798" t="inlineStr">
        <is>
          <t>Primer Cachos</t>
        </is>
      </c>
      <c r="E2798" t="n">
        <v>1</v>
      </c>
      <c r="F2798" t="inlineStr">
        <is>
          <t>2026-02-12</t>
        </is>
      </c>
      <c r="G2798" t="n">
        <v>142</v>
      </c>
      <c r="H2798" t="inlineStr">
        <is>
          <t>Y</t>
        </is>
      </c>
      <c r="I2798">
        <f>HYPERLINK("https://admin.shopify.com/store/ge-beauty-cosmeticos/customers/10157007831360","abrir")</f>
        <v/>
      </c>
      <c r="J2798">
        <f>HYPERLINK("https://www.gebeauty.com.br/products/primer-cachos-definidos?ref=review","review")</f>
        <v/>
      </c>
      <c r="K2798" t="inlineStr">
        <is>
          <t>SEND</t>
        </is>
      </c>
    </row>
    <row r="2799">
      <c r="A2799" t="inlineStr">
        <is>
          <t>Flávia</t>
        </is>
      </c>
      <c r="B2799" t="inlineStr">
        <is>
          <t>+5516991683549</t>
        </is>
      </c>
      <c r="C2799" t="inlineStr">
        <is>
          <t>Refill</t>
        </is>
      </c>
      <c r="D2799" t="inlineStr">
        <is>
          <t>Primer Cachos</t>
        </is>
      </c>
      <c r="E2799" t="n">
        <v>1</v>
      </c>
      <c r="F2799" t="inlineStr">
        <is>
          <t>2026-02-12</t>
        </is>
      </c>
      <c r="G2799" t="n">
        <v>142</v>
      </c>
      <c r="H2799" t="inlineStr">
        <is>
          <t>Y</t>
        </is>
      </c>
      <c r="I2799">
        <f>HYPERLINK("https://admin.shopify.com/store/ge-beauty-cosmeticos/customers/10143184159040","abrir")</f>
        <v/>
      </c>
      <c r="J2799">
        <f>HYPERLINK("https://www.gebeauty.com.br/products/primer-cachos-definidos?ref=review","review")</f>
        <v/>
      </c>
      <c r="K2799" t="inlineStr">
        <is>
          <t>SEND</t>
        </is>
      </c>
    </row>
    <row r="2800">
      <c r="A2800" t="inlineStr">
        <is>
          <t>Bianca</t>
        </is>
      </c>
      <c r="B2800" t="inlineStr">
        <is>
          <t>+5511982977988</t>
        </is>
      </c>
      <c r="C2800" t="inlineStr">
        <is>
          <t>Refill</t>
        </is>
      </c>
      <c r="D2800" t="inlineStr">
        <is>
          <t>Primer Cachos</t>
        </is>
      </c>
      <c r="E2800" t="n">
        <v>1</v>
      </c>
      <c r="F2800" t="inlineStr">
        <is>
          <t>2026-02-12</t>
        </is>
      </c>
      <c r="G2800" t="n">
        <v>142</v>
      </c>
      <c r="H2800" t="inlineStr">
        <is>
          <t>Y</t>
        </is>
      </c>
      <c r="I2800">
        <f>HYPERLINK("https://admin.shopify.com/store/ge-beauty-cosmeticos/customers/10151105495360","abrir")</f>
        <v/>
      </c>
      <c r="J2800">
        <f>HYPERLINK("https://www.gebeauty.com.br/products/primer-cachos-definidos?ref=review","review")</f>
        <v/>
      </c>
      <c r="K2800" t="inlineStr">
        <is>
          <t>SEND</t>
        </is>
      </c>
    </row>
    <row r="2801">
      <c r="A2801" t="inlineStr">
        <is>
          <t>Viviane</t>
        </is>
      </c>
      <c r="B2801" t="inlineStr">
        <is>
          <t>+5567999252556</t>
        </is>
      </c>
      <c r="C2801" t="inlineStr">
        <is>
          <t>Refill</t>
        </is>
      </c>
      <c r="D2801" t="inlineStr">
        <is>
          <t>Primer Cachos</t>
        </is>
      </c>
      <c r="E2801" t="n">
        <v>1</v>
      </c>
      <c r="F2801" t="inlineStr">
        <is>
          <t>2026-02-12</t>
        </is>
      </c>
      <c r="G2801" t="n">
        <v>142</v>
      </c>
      <c r="H2801" t="inlineStr">
        <is>
          <t>Y</t>
        </is>
      </c>
      <c r="I2801">
        <f>HYPERLINK("https://admin.shopify.com/store/ge-beauty-cosmeticos/customers/9980280734016","abrir")</f>
        <v/>
      </c>
      <c r="J2801">
        <f>HYPERLINK("https://www.gebeauty.com.br/products/primer-cachos-definidos?ref=review","review")</f>
        <v/>
      </c>
      <c r="K2801" t="inlineStr">
        <is>
          <t>SEND</t>
        </is>
      </c>
    </row>
    <row r="2802">
      <c r="A2802" t="inlineStr">
        <is>
          <t>Christiano</t>
        </is>
      </c>
      <c r="B2802" t="inlineStr">
        <is>
          <t>+5581998947157</t>
        </is>
      </c>
      <c r="C2802" t="inlineStr">
        <is>
          <t>Refill</t>
        </is>
      </c>
      <c r="D2802" t="inlineStr">
        <is>
          <t>Primer Cachos</t>
        </is>
      </c>
      <c r="E2802" t="n">
        <v>1</v>
      </c>
      <c r="F2802" t="inlineStr">
        <is>
          <t>2026-02-12</t>
        </is>
      </c>
      <c r="G2802" t="n">
        <v>142</v>
      </c>
      <c r="H2802" t="inlineStr">
        <is>
          <t>Y</t>
        </is>
      </c>
      <c r="I2802">
        <f>HYPERLINK("https://admin.shopify.com/store/ge-beauty-cosmeticos/customers/10157502071104","abrir")</f>
        <v/>
      </c>
      <c r="J2802">
        <f>HYPERLINK("https://www.gebeauty.com.br/products/primer-cachos-definidos?ref=review","review")</f>
        <v/>
      </c>
      <c r="K2802" t="inlineStr">
        <is>
          <t>HOLDOUT</t>
        </is>
      </c>
    </row>
    <row r="2803">
      <c r="A2803" t="inlineStr">
        <is>
          <t>Fernanda</t>
        </is>
      </c>
      <c r="B2803" t="inlineStr">
        <is>
          <t>+5531984520518</t>
        </is>
      </c>
      <c r="C2803" t="inlineStr">
        <is>
          <t>Refill</t>
        </is>
      </c>
      <c r="D2803" t="inlineStr">
        <is>
          <t>Primer Cachos</t>
        </is>
      </c>
      <c r="E2803" t="n">
        <v>1</v>
      </c>
      <c r="F2803" t="inlineStr">
        <is>
          <t>2026-02-12</t>
        </is>
      </c>
      <c r="G2803" t="n">
        <v>142</v>
      </c>
      <c r="H2803" t="inlineStr">
        <is>
          <t>Y</t>
        </is>
      </c>
      <c r="I2803">
        <f>HYPERLINK("https://admin.shopify.com/store/ge-beauty-cosmeticos/customers/9318570262848","abrir")</f>
        <v/>
      </c>
      <c r="J2803">
        <f>HYPERLINK("https://www.gebeauty.com.br/products/primer-cachos-definidos?ref=review","review")</f>
        <v/>
      </c>
      <c r="K2803" t="inlineStr">
        <is>
          <t>SEND</t>
        </is>
      </c>
    </row>
    <row r="2804">
      <c r="A2804" t="inlineStr">
        <is>
          <t>Jackeline</t>
        </is>
      </c>
      <c r="B2804" t="inlineStr">
        <is>
          <t>+5527997413266</t>
        </is>
      </c>
      <c r="C2804" t="inlineStr">
        <is>
          <t>Refill</t>
        </is>
      </c>
      <c r="D2804" t="inlineStr">
        <is>
          <t>Primer Cachos</t>
        </is>
      </c>
      <c r="E2804" t="n">
        <v>1</v>
      </c>
      <c r="F2804" t="inlineStr">
        <is>
          <t>2026-02-12</t>
        </is>
      </c>
      <c r="G2804" t="n">
        <v>142</v>
      </c>
      <c r="H2804" t="inlineStr">
        <is>
          <t>Y</t>
        </is>
      </c>
      <c r="I2804">
        <f>HYPERLINK("https://admin.shopify.com/store/ge-beauty-cosmeticos/customers/10157606797632","abrir")</f>
        <v/>
      </c>
      <c r="J2804">
        <f>HYPERLINK("https://www.gebeauty.com.br/products/primer-cachos-definidos?ref=review","review")</f>
        <v/>
      </c>
      <c r="K2804" t="inlineStr">
        <is>
          <t>SEND</t>
        </is>
      </c>
    </row>
    <row r="2805">
      <c r="A2805" t="inlineStr">
        <is>
          <t>Juliana</t>
        </is>
      </c>
      <c r="B2805" t="inlineStr">
        <is>
          <t>+5511999994294</t>
        </is>
      </c>
      <c r="C2805" t="inlineStr">
        <is>
          <t>Refill</t>
        </is>
      </c>
      <c r="D2805" t="inlineStr">
        <is>
          <t>Primer Cachos</t>
        </is>
      </c>
      <c r="E2805" t="n">
        <v>1</v>
      </c>
      <c r="F2805" t="inlineStr">
        <is>
          <t>2026-02-12</t>
        </is>
      </c>
      <c r="G2805" t="n">
        <v>142</v>
      </c>
      <c r="H2805" t="inlineStr">
        <is>
          <t>Y</t>
        </is>
      </c>
      <c r="I2805">
        <f>HYPERLINK("https://admin.shopify.com/store/ge-beauty-cosmeticos/customers/10157628621120","abrir")</f>
        <v/>
      </c>
      <c r="J2805">
        <f>HYPERLINK("https://www.gebeauty.com.br/products/primer-cachos-definidos?ref=review","review")</f>
        <v/>
      </c>
      <c r="K2805" t="inlineStr">
        <is>
          <t>SEND</t>
        </is>
      </c>
    </row>
    <row r="2806">
      <c r="A2806" t="inlineStr">
        <is>
          <t>Flávia</t>
        </is>
      </c>
      <c r="B2806" t="inlineStr">
        <is>
          <t>+5537999578537</t>
        </is>
      </c>
      <c r="C2806" t="inlineStr">
        <is>
          <t>Refill</t>
        </is>
      </c>
      <c r="D2806" t="inlineStr">
        <is>
          <t>Primer Cachos</t>
        </is>
      </c>
      <c r="E2806" t="n">
        <v>1</v>
      </c>
      <c r="F2806" t="inlineStr">
        <is>
          <t>2026-02-12</t>
        </is>
      </c>
      <c r="G2806" t="n">
        <v>142</v>
      </c>
      <c r="H2806" t="inlineStr">
        <is>
          <t>Y</t>
        </is>
      </c>
      <c r="I2806">
        <f>HYPERLINK("https://admin.shopify.com/store/ge-beauty-cosmeticos/customers/8474699268416","abrir")</f>
        <v/>
      </c>
      <c r="J2806">
        <f>HYPERLINK("https://www.gebeauty.com.br/products/primer-cachos-definidos?ref=review","review")</f>
        <v/>
      </c>
      <c r="K2806" t="inlineStr">
        <is>
          <t>SEND</t>
        </is>
      </c>
    </row>
    <row r="2807">
      <c r="A2807" t="inlineStr">
        <is>
          <t>Tatiana</t>
        </is>
      </c>
      <c r="B2807" t="inlineStr">
        <is>
          <t>+5584994819490</t>
        </is>
      </c>
      <c r="C2807" t="inlineStr">
        <is>
          <t>Refill</t>
        </is>
      </c>
      <c r="D2807" t="inlineStr">
        <is>
          <t>Primer Cachos</t>
        </is>
      </c>
      <c r="E2807" t="n">
        <v>1</v>
      </c>
      <c r="F2807" t="inlineStr">
        <is>
          <t>2026-02-12</t>
        </is>
      </c>
      <c r="G2807" t="n">
        <v>142</v>
      </c>
      <c r="H2807" t="inlineStr">
        <is>
          <t>Y</t>
        </is>
      </c>
      <c r="I2807">
        <f>HYPERLINK("https://admin.shopify.com/store/ge-beauty-cosmeticos/customers/10154007396672","abrir")</f>
        <v/>
      </c>
      <c r="J2807">
        <f>HYPERLINK("https://www.gebeauty.com.br/products/primer-cachos-definidos?ref=review","review")</f>
        <v/>
      </c>
      <c r="K2807" t="inlineStr">
        <is>
          <t>SEND</t>
        </is>
      </c>
    </row>
    <row r="2808">
      <c r="A2808" t="inlineStr">
        <is>
          <t>Nathalya</t>
        </is>
      </c>
      <c r="B2808" t="inlineStr">
        <is>
          <t>+5522999231802</t>
        </is>
      </c>
      <c r="C2808" t="inlineStr">
        <is>
          <t>Refill</t>
        </is>
      </c>
      <c r="D2808" t="inlineStr">
        <is>
          <t>Primer Cachos</t>
        </is>
      </c>
      <c r="E2808" t="n">
        <v>1</v>
      </c>
      <c r="F2808" t="inlineStr">
        <is>
          <t>2026-02-12</t>
        </is>
      </c>
      <c r="G2808" t="n">
        <v>142</v>
      </c>
      <c r="H2808" t="inlineStr">
        <is>
          <t>Y</t>
        </is>
      </c>
      <c r="I2808">
        <f>HYPERLINK("https://admin.shopify.com/store/ge-beauty-cosmeticos/customers/10157471990080","abrir")</f>
        <v/>
      </c>
      <c r="J2808">
        <f>HYPERLINK("https://www.gebeauty.com.br/products/primer-cachos-definidos?ref=review","review")</f>
        <v/>
      </c>
      <c r="K2808" t="inlineStr">
        <is>
          <t>SEND</t>
        </is>
      </c>
    </row>
    <row r="2809">
      <c r="A2809" t="inlineStr">
        <is>
          <t>Aline</t>
        </is>
      </c>
      <c r="B2809" t="inlineStr">
        <is>
          <t>+5511961891106</t>
        </is>
      </c>
      <c r="C2809" t="inlineStr">
        <is>
          <t>Refill</t>
        </is>
      </c>
      <c r="D2809" t="inlineStr">
        <is>
          <t>Primer Cachos</t>
        </is>
      </c>
      <c r="E2809" t="n">
        <v>1</v>
      </c>
      <c r="F2809" t="inlineStr">
        <is>
          <t>2026-02-12</t>
        </is>
      </c>
      <c r="G2809" t="n">
        <v>142</v>
      </c>
      <c r="H2809" t="inlineStr">
        <is>
          <t>Y</t>
        </is>
      </c>
      <c r="I2809">
        <f>HYPERLINK("https://admin.shopify.com/store/ge-beauty-cosmeticos/customers/10157893779776","abrir")</f>
        <v/>
      </c>
      <c r="J2809">
        <f>HYPERLINK("https://www.gebeauty.com.br/products/primer-cachos-definidos?ref=review","review")</f>
        <v/>
      </c>
      <c r="K2809" t="inlineStr">
        <is>
          <t>SEND</t>
        </is>
      </c>
    </row>
    <row r="2810">
      <c r="A2810" t="inlineStr">
        <is>
          <t>Alana</t>
        </is>
      </c>
      <c r="B2810" t="inlineStr">
        <is>
          <t>+5519999733505</t>
        </is>
      </c>
      <c r="C2810" t="inlineStr">
        <is>
          <t>Refill</t>
        </is>
      </c>
      <c r="D2810" t="inlineStr">
        <is>
          <t>Primer Cachos</t>
        </is>
      </c>
      <c r="E2810" t="n">
        <v>1</v>
      </c>
      <c r="F2810" t="inlineStr">
        <is>
          <t>2026-02-12</t>
        </is>
      </c>
      <c r="G2810" t="n">
        <v>142</v>
      </c>
      <c r="H2810" t="inlineStr">
        <is>
          <t>Y</t>
        </is>
      </c>
      <c r="I2810">
        <f>HYPERLINK("https://admin.shopify.com/store/ge-beauty-cosmeticos/customers/10157908754752","abrir")</f>
        <v/>
      </c>
      <c r="J2810">
        <f>HYPERLINK("https://www.gebeauty.com.br/products/primer-cachos-definidos?ref=review","review")</f>
        <v/>
      </c>
      <c r="K2810" t="inlineStr">
        <is>
          <t>HOLDOUT</t>
        </is>
      </c>
    </row>
    <row r="2811">
      <c r="A2811" t="inlineStr">
        <is>
          <t>Fabiano</t>
        </is>
      </c>
      <c r="B2811" t="inlineStr">
        <is>
          <t>+5511994945291</t>
        </is>
      </c>
      <c r="C2811" t="inlineStr">
        <is>
          <t>Refill</t>
        </is>
      </c>
      <c r="D2811" t="inlineStr">
        <is>
          <t>Primer Cachos</t>
        </is>
      </c>
      <c r="E2811" t="n">
        <v>1</v>
      </c>
      <c r="F2811" t="inlineStr">
        <is>
          <t>2026-02-12</t>
        </is>
      </c>
      <c r="G2811" t="n">
        <v>142</v>
      </c>
      <c r="H2811" t="inlineStr">
        <is>
          <t>Y</t>
        </is>
      </c>
      <c r="I2811">
        <f>HYPERLINK("https://admin.shopify.com/store/ge-beauty-cosmeticos/customers/10157989495104","abrir")</f>
        <v/>
      </c>
      <c r="J2811">
        <f>HYPERLINK("https://www.gebeauty.com.br/products/primer-cachos-definidos?ref=review","review")</f>
        <v/>
      </c>
      <c r="K2811" t="inlineStr">
        <is>
          <t>SEND</t>
        </is>
      </c>
    </row>
    <row r="2812">
      <c r="A2812" t="inlineStr">
        <is>
          <t>Ana</t>
        </is>
      </c>
      <c r="B2812" t="inlineStr">
        <is>
          <t>+5511958926569</t>
        </is>
      </c>
      <c r="C2812" t="inlineStr">
        <is>
          <t>Refill</t>
        </is>
      </c>
      <c r="D2812" t="inlineStr">
        <is>
          <t>Primer Cachos</t>
        </is>
      </c>
      <c r="E2812" t="n">
        <v>1</v>
      </c>
      <c r="F2812" t="inlineStr">
        <is>
          <t>2026-02-12</t>
        </is>
      </c>
      <c r="G2812" t="n">
        <v>142</v>
      </c>
      <c r="H2812" t="inlineStr">
        <is>
          <t>Y</t>
        </is>
      </c>
      <c r="I2812">
        <f>HYPERLINK("https://admin.shopify.com/store/ge-beauty-cosmeticos/customers/10156511625536","abrir")</f>
        <v/>
      </c>
      <c r="J2812">
        <f>HYPERLINK("https://www.gebeauty.com.br/products/primer-cachos-definidos?ref=review","review")</f>
        <v/>
      </c>
      <c r="K2812" t="inlineStr">
        <is>
          <t>SEND</t>
        </is>
      </c>
    </row>
    <row r="2813">
      <c r="A2813" t="inlineStr">
        <is>
          <t>Lara</t>
        </is>
      </c>
      <c r="B2813" t="inlineStr">
        <is>
          <t>+5519999942543</t>
        </is>
      </c>
      <c r="C2813" t="inlineStr">
        <is>
          <t>Refill</t>
        </is>
      </c>
      <c r="D2813" t="inlineStr">
        <is>
          <t>Primer Cachos</t>
        </is>
      </c>
      <c r="E2813" t="n">
        <v>1</v>
      </c>
      <c r="F2813" t="inlineStr">
        <is>
          <t>2026-02-12</t>
        </is>
      </c>
      <c r="G2813" t="n">
        <v>142</v>
      </c>
      <c r="H2813" t="inlineStr">
        <is>
          <t>Y</t>
        </is>
      </c>
      <c r="I2813">
        <f>HYPERLINK("https://admin.shopify.com/store/ge-beauty-cosmeticos/customers/10149199905088","abrir")</f>
        <v/>
      </c>
      <c r="J2813">
        <f>HYPERLINK("https://www.gebeauty.com.br/products/primer-cachos-definidos?ref=review","review")</f>
        <v/>
      </c>
      <c r="K2813" t="inlineStr">
        <is>
          <t>SEND</t>
        </is>
      </c>
    </row>
    <row r="2814">
      <c r="A2814" t="inlineStr">
        <is>
          <t>Ana</t>
        </is>
      </c>
      <c r="B2814" t="inlineStr">
        <is>
          <t>+5521988158641</t>
        </is>
      </c>
      <c r="C2814" t="inlineStr">
        <is>
          <t>Refill</t>
        </is>
      </c>
      <c r="D2814" t="inlineStr">
        <is>
          <t>Primer Cachos</t>
        </is>
      </c>
      <c r="E2814" t="n">
        <v>1</v>
      </c>
      <c r="F2814" t="inlineStr">
        <is>
          <t>2026-02-13</t>
        </is>
      </c>
      <c r="G2814" t="n">
        <v>141</v>
      </c>
      <c r="H2814" t="inlineStr">
        <is>
          <t>Y</t>
        </is>
      </c>
      <c r="I2814">
        <f>HYPERLINK("https://admin.shopify.com/store/ge-beauty-cosmeticos/customers/10158212743488","abrir")</f>
        <v/>
      </c>
      <c r="J2814">
        <f>HYPERLINK("https://www.gebeauty.com.br/products/primer-cachos-definidos?ref=review","review")</f>
        <v/>
      </c>
      <c r="K2814" t="inlineStr">
        <is>
          <t>SEND</t>
        </is>
      </c>
    </row>
    <row r="2815">
      <c r="A2815" t="inlineStr">
        <is>
          <t>Bruna</t>
        </is>
      </c>
      <c r="B2815" t="inlineStr">
        <is>
          <t>+5511993978387</t>
        </is>
      </c>
      <c r="C2815" t="inlineStr">
        <is>
          <t>Refill</t>
        </is>
      </c>
      <c r="D2815" t="inlineStr">
        <is>
          <t>Primer Cachos</t>
        </is>
      </c>
      <c r="E2815" t="n">
        <v>1</v>
      </c>
      <c r="F2815" t="inlineStr">
        <is>
          <t>2026-02-13</t>
        </is>
      </c>
      <c r="G2815" t="n">
        <v>141</v>
      </c>
      <c r="H2815" t="inlineStr">
        <is>
          <t>Y</t>
        </is>
      </c>
      <c r="I2815">
        <f>HYPERLINK("https://admin.shopify.com/store/ge-beauty-cosmeticos/customers/10158222704960","abrir")</f>
        <v/>
      </c>
      <c r="J2815">
        <f>HYPERLINK("https://www.gebeauty.com.br/products/primer-cachos-definidos?ref=review","review")</f>
        <v/>
      </c>
      <c r="K2815" t="inlineStr">
        <is>
          <t>SEND</t>
        </is>
      </c>
    </row>
    <row r="2816">
      <c r="A2816" t="inlineStr">
        <is>
          <t>Mariana</t>
        </is>
      </c>
      <c r="B2816" t="inlineStr">
        <is>
          <t>+5582996023179</t>
        </is>
      </c>
      <c r="C2816" t="inlineStr">
        <is>
          <t>Refill</t>
        </is>
      </c>
      <c r="D2816" t="inlineStr">
        <is>
          <t>Primer Cachos</t>
        </is>
      </c>
      <c r="E2816" t="n">
        <v>1</v>
      </c>
      <c r="F2816" t="inlineStr">
        <is>
          <t>2026-02-13</t>
        </is>
      </c>
      <c r="G2816" t="n">
        <v>141</v>
      </c>
      <c r="H2816" t="inlineStr">
        <is>
          <t>Y</t>
        </is>
      </c>
      <c r="I2816">
        <f>HYPERLINK("https://admin.shopify.com/store/ge-beauty-cosmeticos/customers/10158246461760","abrir")</f>
        <v/>
      </c>
      <c r="J2816">
        <f>HYPERLINK("https://www.gebeauty.com.br/products/primer-cachos-definidos?ref=review","review")</f>
        <v/>
      </c>
      <c r="K2816" t="inlineStr">
        <is>
          <t>SEND</t>
        </is>
      </c>
    </row>
    <row r="2817">
      <c r="A2817" t="inlineStr">
        <is>
          <t>Isabela</t>
        </is>
      </c>
      <c r="B2817" t="inlineStr">
        <is>
          <t>+5512997835642</t>
        </is>
      </c>
      <c r="C2817" t="inlineStr">
        <is>
          <t>Refill</t>
        </is>
      </c>
      <c r="D2817" t="inlineStr">
        <is>
          <t>Primer Cachos</t>
        </is>
      </c>
      <c r="E2817" t="n">
        <v>1</v>
      </c>
      <c r="F2817" t="inlineStr">
        <is>
          <t>2026-02-13</t>
        </is>
      </c>
      <c r="G2817" t="n">
        <v>141</v>
      </c>
      <c r="H2817" t="inlineStr">
        <is>
          <t>Y</t>
        </is>
      </c>
      <c r="I2817">
        <f>HYPERLINK("https://admin.shopify.com/store/ge-beauty-cosmeticos/customers/10137550127424","abrir")</f>
        <v/>
      </c>
      <c r="J2817">
        <f>HYPERLINK("https://www.gebeauty.com.br/products/primer-cachos-definidos?ref=review","review")</f>
        <v/>
      </c>
      <c r="K2817" t="inlineStr">
        <is>
          <t>SEND</t>
        </is>
      </c>
    </row>
    <row r="2818">
      <c r="A2818" t="inlineStr">
        <is>
          <t>Patricia</t>
        </is>
      </c>
      <c r="B2818" t="inlineStr">
        <is>
          <t>+5571992079741</t>
        </is>
      </c>
      <c r="C2818" t="inlineStr">
        <is>
          <t>Refill</t>
        </is>
      </c>
      <c r="D2818" t="inlineStr">
        <is>
          <t>Primer Cachos</t>
        </is>
      </c>
      <c r="E2818" t="n">
        <v>1</v>
      </c>
      <c r="F2818" t="inlineStr">
        <is>
          <t>2026-02-13</t>
        </is>
      </c>
      <c r="G2818" t="n">
        <v>141</v>
      </c>
      <c r="H2818" t="inlineStr">
        <is>
          <t>Y</t>
        </is>
      </c>
      <c r="I2818">
        <f>HYPERLINK("https://admin.shopify.com/store/ge-beauty-cosmeticos/customers/10158349287744","abrir")</f>
        <v/>
      </c>
      <c r="J2818">
        <f>HYPERLINK("https://www.gebeauty.com.br/products/primer-cachos-definidos?ref=review","review")</f>
        <v/>
      </c>
      <c r="K2818" t="inlineStr">
        <is>
          <t>SEND</t>
        </is>
      </c>
    </row>
    <row r="2819">
      <c r="A2819" t="inlineStr">
        <is>
          <t>Naira</t>
        </is>
      </c>
      <c r="B2819" t="inlineStr">
        <is>
          <t>+5511993281559</t>
        </is>
      </c>
      <c r="C2819" t="inlineStr">
        <is>
          <t>Refill</t>
        </is>
      </c>
      <c r="D2819" t="inlineStr">
        <is>
          <t>Primer Cachos</t>
        </is>
      </c>
      <c r="E2819" t="n">
        <v>1</v>
      </c>
      <c r="F2819" t="inlineStr">
        <is>
          <t>2026-02-13</t>
        </is>
      </c>
      <c r="G2819" t="n">
        <v>141</v>
      </c>
      <c r="H2819" t="inlineStr">
        <is>
          <t>Y</t>
        </is>
      </c>
      <c r="I2819">
        <f>HYPERLINK("https://admin.shopify.com/store/ge-beauty-cosmeticos/customers/10096168730944","abrir")</f>
        <v/>
      </c>
      <c r="J2819">
        <f>HYPERLINK("https://www.gebeauty.com.br/products/primer-cachos-definidos?ref=review","review")</f>
        <v/>
      </c>
      <c r="K2819" t="inlineStr">
        <is>
          <t>SEND</t>
        </is>
      </c>
    </row>
    <row r="2820">
      <c r="A2820" t="inlineStr">
        <is>
          <t>Rafaela</t>
        </is>
      </c>
      <c r="B2820" t="inlineStr">
        <is>
          <t>+5511989795335</t>
        </is>
      </c>
      <c r="C2820" t="inlineStr">
        <is>
          <t>Refill</t>
        </is>
      </c>
      <c r="D2820" t="inlineStr">
        <is>
          <t>Primer Cachos</t>
        </is>
      </c>
      <c r="E2820" t="n">
        <v>1</v>
      </c>
      <c r="F2820" t="inlineStr">
        <is>
          <t>2026-02-13</t>
        </is>
      </c>
      <c r="G2820" t="n">
        <v>141</v>
      </c>
      <c r="H2820" t="inlineStr">
        <is>
          <t>Y</t>
        </is>
      </c>
      <c r="I2820">
        <f>HYPERLINK("https://admin.shopify.com/store/ge-beauty-cosmeticos/customers/9485183582528","abrir")</f>
        <v/>
      </c>
      <c r="J2820">
        <f>HYPERLINK("https://www.gebeauty.com.br/products/primer-cachos-definidos?ref=review","review")</f>
        <v/>
      </c>
      <c r="K2820" t="inlineStr">
        <is>
          <t>SEND</t>
        </is>
      </c>
    </row>
    <row r="2821">
      <c r="A2821" t="inlineStr">
        <is>
          <t>Vanessa</t>
        </is>
      </c>
      <c r="B2821" t="inlineStr">
        <is>
          <t>+5512997998757</t>
        </is>
      </c>
      <c r="C2821" t="inlineStr">
        <is>
          <t>Refill</t>
        </is>
      </c>
      <c r="D2821" t="inlineStr">
        <is>
          <t>Primer Cachos</t>
        </is>
      </c>
      <c r="E2821" t="n">
        <v>1</v>
      </c>
      <c r="F2821" t="inlineStr">
        <is>
          <t>2026-02-13</t>
        </is>
      </c>
      <c r="G2821" t="n">
        <v>141</v>
      </c>
      <c r="H2821" t="inlineStr">
        <is>
          <t>Y</t>
        </is>
      </c>
      <c r="I2821">
        <f>HYPERLINK("https://admin.shopify.com/store/ge-beauty-cosmeticos/customers/10074973045056","abrir")</f>
        <v/>
      </c>
      <c r="J2821">
        <f>HYPERLINK("https://www.gebeauty.com.br/products/primer-cachos-definidos?ref=review","review")</f>
        <v/>
      </c>
      <c r="K2821" t="inlineStr">
        <is>
          <t>SEND</t>
        </is>
      </c>
    </row>
    <row r="2822">
      <c r="A2822" t="inlineStr">
        <is>
          <t>Adriana</t>
        </is>
      </c>
      <c r="B2822" t="inlineStr">
        <is>
          <t>+5534999713388</t>
        </is>
      </c>
      <c r="C2822" t="inlineStr">
        <is>
          <t>Refill</t>
        </is>
      </c>
      <c r="D2822" t="inlineStr">
        <is>
          <t>Primer Cachos</t>
        </is>
      </c>
      <c r="E2822" t="n">
        <v>1</v>
      </c>
      <c r="F2822" t="inlineStr">
        <is>
          <t>2026-02-13</t>
        </is>
      </c>
      <c r="G2822" t="n">
        <v>141</v>
      </c>
      <c r="H2822" t="inlineStr">
        <is>
          <t>Y</t>
        </is>
      </c>
      <c r="I2822">
        <f>HYPERLINK("https://admin.shopify.com/store/ge-beauty-cosmeticos/customers/10144385990976","abrir")</f>
        <v/>
      </c>
      <c r="J2822">
        <f>HYPERLINK("https://www.gebeauty.com.br/products/primer-cachos-definidos?ref=review","review")</f>
        <v/>
      </c>
      <c r="K2822" t="inlineStr">
        <is>
          <t>SEND</t>
        </is>
      </c>
    </row>
    <row r="2823">
      <c r="A2823" t="inlineStr">
        <is>
          <t>Marisete</t>
        </is>
      </c>
      <c r="B2823" t="inlineStr">
        <is>
          <t>+5511995435515</t>
        </is>
      </c>
      <c r="C2823" t="inlineStr">
        <is>
          <t>Refill</t>
        </is>
      </c>
      <c r="D2823" t="inlineStr">
        <is>
          <t>Primer Cachos</t>
        </is>
      </c>
      <c r="E2823" t="n">
        <v>1</v>
      </c>
      <c r="F2823" t="inlineStr">
        <is>
          <t>2026-02-13</t>
        </is>
      </c>
      <c r="G2823" t="n">
        <v>141</v>
      </c>
      <c r="H2823" t="inlineStr">
        <is>
          <t>Y</t>
        </is>
      </c>
      <c r="I2823">
        <f>HYPERLINK("https://admin.shopify.com/store/ge-beauty-cosmeticos/customers/10159011168576","abrir")</f>
        <v/>
      </c>
      <c r="J2823">
        <f>HYPERLINK("https://www.gebeauty.com.br/products/primer-cachos-definidos?ref=review","review")</f>
        <v/>
      </c>
      <c r="K2823" t="inlineStr">
        <is>
          <t>SEND</t>
        </is>
      </c>
    </row>
    <row r="2824">
      <c r="A2824" t="inlineStr">
        <is>
          <t>Cláudia</t>
        </is>
      </c>
      <c r="B2824" t="inlineStr">
        <is>
          <t>+5551981150603</t>
        </is>
      </c>
      <c r="C2824" t="inlineStr">
        <is>
          <t>Refill</t>
        </is>
      </c>
      <c r="D2824" t="inlineStr">
        <is>
          <t>Primer Cachos</t>
        </is>
      </c>
      <c r="E2824" t="n">
        <v>1</v>
      </c>
      <c r="F2824" t="inlineStr">
        <is>
          <t>2026-02-13</t>
        </is>
      </c>
      <c r="G2824" t="n">
        <v>141</v>
      </c>
      <c r="H2824" t="inlineStr">
        <is>
          <t>Y</t>
        </is>
      </c>
      <c r="I2824">
        <f>HYPERLINK("https://admin.shopify.com/store/ge-beauty-cosmeticos/customers/10084113908032","abrir")</f>
        <v/>
      </c>
      <c r="J2824">
        <f>HYPERLINK("https://www.gebeauty.com.br/products/primer-cachos-definidos?ref=review","review")</f>
        <v/>
      </c>
      <c r="K2824" t="inlineStr">
        <is>
          <t>SEND</t>
        </is>
      </c>
    </row>
    <row r="2825">
      <c r="A2825" t="inlineStr">
        <is>
          <t>Manoela</t>
        </is>
      </c>
      <c r="B2825" t="inlineStr">
        <is>
          <t>+5547992566455</t>
        </is>
      </c>
      <c r="C2825" t="inlineStr">
        <is>
          <t>Refill</t>
        </is>
      </c>
      <c r="D2825" t="inlineStr">
        <is>
          <t>Primer Cachos</t>
        </is>
      </c>
      <c r="E2825" t="n">
        <v>1</v>
      </c>
      <c r="F2825" t="inlineStr">
        <is>
          <t>2026-02-13</t>
        </is>
      </c>
      <c r="G2825" t="n">
        <v>141</v>
      </c>
      <c r="H2825" t="inlineStr">
        <is>
          <t>Y</t>
        </is>
      </c>
      <c r="I2825">
        <f>HYPERLINK("https://admin.shopify.com/store/ge-beauty-cosmeticos/customers/10159046623552","abrir")</f>
        <v/>
      </c>
      <c r="J2825">
        <f>HYPERLINK("https://www.gebeauty.com.br/products/primer-cachos-definidos?ref=review","review")</f>
        <v/>
      </c>
      <c r="K2825" t="inlineStr">
        <is>
          <t>SEND</t>
        </is>
      </c>
    </row>
    <row r="2826">
      <c r="A2826" t="inlineStr">
        <is>
          <t>Anne</t>
        </is>
      </c>
      <c r="B2826" t="inlineStr">
        <is>
          <t>+5531988868992</t>
        </is>
      </c>
      <c r="C2826" t="inlineStr">
        <is>
          <t>Refill</t>
        </is>
      </c>
      <c r="D2826" t="inlineStr">
        <is>
          <t>Primer Cachos</t>
        </is>
      </c>
      <c r="E2826" t="n">
        <v>1</v>
      </c>
      <c r="F2826" t="inlineStr">
        <is>
          <t>2026-02-13</t>
        </is>
      </c>
      <c r="G2826" t="n">
        <v>141</v>
      </c>
      <c r="H2826" t="inlineStr">
        <is>
          <t>Y</t>
        </is>
      </c>
      <c r="I2826">
        <f>HYPERLINK("https://admin.shopify.com/store/ge-beauty-cosmeticos/customers/10159103967552","abrir")</f>
        <v/>
      </c>
      <c r="J2826">
        <f>HYPERLINK("https://www.gebeauty.com.br/products/primer-cachos-definidos?ref=review","review")</f>
        <v/>
      </c>
      <c r="K2826" t="inlineStr">
        <is>
          <t>SEND</t>
        </is>
      </c>
    </row>
    <row r="2827">
      <c r="A2827" t="inlineStr">
        <is>
          <t>Adriana</t>
        </is>
      </c>
      <c r="B2827" t="inlineStr">
        <is>
          <t>+5513988286358</t>
        </is>
      </c>
      <c r="C2827" t="inlineStr">
        <is>
          <t>Refill</t>
        </is>
      </c>
      <c r="D2827" t="inlineStr">
        <is>
          <t>Primer Cachos</t>
        </is>
      </c>
      <c r="E2827" t="n">
        <v>1</v>
      </c>
      <c r="F2827" t="inlineStr">
        <is>
          <t>2026-02-13</t>
        </is>
      </c>
      <c r="G2827" t="n">
        <v>141</v>
      </c>
      <c r="H2827" t="inlineStr">
        <is>
          <t>Y</t>
        </is>
      </c>
      <c r="I2827">
        <f>HYPERLINK("https://admin.shopify.com/store/ge-beauty-cosmeticos/customers/10006429565248","abrir")</f>
        <v/>
      </c>
      <c r="J2827">
        <f>HYPERLINK("https://www.gebeauty.com.br/products/primer-cachos-definidos?ref=review","review")</f>
        <v/>
      </c>
      <c r="K2827" t="inlineStr">
        <is>
          <t>SEND</t>
        </is>
      </c>
    </row>
    <row r="2828">
      <c r="A2828" t="inlineStr">
        <is>
          <t>Ana</t>
        </is>
      </c>
      <c r="B2828" t="inlineStr">
        <is>
          <t>+5524999679319</t>
        </is>
      </c>
      <c r="C2828" t="inlineStr">
        <is>
          <t>Refill</t>
        </is>
      </c>
      <c r="D2828" t="inlineStr">
        <is>
          <t>Primer Cachos</t>
        </is>
      </c>
      <c r="E2828" t="n">
        <v>1</v>
      </c>
      <c r="F2828" t="inlineStr">
        <is>
          <t>2026-02-13</t>
        </is>
      </c>
      <c r="G2828" t="n">
        <v>141</v>
      </c>
      <c r="H2828" t="inlineStr">
        <is>
          <t>Y</t>
        </is>
      </c>
      <c r="I2828">
        <f>HYPERLINK("https://admin.shopify.com/store/ge-beauty-cosmeticos/customers/9484995821888","abrir")</f>
        <v/>
      </c>
      <c r="J2828">
        <f>HYPERLINK("https://www.gebeauty.com.br/products/primer-cachos-definidos?ref=review","review")</f>
        <v/>
      </c>
      <c r="K2828" t="inlineStr">
        <is>
          <t>SEND</t>
        </is>
      </c>
    </row>
    <row r="2829">
      <c r="A2829" t="inlineStr">
        <is>
          <t>Marianne</t>
        </is>
      </c>
      <c r="B2829" t="inlineStr">
        <is>
          <t>+5521997797982</t>
        </is>
      </c>
      <c r="C2829" t="inlineStr">
        <is>
          <t>Refill</t>
        </is>
      </c>
      <c r="D2829" t="inlineStr">
        <is>
          <t>Primer Cachos</t>
        </is>
      </c>
      <c r="E2829" t="n">
        <v>1</v>
      </c>
      <c r="F2829" t="inlineStr">
        <is>
          <t>2026-02-13</t>
        </is>
      </c>
      <c r="G2829" t="n">
        <v>141</v>
      </c>
      <c r="H2829" t="inlineStr">
        <is>
          <t>Y</t>
        </is>
      </c>
      <c r="I2829">
        <f>HYPERLINK("https://admin.shopify.com/store/ge-beauty-cosmeticos/customers/10159213969728","abrir")</f>
        <v/>
      </c>
      <c r="J2829">
        <f>HYPERLINK("https://www.gebeauty.com.br/products/primer-cachos-definidos?ref=review","review")</f>
        <v/>
      </c>
      <c r="K2829" t="inlineStr">
        <is>
          <t>SEND</t>
        </is>
      </c>
    </row>
    <row r="2830">
      <c r="A2830" t="inlineStr">
        <is>
          <t>Vanessa</t>
        </is>
      </c>
      <c r="B2830" t="inlineStr">
        <is>
          <t>+5511947058060</t>
        </is>
      </c>
      <c r="C2830" t="inlineStr">
        <is>
          <t>Refill</t>
        </is>
      </c>
      <c r="D2830" t="inlineStr">
        <is>
          <t>Primer Cachos</t>
        </is>
      </c>
      <c r="E2830" t="n">
        <v>1</v>
      </c>
      <c r="F2830" t="inlineStr">
        <is>
          <t>2026-02-13</t>
        </is>
      </c>
      <c r="G2830" t="n">
        <v>141</v>
      </c>
      <c r="H2830" t="inlineStr">
        <is>
          <t>Y</t>
        </is>
      </c>
      <c r="I2830">
        <f>HYPERLINK("https://admin.shopify.com/store/ge-beauty-cosmeticos/customers/8430342996288","abrir")</f>
        <v/>
      </c>
      <c r="J2830">
        <f>HYPERLINK("https://www.gebeauty.com.br/products/primer-cachos-definidos?ref=review","review")</f>
        <v/>
      </c>
      <c r="K2830" t="inlineStr">
        <is>
          <t>SEND</t>
        </is>
      </c>
    </row>
    <row r="2831">
      <c r="A2831" t="inlineStr">
        <is>
          <t>Ana Caroline</t>
        </is>
      </c>
      <c r="B2831" t="inlineStr">
        <is>
          <t>+5519992994413</t>
        </is>
      </c>
      <c r="C2831" t="inlineStr">
        <is>
          <t>Refill</t>
        </is>
      </c>
      <c r="D2831" t="inlineStr">
        <is>
          <t>Primer Cachos</t>
        </is>
      </c>
      <c r="E2831" t="n">
        <v>1</v>
      </c>
      <c r="F2831" t="inlineStr">
        <is>
          <t>2026-02-13</t>
        </is>
      </c>
      <c r="G2831" t="n">
        <v>141</v>
      </c>
      <c r="H2831" t="inlineStr">
        <is>
          <t>N</t>
        </is>
      </c>
      <c r="I2831">
        <f>HYPERLINK("https://admin.shopify.com/store/ge-beauty-cosmeticos/customers/10074388332864","abrir")</f>
        <v/>
      </c>
      <c r="J2831">
        <f>HYPERLINK("https://www.gebeauty.com.br/products/primer-cachos-definidos?ref=review","review")</f>
        <v/>
      </c>
      <c r="K2831" t="inlineStr">
        <is>
          <t>SEND</t>
        </is>
      </c>
    </row>
    <row r="2832">
      <c r="A2832" t="inlineStr">
        <is>
          <t>Marianna</t>
        </is>
      </c>
      <c r="B2832" t="inlineStr">
        <is>
          <t>+5511964839588</t>
        </is>
      </c>
      <c r="C2832" t="inlineStr">
        <is>
          <t>Refill</t>
        </is>
      </c>
      <c r="D2832" t="inlineStr">
        <is>
          <t>Primer Cachos</t>
        </is>
      </c>
      <c r="E2832" t="n">
        <v>1</v>
      </c>
      <c r="F2832" t="inlineStr">
        <is>
          <t>2026-02-13</t>
        </is>
      </c>
      <c r="G2832" t="n">
        <v>141</v>
      </c>
      <c r="H2832" t="inlineStr">
        <is>
          <t>Y</t>
        </is>
      </c>
      <c r="I2832">
        <f>HYPERLINK("https://admin.shopify.com/store/ge-beauty-cosmeticos/customers/10159563243840","abrir")</f>
        <v/>
      </c>
      <c r="J2832">
        <f>HYPERLINK("https://www.gebeauty.com.br/products/primer-cachos-definidos?ref=review","review")</f>
        <v/>
      </c>
      <c r="K2832" t="inlineStr">
        <is>
          <t>SEND</t>
        </is>
      </c>
    </row>
    <row r="2833">
      <c r="A2833" t="inlineStr">
        <is>
          <t>Luana</t>
        </is>
      </c>
      <c r="B2833" t="inlineStr">
        <is>
          <t>+5519997575020</t>
        </is>
      </c>
      <c r="C2833" t="inlineStr">
        <is>
          <t>Refill</t>
        </is>
      </c>
      <c r="D2833" t="inlineStr">
        <is>
          <t>Primer Cachos</t>
        </is>
      </c>
      <c r="E2833" t="n">
        <v>1</v>
      </c>
      <c r="F2833" t="inlineStr">
        <is>
          <t>2026-02-13</t>
        </is>
      </c>
      <c r="G2833" t="n">
        <v>141</v>
      </c>
      <c r="H2833" t="inlineStr">
        <is>
          <t>Y</t>
        </is>
      </c>
      <c r="I2833">
        <f>HYPERLINK("https://admin.shopify.com/store/ge-beauty-cosmeticos/customers/10159571534144","abrir")</f>
        <v/>
      </c>
      <c r="J2833">
        <f>HYPERLINK("https://www.gebeauty.com.br/products/primer-cachos-definidos?ref=review","review")</f>
        <v/>
      </c>
      <c r="K2833" t="inlineStr">
        <is>
          <t>SEND</t>
        </is>
      </c>
    </row>
    <row r="2834">
      <c r="A2834" t="inlineStr">
        <is>
          <t>Maria</t>
        </is>
      </c>
      <c r="B2834" t="inlineStr">
        <is>
          <t>+5585996003157</t>
        </is>
      </c>
      <c r="C2834" t="inlineStr">
        <is>
          <t>Refill</t>
        </is>
      </c>
      <c r="D2834" t="inlineStr">
        <is>
          <t>Primer Cachos</t>
        </is>
      </c>
      <c r="E2834" t="n">
        <v>1</v>
      </c>
      <c r="F2834" t="inlineStr">
        <is>
          <t>2026-02-13</t>
        </is>
      </c>
      <c r="G2834" t="n">
        <v>141</v>
      </c>
      <c r="H2834" t="inlineStr">
        <is>
          <t>Y</t>
        </is>
      </c>
      <c r="I2834">
        <f>HYPERLINK("https://admin.shopify.com/store/ge-beauty-cosmeticos/customers/10159620915520","abrir")</f>
        <v/>
      </c>
      <c r="J2834">
        <f>HYPERLINK("https://www.gebeauty.com.br/products/primer-cachos-definidos?ref=review","review")</f>
        <v/>
      </c>
      <c r="K2834" t="inlineStr">
        <is>
          <t>SEND</t>
        </is>
      </c>
    </row>
    <row r="2835">
      <c r="A2835" t="inlineStr">
        <is>
          <t>Jerusa</t>
        </is>
      </c>
      <c r="B2835" t="inlineStr">
        <is>
          <t>+5533984168058</t>
        </is>
      </c>
      <c r="C2835" t="inlineStr">
        <is>
          <t>Refill</t>
        </is>
      </c>
      <c r="D2835" t="inlineStr">
        <is>
          <t>Primer Cachos</t>
        </is>
      </c>
      <c r="E2835" t="n">
        <v>1</v>
      </c>
      <c r="F2835" t="inlineStr">
        <is>
          <t>2026-02-13</t>
        </is>
      </c>
      <c r="G2835" t="n">
        <v>141</v>
      </c>
      <c r="H2835" t="inlineStr">
        <is>
          <t>Y</t>
        </is>
      </c>
      <c r="I2835">
        <f>HYPERLINK("https://admin.shopify.com/store/ge-beauty-cosmeticos/customers/10159629107520","abrir")</f>
        <v/>
      </c>
      <c r="J2835">
        <f>HYPERLINK("https://www.gebeauty.com.br/products/primer-cachos-definidos?ref=review","review")</f>
        <v/>
      </c>
      <c r="K2835" t="inlineStr">
        <is>
          <t>SEND</t>
        </is>
      </c>
    </row>
    <row r="2836">
      <c r="A2836" t="inlineStr">
        <is>
          <t>Carina</t>
        </is>
      </c>
      <c r="B2836" t="inlineStr">
        <is>
          <t>+5519997079852</t>
        </is>
      </c>
      <c r="C2836" t="inlineStr">
        <is>
          <t>Refill</t>
        </is>
      </c>
      <c r="D2836" t="inlineStr">
        <is>
          <t>Primer Cachos</t>
        </is>
      </c>
      <c r="E2836" t="n">
        <v>1</v>
      </c>
      <c r="F2836" t="inlineStr">
        <is>
          <t>2026-02-13</t>
        </is>
      </c>
      <c r="G2836" t="n">
        <v>141</v>
      </c>
      <c r="H2836" t="inlineStr">
        <is>
          <t>Y</t>
        </is>
      </c>
      <c r="I2836">
        <f>HYPERLINK("https://admin.shopify.com/store/ge-beauty-cosmeticos/customers/10159720071488","abrir")</f>
        <v/>
      </c>
      <c r="J2836">
        <f>HYPERLINK("https://www.gebeauty.com.br/products/primer-cachos-definidos?ref=review","review")</f>
        <v/>
      </c>
      <c r="K2836" t="inlineStr">
        <is>
          <t>SEND</t>
        </is>
      </c>
    </row>
    <row r="2837">
      <c r="A2837" t="inlineStr">
        <is>
          <t>Leticia</t>
        </is>
      </c>
      <c r="B2837" t="inlineStr">
        <is>
          <t>+5511973553232</t>
        </is>
      </c>
      <c r="C2837" t="inlineStr">
        <is>
          <t>Refill</t>
        </is>
      </c>
      <c r="D2837" t="inlineStr">
        <is>
          <t>Primer Cachos</t>
        </is>
      </c>
      <c r="E2837" t="n">
        <v>1</v>
      </c>
      <c r="F2837" t="inlineStr">
        <is>
          <t>2026-02-13</t>
        </is>
      </c>
      <c r="G2837" t="n">
        <v>141</v>
      </c>
      <c r="H2837" t="inlineStr">
        <is>
          <t>Y</t>
        </is>
      </c>
      <c r="I2837">
        <f>HYPERLINK("https://admin.shopify.com/store/ge-beauty-cosmeticos/customers/10158126334272","abrir")</f>
        <v/>
      </c>
      <c r="J2837">
        <f>HYPERLINK("https://www.gebeauty.com.br/products/primer-cachos-definidos?ref=review","review")</f>
        <v/>
      </c>
      <c r="K2837" t="inlineStr">
        <is>
          <t>SEND</t>
        </is>
      </c>
    </row>
    <row r="2838">
      <c r="A2838" t="inlineStr">
        <is>
          <t>Luciana</t>
        </is>
      </c>
      <c r="B2838" t="inlineStr">
        <is>
          <t>+5531987159642</t>
        </is>
      </c>
      <c r="C2838" t="inlineStr">
        <is>
          <t>Refill</t>
        </is>
      </c>
      <c r="D2838" t="inlineStr">
        <is>
          <t>Primer Cachos</t>
        </is>
      </c>
      <c r="E2838" t="n">
        <v>1</v>
      </c>
      <c r="F2838" t="inlineStr">
        <is>
          <t>2026-02-13</t>
        </is>
      </c>
      <c r="G2838" t="n">
        <v>141</v>
      </c>
      <c r="H2838" t="inlineStr">
        <is>
          <t>Y</t>
        </is>
      </c>
      <c r="I2838">
        <f>HYPERLINK("https://admin.shopify.com/store/ge-beauty-cosmeticos/customers/9849831457088","abrir")</f>
        <v/>
      </c>
      <c r="J2838">
        <f>HYPERLINK("https://www.gebeauty.com.br/products/primer-cachos-definidos?ref=review","review")</f>
        <v/>
      </c>
      <c r="K2838" t="inlineStr">
        <is>
          <t>HOLDOUT</t>
        </is>
      </c>
    </row>
    <row r="2839">
      <c r="A2839" t="inlineStr">
        <is>
          <t>Marília</t>
        </is>
      </c>
      <c r="B2839" t="inlineStr">
        <is>
          <t>+5519981428064</t>
        </is>
      </c>
      <c r="C2839" t="inlineStr">
        <is>
          <t>Refill</t>
        </is>
      </c>
      <c r="D2839" t="inlineStr">
        <is>
          <t>Primer Cachos</t>
        </is>
      </c>
      <c r="E2839" t="n">
        <v>1</v>
      </c>
      <c r="F2839" t="inlineStr">
        <is>
          <t>2026-02-13</t>
        </is>
      </c>
      <c r="G2839" t="n">
        <v>141</v>
      </c>
      <c r="H2839" t="inlineStr">
        <is>
          <t>Y</t>
        </is>
      </c>
      <c r="I2839">
        <f>HYPERLINK("https://admin.shopify.com/store/ge-beauty-cosmeticos/customers/10029443350848","abrir")</f>
        <v/>
      </c>
      <c r="J2839">
        <f>HYPERLINK("https://www.gebeauty.com.br/products/primer-cachos-definidos?ref=review","review")</f>
        <v/>
      </c>
      <c r="K2839" t="inlineStr">
        <is>
          <t>SEND</t>
        </is>
      </c>
    </row>
    <row r="2840">
      <c r="A2840" t="inlineStr">
        <is>
          <t>Maria</t>
        </is>
      </c>
      <c r="B2840" t="inlineStr">
        <is>
          <t>+5521996851973</t>
        </is>
      </c>
      <c r="C2840" t="inlineStr">
        <is>
          <t>Refill</t>
        </is>
      </c>
      <c r="D2840" t="inlineStr">
        <is>
          <t>Primer Cachos</t>
        </is>
      </c>
      <c r="E2840" t="n">
        <v>1</v>
      </c>
      <c r="F2840" t="inlineStr">
        <is>
          <t>2026-02-13</t>
        </is>
      </c>
      <c r="G2840" t="n">
        <v>141</v>
      </c>
      <c r="H2840" t="inlineStr">
        <is>
          <t>Y</t>
        </is>
      </c>
      <c r="I2840">
        <f>HYPERLINK("https://admin.shopify.com/store/ge-beauty-cosmeticos/customers/10159792030016","abrir")</f>
        <v/>
      </c>
      <c r="J2840">
        <f>HYPERLINK("https://www.gebeauty.com.br/products/primer-cachos-definidos?ref=review","review")</f>
        <v/>
      </c>
      <c r="K2840" t="inlineStr">
        <is>
          <t>SEND</t>
        </is>
      </c>
    </row>
    <row r="2841">
      <c r="A2841" t="inlineStr">
        <is>
          <t>Ana</t>
        </is>
      </c>
      <c r="B2841" t="inlineStr">
        <is>
          <t>+5511949853039</t>
        </is>
      </c>
      <c r="C2841" t="inlineStr">
        <is>
          <t>Refill</t>
        </is>
      </c>
      <c r="D2841" t="inlineStr">
        <is>
          <t>Primer Cachos</t>
        </is>
      </c>
      <c r="E2841" t="n">
        <v>1</v>
      </c>
      <c r="F2841" t="inlineStr">
        <is>
          <t>2026-02-13</t>
        </is>
      </c>
      <c r="G2841" t="n">
        <v>141</v>
      </c>
      <c r="H2841" t="inlineStr">
        <is>
          <t>Y</t>
        </is>
      </c>
      <c r="I2841">
        <f>HYPERLINK("https://admin.shopify.com/store/ge-beauty-cosmeticos/customers/9484903416128","abrir")</f>
        <v/>
      </c>
      <c r="J2841">
        <f>HYPERLINK("https://www.gebeauty.com.br/products/primer-cachos-definidos?ref=review","review")</f>
        <v/>
      </c>
      <c r="K2841" t="inlineStr">
        <is>
          <t>SEND</t>
        </is>
      </c>
    </row>
    <row r="2842">
      <c r="A2842" t="inlineStr">
        <is>
          <t>Cristiane</t>
        </is>
      </c>
      <c r="B2842" t="inlineStr">
        <is>
          <t>+5511992920173</t>
        </is>
      </c>
      <c r="C2842" t="inlineStr">
        <is>
          <t>Refill</t>
        </is>
      </c>
      <c r="D2842" t="inlineStr">
        <is>
          <t>Primer Cachos</t>
        </is>
      </c>
      <c r="E2842" t="n">
        <v>1</v>
      </c>
      <c r="F2842" t="inlineStr">
        <is>
          <t>2026-02-13</t>
        </is>
      </c>
      <c r="G2842" t="n">
        <v>141</v>
      </c>
      <c r="H2842" t="inlineStr">
        <is>
          <t>Y</t>
        </is>
      </c>
      <c r="I2842">
        <f>HYPERLINK("https://admin.shopify.com/store/ge-beauty-cosmeticos/customers/10093871432000","abrir")</f>
        <v/>
      </c>
      <c r="J2842">
        <f>HYPERLINK("https://www.gebeauty.com.br/products/primer-cachos-definidos?ref=review","review")</f>
        <v/>
      </c>
      <c r="K2842" t="inlineStr">
        <is>
          <t>SEND</t>
        </is>
      </c>
    </row>
    <row r="2843">
      <c r="A2843" t="inlineStr">
        <is>
          <t>Gerlania</t>
        </is>
      </c>
      <c r="B2843" t="inlineStr">
        <is>
          <t>+5561991679442</t>
        </is>
      </c>
      <c r="C2843" t="inlineStr">
        <is>
          <t>Refill</t>
        </is>
      </c>
      <c r="D2843" t="inlineStr">
        <is>
          <t>Primer Cachos</t>
        </is>
      </c>
      <c r="E2843" t="n">
        <v>1</v>
      </c>
      <c r="F2843" t="inlineStr">
        <is>
          <t>2026-02-13</t>
        </is>
      </c>
      <c r="G2843" t="n">
        <v>141</v>
      </c>
      <c r="H2843" t="inlineStr">
        <is>
          <t>Y</t>
        </is>
      </c>
      <c r="I2843">
        <f>HYPERLINK("https://admin.shopify.com/store/ge-beauty-cosmeticos/customers/10159845638464","abrir")</f>
        <v/>
      </c>
      <c r="J2843">
        <f>HYPERLINK("https://www.gebeauty.com.br/products/primer-cachos-definidos?ref=review","review")</f>
        <v/>
      </c>
      <c r="K2843" t="inlineStr">
        <is>
          <t>SEND</t>
        </is>
      </c>
    </row>
    <row r="2844">
      <c r="A2844" t="inlineStr">
        <is>
          <t>Alessandro</t>
        </is>
      </c>
      <c r="B2844" t="inlineStr">
        <is>
          <t>+5517981652985</t>
        </is>
      </c>
      <c r="C2844" t="inlineStr">
        <is>
          <t>Refill</t>
        </is>
      </c>
      <c r="D2844" t="inlineStr">
        <is>
          <t>Primer Cachos</t>
        </is>
      </c>
      <c r="E2844" t="n">
        <v>1</v>
      </c>
      <c r="F2844" t="inlineStr">
        <is>
          <t>2026-02-13</t>
        </is>
      </c>
      <c r="G2844" t="n">
        <v>141</v>
      </c>
      <c r="H2844" t="inlineStr">
        <is>
          <t>Y</t>
        </is>
      </c>
      <c r="I2844">
        <f>HYPERLINK("https://admin.shopify.com/store/ge-beauty-cosmeticos/customers/10159845048640","abrir")</f>
        <v/>
      </c>
      <c r="J2844">
        <f>HYPERLINK("https://www.gebeauty.com.br/products/primer-cachos-definidos?ref=review","review")</f>
        <v/>
      </c>
      <c r="K2844" t="inlineStr">
        <is>
          <t>SEND</t>
        </is>
      </c>
    </row>
    <row r="2845">
      <c r="A2845" t="inlineStr">
        <is>
          <t>Thalita</t>
        </is>
      </c>
      <c r="B2845" t="inlineStr">
        <is>
          <t>+5535988766647</t>
        </is>
      </c>
      <c r="C2845" t="inlineStr">
        <is>
          <t>Refill</t>
        </is>
      </c>
      <c r="D2845" t="inlineStr">
        <is>
          <t>Primer Cachos</t>
        </is>
      </c>
      <c r="E2845" t="n">
        <v>1</v>
      </c>
      <c r="F2845" t="inlineStr">
        <is>
          <t>2026-02-13</t>
        </is>
      </c>
      <c r="G2845" t="n">
        <v>141</v>
      </c>
      <c r="H2845" t="inlineStr">
        <is>
          <t>Y</t>
        </is>
      </c>
      <c r="I2845">
        <f>HYPERLINK("https://admin.shopify.com/store/ge-beauty-cosmeticos/customers/10098666897728","abrir")</f>
        <v/>
      </c>
      <c r="J2845">
        <f>HYPERLINK("https://www.gebeauty.com.br/products/primer-cachos-definidos?ref=review","review")</f>
        <v/>
      </c>
      <c r="K2845" t="inlineStr">
        <is>
          <t>SEND</t>
        </is>
      </c>
    </row>
    <row r="2846">
      <c r="A2846" t="inlineStr">
        <is>
          <t>Marleia</t>
        </is>
      </c>
      <c r="B2846" t="inlineStr">
        <is>
          <t>+5527999525966</t>
        </is>
      </c>
      <c r="C2846" t="inlineStr">
        <is>
          <t>Refill</t>
        </is>
      </c>
      <c r="D2846" t="inlineStr">
        <is>
          <t>Primer Cachos</t>
        </is>
      </c>
      <c r="E2846" t="n">
        <v>1</v>
      </c>
      <c r="F2846" t="inlineStr">
        <is>
          <t>2026-02-13</t>
        </is>
      </c>
      <c r="G2846" t="n">
        <v>141</v>
      </c>
      <c r="H2846" t="inlineStr">
        <is>
          <t>Y</t>
        </is>
      </c>
      <c r="I2846">
        <f>HYPERLINK("https://admin.shopify.com/store/ge-beauty-cosmeticos/customers/10099656786240","abrir")</f>
        <v/>
      </c>
      <c r="J2846">
        <f>HYPERLINK("https://www.gebeauty.com.br/products/primer-cachos-definidos?ref=review","review")</f>
        <v/>
      </c>
      <c r="K2846" t="inlineStr">
        <is>
          <t>SEND</t>
        </is>
      </c>
    </row>
    <row r="2847">
      <c r="A2847" t="inlineStr">
        <is>
          <t>Alda</t>
        </is>
      </c>
      <c r="B2847" t="inlineStr">
        <is>
          <t>+5561992772153</t>
        </is>
      </c>
      <c r="C2847" t="inlineStr">
        <is>
          <t>Refill</t>
        </is>
      </c>
      <c r="D2847" t="inlineStr">
        <is>
          <t>Primer Cachos</t>
        </is>
      </c>
      <c r="E2847" t="n">
        <v>1</v>
      </c>
      <c r="F2847" t="inlineStr">
        <is>
          <t>2026-02-13</t>
        </is>
      </c>
      <c r="G2847" t="n">
        <v>141</v>
      </c>
      <c r="H2847" t="inlineStr">
        <is>
          <t>Y</t>
        </is>
      </c>
      <c r="I2847">
        <f>HYPERLINK("https://admin.shopify.com/store/ge-beauty-cosmeticos/customers/10082092056896","abrir")</f>
        <v/>
      </c>
      <c r="J2847">
        <f>HYPERLINK("https://www.gebeauty.com.br/products/primer-cachos-definidos?ref=review","review")</f>
        <v/>
      </c>
      <c r="K2847" t="inlineStr">
        <is>
          <t>SEND</t>
        </is>
      </c>
    </row>
    <row r="2848">
      <c r="A2848" t="inlineStr">
        <is>
          <t>Milena</t>
        </is>
      </c>
      <c r="B2848" t="inlineStr">
        <is>
          <t>+5565981691977</t>
        </is>
      </c>
      <c r="C2848" t="inlineStr">
        <is>
          <t>Refill</t>
        </is>
      </c>
      <c r="D2848" t="inlineStr">
        <is>
          <t>Primer Cachos</t>
        </is>
      </c>
      <c r="E2848" t="n">
        <v>1</v>
      </c>
      <c r="F2848" t="inlineStr">
        <is>
          <t>2026-02-13</t>
        </is>
      </c>
      <c r="G2848" t="n">
        <v>141</v>
      </c>
      <c r="H2848" t="inlineStr">
        <is>
          <t>Y</t>
        </is>
      </c>
      <c r="I2848">
        <f>HYPERLINK("https://admin.shopify.com/store/ge-beauty-cosmeticos/customers/10099963986240","abrir")</f>
        <v/>
      </c>
      <c r="J2848">
        <f>HYPERLINK("https://www.gebeauty.com.br/products/primer-cachos-definidos?ref=review","review")</f>
        <v/>
      </c>
      <c r="K2848" t="inlineStr">
        <is>
          <t>SEND</t>
        </is>
      </c>
    </row>
    <row r="2849">
      <c r="A2849" t="inlineStr">
        <is>
          <t>Caruani</t>
        </is>
      </c>
      <c r="B2849" t="inlineStr">
        <is>
          <t>+5519988679067</t>
        </is>
      </c>
      <c r="C2849" t="inlineStr">
        <is>
          <t>Refill</t>
        </is>
      </c>
      <c r="D2849" t="inlineStr">
        <is>
          <t>Primer Cachos</t>
        </is>
      </c>
      <c r="E2849" t="n">
        <v>1</v>
      </c>
      <c r="F2849" t="inlineStr">
        <is>
          <t>2026-02-13</t>
        </is>
      </c>
      <c r="G2849" t="n">
        <v>141</v>
      </c>
      <c r="H2849" t="inlineStr">
        <is>
          <t>Y</t>
        </is>
      </c>
      <c r="I2849">
        <f>HYPERLINK("https://admin.shopify.com/store/ge-beauty-cosmeticos/customers/10159898788160","abrir")</f>
        <v/>
      </c>
      <c r="J2849">
        <f>HYPERLINK("https://www.gebeauty.com.br/products/primer-cachos-definidos?ref=review","review")</f>
        <v/>
      </c>
      <c r="K2849" t="inlineStr">
        <is>
          <t>SEND</t>
        </is>
      </c>
    </row>
    <row r="2850">
      <c r="A2850" t="inlineStr">
        <is>
          <t>Vanessa</t>
        </is>
      </c>
      <c r="B2850" t="inlineStr">
        <is>
          <t>+5553981360954</t>
        </is>
      </c>
      <c r="C2850" t="inlineStr">
        <is>
          <t>Refill</t>
        </is>
      </c>
      <c r="D2850" t="inlineStr">
        <is>
          <t>Primer Cachos</t>
        </is>
      </c>
      <c r="E2850" t="n">
        <v>1</v>
      </c>
      <c r="F2850" t="inlineStr">
        <is>
          <t>2026-02-13</t>
        </is>
      </c>
      <c r="G2850" t="n">
        <v>141</v>
      </c>
      <c r="H2850" t="inlineStr">
        <is>
          <t>Y</t>
        </is>
      </c>
      <c r="I2850">
        <f>HYPERLINK("https://admin.shopify.com/store/ge-beauty-cosmeticos/customers/10079863275840","abrir")</f>
        <v/>
      </c>
      <c r="J2850">
        <f>HYPERLINK("https://www.gebeauty.com.br/products/primer-cachos-definidos?ref=review","review")</f>
        <v/>
      </c>
      <c r="K2850" t="inlineStr">
        <is>
          <t>SEND</t>
        </is>
      </c>
    </row>
    <row r="2851">
      <c r="A2851" t="inlineStr">
        <is>
          <t>Sandra</t>
        </is>
      </c>
      <c r="B2851" t="inlineStr">
        <is>
          <t>+5512982490006</t>
        </is>
      </c>
      <c r="C2851" t="inlineStr">
        <is>
          <t>Refill</t>
        </is>
      </c>
      <c r="D2851" t="inlineStr">
        <is>
          <t>Primer Cachos</t>
        </is>
      </c>
      <c r="E2851" t="n">
        <v>1</v>
      </c>
      <c r="F2851" t="inlineStr">
        <is>
          <t>2026-02-13</t>
        </is>
      </c>
      <c r="G2851" t="n">
        <v>141</v>
      </c>
      <c r="H2851" t="inlineStr">
        <is>
          <t>Y</t>
        </is>
      </c>
      <c r="I2851">
        <f>HYPERLINK("https://admin.shopify.com/store/ge-beauty-cosmeticos/customers/10092465914176","abrir")</f>
        <v/>
      </c>
      <c r="J2851">
        <f>HYPERLINK("https://www.gebeauty.com.br/products/primer-cachos-definidos?ref=review","review")</f>
        <v/>
      </c>
      <c r="K2851" t="inlineStr">
        <is>
          <t>SEND</t>
        </is>
      </c>
    </row>
    <row r="2852">
      <c r="A2852" t="inlineStr">
        <is>
          <t>Lais</t>
        </is>
      </c>
      <c r="B2852" t="inlineStr">
        <is>
          <t>+5551998220187</t>
        </is>
      </c>
      <c r="C2852" t="inlineStr">
        <is>
          <t>Refill</t>
        </is>
      </c>
      <c r="D2852" t="inlineStr">
        <is>
          <t>Primer Cachos</t>
        </is>
      </c>
      <c r="E2852" t="n">
        <v>1</v>
      </c>
      <c r="F2852" t="inlineStr">
        <is>
          <t>2026-02-13</t>
        </is>
      </c>
      <c r="G2852" t="n">
        <v>141</v>
      </c>
      <c r="H2852" t="inlineStr">
        <is>
          <t>Y</t>
        </is>
      </c>
      <c r="I2852">
        <f>HYPERLINK("https://admin.shopify.com/store/ge-beauty-cosmeticos/customers/10083479912768","abrir")</f>
        <v/>
      </c>
      <c r="J2852">
        <f>HYPERLINK("https://www.gebeauty.com.br/products/primer-cachos-definidos?ref=review","review")</f>
        <v/>
      </c>
      <c r="K2852" t="inlineStr">
        <is>
          <t>SEND</t>
        </is>
      </c>
    </row>
    <row r="2853">
      <c r="A2853" t="inlineStr">
        <is>
          <t>Andreia</t>
        </is>
      </c>
      <c r="B2853" t="inlineStr">
        <is>
          <t>+5561991157473</t>
        </is>
      </c>
      <c r="C2853" t="inlineStr">
        <is>
          <t>Refill</t>
        </is>
      </c>
      <c r="D2853" t="inlineStr">
        <is>
          <t>Primer Cachos</t>
        </is>
      </c>
      <c r="E2853" t="n">
        <v>1</v>
      </c>
      <c r="F2853" t="inlineStr">
        <is>
          <t>2026-02-13</t>
        </is>
      </c>
      <c r="G2853" t="n">
        <v>141</v>
      </c>
      <c r="H2853" t="inlineStr">
        <is>
          <t>Y</t>
        </is>
      </c>
      <c r="I2853">
        <f>HYPERLINK("https://admin.shopify.com/store/ge-beauty-cosmeticos/customers/10160031596864","abrir")</f>
        <v/>
      </c>
      <c r="J2853">
        <f>HYPERLINK("https://www.gebeauty.com.br/products/primer-cachos-definidos?ref=review","review")</f>
        <v/>
      </c>
      <c r="K2853" t="inlineStr">
        <is>
          <t>SEND</t>
        </is>
      </c>
    </row>
    <row r="2854">
      <c r="A2854" t="inlineStr">
        <is>
          <t>Mariane</t>
        </is>
      </c>
      <c r="B2854" t="inlineStr">
        <is>
          <t>+5515998486685</t>
        </is>
      </c>
      <c r="C2854" t="inlineStr">
        <is>
          <t>Refill</t>
        </is>
      </c>
      <c r="D2854" t="inlineStr">
        <is>
          <t>Primer Cachos</t>
        </is>
      </c>
      <c r="E2854" t="n">
        <v>1</v>
      </c>
      <c r="F2854" t="inlineStr">
        <is>
          <t>2026-02-13</t>
        </is>
      </c>
      <c r="G2854" t="n">
        <v>141</v>
      </c>
      <c r="H2854" t="inlineStr">
        <is>
          <t>Y</t>
        </is>
      </c>
      <c r="I2854">
        <f>HYPERLINK("https://admin.shopify.com/store/ge-beauty-cosmeticos/customers/10160044310848","abrir")</f>
        <v/>
      </c>
      <c r="J2854">
        <f>HYPERLINK("https://www.gebeauty.com.br/products/primer-cachos-definidos?ref=review","review")</f>
        <v/>
      </c>
      <c r="K2854" t="inlineStr">
        <is>
          <t>SEND</t>
        </is>
      </c>
    </row>
    <row r="2855">
      <c r="A2855" t="inlineStr">
        <is>
          <t>Hemilly</t>
        </is>
      </c>
      <c r="B2855" t="inlineStr">
        <is>
          <t>+5511987823700</t>
        </is>
      </c>
      <c r="C2855" t="inlineStr">
        <is>
          <t>Refill</t>
        </is>
      </c>
      <c r="D2855" t="inlineStr">
        <is>
          <t>Primer Cachos</t>
        </is>
      </c>
      <c r="E2855" t="n">
        <v>1</v>
      </c>
      <c r="F2855" t="inlineStr">
        <is>
          <t>2026-02-13</t>
        </is>
      </c>
      <c r="G2855" t="n">
        <v>141</v>
      </c>
      <c r="H2855" t="inlineStr">
        <is>
          <t>Y</t>
        </is>
      </c>
      <c r="I2855">
        <f>HYPERLINK("https://admin.shopify.com/store/ge-beauty-cosmeticos/customers/10073092948288","abrir")</f>
        <v/>
      </c>
      <c r="J2855">
        <f>HYPERLINK("https://www.gebeauty.com.br/products/primer-cachos-definidos?ref=review","review")</f>
        <v/>
      </c>
      <c r="K2855" t="inlineStr">
        <is>
          <t>SEND</t>
        </is>
      </c>
    </row>
    <row r="2856">
      <c r="A2856" t="inlineStr">
        <is>
          <t>Karla</t>
        </is>
      </c>
      <c r="B2856" t="inlineStr">
        <is>
          <t>+5527992980940</t>
        </is>
      </c>
      <c r="C2856" t="inlineStr">
        <is>
          <t>Refill</t>
        </is>
      </c>
      <c r="D2856" t="inlineStr">
        <is>
          <t>Primer Cachos</t>
        </is>
      </c>
      <c r="E2856" t="n">
        <v>1</v>
      </c>
      <c r="F2856" t="inlineStr">
        <is>
          <t>2026-02-13</t>
        </is>
      </c>
      <c r="G2856" t="n">
        <v>141</v>
      </c>
      <c r="H2856" t="inlineStr">
        <is>
          <t>Y</t>
        </is>
      </c>
      <c r="I2856">
        <f>HYPERLINK("https://admin.shopify.com/store/ge-beauty-cosmeticos/customers/10160054206784","abrir")</f>
        <v/>
      </c>
      <c r="J2856">
        <f>HYPERLINK("https://www.gebeauty.com.br/products/primer-cachos-definidos?ref=review","review")</f>
        <v/>
      </c>
      <c r="K2856" t="inlineStr">
        <is>
          <t>SEND</t>
        </is>
      </c>
    </row>
    <row r="2857">
      <c r="A2857" t="inlineStr">
        <is>
          <t>Alessandra</t>
        </is>
      </c>
      <c r="B2857" t="inlineStr">
        <is>
          <t>+5511997905967</t>
        </is>
      </c>
      <c r="C2857" t="inlineStr">
        <is>
          <t>Refill</t>
        </is>
      </c>
      <c r="D2857" t="inlineStr">
        <is>
          <t>Primer Cachos</t>
        </is>
      </c>
      <c r="E2857" t="n">
        <v>1</v>
      </c>
      <c r="F2857" t="inlineStr">
        <is>
          <t>2026-02-13</t>
        </is>
      </c>
      <c r="G2857" t="n">
        <v>141</v>
      </c>
      <c r="H2857" t="inlineStr">
        <is>
          <t>Y</t>
        </is>
      </c>
      <c r="I2857">
        <f>HYPERLINK("https://admin.shopify.com/store/ge-beauty-cosmeticos/customers/10160155951424","abrir")</f>
        <v/>
      </c>
      <c r="J2857">
        <f>HYPERLINK("https://www.gebeauty.com.br/products/primer-cachos-definidos?ref=review","review")</f>
        <v/>
      </c>
      <c r="K2857" t="inlineStr">
        <is>
          <t>HOLDOUT</t>
        </is>
      </c>
    </row>
    <row r="2858">
      <c r="A2858" t="inlineStr">
        <is>
          <t>Laura</t>
        </is>
      </c>
      <c r="B2858" t="inlineStr">
        <is>
          <t>+5511952145309</t>
        </is>
      </c>
      <c r="C2858" t="inlineStr">
        <is>
          <t>Refill</t>
        </is>
      </c>
      <c r="D2858" t="inlineStr">
        <is>
          <t>Primer Cachos</t>
        </is>
      </c>
      <c r="E2858" t="n">
        <v>1</v>
      </c>
      <c r="F2858" t="inlineStr">
        <is>
          <t>2026-02-14</t>
        </is>
      </c>
      <c r="G2858" t="n">
        <v>140</v>
      </c>
      <c r="H2858" t="inlineStr">
        <is>
          <t>Y</t>
        </is>
      </c>
      <c r="I2858">
        <f>HYPERLINK("https://admin.shopify.com/store/ge-beauty-cosmeticos/customers/10160171647296","abrir")</f>
        <v/>
      </c>
      <c r="J2858">
        <f>HYPERLINK("https://www.gebeauty.com.br/products/primer-cachos-definidos?ref=review","review")</f>
        <v/>
      </c>
      <c r="K2858" t="inlineStr">
        <is>
          <t>SEND</t>
        </is>
      </c>
    </row>
    <row r="2859">
      <c r="A2859" t="inlineStr">
        <is>
          <t>Carla</t>
        </is>
      </c>
      <c r="B2859" t="inlineStr">
        <is>
          <t>+5511994622091</t>
        </is>
      </c>
      <c r="C2859" t="inlineStr">
        <is>
          <t>Refill</t>
        </is>
      </c>
      <c r="D2859" t="inlineStr">
        <is>
          <t>Primer Cachos</t>
        </is>
      </c>
      <c r="E2859" t="n">
        <v>1</v>
      </c>
      <c r="F2859" t="inlineStr">
        <is>
          <t>2026-02-14</t>
        </is>
      </c>
      <c r="G2859" t="n">
        <v>140</v>
      </c>
      <c r="H2859" t="inlineStr">
        <is>
          <t>Y</t>
        </is>
      </c>
      <c r="I2859">
        <f>HYPERLINK("https://admin.shopify.com/store/ge-beauty-cosmeticos/customers/10097059791168","abrir")</f>
        <v/>
      </c>
      <c r="J2859">
        <f>HYPERLINK("https://www.gebeauty.com.br/products/primer-cachos-definidos?ref=review","review")</f>
        <v/>
      </c>
      <c r="K2859" t="inlineStr">
        <is>
          <t>HOLDOUT</t>
        </is>
      </c>
    </row>
    <row r="2860">
      <c r="A2860" t="inlineStr">
        <is>
          <t>Maabia</t>
        </is>
      </c>
      <c r="B2860" t="inlineStr">
        <is>
          <t>+5573999424498</t>
        </is>
      </c>
      <c r="C2860" t="inlineStr">
        <is>
          <t>Refill</t>
        </is>
      </c>
      <c r="D2860" t="inlineStr">
        <is>
          <t>Primer Cachos</t>
        </is>
      </c>
      <c r="E2860" t="n">
        <v>1</v>
      </c>
      <c r="F2860" t="inlineStr">
        <is>
          <t>2026-02-14</t>
        </is>
      </c>
      <c r="G2860" t="n">
        <v>140</v>
      </c>
      <c r="H2860" t="inlineStr">
        <is>
          <t>Y</t>
        </is>
      </c>
      <c r="I2860">
        <f>HYPERLINK("https://admin.shopify.com/store/ge-beauty-cosmeticos/customers/10160172171584","abrir")</f>
        <v/>
      </c>
      <c r="J2860">
        <f>HYPERLINK("https://www.gebeauty.com.br/products/primer-cachos-definidos?ref=review","review")</f>
        <v/>
      </c>
      <c r="K2860" t="inlineStr">
        <is>
          <t>HOLDOUT</t>
        </is>
      </c>
    </row>
    <row r="2861">
      <c r="A2861" t="inlineStr">
        <is>
          <t>Andrea</t>
        </is>
      </c>
      <c r="B2861" t="inlineStr">
        <is>
          <t>+5511981237507</t>
        </is>
      </c>
      <c r="C2861" t="inlineStr">
        <is>
          <t>Refill</t>
        </is>
      </c>
      <c r="D2861" t="inlineStr">
        <is>
          <t>Primer Cachos</t>
        </is>
      </c>
      <c r="E2861" t="n">
        <v>1</v>
      </c>
      <c r="F2861" t="inlineStr">
        <is>
          <t>2026-02-14</t>
        </is>
      </c>
      <c r="G2861" t="n">
        <v>140</v>
      </c>
      <c r="H2861" t="inlineStr">
        <is>
          <t>Y</t>
        </is>
      </c>
      <c r="I2861">
        <f>HYPERLINK("https://admin.shopify.com/store/ge-beauty-cosmeticos/customers/10160255271232","abrir")</f>
        <v/>
      </c>
      <c r="J2861">
        <f>HYPERLINK("https://www.gebeauty.com.br/products/primer-cachos-definidos?ref=review","review")</f>
        <v/>
      </c>
      <c r="K2861" t="inlineStr">
        <is>
          <t>SEND</t>
        </is>
      </c>
    </row>
    <row r="2862">
      <c r="A2862" t="inlineStr">
        <is>
          <t>Dalvany</t>
        </is>
      </c>
      <c r="B2862" t="inlineStr">
        <is>
          <t>+5516991419332</t>
        </is>
      </c>
      <c r="C2862" t="inlineStr">
        <is>
          <t>Refill</t>
        </is>
      </c>
      <c r="D2862" t="inlineStr">
        <is>
          <t>Primer Cachos</t>
        </is>
      </c>
      <c r="E2862" t="n">
        <v>1</v>
      </c>
      <c r="F2862" t="inlineStr">
        <is>
          <t>2026-02-14</t>
        </is>
      </c>
      <c r="G2862" t="n">
        <v>140</v>
      </c>
      <c r="H2862" t="inlineStr">
        <is>
          <t>Y</t>
        </is>
      </c>
      <c r="I2862">
        <f>HYPERLINK("https://admin.shopify.com/store/ge-beauty-cosmeticos/customers/10160831955264","abrir")</f>
        <v/>
      </c>
      <c r="J2862">
        <f>HYPERLINK("https://www.gebeauty.com.br/products/primer-cachos-definidos?ref=review","review")</f>
        <v/>
      </c>
      <c r="K2862" t="inlineStr">
        <is>
          <t>SEND</t>
        </is>
      </c>
    </row>
    <row r="2863">
      <c r="A2863" t="inlineStr">
        <is>
          <t>Marina</t>
        </is>
      </c>
      <c r="B2863" t="inlineStr">
        <is>
          <t>+5511984141014</t>
        </is>
      </c>
      <c r="C2863" t="inlineStr">
        <is>
          <t>Refill</t>
        </is>
      </c>
      <c r="D2863" t="inlineStr">
        <is>
          <t>Primer Cachos</t>
        </is>
      </c>
      <c r="E2863" t="n">
        <v>1</v>
      </c>
      <c r="F2863" t="inlineStr">
        <is>
          <t>2026-02-14</t>
        </is>
      </c>
      <c r="G2863" t="n">
        <v>140</v>
      </c>
      <c r="H2863" t="inlineStr">
        <is>
          <t>Y</t>
        </is>
      </c>
      <c r="I2863">
        <f>HYPERLINK("https://admin.shopify.com/store/ge-beauty-cosmeticos/customers/7759632826688","abrir")</f>
        <v/>
      </c>
      <c r="J2863">
        <f>HYPERLINK("https://www.gebeauty.com.br/products/primer-cachos-definidos?ref=review","review")</f>
        <v/>
      </c>
      <c r="K2863" t="inlineStr">
        <is>
          <t>SEND</t>
        </is>
      </c>
    </row>
    <row r="2864">
      <c r="A2864" t="inlineStr">
        <is>
          <t>Fabiana</t>
        </is>
      </c>
      <c r="B2864" t="inlineStr">
        <is>
          <t>+5553999710082</t>
        </is>
      </c>
      <c r="C2864" t="inlineStr">
        <is>
          <t>Refill</t>
        </is>
      </c>
      <c r="D2864" t="inlineStr">
        <is>
          <t>Primer Cachos</t>
        </is>
      </c>
      <c r="E2864" t="n">
        <v>1</v>
      </c>
      <c r="F2864" t="inlineStr">
        <is>
          <t>2026-02-14</t>
        </is>
      </c>
      <c r="G2864" t="n">
        <v>140</v>
      </c>
      <c r="H2864" t="inlineStr">
        <is>
          <t>Y</t>
        </is>
      </c>
      <c r="I2864">
        <f>HYPERLINK("https://admin.shopify.com/store/ge-beauty-cosmeticos/customers/10160932454720","abrir")</f>
        <v/>
      </c>
      <c r="J2864">
        <f>HYPERLINK("https://www.gebeauty.com.br/products/primer-cachos-definidos?ref=review","review")</f>
        <v/>
      </c>
      <c r="K2864" t="inlineStr">
        <is>
          <t>SEND</t>
        </is>
      </c>
    </row>
    <row r="2865">
      <c r="A2865" t="inlineStr">
        <is>
          <t>Maria</t>
        </is>
      </c>
      <c r="B2865" t="inlineStr">
        <is>
          <t>+5547999770484</t>
        </is>
      </c>
      <c r="C2865" t="inlineStr">
        <is>
          <t>Refill</t>
        </is>
      </c>
      <c r="D2865" t="inlineStr">
        <is>
          <t>Primer Cachos</t>
        </is>
      </c>
      <c r="E2865" t="n">
        <v>1</v>
      </c>
      <c r="F2865" t="inlineStr">
        <is>
          <t>2026-02-14</t>
        </is>
      </c>
      <c r="G2865" t="n">
        <v>140</v>
      </c>
      <c r="H2865" t="inlineStr">
        <is>
          <t>Y</t>
        </is>
      </c>
      <c r="I2865">
        <f>HYPERLINK("https://admin.shopify.com/store/ge-beauty-cosmeticos/customers/10160928260416","abrir")</f>
        <v/>
      </c>
      <c r="J2865">
        <f>HYPERLINK("https://www.gebeauty.com.br/products/primer-cachos-definidos?ref=review","review")</f>
        <v/>
      </c>
      <c r="K2865" t="inlineStr">
        <is>
          <t>HOLDOUT</t>
        </is>
      </c>
    </row>
    <row r="2866">
      <c r="A2866" t="inlineStr">
        <is>
          <t>Marta</t>
        </is>
      </c>
      <c r="B2866" t="inlineStr">
        <is>
          <t>+5511961942205</t>
        </is>
      </c>
      <c r="C2866" t="inlineStr">
        <is>
          <t>Refill</t>
        </is>
      </c>
      <c r="D2866" t="inlineStr">
        <is>
          <t>Primer Cachos</t>
        </is>
      </c>
      <c r="E2866" t="n">
        <v>1</v>
      </c>
      <c r="F2866" t="inlineStr">
        <is>
          <t>2026-02-14</t>
        </is>
      </c>
      <c r="G2866" t="n">
        <v>140</v>
      </c>
      <c r="H2866" t="inlineStr">
        <is>
          <t>Y</t>
        </is>
      </c>
      <c r="I2866">
        <f>HYPERLINK("https://admin.shopify.com/store/ge-beauty-cosmeticos/customers/10160945332544","abrir")</f>
        <v/>
      </c>
      <c r="J2866">
        <f>HYPERLINK("https://www.gebeauty.com.br/products/primer-cachos-definidos?ref=review","review")</f>
        <v/>
      </c>
      <c r="K2866" t="inlineStr">
        <is>
          <t>SEND</t>
        </is>
      </c>
    </row>
    <row r="2867">
      <c r="A2867" t="inlineStr">
        <is>
          <t>Isabela</t>
        </is>
      </c>
      <c r="B2867" t="inlineStr">
        <is>
          <t>+5551999136088</t>
        </is>
      </c>
      <c r="C2867" t="inlineStr">
        <is>
          <t>Refill</t>
        </is>
      </c>
      <c r="D2867" t="inlineStr">
        <is>
          <t>Primer Cachos</t>
        </is>
      </c>
      <c r="E2867" t="n">
        <v>1</v>
      </c>
      <c r="F2867" t="inlineStr">
        <is>
          <t>2026-02-14</t>
        </is>
      </c>
      <c r="G2867" t="n">
        <v>140</v>
      </c>
      <c r="H2867" t="inlineStr">
        <is>
          <t>Y</t>
        </is>
      </c>
      <c r="I2867">
        <f>HYPERLINK("https://admin.shopify.com/store/ge-beauty-cosmeticos/customers/10098988613952","abrir")</f>
        <v/>
      </c>
      <c r="J2867">
        <f>HYPERLINK("https://www.gebeauty.com.br/products/primer-cachos-definidos?ref=review","review")</f>
        <v/>
      </c>
      <c r="K2867" t="inlineStr">
        <is>
          <t>SEND</t>
        </is>
      </c>
    </row>
    <row r="2868">
      <c r="A2868" t="inlineStr">
        <is>
          <t>Regina</t>
        </is>
      </c>
      <c r="B2868" t="inlineStr">
        <is>
          <t>+5548999778690</t>
        </is>
      </c>
      <c r="C2868" t="inlineStr">
        <is>
          <t>Refill</t>
        </is>
      </c>
      <c r="D2868" t="inlineStr">
        <is>
          <t>Primer Cachos</t>
        </is>
      </c>
      <c r="E2868" t="n">
        <v>1</v>
      </c>
      <c r="F2868" t="inlineStr">
        <is>
          <t>2026-02-14</t>
        </is>
      </c>
      <c r="G2868" t="n">
        <v>140</v>
      </c>
      <c r="H2868" t="inlineStr">
        <is>
          <t>Y</t>
        </is>
      </c>
      <c r="I2868">
        <f>HYPERLINK("https://admin.shopify.com/store/ge-beauty-cosmeticos/customers/10160982753600","abrir")</f>
        <v/>
      </c>
      <c r="J2868">
        <f>HYPERLINK("https://www.gebeauty.com.br/products/primer-cachos-definidos?ref=review","review")</f>
        <v/>
      </c>
      <c r="K2868" t="inlineStr">
        <is>
          <t>SEND</t>
        </is>
      </c>
    </row>
    <row r="2869">
      <c r="A2869" t="inlineStr">
        <is>
          <t>Ana</t>
        </is>
      </c>
      <c r="B2869" t="inlineStr">
        <is>
          <t>+5511998166039</t>
        </is>
      </c>
      <c r="C2869" t="inlineStr">
        <is>
          <t>Refill</t>
        </is>
      </c>
      <c r="D2869" t="inlineStr">
        <is>
          <t>Primer Cachos</t>
        </is>
      </c>
      <c r="E2869" t="n">
        <v>1</v>
      </c>
      <c r="F2869" t="inlineStr">
        <is>
          <t>2026-02-14</t>
        </is>
      </c>
      <c r="G2869" t="n">
        <v>140</v>
      </c>
      <c r="H2869" t="inlineStr">
        <is>
          <t>Y</t>
        </is>
      </c>
      <c r="I2869">
        <f>HYPERLINK("https://admin.shopify.com/store/ge-beauty-cosmeticos/customers/10161113661760","abrir")</f>
        <v/>
      </c>
      <c r="J2869">
        <f>HYPERLINK("https://www.gebeauty.com.br/products/primer-cachos-definidos?ref=review","review")</f>
        <v/>
      </c>
      <c r="K2869" t="inlineStr">
        <is>
          <t>SEND</t>
        </is>
      </c>
    </row>
    <row r="2870">
      <c r="A2870" t="inlineStr">
        <is>
          <t>Marlia</t>
        </is>
      </c>
      <c r="B2870" t="inlineStr">
        <is>
          <t>+5531999901999</t>
        </is>
      </c>
      <c r="C2870" t="inlineStr">
        <is>
          <t>Refill</t>
        </is>
      </c>
      <c r="D2870" t="inlineStr">
        <is>
          <t>Primer Cachos</t>
        </is>
      </c>
      <c r="E2870" t="n">
        <v>1</v>
      </c>
      <c r="F2870" t="inlineStr">
        <is>
          <t>2026-02-14</t>
        </is>
      </c>
      <c r="G2870" t="n">
        <v>140</v>
      </c>
      <c r="H2870" t="inlineStr">
        <is>
          <t>Y</t>
        </is>
      </c>
      <c r="I2870">
        <f>HYPERLINK("https://admin.shopify.com/store/ge-beauty-cosmeticos/customers/10161217077568","abrir")</f>
        <v/>
      </c>
      <c r="J2870">
        <f>HYPERLINK("https://www.gebeauty.com.br/products/primer-cachos-definidos?ref=review","review")</f>
        <v/>
      </c>
      <c r="K2870" t="inlineStr">
        <is>
          <t>SEND</t>
        </is>
      </c>
    </row>
    <row r="2871">
      <c r="A2871" t="inlineStr">
        <is>
          <t>Albina</t>
        </is>
      </c>
      <c r="B2871" t="inlineStr">
        <is>
          <t>+5598981761350</t>
        </is>
      </c>
      <c r="C2871" t="inlineStr">
        <is>
          <t>Refill</t>
        </is>
      </c>
      <c r="D2871" t="inlineStr">
        <is>
          <t>Primer Cachos</t>
        </is>
      </c>
      <c r="E2871" t="n">
        <v>1</v>
      </c>
      <c r="F2871" t="inlineStr">
        <is>
          <t>2026-02-14</t>
        </is>
      </c>
      <c r="G2871" t="n">
        <v>140</v>
      </c>
      <c r="H2871" t="inlineStr">
        <is>
          <t>Y</t>
        </is>
      </c>
      <c r="I2871">
        <f>HYPERLINK("https://admin.shopify.com/store/ge-beauty-cosmeticos/customers/10053223416128","abrir")</f>
        <v/>
      </c>
      <c r="J2871">
        <f>HYPERLINK("https://www.gebeauty.com.br/products/primer-cachos-definidos?ref=review","review")</f>
        <v/>
      </c>
      <c r="K2871" t="inlineStr">
        <is>
          <t>HOLDOUT</t>
        </is>
      </c>
    </row>
    <row r="2872">
      <c r="A2872" t="inlineStr">
        <is>
          <t>Patricia</t>
        </is>
      </c>
      <c r="B2872" t="inlineStr">
        <is>
          <t>+5511992312130</t>
        </is>
      </c>
      <c r="C2872" t="inlineStr">
        <is>
          <t>Refill</t>
        </is>
      </c>
      <c r="D2872" t="inlineStr">
        <is>
          <t>Primer Cachos</t>
        </is>
      </c>
      <c r="E2872" t="n">
        <v>1</v>
      </c>
      <c r="F2872" t="inlineStr">
        <is>
          <t>2026-02-14</t>
        </is>
      </c>
      <c r="G2872" t="n">
        <v>140</v>
      </c>
      <c r="H2872" t="inlineStr">
        <is>
          <t>Y</t>
        </is>
      </c>
      <c r="I2872">
        <f>HYPERLINK("https://admin.shopify.com/store/ge-beauty-cosmeticos/customers/10161634246976","abrir")</f>
        <v/>
      </c>
      <c r="J2872">
        <f>HYPERLINK("https://www.gebeauty.com.br/products/primer-cachos-definidos?ref=review","review")</f>
        <v/>
      </c>
      <c r="K2872" t="inlineStr">
        <is>
          <t>SEND</t>
        </is>
      </c>
    </row>
    <row r="2873">
      <c r="A2873" t="inlineStr">
        <is>
          <t>Clelia</t>
        </is>
      </c>
      <c r="B2873" t="inlineStr">
        <is>
          <t>+5535991072805</t>
        </is>
      </c>
      <c r="C2873" t="inlineStr">
        <is>
          <t>Refill</t>
        </is>
      </c>
      <c r="D2873" t="inlineStr">
        <is>
          <t>Primer Cachos</t>
        </is>
      </c>
      <c r="E2873" t="n">
        <v>1</v>
      </c>
      <c r="F2873" t="inlineStr">
        <is>
          <t>2026-02-14</t>
        </is>
      </c>
      <c r="G2873" t="n">
        <v>140</v>
      </c>
      <c r="H2873" t="inlineStr">
        <is>
          <t>Y</t>
        </is>
      </c>
      <c r="I2873">
        <f>HYPERLINK("https://admin.shopify.com/store/ge-beauty-cosmeticos/customers/10160945365312","abrir")</f>
        <v/>
      </c>
      <c r="J2873">
        <f>HYPERLINK("https://www.gebeauty.com.br/products/primer-cachos-definidos?ref=review","review")</f>
        <v/>
      </c>
      <c r="K2873" t="inlineStr">
        <is>
          <t>SEND</t>
        </is>
      </c>
    </row>
    <row r="2874">
      <c r="A2874" t="inlineStr">
        <is>
          <t>Bianca</t>
        </is>
      </c>
      <c r="B2874" t="inlineStr">
        <is>
          <t>+5519991074346</t>
        </is>
      </c>
      <c r="C2874" t="inlineStr">
        <is>
          <t>Refill</t>
        </is>
      </c>
      <c r="D2874" t="inlineStr">
        <is>
          <t>Primer Cachos</t>
        </is>
      </c>
      <c r="E2874" t="n">
        <v>1</v>
      </c>
      <c r="F2874" t="inlineStr">
        <is>
          <t>2026-02-14</t>
        </is>
      </c>
      <c r="G2874" t="n">
        <v>140</v>
      </c>
      <c r="H2874" t="inlineStr">
        <is>
          <t>Y</t>
        </is>
      </c>
      <c r="I2874">
        <f>HYPERLINK("https://admin.shopify.com/store/ge-beauty-cosmeticos/customers/10099506610496","abrir")</f>
        <v/>
      </c>
      <c r="J2874">
        <f>HYPERLINK("https://www.gebeauty.com.br/products/primer-cachos-definidos?ref=review","review")</f>
        <v/>
      </c>
      <c r="K2874" t="inlineStr">
        <is>
          <t>SEND</t>
        </is>
      </c>
    </row>
    <row r="2875">
      <c r="A2875" t="inlineStr">
        <is>
          <t>Raquel</t>
        </is>
      </c>
      <c r="B2875" t="inlineStr">
        <is>
          <t>+5515998378881</t>
        </is>
      </c>
      <c r="C2875" t="inlineStr">
        <is>
          <t>Refill</t>
        </is>
      </c>
      <c r="D2875" t="inlineStr">
        <is>
          <t>Primer Cachos</t>
        </is>
      </c>
      <c r="E2875" t="n">
        <v>1</v>
      </c>
      <c r="F2875" t="inlineStr">
        <is>
          <t>2026-02-14</t>
        </is>
      </c>
      <c r="G2875" t="n">
        <v>140</v>
      </c>
      <c r="H2875" t="inlineStr">
        <is>
          <t>Y</t>
        </is>
      </c>
      <c r="I2875">
        <f>HYPERLINK("https://admin.shopify.com/store/ge-beauty-cosmeticos/customers/10161824235840","abrir")</f>
        <v/>
      </c>
      <c r="J2875">
        <f>HYPERLINK("https://www.gebeauty.com.br/products/primer-cachos-definidos?ref=review","review")</f>
        <v/>
      </c>
      <c r="K2875" t="inlineStr">
        <is>
          <t>SEND</t>
        </is>
      </c>
    </row>
    <row r="2876">
      <c r="A2876" t="inlineStr">
        <is>
          <t>Andrea</t>
        </is>
      </c>
      <c r="B2876" t="inlineStr">
        <is>
          <t>+5511942416510</t>
        </is>
      </c>
      <c r="C2876" t="inlineStr">
        <is>
          <t>Refill</t>
        </is>
      </c>
      <c r="D2876" t="inlineStr">
        <is>
          <t>Primer Cachos</t>
        </is>
      </c>
      <c r="E2876" t="n">
        <v>1</v>
      </c>
      <c r="F2876" t="inlineStr">
        <is>
          <t>2026-02-14</t>
        </is>
      </c>
      <c r="G2876" t="n">
        <v>140</v>
      </c>
      <c r="H2876" t="inlineStr">
        <is>
          <t>Y</t>
        </is>
      </c>
      <c r="I2876">
        <f>HYPERLINK("https://admin.shopify.com/store/ge-beauty-cosmeticos/customers/10161955438912","abrir")</f>
        <v/>
      </c>
      <c r="J2876">
        <f>HYPERLINK("https://www.gebeauty.com.br/products/primer-cachos-definidos?ref=review","review")</f>
        <v/>
      </c>
      <c r="K2876" t="inlineStr">
        <is>
          <t>SEND</t>
        </is>
      </c>
    </row>
    <row r="2877">
      <c r="A2877" t="inlineStr">
        <is>
          <t>Maria</t>
        </is>
      </c>
      <c r="B2877" t="inlineStr">
        <is>
          <t>+5581996316690</t>
        </is>
      </c>
      <c r="C2877" t="inlineStr">
        <is>
          <t>Refill</t>
        </is>
      </c>
      <c r="D2877" t="inlineStr">
        <is>
          <t>Primer Cachos</t>
        </is>
      </c>
      <c r="E2877" t="n">
        <v>1</v>
      </c>
      <c r="F2877" t="inlineStr">
        <is>
          <t>2026-02-14</t>
        </is>
      </c>
      <c r="G2877" t="n">
        <v>140</v>
      </c>
      <c r="H2877" t="inlineStr">
        <is>
          <t>Y</t>
        </is>
      </c>
      <c r="I2877">
        <f>HYPERLINK("https://admin.shopify.com/store/ge-beauty-cosmeticos/customers/10161979621696","abrir")</f>
        <v/>
      </c>
      <c r="J2877">
        <f>HYPERLINK("https://www.gebeauty.com.br/products/primer-cachos-definidos?ref=review","review")</f>
        <v/>
      </c>
      <c r="K2877" t="inlineStr">
        <is>
          <t>SEND</t>
        </is>
      </c>
    </row>
    <row r="2878">
      <c r="A2878" t="inlineStr">
        <is>
          <t>Gabriela</t>
        </is>
      </c>
      <c r="B2878" t="inlineStr">
        <is>
          <t>+5515996548265</t>
        </is>
      </c>
      <c r="C2878" t="inlineStr">
        <is>
          <t>Refill</t>
        </is>
      </c>
      <c r="D2878" t="inlineStr">
        <is>
          <t>Primer Cachos</t>
        </is>
      </c>
      <c r="E2878" t="n">
        <v>1</v>
      </c>
      <c r="F2878" t="inlineStr">
        <is>
          <t>2026-02-14</t>
        </is>
      </c>
      <c r="G2878" t="n">
        <v>140</v>
      </c>
      <c r="H2878" t="inlineStr">
        <is>
          <t>Y</t>
        </is>
      </c>
      <c r="I2878">
        <f>HYPERLINK("https://admin.shopify.com/store/ge-beauty-cosmeticos/customers/10161936138560","abrir")</f>
        <v/>
      </c>
      <c r="J2878">
        <f>HYPERLINK("https://www.gebeauty.com.br/products/primer-cachos-definidos?ref=review","review")</f>
        <v/>
      </c>
      <c r="K2878" t="inlineStr">
        <is>
          <t>SEND</t>
        </is>
      </c>
    </row>
    <row r="2879">
      <c r="A2879" t="inlineStr">
        <is>
          <t>Ana</t>
        </is>
      </c>
      <c r="B2879" t="inlineStr">
        <is>
          <t>+5511953457573</t>
        </is>
      </c>
      <c r="C2879" t="inlineStr">
        <is>
          <t>Refill</t>
        </is>
      </c>
      <c r="D2879" t="inlineStr">
        <is>
          <t>Primer Cachos</t>
        </is>
      </c>
      <c r="E2879" t="n">
        <v>1</v>
      </c>
      <c r="F2879" t="inlineStr">
        <is>
          <t>2026-02-15</t>
        </is>
      </c>
      <c r="G2879" t="n">
        <v>139</v>
      </c>
      <c r="H2879" t="inlineStr">
        <is>
          <t>Y</t>
        </is>
      </c>
      <c r="I2879">
        <f>HYPERLINK("https://admin.shopify.com/store/ge-beauty-cosmeticos/customers/10073351520576","abrir")</f>
        <v/>
      </c>
      <c r="J2879">
        <f>HYPERLINK("https://www.gebeauty.com.br/products/primer-cachos-definidos?ref=review","review")</f>
        <v/>
      </c>
      <c r="K2879" t="inlineStr">
        <is>
          <t>SEND</t>
        </is>
      </c>
    </row>
    <row r="2880">
      <c r="A2880" t="inlineStr">
        <is>
          <t>Yanaina</t>
        </is>
      </c>
      <c r="B2880" t="inlineStr">
        <is>
          <t>+5513996969701</t>
        </is>
      </c>
      <c r="C2880" t="inlineStr">
        <is>
          <t>Refill</t>
        </is>
      </c>
      <c r="D2880" t="inlineStr">
        <is>
          <t>Primer Cachos</t>
        </is>
      </c>
      <c r="E2880" t="n">
        <v>1</v>
      </c>
      <c r="F2880" t="inlineStr">
        <is>
          <t>2026-02-15</t>
        </is>
      </c>
      <c r="G2880" t="n">
        <v>139</v>
      </c>
      <c r="H2880" t="inlineStr">
        <is>
          <t>Y</t>
        </is>
      </c>
      <c r="I2880">
        <f>HYPERLINK("https://admin.shopify.com/store/ge-beauty-cosmeticos/customers/10162215682368","abrir")</f>
        <v/>
      </c>
      <c r="J2880">
        <f>HYPERLINK("https://www.gebeauty.com.br/products/primer-cachos-definidos?ref=review","review")</f>
        <v/>
      </c>
      <c r="K2880" t="inlineStr">
        <is>
          <t>SEND</t>
        </is>
      </c>
    </row>
    <row r="2881">
      <c r="A2881" t="inlineStr">
        <is>
          <t>Jeane</t>
        </is>
      </c>
      <c r="B2881" t="inlineStr">
        <is>
          <t>+5511989519436</t>
        </is>
      </c>
      <c r="C2881" t="inlineStr">
        <is>
          <t>Refill</t>
        </is>
      </c>
      <c r="D2881" t="inlineStr">
        <is>
          <t>Primer Cachos</t>
        </is>
      </c>
      <c r="E2881" t="n">
        <v>1</v>
      </c>
      <c r="F2881" t="inlineStr">
        <is>
          <t>2026-02-15</t>
        </is>
      </c>
      <c r="G2881" t="n">
        <v>139</v>
      </c>
      <c r="H2881" t="inlineStr">
        <is>
          <t>Y</t>
        </is>
      </c>
      <c r="I2881">
        <f>HYPERLINK("https://admin.shopify.com/store/ge-beauty-cosmeticos/customers/10162228265280","abrir")</f>
        <v/>
      </c>
      <c r="J2881">
        <f>HYPERLINK("https://www.gebeauty.com.br/products/primer-cachos-definidos?ref=review","review")</f>
        <v/>
      </c>
      <c r="K2881" t="inlineStr">
        <is>
          <t>SEND</t>
        </is>
      </c>
    </row>
    <row r="2882">
      <c r="A2882" t="inlineStr">
        <is>
          <t>Gislaine</t>
        </is>
      </c>
      <c r="B2882" t="inlineStr">
        <is>
          <t>+5544984042665</t>
        </is>
      </c>
      <c r="C2882" t="inlineStr">
        <is>
          <t>Refill</t>
        </is>
      </c>
      <c r="D2882" t="inlineStr">
        <is>
          <t>Primer Cachos</t>
        </is>
      </c>
      <c r="E2882" t="n">
        <v>1</v>
      </c>
      <c r="F2882" t="inlineStr">
        <is>
          <t>2026-02-15</t>
        </is>
      </c>
      <c r="G2882" t="n">
        <v>139</v>
      </c>
      <c r="H2882" t="inlineStr">
        <is>
          <t>Y</t>
        </is>
      </c>
      <c r="I2882">
        <f>HYPERLINK("https://admin.shopify.com/store/ge-beauty-cosmeticos/customers/10086379651392","abrir")</f>
        <v/>
      </c>
      <c r="J2882">
        <f>HYPERLINK("https://www.gebeauty.com.br/products/primer-cachos-definidos?ref=review","review")</f>
        <v/>
      </c>
      <c r="K2882" t="inlineStr">
        <is>
          <t>SEND</t>
        </is>
      </c>
    </row>
    <row r="2883">
      <c r="A2883" t="inlineStr">
        <is>
          <t>Edileine</t>
        </is>
      </c>
      <c r="B2883" t="inlineStr">
        <is>
          <t>+5511996003043</t>
        </is>
      </c>
      <c r="C2883" t="inlineStr">
        <is>
          <t>Refill</t>
        </is>
      </c>
      <c r="D2883" t="inlineStr">
        <is>
          <t>Primer Cachos</t>
        </is>
      </c>
      <c r="E2883" t="n">
        <v>1</v>
      </c>
      <c r="F2883" t="inlineStr">
        <is>
          <t>2026-02-15</t>
        </is>
      </c>
      <c r="G2883" t="n">
        <v>139</v>
      </c>
      <c r="H2883" t="inlineStr">
        <is>
          <t>Y</t>
        </is>
      </c>
      <c r="I2883">
        <f>HYPERLINK("https://admin.shopify.com/store/ge-beauty-cosmeticos/customers/10073295454528","abrir")</f>
        <v/>
      </c>
      <c r="J2883">
        <f>HYPERLINK("https://www.gebeauty.com.br/products/primer-cachos-definidos?ref=review","review")</f>
        <v/>
      </c>
      <c r="K2883" t="inlineStr">
        <is>
          <t>SEND</t>
        </is>
      </c>
    </row>
    <row r="2884">
      <c r="A2884" t="inlineStr">
        <is>
          <t>Inez</t>
        </is>
      </c>
      <c r="B2884" t="inlineStr">
        <is>
          <t>+5521988183273</t>
        </is>
      </c>
      <c r="C2884" t="inlineStr">
        <is>
          <t>Refill</t>
        </is>
      </c>
      <c r="D2884" t="inlineStr">
        <is>
          <t>Primer Cachos</t>
        </is>
      </c>
      <c r="E2884" t="n">
        <v>1</v>
      </c>
      <c r="F2884" t="inlineStr">
        <is>
          <t>2026-02-15</t>
        </is>
      </c>
      <c r="G2884" t="n">
        <v>139</v>
      </c>
      <c r="H2884" t="inlineStr">
        <is>
          <t>Y</t>
        </is>
      </c>
      <c r="I2884">
        <f>HYPERLINK("https://admin.shopify.com/store/ge-beauty-cosmeticos/customers/9486253064512","abrir")</f>
        <v/>
      </c>
      <c r="J2884">
        <f>HYPERLINK("https://www.gebeauty.com.br/products/primer-cachos-definidos?ref=review","review")</f>
        <v/>
      </c>
      <c r="K2884" t="inlineStr">
        <is>
          <t>SEND</t>
        </is>
      </c>
    </row>
    <row r="2885">
      <c r="A2885" t="inlineStr">
        <is>
          <t>Jaqueline</t>
        </is>
      </c>
      <c r="B2885" t="inlineStr">
        <is>
          <t>+5521979773031</t>
        </is>
      </c>
      <c r="C2885" t="inlineStr">
        <is>
          <t>Refill</t>
        </is>
      </c>
      <c r="D2885" t="inlineStr">
        <is>
          <t>Primer Cachos</t>
        </is>
      </c>
      <c r="E2885" t="n">
        <v>1</v>
      </c>
      <c r="F2885" t="inlineStr">
        <is>
          <t>2026-02-15</t>
        </is>
      </c>
      <c r="G2885" t="n">
        <v>139</v>
      </c>
      <c r="H2885" t="inlineStr">
        <is>
          <t>Y</t>
        </is>
      </c>
      <c r="I2885">
        <f>HYPERLINK("https://admin.shopify.com/store/ge-beauty-cosmeticos/customers/10063783002432","abrir")</f>
        <v/>
      </c>
      <c r="J2885">
        <f>HYPERLINK("https://www.gebeauty.com.br/products/primer-cachos-definidos?ref=review","review")</f>
        <v/>
      </c>
      <c r="K2885" t="inlineStr">
        <is>
          <t>SEND</t>
        </is>
      </c>
    </row>
    <row r="2886">
      <c r="A2886" t="inlineStr">
        <is>
          <t>Ana</t>
        </is>
      </c>
      <c r="B2886" t="inlineStr">
        <is>
          <t>+5571992449984</t>
        </is>
      </c>
      <c r="C2886" t="inlineStr">
        <is>
          <t>Refill</t>
        </is>
      </c>
      <c r="D2886" t="inlineStr">
        <is>
          <t>Primer Cachos</t>
        </is>
      </c>
      <c r="E2886" t="n">
        <v>1</v>
      </c>
      <c r="F2886" t="inlineStr">
        <is>
          <t>2026-02-15</t>
        </is>
      </c>
      <c r="G2886" t="n">
        <v>139</v>
      </c>
      <c r="H2886" t="inlineStr">
        <is>
          <t>N</t>
        </is>
      </c>
      <c r="I2886">
        <f>HYPERLINK("https://admin.shopify.com/store/ge-beauty-cosmeticos/customers/10074170491200","abrir")</f>
        <v/>
      </c>
      <c r="J2886">
        <f>HYPERLINK("https://www.gebeauty.com.br/products/primer-cachos-definidos?ref=review","review")</f>
        <v/>
      </c>
      <c r="K2886" t="inlineStr">
        <is>
          <t>SEND</t>
        </is>
      </c>
    </row>
    <row r="2887">
      <c r="A2887" t="inlineStr">
        <is>
          <t>Camila</t>
        </is>
      </c>
      <c r="B2887" t="inlineStr">
        <is>
          <t>+5544999996485</t>
        </is>
      </c>
      <c r="C2887" t="inlineStr">
        <is>
          <t>Refill</t>
        </is>
      </c>
      <c r="D2887" t="inlineStr">
        <is>
          <t>Primer Cachos</t>
        </is>
      </c>
      <c r="E2887" t="n">
        <v>1</v>
      </c>
      <c r="F2887" t="inlineStr">
        <is>
          <t>2026-02-15</t>
        </is>
      </c>
      <c r="G2887" t="n">
        <v>139</v>
      </c>
      <c r="H2887" t="inlineStr">
        <is>
          <t>Y</t>
        </is>
      </c>
      <c r="I2887">
        <f>HYPERLINK("https://admin.shopify.com/store/ge-beauty-cosmeticos/customers/10162994708800","abrir")</f>
        <v/>
      </c>
      <c r="J2887">
        <f>HYPERLINK("https://www.gebeauty.com.br/products/primer-cachos-definidos?ref=review","review")</f>
        <v/>
      </c>
      <c r="K2887" t="inlineStr">
        <is>
          <t>SEND</t>
        </is>
      </c>
    </row>
    <row r="2888">
      <c r="A2888" t="inlineStr">
        <is>
          <t>Beatriz</t>
        </is>
      </c>
      <c r="B2888" t="inlineStr">
        <is>
          <t>+5511954295961</t>
        </is>
      </c>
      <c r="C2888" t="inlineStr">
        <is>
          <t>Refill</t>
        </is>
      </c>
      <c r="D2888" t="inlineStr">
        <is>
          <t>Primer Cachos</t>
        </is>
      </c>
      <c r="E2888" t="n">
        <v>1</v>
      </c>
      <c r="F2888" t="inlineStr">
        <is>
          <t>2026-02-15</t>
        </is>
      </c>
      <c r="G2888" t="n">
        <v>139</v>
      </c>
      <c r="H2888" t="inlineStr">
        <is>
          <t>Y</t>
        </is>
      </c>
      <c r="I2888">
        <f>HYPERLINK("https://admin.shopify.com/store/ge-beauty-cosmeticos/customers/10163042746688","abrir")</f>
        <v/>
      </c>
      <c r="J2888">
        <f>HYPERLINK("https://www.gebeauty.com.br/products/primer-cachos-definidos?ref=review","review")</f>
        <v/>
      </c>
      <c r="K2888" t="inlineStr">
        <is>
          <t>HOLDOUT</t>
        </is>
      </c>
    </row>
    <row r="2889">
      <c r="A2889" t="inlineStr">
        <is>
          <t>Leila</t>
        </is>
      </c>
      <c r="B2889" t="inlineStr">
        <is>
          <t>+5522998219359</t>
        </is>
      </c>
      <c r="C2889" t="inlineStr">
        <is>
          <t>Refill</t>
        </is>
      </c>
      <c r="D2889" t="inlineStr">
        <is>
          <t>Primer Cachos</t>
        </is>
      </c>
      <c r="E2889" t="n">
        <v>1</v>
      </c>
      <c r="F2889" t="inlineStr">
        <is>
          <t>2026-02-15</t>
        </is>
      </c>
      <c r="G2889" t="n">
        <v>139</v>
      </c>
      <c r="H2889" t="inlineStr">
        <is>
          <t>Y</t>
        </is>
      </c>
      <c r="I2889">
        <f>HYPERLINK("https://admin.shopify.com/store/ge-beauty-cosmeticos/customers/10079182586176","abrir")</f>
        <v/>
      </c>
      <c r="J2889">
        <f>HYPERLINK("https://www.gebeauty.com.br/products/primer-cachos-definidos?ref=review","review")</f>
        <v/>
      </c>
      <c r="K2889" t="inlineStr">
        <is>
          <t>SEND</t>
        </is>
      </c>
    </row>
    <row r="2890">
      <c r="A2890" t="inlineStr">
        <is>
          <t>Milena</t>
        </is>
      </c>
      <c r="B2890" t="inlineStr">
        <is>
          <t>+5511941480476</t>
        </is>
      </c>
      <c r="C2890" t="inlineStr">
        <is>
          <t>Refill</t>
        </is>
      </c>
      <c r="D2890" t="inlineStr">
        <is>
          <t>Primer Cachos</t>
        </is>
      </c>
      <c r="E2890" t="n">
        <v>1</v>
      </c>
      <c r="F2890" t="inlineStr">
        <is>
          <t>2026-02-15</t>
        </is>
      </c>
      <c r="G2890" t="n">
        <v>139</v>
      </c>
      <c r="H2890" t="inlineStr">
        <is>
          <t>Y</t>
        </is>
      </c>
      <c r="I2890">
        <f>HYPERLINK("https://admin.shopify.com/store/ge-beauty-cosmeticos/customers/10162226004288","abrir")</f>
        <v/>
      </c>
      <c r="J2890">
        <f>HYPERLINK("https://www.gebeauty.com.br/products/primer-cachos-definidos?ref=review","review")</f>
        <v/>
      </c>
      <c r="K2890" t="inlineStr">
        <is>
          <t>SEND</t>
        </is>
      </c>
    </row>
    <row r="2891">
      <c r="A2891" t="inlineStr">
        <is>
          <t>Lucia</t>
        </is>
      </c>
      <c r="B2891" t="inlineStr">
        <is>
          <t>+5521999977493</t>
        </is>
      </c>
      <c r="C2891" t="inlineStr">
        <is>
          <t>Refill</t>
        </is>
      </c>
      <c r="D2891" t="inlineStr">
        <is>
          <t>Primer Cachos</t>
        </is>
      </c>
      <c r="E2891" t="n">
        <v>1</v>
      </c>
      <c r="F2891" t="inlineStr">
        <is>
          <t>2026-02-15</t>
        </is>
      </c>
      <c r="G2891" t="n">
        <v>139</v>
      </c>
      <c r="H2891" t="inlineStr">
        <is>
          <t>Y</t>
        </is>
      </c>
      <c r="I2891">
        <f>HYPERLINK("https://admin.shopify.com/store/ge-beauty-cosmeticos/customers/10163515556160","abrir")</f>
        <v/>
      </c>
      <c r="J2891">
        <f>HYPERLINK("https://www.gebeauty.com.br/products/primer-cachos-definidos?ref=review","review")</f>
        <v/>
      </c>
      <c r="K2891" t="inlineStr">
        <is>
          <t>SEND</t>
        </is>
      </c>
    </row>
    <row r="2892">
      <c r="A2892" t="inlineStr">
        <is>
          <t>Roberta</t>
        </is>
      </c>
      <c r="B2892" t="inlineStr">
        <is>
          <t>+5511975211601</t>
        </is>
      </c>
      <c r="C2892" t="inlineStr">
        <is>
          <t>Refill</t>
        </is>
      </c>
      <c r="D2892" t="inlineStr">
        <is>
          <t>Primer Cachos</t>
        </is>
      </c>
      <c r="E2892" t="n">
        <v>1</v>
      </c>
      <c r="F2892" t="inlineStr">
        <is>
          <t>2026-02-15</t>
        </is>
      </c>
      <c r="G2892" t="n">
        <v>139</v>
      </c>
      <c r="H2892" t="inlineStr">
        <is>
          <t>Y</t>
        </is>
      </c>
      <c r="I2892">
        <f>HYPERLINK("https://admin.shopify.com/store/ge-beauty-cosmeticos/customers/10163863028032","abrir")</f>
        <v/>
      </c>
      <c r="J2892">
        <f>HYPERLINK("https://www.gebeauty.com.br/products/primer-cachos-definidos?ref=review","review")</f>
        <v/>
      </c>
      <c r="K2892" t="inlineStr">
        <is>
          <t>HOLDOUT</t>
        </is>
      </c>
    </row>
    <row r="2893">
      <c r="A2893" t="inlineStr">
        <is>
          <t>Maria</t>
        </is>
      </c>
      <c r="B2893" t="inlineStr">
        <is>
          <t>+5581989908909</t>
        </is>
      </c>
      <c r="C2893" t="inlineStr">
        <is>
          <t>Refill</t>
        </is>
      </c>
      <c r="D2893" t="inlineStr">
        <is>
          <t>Primer Cachos</t>
        </is>
      </c>
      <c r="E2893" t="n">
        <v>1</v>
      </c>
      <c r="F2893" t="inlineStr">
        <is>
          <t>2026-02-24</t>
        </is>
      </c>
      <c r="G2893" t="n">
        <v>130</v>
      </c>
      <c r="H2893" t="inlineStr">
        <is>
          <t>Y</t>
        </is>
      </c>
      <c r="I2893">
        <f>HYPERLINK("https://admin.shopify.com/store/ge-beauty-cosmeticos/customers/10165548581184","abrir")</f>
        <v/>
      </c>
      <c r="J2893">
        <f>HYPERLINK("https://www.gebeauty.com.br/products/primer-cachos-definidos?ref=review","review")</f>
        <v/>
      </c>
      <c r="K2893" t="inlineStr">
        <is>
          <t>SEND</t>
        </is>
      </c>
    </row>
    <row r="2894">
      <c r="A2894" t="inlineStr">
        <is>
          <t>Melina</t>
        </is>
      </c>
      <c r="B2894" t="inlineStr">
        <is>
          <t>+5581997043951</t>
        </is>
      </c>
      <c r="C2894" t="inlineStr">
        <is>
          <t>Refill</t>
        </is>
      </c>
      <c r="D2894" t="inlineStr">
        <is>
          <t>Primer Cachos</t>
        </is>
      </c>
      <c r="E2894" t="n">
        <v>1</v>
      </c>
      <c r="F2894" t="inlineStr">
        <is>
          <t>2026-02-17</t>
        </is>
      </c>
      <c r="G2894" t="n">
        <v>137</v>
      </c>
      <c r="H2894" t="inlineStr">
        <is>
          <t>Y</t>
        </is>
      </c>
      <c r="I2894">
        <f>HYPERLINK("https://admin.shopify.com/store/ge-beauty-cosmeticos/customers/10167432675648","abrir")</f>
        <v/>
      </c>
      <c r="J2894">
        <f>HYPERLINK("https://www.gebeauty.com.br/products/primer-cachos-definidos?ref=review","review")</f>
        <v/>
      </c>
      <c r="K2894" t="inlineStr">
        <is>
          <t>SEND</t>
        </is>
      </c>
    </row>
    <row r="2895">
      <c r="A2895" t="inlineStr">
        <is>
          <t>Ana</t>
        </is>
      </c>
      <c r="B2895" t="inlineStr">
        <is>
          <t>+5531991860504</t>
        </is>
      </c>
      <c r="C2895" t="inlineStr">
        <is>
          <t>Refill</t>
        </is>
      </c>
      <c r="D2895" t="inlineStr">
        <is>
          <t>Primer Cachos</t>
        </is>
      </c>
      <c r="E2895" t="n">
        <v>1</v>
      </c>
      <c r="F2895" t="inlineStr">
        <is>
          <t>2026-02-18</t>
        </is>
      </c>
      <c r="G2895" t="n">
        <v>136</v>
      </c>
      <c r="H2895" t="inlineStr">
        <is>
          <t>Y</t>
        </is>
      </c>
      <c r="I2895">
        <f>HYPERLINK("https://admin.shopify.com/store/ge-beauty-cosmeticos/customers/10161875648832","abrir")</f>
        <v/>
      </c>
      <c r="J2895">
        <f>HYPERLINK("https://www.gebeauty.com.br/products/primer-cachos-definidos?ref=review","review")</f>
        <v/>
      </c>
      <c r="K2895" t="inlineStr">
        <is>
          <t>SEND</t>
        </is>
      </c>
    </row>
    <row r="2896">
      <c r="A2896" t="inlineStr">
        <is>
          <t>Raquel</t>
        </is>
      </c>
      <c r="B2896" t="inlineStr">
        <is>
          <t>+5521999339383</t>
        </is>
      </c>
      <c r="C2896" t="inlineStr">
        <is>
          <t>Refill</t>
        </is>
      </c>
      <c r="D2896" t="inlineStr">
        <is>
          <t>Primer Cachos</t>
        </is>
      </c>
      <c r="E2896" t="n">
        <v>1</v>
      </c>
      <c r="F2896" t="inlineStr">
        <is>
          <t>2026-02-18</t>
        </is>
      </c>
      <c r="G2896" t="n">
        <v>136</v>
      </c>
      <c r="H2896" t="inlineStr">
        <is>
          <t>Y</t>
        </is>
      </c>
      <c r="I2896">
        <f>HYPERLINK("https://admin.shopify.com/store/ge-beauty-cosmeticos/customers/10169351209280","abrir")</f>
        <v/>
      </c>
      <c r="J2896">
        <f>HYPERLINK("https://www.gebeauty.com.br/products/primer-cachos-definidos?ref=review","review")</f>
        <v/>
      </c>
      <c r="K2896" t="inlineStr">
        <is>
          <t>SEND</t>
        </is>
      </c>
    </row>
    <row r="2897">
      <c r="A2897" t="inlineStr">
        <is>
          <t>Fatima</t>
        </is>
      </c>
      <c r="B2897" t="inlineStr">
        <is>
          <t>+5581996962902</t>
        </is>
      </c>
      <c r="C2897" t="inlineStr">
        <is>
          <t>Refill</t>
        </is>
      </c>
      <c r="D2897" t="inlineStr">
        <is>
          <t>Primer Cachos</t>
        </is>
      </c>
      <c r="E2897" t="n">
        <v>1</v>
      </c>
      <c r="F2897" t="inlineStr">
        <is>
          <t>2026-02-18</t>
        </is>
      </c>
      <c r="G2897" t="n">
        <v>136</v>
      </c>
      <c r="H2897" t="inlineStr">
        <is>
          <t>Y</t>
        </is>
      </c>
      <c r="I2897">
        <f>HYPERLINK("https://admin.shopify.com/store/ge-beauty-cosmeticos/customers/10169480118592","abrir")</f>
        <v/>
      </c>
      <c r="J2897">
        <f>HYPERLINK("https://www.gebeauty.com.br/products/primer-cachos-definidos?ref=review","review")</f>
        <v/>
      </c>
      <c r="K2897" t="inlineStr">
        <is>
          <t>SEND</t>
        </is>
      </c>
    </row>
    <row r="2898">
      <c r="A2898" t="inlineStr">
        <is>
          <t>Cristina</t>
        </is>
      </c>
      <c r="B2898" t="inlineStr">
        <is>
          <t>+5582998402655</t>
        </is>
      </c>
      <c r="C2898" t="inlineStr">
        <is>
          <t>Refill</t>
        </is>
      </c>
      <c r="D2898" t="inlineStr">
        <is>
          <t>Primer Cachos</t>
        </is>
      </c>
      <c r="E2898" t="n">
        <v>1</v>
      </c>
      <c r="F2898" t="inlineStr">
        <is>
          <t>2026-02-18</t>
        </is>
      </c>
      <c r="G2898" t="n">
        <v>136</v>
      </c>
      <c r="H2898" t="inlineStr">
        <is>
          <t>Y</t>
        </is>
      </c>
      <c r="I2898">
        <f>HYPERLINK("https://admin.shopify.com/store/ge-beauty-cosmeticos/customers/10167157850432","abrir")</f>
        <v/>
      </c>
      <c r="J2898">
        <f>HYPERLINK("https://www.gebeauty.com.br/products/primer-cachos-definidos?ref=review","review")</f>
        <v/>
      </c>
      <c r="K2898" t="inlineStr">
        <is>
          <t>SEND</t>
        </is>
      </c>
    </row>
    <row r="2899">
      <c r="B2899" t="inlineStr">
        <is>
          <t>+5521964498844</t>
        </is>
      </c>
      <c r="C2899" t="inlineStr">
        <is>
          <t>Refill</t>
        </is>
      </c>
      <c r="D2899" t="inlineStr">
        <is>
          <t>Primer Cachos</t>
        </is>
      </c>
      <c r="E2899" t="n">
        <v>1</v>
      </c>
      <c r="F2899" t="inlineStr">
        <is>
          <t>2026-02-18</t>
        </is>
      </c>
      <c r="G2899" t="n">
        <v>136</v>
      </c>
      <c r="H2899" t="inlineStr">
        <is>
          <t>Y</t>
        </is>
      </c>
      <c r="I2899">
        <f>HYPERLINK("https://admin.shopify.com/store/ge-beauty-cosmeticos/customers/10169687048512","abrir")</f>
        <v/>
      </c>
      <c r="J2899">
        <f>HYPERLINK("https://www.gebeauty.com.br/products/primer-cachos-definidos?ref=review","review")</f>
        <v/>
      </c>
      <c r="K2899" t="inlineStr">
        <is>
          <t>SEND</t>
        </is>
      </c>
    </row>
    <row r="2900">
      <c r="A2900" t="inlineStr">
        <is>
          <t>Marina</t>
        </is>
      </c>
      <c r="B2900" t="inlineStr">
        <is>
          <t>+5511982628027</t>
        </is>
      </c>
      <c r="C2900" t="inlineStr">
        <is>
          <t>Refill</t>
        </is>
      </c>
      <c r="D2900" t="inlineStr">
        <is>
          <t>Primer Cachos</t>
        </is>
      </c>
      <c r="E2900" t="n">
        <v>1</v>
      </c>
      <c r="F2900" t="inlineStr">
        <is>
          <t>2026-02-19</t>
        </is>
      </c>
      <c r="G2900" t="n">
        <v>135</v>
      </c>
      <c r="H2900" t="inlineStr">
        <is>
          <t>N</t>
        </is>
      </c>
      <c r="I2900">
        <f>HYPERLINK("https://admin.shopify.com/store/ge-beauty-cosmeticos/customers/10148815798592","abrir")</f>
        <v/>
      </c>
      <c r="J2900">
        <f>HYPERLINK("https://www.gebeauty.com.br/products/primer-cachos-definidos?ref=review","review")</f>
        <v/>
      </c>
      <c r="K2900" t="inlineStr">
        <is>
          <t>SEND</t>
        </is>
      </c>
    </row>
    <row r="2901">
      <c r="A2901" t="inlineStr">
        <is>
          <t>Tatiana</t>
        </is>
      </c>
      <c r="B2901" t="inlineStr">
        <is>
          <t>+5521999490304</t>
        </is>
      </c>
      <c r="C2901" t="inlineStr">
        <is>
          <t>Refill</t>
        </is>
      </c>
      <c r="D2901" t="inlineStr">
        <is>
          <t>Primer Cachos</t>
        </is>
      </c>
      <c r="E2901" t="n">
        <v>1</v>
      </c>
      <c r="F2901" t="inlineStr">
        <is>
          <t>2026-02-20</t>
        </is>
      </c>
      <c r="G2901" t="n">
        <v>134</v>
      </c>
      <c r="H2901" t="inlineStr">
        <is>
          <t>Y</t>
        </is>
      </c>
      <c r="I2901">
        <f>HYPERLINK("https://admin.shopify.com/store/ge-beauty-cosmeticos/customers/10174641504576","abrir")</f>
        <v/>
      </c>
      <c r="J2901">
        <f>HYPERLINK("https://www.gebeauty.com.br/products/primer-cachos-definidos?ref=review","review")</f>
        <v/>
      </c>
      <c r="K2901" t="inlineStr">
        <is>
          <t>SEND</t>
        </is>
      </c>
    </row>
    <row r="2902">
      <c r="A2902" t="inlineStr">
        <is>
          <t>Vinicius</t>
        </is>
      </c>
      <c r="B2902" t="inlineStr">
        <is>
          <t>+5522997891555</t>
        </is>
      </c>
      <c r="C2902" t="inlineStr">
        <is>
          <t>Refill</t>
        </is>
      </c>
      <c r="D2902" t="inlineStr">
        <is>
          <t>Primer Cachos</t>
        </is>
      </c>
      <c r="E2902" t="n">
        <v>1</v>
      </c>
      <c r="F2902" t="inlineStr">
        <is>
          <t>2026-02-22</t>
        </is>
      </c>
      <c r="G2902" t="n">
        <v>132</v>
      </c>
      <c r="H2902" t="inlineStr">
        <is>
          <t>Y</t>
        </is>
      </c>
      <c r="I2902">
        <f>HYPERLINK("https://admin.shopify.com/store/ge-beauty-cosmeticos/customers/10178073198912","abrir")</f>
        <v/>
      </c>
      <c r="J2902">
        <f>HYPERLINK("https://www.gebeauty.com.br/products/primer-cachos-definidos?ref=review","review")</f>
        <v/>
      </c>
      <c r="K2902" t="inlineStr">
        <is>
          <t>SEND</t>
        </is>
      </c>
    </row>
    <row r="2903">
      <c r="A2903" t="inlineStr">
        <is>
          <t>Izabel</t>
        </is>
      </c>
      <c r="B2903" t="inlineStr">
        <is>
          <t>+5521981804084</t>
        </is>
      </c>
      <c r="C2903" t="inlineStr">
        <is>
          <t>Refill</t>
        </is>
      </c>
      <c r="D2903" t="inlineStr">
        <is>
          <t>Primer Cachos</t>
        </is>
      </c>
      <c r="E2903" t="n">
        <v>1</v>
      </c>
      <c r="F2903" t="inlineStr">
        <is>
          <t>2026-02-22</t>
        </is>
      </c>
      <c r="G2903" t="n">
        <v>132</v>
      </c>
      <c r="H2903" t="inlineStr">
        <is>
          <t>Y</t>
        </is>
      </c>
      <c r="I2903">
        <f>HYPERLINK("https://admin.shopify.com/store/ge-beauty-cosmeticos/customers/8967017693504","abrir")</f>
        <v/>
      </c>
      <c r="J2903">
        <f>HYPERLINK("https://www.gebeauty.com.br/products/primer-cachos-definidos?ref=review","review")</f>
        <v/>
      </c>
      <c r="K2903" t="inlineStr">
        <is>
          <t>SEND</t>
        </is>
      </c>
    </row>
    <row r="2904">
      <c r="A2904" t="inlineStr">
        <is>
          <t>Renata</t>
        </is>
      </c>
      <c r="B2904" t="inlineStr">
        <is>
          <t>+5581997158074</t>
        </is>
      </c>
      <c r="C2904" t="inlineStr">
        <is>
          <t>Refill</t>
        </is>
      </c>
      <c r="D2904" t="inlineStr">
        <is>
          <t>Primer Cachos</t>
        </is>
      </c>
      <c r="E2904" t="n">
        <v>1</v>
      </c>
      <c r="F2904" t="inlineStr">
        <is>
          <t>2026-02-22</t>
        </is>
      </c>
      <c r="G2904" t="n">
        <v>132</v>
      </c>
      <c r="H2904" t="inlineStr">
        <is>
          <t>Y</t>
        </is>
      </c>
      <c r="I2904">
        <f>HYPERLINK("https://admin.shopify.com/store/ge-beauty-cosmeticos/customers/10178155774272","abrir")</f>
        <v/>
      </c>
      <c r="J2904">
        <f>HYPERLINK("https://www.gebeauty.com.br/products/primer-cachos-definidos?ref=review","review")</f>
        <v/>
      </c>
      <c r="K2904" t="inlineStr">
        <is>
          <t>SEND</t>
        </is>
      </c>
    </row>
    <row r="2905">
      <c r="A2905" t="inlineStr">
        <is>
          <t>Patrícia</t>
        </is>
      </c>
      <c r="B2905" t="inlineStr">
        <is>
          <t>+5581999894283</t>
        </is>
      </c>
      <c r="C2905" t="inlineStr">
        <is>
          <t>Refill</t>
        </is>
      </c>
      <c r="D2905" t="inlineStr">
        <is>
          <t>Primer Cachos</t>
        </is>
      </c>
      <c r="E2905" t="n">
        <v>1</v>
      </c>
      <c r="F2905" t="inlineStr">
        <is>
          <t>2026-02-24</t>
        </is>
      </c>
      <c r="G2905" t="n">
        <v>130</v>
      </c>
      <c r="H2905" t="inlineStr">
        <is>
          <t>Y</t>
        </is>
      </c>
      <c r="I2905">
        <f>HYPERLINK("https://admin.shopify.com/store/ge-beauty-cosmeticos/customers/10181915246912","abrir")</f>
        <v/>
      </c>
      <c r="J2905">
        <f>HYPERLINK("https://www.gebeauty.com.br/products/primer-cachos-definidos?ref=review","review")</f>
        <v/>
      </c>
      <c r="K2905" t="inlineStr">
        <is>
          <t>SEND</t>
        </is>
      </c>
    </row>
    <row r="2906">
      <c r="A2906" t="inlineStr">
        <is>
          <t>Angelica</t>
        </is>
      </c>
      <c r="B2906" t="inlineStr">
        <is>
          <t>+5521993072202</t>
        </is>
      </c>
      <c r="C2906" t="inlineStr">
        <is>
          <t>Refill</t>
        </is>
      </c>
      <c r="D2906" t="inlineStr">
        <is>
          <t>Primer Cachos</t>
        </is>
      </c>
      <c r="E2906" t="n">
        <v>1</v>
      </c>
      <c r="F2906" t="inlineStr">
        <is>
          <t>2026-02-25</t>
        </is>
      </c>
      <c r="G2906" t="n">
        <v>129</v>
      </c>
      <c r="H2906" t="inlineStr">
        <is>
          <t>Y</t>
        </is>
      </c>
      <c r="I2906">
        <f>HYPERLINK("https://admin.shopify.com/store/ge-beauty-cosmeticos/customers/10156168905024","abrir")</f>
        <v/>
      </c>
      <c r="J2906">
        <f>HYPERLINK("https://www.gebeauty.com.br/products/primer-cachos-definidos?ref=review","review")</f>
        <v/>
      </c>
      <c r="K2906" t="inlineStr">
        <is>
          <t>SEND</t>
        </is>
      </c>
    </row>
    <row r="2907">
      <c r="A2907" t="inlineStr">
        <is>
          <t>Claudia</t>
        </is>
      </c>
      <c r="B2907" t="inlineStr">
        <is>
          <t>+5521991922520</t>
        </is>
      </c>
      <c r="C2907" t="inlineStr">
        <is>
          <t>Refill</t>
        </is>
      </c>
      <c r="D2907" t="inlineStr">
        <is>
          <t>Primer Cachos</t>
        </is>
      </c>
      <c r="E2907" t="n">
        <v>1</v>
      </c>
      <c r="F2907" t="inlineStr">
        <is>
          <t>2026-02-25</t>
        </is>
      </c>
      <c r="G2907" t="n">
        <v>129</v>
      </c>
      <c r="H2907" t="inlineStr">
        <is>
          <t>Y</t>
        </is>
      </c>
      <c r="I2907">
        <f>HYPERLINK("https://admin.shopify.com/store/ge-beauty-cosmeticos/customers/7760238051648","abrir")</f>
        <v/>
      </c>
      <c r="J2907">
        <f>HYPERLINK("https://www.gebeauty.com.br/products/primer-cachos-definidos?ref=review","review")</f>
        <v/>
      </c>
      <c r="K2907" t="inlineStr">
        <is>
          <t>SEND</t>
        </is>
      </c>
    </row>
    <row r="2908">
      <c r="A2908" t="inlineStr">
        <is>
          <t>Marise</t>
        </is>
      </c>
      <c r="B2908" t="inlineStr">
        <is>
          <t>+5521996232921</t>
        </is>
      </c>
      <c r="C2908" t="inlineStr">
        <is>
          <t>Refill</t>
        </is>
      </c>
      <c r="D2908" t="inlineStr">
        <is>
          <t>Primer Cachos</t>
        </is>
      </c>
      <c r="E2908" t="n">
        <v>1</v>
      </c>
      <c r="F2908" t="inlineStr">
        <is>
          <t>2026-02-26</t>
        </is>
      </c>
      <c r="G2908" t="n">
        <v>128</v>
      </c>
      <c r="H2908" t="inlineStr">
        <is>
          <t>Y</t>
        </is>
      </c>
      <c r="I2908">
        <f>HYPERLINK("https://admin.shopify.com/store/ge-beauty-cosmeticos/customers/10187123818816","abrir")</f>
        <v/>
      </c>
      <c r="J2908">
        <f>HYPERLINK("https://www.gebeauty.com.br/products/primer-cachos-definidos?ref=review","review")</f>
        <v/>
      </c>
      <c r="K2908" t="inlineStr">
        <is>
          <t>SEND</t>
        </is>
      </c>
    </row>
    <row r="2909">
      <c r="A2909" t="inlineStr">
        <is>
          <t>Clarice</t>
        </is>
      </c>
      <c r="B2909" t="inlineStr">
        <is>
          <t>+5521997817129</t>
        </is>
      </c>
      <c r="C2909" t="inlineStr">
        <is>
          <t>Refill</t>
        </is>
      </c>
      <c r="D2909" t="inlineStr">
        <is>
          <t>Primer Cachos</t>
        </is>
      </c>
      <c r="E2909" t="n">
        <v>1</v>
      </c>
      <c r="F2909" t="inlineStr">
        <is>
          <t>2026-02-27</t>
        </is>
      </c>
      <c r="G2909" t="n">
        <v>127</v>
      </c>
      <c r="H2909" t="inlineStr">
        <is>
          <t>Y</t>
        </is>
      </c>
      <c r="I2909">
        <f>HYPERLINK("https://admin.shopify.com/store/ge-beauty-cosmeticos/customers/9121186971968","abrir")</f>
        <v/>
      </c>
      <c r="J2909">
        <f>HYPERLINK("https://www.gebeauty.com.br/products/primer-cachos-definidos?ref=review","review")</f>
        <v/>
      </c>
      <c r="K2909" t="inlineStr">
        <is>
          <t>SEND</t>
        </is>
      </c>
    </row>
    <row r="2910">
      <c r="A2910" t="inlineStr">
        <is>
          <t>Tacia</t>
        </is>
      </c>
      <c r="B2910" t="inlineStr">
        <is>
          <t>+5581988443612</t>
        </is>
      </c>
      <c r="C2910" t="inlineStr">
        <is>
          <t>Refill</t>
        </is>
      </c>
      <c r="D2910" t="inlineStr">
        <is>
          <t>Primer Cachos</t>
        </is>
      </c>
      <c r="E2910" t="n">
        <v>1</v>
      </c>
      <c r="F2910" t="inlineStr">
        <is>
          <t>2026-02-27</t>
        </is>
      </c>
      <c r="G2910" t="n">
        <v>127</v>
      </c>
      <c r="H2910" t="inlineStr">
        <is>
          <t>Y</t>
        </is>
      </c>
      <c r="I2910">
        <f>HYPERLINK("https://admin.shopify.com/store/ge-beauty-cosmeticos/customers/9537717633344","abrir")</f>
        <v/>
      </c>
      <c r="J2910">
        <f>HYPERLINK("https://www.gebeauty.com.br/products/primer-cachos-definidos?ref=review","review")</f>
        <v/>
      </c>
      <c r="K2910" t="inlineStr">
        <is>
          <t>SEND</t>
        </is>
      </c>
    </row>
    <row r="2911">
      <c r="A2911" t="inlineStr">
        <is>
          <t>Marcela</t>
        </is>
      </c>
      <c r="B2911" t="inlineStr">
        <is>
          <t>+5581997891112</t>
        </is>
      </c>
      <c r="C2911" t="inlineStr">
        <is>
          <t>Refill</t>
        </is>
      </c>
      <c r="D2911" t="inlineStr">
        <is>
          <t>Primer Cachos</t>
        </is>
      </c>
      <c r="E2911" t="n">
        <v>1</v>
      </c>
      <c r="F2911" t="inlineStr">
        <is>
          <t>2026-03-02</t>
        </is>
      </c>
      <c r="G2911" t="n">
        <v>124</v>
      </c>
      <c r="H2911" t="inlineStr">
        <is>
          <t>Y</t>
        </is>
      </c>
      <c r="I2911">
        <f>HYPERLINK("https://admin.shopify.com/store/ge-beauty-cosmeticos/customers/10002118050112","abrir")</f>
        <v/>
      </c>
      <c r="J2911">
        <f>HYPERLINK("https://www.gebeauty.com.br/products/primer-cachos-definidos?ref=review","review")</f>
        <v/>
      </c>
      <c r="K2911" t="inlineStr">
        <is>
          <t>SEND</t>
        </is>
      </c>
    </row>
    <row r="2912">
      <c r="A2912" t="inlineStr">
        <is>
          <t>Debora</t>
        </is>
      </c>
      <c r="B2912" t="inlineStr">
        <is>
          <t>+5581994219990</t>
        </is>
      </c>
      <c r="C2912" t="inlineStr">
        <is>
          <t>Refill</t>
        </is>
      </c>
      <c r="D2912" t="inlineStr">
        <is>
          <t>Primer Cachos</t>
        </is>
      </c>
      <c r="E2912" t="n">
        <v>1</v>
      </c>
      <c r="F2912" t="inlineStr">
        <is>
          <t>2026-03-02</t>
        </is>
      </c>
      <c r="G2912" t="n">
        <v>124</v>
      </c>
      <c r="H2912" t="inlineStr">
        <is>
          <t>Y</t>
        </is>
      </c>
      <c r="I2912">
        <f>HYPERLINK("https://admin.shopify.com/store/ge-beauty-cosmeticos/customers/10198974955840","abrir")</f>
        <v/>
      </c>
      <c r="J2912">
        <f>HYPERLINK("https://www.gebeauty.com.br/products/primer-cachos-definidos?ref=review","review")</f>
        <v/>
      </c>
      <c r="K2912" t="inlineStr">
        <is>
          <t>SEND</t>
        </is>
      </c>
    </row>
    <row r="2913">
      <c r="A2913" t="inlineStr">
        <is>
          <t>Juliana</t>
        </is>
      </c>
      <c r="B2913" t="inlineStr">
        <is>
          <t>+5521972328186</t>
        </is>
      </c>
      <c r="C2913" t="inlineStr">
        <is>
          <t>Refill</t>
        </is>
      </c>
      <c r="D2913" t="inlineStr">
        <is>
          <t>Primer Cachos</t>
        </is>
      </c>
      <c r="E2913" t="n">
        <v>1</v>
      </c>
      <c r="F2913" t="inlineStr">
        <is>
          <t>2026-03-02</t>
        </is>
      </c>
      <c r="G2913" t="n">
        <v>124</v>
      </c>
      <c r="H2913" t="inlineStr">
        <is>
          <t>Y</t>
        </is>
      </c>
      <c r="I2913">
        <f>HYPERLINK("https://admin.shopify.com/store/ge-beauty-cosmeticos/customers/10199259480384","abrir")</f>
        <v/>
      </c>
      <c r="J2913">
        <f>HYPERLINK("https://www.gebeauty.com.br/products/primer-cachos-definidos?ref=review","review")</f>
        <v/>
      </c>
      <c r="K2913" t="inlineStr">
        <is>
          <t>SEND</t>
        </is>
      </c>
    </row>
    <row r="2914">
      <c r="A2914" t="inlineStr">
        <is>
          <t>Cláudia</t>
        </is>
      </c>
      <c r="B2914" t="inlineStr">
        <is>
          <t>+5581997068517</t>
        </is>
      </c>
      <c r="C2914" t="inlineStr">
        <is>
          <t>Refill</t>
        </is>
      </c>
      <c r="D2914" t="inlineStr">
        <is>
          <t>Primer Cachos</t>
        </is>
      </c>
      <c r="E2914" t="n">
        <v>1</v>
      </c>
      <c r="F2914" t="inlineStr">
        <is>
          <t>2026-03-03</t>
        </is>
      </c>
      <c r="G2914" t="n">
        <v>123</v>
      </c>
      <c r="H2914" t="inlineStr">
        <is>
          <t>Y</t>
        </is>
      </c>
      <c r="I2914">
        <f>HYPERLINK("https://admin.shopify.com/store/ge-beauty-cosmeticos/customers/10200692556096","abrir")</f>
        <v/>
      </c>
      <c r="J2914">
        <f>HYPERLINK("https://www.gebeauty.com.br/products/primer-cachos-definidos?ref=review","review")</f>
        <v/>
      </c>
      <c r="K2914" t="inlineStr">
        <is>
          <t>HOLDOUT</t>
        </is>
      </c>
    </row>
    <row r="2915">
      <c r="A2915" t="inlineStr">
        <is>
          <t>Dara</t>
        </is>
      </c>
      <c r="B2915" t="inlineStr">
        <is>
          <t>+5511995647165</t>
        </is>
      </c>
      <c r="C2915" t="inlineStr">
        <is>
          <t>Refill</t>
        </is>
      </c>
      <c r="D2915" t="inlineStr">
        <is>
          <t>Primer Cachos</t>
        </is>
      </c>
      <c r="E2915" t="n">
        <v>1</v>
      </c>
      <c r="F2915" t="inlineStr">
        <is>
          <t>2026-03-03</t>
        </is>
      </c>
      <c r="G2915" t="n">
        <v>123</v>
      </c>
      <c r="H2915" t="inlineStr">
        <is>
          <t>Y</t>
        </is>
      </c>
      <c r="I2915">
        <f>HYPERLINK("https://admin.shopify.com/store/ge-beauty-cosmeticos/customers/7761560535360","abrir")</f>
        <v/>
      </c>
      <c r="J2915">
        <f>HYPERLINK("https://www.gebeauty.com.br/products/primer-cachos-definidos?ref=review","review")</f>
        <v/>
      </c>
      <c r="K2915" t="inlineStr">
        <is>
          <t>SEND</t>
        </is>
      </c>
    </row>
    <row r="2916">
      <c r="A2916" t="inlineStr">
        <is>
          <t>Leilany</t>
        </is>
      </c>
      <c r="B2916" t="inlineStr">
        <is>
          <t>+5581992183046</t>
        </is>
      </c>
      <c r="C2916" t="inlineStr">
        <is>
          <t>Refill</t>
        </is>
      </c>
      <c r="D2916" t="inlineStr">
        <is>
          <t>Primer Cachos</t>
        </is>
      </c>
      <c r="E2916" t="n">
        <v>1</v>
      </c>
      <c r="F2916" t="inlineStr">
        <is>
          <t>2026-03-03</t>
        </is>
      </c>
      <c r="G2916" t="n">
        <v>123</v>
      </c>
      <c r="H2916" t="inlineStr">
        <is>
          <t>Y</t>
        </is>
      </c>
      <c r="I2916">
        <f>HYPERLINK("https://admin.shopify.com/store/ge-beauty-cosmeticos/customers/10165312487744","abrir")</f>
        <v/>
      </c>
      <c r="J2916">
        <f>HYPERLINK("https://www.gebeauty.com.br/products/primer-cachos-definidos?ref=review","review")</f>
        <v/>
      </c>
      <c r="K2916" t="inlineStr">
        <is>
          <t>SEND</t>
        </is>
      </c>
    </row>
    <row r="2917">
      <c r="A2917" t="inlineStr">
        <is>
          <t>Renata</t>
        </is>
      </c>
      <c r="B2917" t="inlineStr">
        <is>
          <t>+5581999260023</t>
        </is>
      </c>
      <c r="C2917" t="inlineStr">
        <is>
          <t>Refill</t>
        </is>
      </c>
      <c r="D2917" t="inlineStr">
        <is>
          <t>Primer Cachos</t>
        </is>
      </c>
      <c r="E2917" t="n">
        <v>1</v>
      </c>
      <c r="F2917" t="inlineStr">
        <is>
          <t>2026-03-03</t>
        </is>
      </c>
      <c r="G2917" t="n">
        <v>123</v>
      </c>
      <c r="H2917" t="inlineStr">
        <is>
          <t>Y</t>
        </is>
      </c>
      <c r="I2917">
        <f>HYPERLINK("https://admin.shopify.com/store/ge-beauty-cosmeticos/customers/8543066030400","abrir")</f>
        <v/>
      </c>
      <c r="J2917">
        <f>HYPERLINK("https://www.gebeauty.com.br/products/primer-cachos-definidos?ref=review","review")</f>
        <v/>
      </c>
      <c r="K2917" t="inlineStr">
        <is>
          <t>SEND</t>
        </is>
      </c>
    </row>
    <row r="2918">
      <c r="A2918" t="inlineStr">
        <is>
          <t>Erika</t>
        </is>
      </c>
      <c r="B2918" t="inlineStr">
        <is>
          <t>+5592981997029</t>
        </is>
      </c>
      <c r="C2918" t="inlineStr">
        <is>
          <t>Refill</t>
        </is>
      </c>
      <c r="D2918" t="inlineStr">
        <is>
          <t>Primer Cachos</t>
        </is>
      </c>
      <c r="E2918" t="n">
        <v>1</v>
      </c>
      <c r="F2918" t="inlineStr">
        <is>
          <t>2026-03-04</t>
        </is>
      </c>
      <c r="G2918" t="n">
        <v>122</v>
      </c>
      <c r="H2918" t="inlineStr">
        <is>
          <t>Y</t>
        </is>
      </c>
      <c r="I2918">
        <f>HYPERLINK("https://admin.shopify.com/store/ge-beauty-cosmeticos/customers/10202879820096","abrir")</f>
        <v/>
      </c>
      <c r="J2918">
        <f>HYPERLINK("https://www.gebeauty.com.br/products/primer-cachos-definidos?ref=review","review")</f>
        <v/>
      </c>
      <c r="K2918" t="inlineStr">
        <is>
          <t>SEND</t>
        </is>
      </c>
    </row>
    <row r="2919">
      <c r="A2919" t="inlineStr">
        <is>
          <t>Olivia</t>
        </is>
      </c>
      <c r="B2919" t="inlineStr">
        <is>
          <t>+5521994489463</t>
        </is>
      </c>
      <c r="C2919" t="inlineStr">
        <is>
          <t>Refill</t>
        </is>
      </c>
      <c r="D2919" t="inlineStr">
        <is>
          <t>Primer Cachos</t>
        </is>
      </c>
      <c r="E2919" t="n">
        <v>1</v>
      </c>
      <c r="F2919" t="inlineStr">
        <is>
          <t>2026-03-07</t>
        </is>
      </c>
      <c r="G2919" t="n">
        <v>119</v>
      </c>
      <c r="H2919" t="inlineStr">
        <is>
          <t>Y</t>
        </is>
      </c>
      <c r="I2919">
        <f>HYPERLINK("https://admin.shopify.com/store/ge-beauty-cosmeticos/customers/10215086752064","abrir")</f>
        <v/>
      </c>
      <c r="J2919">
        <f>HYPERLINK("https://www.gebeauty.com.br/products/primer-cachos-definidos?ref=review","review")</f>
        <v/>
      </c>
      <c r="K2919" t="inlineStr">
        <is>
          <t>SEND</t>
        </is>
      </c>
    </row>
    <row r="2920">
      <c r="A2920" t="inlineStr">
        <is>
          <t>Fabrille</t>
        </is>
      </c>
      <c r="B2920" t="inlineStr">
        <is>
          <t>+5521982951021</t>
        </is>
      </c>
      <c r="C2920" t="inlineStr">
        <is>
          <t>Refill</t>
        </is>
      </c>
      <c r="D2920" t="inlineStr">
        <is>
          <t>Primer Cachos</t>
        </is>
      </c>
      <c r="E2920" t="n">
        <v>1</v>
      </c>
      <c r="F2920" t="inlineStr">
        <is>
          <t>2026-03-07</t>
        </is>
      </c>
      <c r="G2920" t="n">
        <v>119</v>
      </c>
      <c r="H2920" t="inlineStr">
        <is>
          <t>Y</t>
        </is>
      </c>
      <c r="I2920">
        <f>HYPERLINK("https://admin.shopify.com/store/ge-beauty-cosmeticos/customers/9485947240768","abrir")</f>
        <v/>
      </c>
      <c r="J2920">
        <f>HYPERLINK("https://www.gebeauty.com.br/products/primer-cachos-definidos?ref=review","review")</f>
        <v/>
      </c>
      <c r="K2920" t="inlineStr">
        <is>
          <t>SEND</t>
        </is>
      </c>
    </row>
    <row r="2921">
      <c r="A2921" t="inlineStr">
        <is>
          <t>Victoria</t>
        </is>
      </c>
      <c r="B2921" t="inlineStr">
        <is>
          <t>+5524998454543</t>
        </is>
      </c>
      <c r="C2921" t="inlineStr">
        <is>
          <t>Refill</t>
        </is>
      </c>
      <c r="D2921" t="inlineStr">
        <is>
          <t>Primer Cachos</t>
        </is>
      </c>
      <c r="E2921" t="n">
        <v>1</v>
      </c>
      <c r="F2921" t="inlineStr">
        <is>
          <t>2026-03-07</t>
        </is>
      </c>
      <c r="G2921" t="n">
        <v>119</v>
      </c>
      <c r="H2921" t="inlineStr">
        <is>
          <t>Y</t>
        </is>
      </c>
      <c r="I2921">
        <f>HYPERLINK("https://admin.shopify.com/store/ge-beauty-cosmeticos/customers/10079251333440","abrir")</f>
        <v/>
      </c>
      <c r="J2921">
        <f>HYPERLINK("https://www.gebeauty.com.br/products/primer-cachos-definidos?ref=review","review")</f>
        <v/>
      </c>
      <c r="K2921" t="inlineStr">
        <is>
          <t>SEND</t>
        </is>
      </c>
    </row>
    <row r="2922">
      <c r="A2922" t="inlineStr">
        <is>
          <t>Stella</t>
        </is>
      </c>
      <c r="B2922" t="inlineStr">
        <is>
          <t>+5521981216512</t>
        </is>
      </c>
      <c r="C2922" t="inlineStr">
        <is>
          <t>Refill</t>
        </is>
      </c>
      <c r="D2922" t="inlineStr">
        <is>
          <t>Primer Cachos</t>
        </is>
      </c>
      <c r="E2922" t="n">
        <v>1</v>
      </c>
      <c r="F2922" t="inlineStr">
        <is>
          <t>2026-03-07</t>
        </is>
      </c>
      <c r="G2922" t="n">
        <v>119</v>
      </c>
      <c r="H2922" t="inlineStr">
        <is>
          <t>Y</t>
        </is>
      </c>
      <c r="I2922">
        <f>HYPERLINK("https://admin.shopify.com/store/ge-beauty-cosmeticos/customers/10096713662784","abrir")</f>
        <v/>
      </c>
      <c r="J2922">
        <f>HYPERLINK("https://www.gebeauty.com.br/products/primer-cachos-definidos?ref=review","review")</f>
        <v/>
      </c>
      <c r="K2922" t="inlineStr">
        <is>
          <t>SEND</t>
        </is>
      </c>
    </row>
    <row r="2923">
      <c r="A2923" t="inlineStr">
        <is>
          <t>Priscila</t>
        </is>
      </c>
      <c r="B2923" t="inlineStr">
        <is>
          <t>+5582996871080</t>
        </is>
      </c>
      <c r="C2923" t="inlineStr">
        <is>
          <t>Refill</t>
        </is>
      </c>
      <c r="D2923" t="inlineStr">
        <is>
          <t>Primer Cachos</t>
        </is>
      </c>
      <c r="E2923" t="n">
        <v>1</v>
      </c>
      <c r="F2923" t="inlineStr">
        <is>
          <t>2026-03-07</t>
        </is>
      </c>
      <c r="G2923" t="n">
        <v>119</v>
      </c>
      <c r="H2923" t="inlineStr">
        <is>
          <t>Y</t>
        </is>
      </c>
      <c r="I2923">
        <f>HYPERLINK("https://admin.shopify.com/store/ge-beauty-cosmeticos/customers/10215595376960","abrir")</f>
        <v/>
      </c>
      <c r="J2923">
        <f>HYPERLINK("https://www.gebeauty.com.br/products/primer-cachos-definidos?ref=review","review")</f>
        <v/>
      </c>
      <c r="K2923" t="inlineStr">
        <is>
          <t>SEND</t>
        </is>
      </c>
    </row>
    <row r="2924">
      <c r="A2924" t="inlineStr">
        <is>
          <t>Aline</t>
        </is>
      </c>
      <c r="B2924" t="inlineStr">
        <is>
          <t>+5581985715928</t>
        </is>
      </c>
      <c r="C2924" t="inlineStr">
        <is>
          <t>Refill</t>
        </is>
      </c>
      <c r="D2924" t="inlineStr">
        <is>
          <t>Primer Cachos</t>
        </is>
      </c>
      <c r="E2924" t="n">
        <v>1</v>
      </c>
      <c r="F2924" t="inlineStr">
        <is>
          <t>2026-03-08</t>
        </is>
      </c>
      <c r="G2924" t="n">
        <v>118</v>
      </c>
      <c r="H2924" t="inlineStr">
        <is>
          <t>Y</t>
        </is>
      </c>
      <c r="I2924">
        <f>HYPERLINK("https://admin.shopify.com/store/ge-beauty-cosmeticos/customers/10217568567616","abrir")</f>
        <v/>
      </c>
      <c r="J2924">
        <f>HYPERLINK("https://www.gebeauty.com.br/products/primer-cachos-definidos?ref=review","review")</f>
        <v/>
      </c>
      <c r="K2924" t="inlineStr">
        <is>
          <t>SEND</t>
        </is>
      </c>
    </row>
    <row r="2925">
      <c r="A2925" t="inlineStr">
        <is>
          <t>Gabriele</t>
        </is>
      </c>
      <c r="B2925" t="inlineStr">
        <is>
          <t>+5521998362838</t>
        </is>
      </c>
      <c r="C2925" t="inlineStr">
        <is>
          <t>Refill</t>
        </is>
      </c>
      <c r="D2925" t="inlineStr">
        <is>
          <t>Primer Cachos</t>
        </is>
      </c>
      <c r="E2925" t="n">
        <v>1</v>
      </c>
      <c r="F2925" t="inlineStr">
        <is>
          <t>2026-03-09</t>
        </is>
      </c>
      <c r="G2925" t="n">
        <v>117</v>
      </c>
      <c r="H2925" t="inlineStr">
        <is>
          <t>Y</t>
        </is>
      </c>
      <c r="I2925">
        <f>HYPERLINK("https://admin.shopify.com/store/ge-beauty-cosmeticos/customers/10220051333440","abrir")</f>
        <v/>
      </c>
      <c r="J2925">
        <f>HYPERLINK("https://www.gebeauty.com.br/products/primer-cachos-definidos?ref=review","review")</f>
        <v/>
      </c>
      <c r="K2925" t="inlineStr">
        <is>
          <t>HOLDOUT</t>
        </is>
      </c>
    </row>
    <row r="2926">
      <c r="A2926" t="inlineStr">
        <is>
          <t>Sayonara</t>
        </is>
      </c>
      <c r="B2926" t="inlineStr">
        <is>
          <t>+5581996704909</t>
        </is>
      </c>
      <c r="C2926" t="inlineStr">
        <is>
          <t>Refill</t>
        </is>
      </c>
      <c r="D2926" t="inlineStr">
        <is>
          <t>Primer Cachos</t>
        </is>
      </c>
      <c r="E2926" t="n">
        <v>1</v>
      </c>
      <c r="F2926" t="inlineStr">
        <is>
          <t>2026-03-10</t>
        </is>
      </c>
      <c r="G2926" t="n">
        <v>116</v>
      </c>
      <c r="H2926" t="inlineStr">
        <is>
          <t>Y</t>
        </is>
      </c>
      <c r="I2926">
        <f>HYPERLINK("https://admin.shopify.com/store/ge-beauty-cosmeticos/customers/10221928841536","abrir")</f>
        <v/>
      </c>
      <c r="J2926">
        <f>HYPERLINK("https://www.gebeauty.com.br/products/primer-cachos-definidos?ref=review","review")</f>
        <v/>
      </c>
      <c r="K2926" t="inlineStr">
        <is>
          <t>SEND</t>
        </is>
      </c>
    </row>
    <row r="2927">
      <c r="A2927" t="inlineStr">
        <is>
          <t>Andrea</t>
        </is>
      </c>
      <c r="B2927" t="inlineStr">
        <is>
          <t>+5581994448336</t>
        </is>
      </c>
      <c r="C2927" t="inlineStr">
        <is>
          <t>Refill</t>
        </is>
      </c>
      <c r="D2927" t="inlineStr">
        <is>
          <t>Primer Cachos</t>
        </is>
      </c>
      <c r="E2927" t="n">
        <v>1</v>
      </c>
      <c r="F2927" t="inlineStr">
        <is>
          <t>2026-03-11</t>
        </is>
      </c>
      <c r="G2927" t="n">
        <v>115</v>
      </c>
      <c r="H2927" t="inlineStr">
        <is>
          <t>Y</t>
        </is>
      </c>
      <c r="I2927">
        <f>HYPERLINK("https://admin.shopify.com/store/ge-beauty-cosmeticos/customers/9485194658112","abrir")</f>
        <v/>
      </c>
      <c r="J2927">
        <f>HYPERLINK("https://www.gebeauty.com.br/products/primer-cachos-definidos?ref=review","review")</f>
        <v/>
      </c>
      <c r="K2927" t="inlineStr">
        <is>
          <t>SEND</t>
        </is>
      </c>
    </row>
    <row r="2928">
      <c r="A2928" t="inlineStr">
        <is>
          <t>Angelina</t>
        </is>
      </c>
      <c r="B2928" t="inlineStr">
        <is>
          <t>+5581987569993</t>
        </is>
      </c>
      <c r="C2928" t="inlineStr">
        <is>
          <t>Refill</t>
        </is>
      </c>
      <c r="D2928" t="inlineStr">
        <is>
          <t>Primer Cachos</t>
        </is>
      </c>
      <c r="E2928" t="n">
        <v>1</v>
      </c>
      <c r="F2928" t="inlineStr">
        <is>
          <t>2026-03-12</t>
        </is>
      </c>
      <c r="G2928" t="n">
        <v>114</v>
      </c>
      <c r="H2928" t="inlineStr">
        <is>
          <t>Y</t>
        </is>
      </c>
      <c r="I2928">
        <f>HYPERLINK("https://admin.shopify.com/store/ge-beauty-cosmeticos/customers/10227198230848","abrir")</f>
        <v/>
      </c>
      <c r="J2928">
        <f>HYPERLINK("https://www.gebeauty.com.br/products/primer-cachos-definidos?ref=review","review")</f>
        <v/>
      </c>
      <c r="K2928" t="inlineStr">
        <is>
          <t>SEND</t>
        </is>
      </c>
    </row>
    <row r="2929">
      <c r="A2929" t="inlineStr">
        <is>
          <t>Renata</t>
        </is>
      </c>
      <c r="B2929" t="inlineStr">
        <is>
          <t>+5581996801523</t>
        </is>
      </c>
      <c r="C2929" t="inlineStr">
        <is>
          <t>Refill</t>
        </is>
      </c>
      <c r="D2929" t="inlineStr">
        <is>
          <t>Primer Cachos</t>
        </is>
      </c>
      <c r="E2929" t="n">
        <v>1</v>
      </c>
      <c r="F2929" t="inlineStr">
        <is>
          <t>2026-03-12</t>
        </is>
      </c>
      <c r="G2929" t="n">
        <v>114</v>
      </c>
      <c r="H2929" t="inlineStr">
        <is>
          <t>Y</t>
        </is>
      </c>
      <c r="I2929">
        <f>HYPERLINK("https://admin.shopify.com/store/ge-beauty-cosmeticos/customers/10212978917696","abrir")</f>
        <v/>
      </c>
      <c r="J2929">
        <f>HYPERLINK("https://www.gebeauty.com.br/products/primer-cachos-definidos?ref=review","review")</f>
        <v/>
      </c>
      <c r="K2929" t="inlineStr">
        <is>
          <t>SEND</t>
        </is>
      </c>
    </row>
    <row r="2930">
      <c r="A2930" t="inlineStr">
        <is>
          <t>Auana</t>
        </is>
      </c>
      <c r="B2930" t="inlineStr">
        <is>
          <t>+5584991552019</t>
        </is>
      </c>
      <c r="C2930" t="inlineStr">
        <is>
          <t>Refill</t>
        </is>
      </c>
      <c r="D2930" t="inlineStr">
        <is>
          <t>Primer Cachos</t>
        </is>
      </c>
      <c r="E2930" t="n">
        <v>1</v>
      </c>
      <c r="F2930" t="inlineStr">
        <is>
          <t>2026-03-15</t>
        </is>
      </c>
      <c r="G2930" t="n">
        <v>111</v>
      </c>
      <c r="H2930" t="inlineStr">
        <is>
          <t>Y</t>
        </is>
      </c>
      <c r="I2930">
        <f>HYPERLINK("https://admin.shopify.com/store/ge-beauty-cosmeticos/customers/10240444301632","abrir")</f>
        <v/>
      </c>
      <c r="J2930">
        <f>HYPERLINK("https://www.gebeauty.com.br/products/primer-cachos-definidos?ref=review","review")</f>
        <v/>
      </c>
      <c r="K2930" t="inlineStr">
        <is>
          <t>SEND</t>
        </is>
      </c>
    </row>
    <row r="2931">
      <c r="A2931" t="inlineStr">
        <is>
          <t>Raissa</t>
        </is>
      </c>
      <c r="B2931" t="inlineStr">
        <is>
          <t>+5521982281010</t>
        </is>
      </c>
      <c r="C2931" t="inlineStr">
        <is>
          <t>Refill</t>
        </is>
      </c>
      <c r="D2931" t="inlineStr">
        <is>
          <t>Primer Cachos</t>
        </is>
      </c>
      <c r="E2931" t="n">
        <v>1</v>
      </c>
      <c r="F2931" t="inlineStr">
        <is>
          <t>2026-03-15</t>
        </is>
      </c>
      <c r="G2931" t="n">
        <v>111</v>
      </c>
      <c r="H2931" t="inlineStr">
        <is>
          <t>Y</t>
        </is>
      </c>
      <c r="I2931">
        <f>HYPERLINK("https://admin.shopify.com/store/ge-beauty-cosmeticos/customers/10240509116736","abrir")</f>
        <v/>
      </c>
      <c r="J2931">
        <f>HYPERLINK("https://www.gebeauty.com.br/products/primer-cachos-definidos?ref=review","review")</f>
        <v/>
      </c>
      <c r="K2931" t="inlineStr">
        <is>
          <t>SEND</t>
        </is>
      </c>
    </row>
    <row r="2932">
      <c r="A2932" t="inlineStr">
        <is>
          <t>Daniela</t>
        </is>
      </c>
      <c r="B2932" t="inlineStr">
        <is>
          <t>+5511996828061</t>
        </is>
      </c>
      <c r="C2932" t="inlineStr">
        <is>
          <t>Refill</t>
        </is>
      </c>
      <c r="D2932" t="inlineStr">
        <is>
          <t>Primer Cachos</t>
        </is>
      </c>
      <c r="E2932" t="n">
        <v>1</v>
      </c>
      <c r="F2932" t="inlineStr">
        <is>
          <t>2026-03-15</t>
        </is>
      </c>
      <c r="G2932" t="n">
        <v>111</v>
      </c>
      <c r="H2932" t="inlineStr">
        <is>
          <t>Y</t>
        </is>
      </c>
      <c r="I2932">
        <f>HYPERLINK("https://admin.shopify.com/store/ge-beauty-cosmeticos/customers/10240528154944","abrir")</f>
        <v/>
      </c>
      <c r="J2932">
        <f>HYPERLINK("https://www.gebeauty.com.br/products/primer-cachos-definidos?ref=review","review")</f>
        <v/>
      </c>
      <c r="K2932" t="inlineStr">
        <is>
          <t>SEND</t>
        </is>
      </c>
    </row>
    <row r="2933">
      <c r="A2933" t="inlineStr">
        <is>
          <t>Marcus</t>
        </is>
      </c>
      <c r="B2933" t="inlineStr">
        <is>
          <t>+5531997440810</t>
        </is>
      </c>
      <c r="C2933" t="inlineStr">
        <is>
          <t>Refill</t>
        </is>
      </c>
      <c r="D2933" t="inlineStr">
        <is>
          <t>Primer Cachos</t>
        </is>
      </c>
      <c r="E2933" t="n">
        <v>1</v>
      </c>
      <c r="F2933" t="inlineStr">
        <is>
          <t>2026-03-18</t>
        </is>
      </c>
      <c r="G2933" t="n">
        <v>108</v>
      </c>
      <c r="H2933" t="inlineStr">
        <is>
          <t>Y</t>
        </is>
      </c>
      <c r="I2933">
        <f>HYPERLINK("https://admin.shopify.com/store/ge-beauty-cosmeticos/customers/10258239914304","abrir")</f>
        <v/>
      </c>
      <c r="J2933">
        <f>HYPERLINK("https://www.gebeauty.com.br/products/primer-cachos-definidos?ref=review","review")</f>
        <v/>
      </c>
      <c r="K2933" t="inlineStr">
        <is>
          <t>SEND</t>
        </is>
      </c>
    </row>
    <row r="2934">
      <c r="A2934" t="inlineStr">
        <is>
          <t>Janaina</t>
        </is>
      </c>
      <c r="B2934" t="inlineStr">
        <is>
          <t>+5531998115055</t>
        </is>
      </c>
      <c r="C2934" t="inlineStr">
        <is>
          <t>Refill</t>
        </is>
      </c>
      <c r="D2934" t="inlineStr">
        <is>
          <t>Primer Cachos</t>
        </is>
      </c>
      <c r="E2934" t="n">
        <v>1</v>
      </c>
      <c r="F2934" t="inlineStr">
        <is>
          <t>2026-03-19</t>
        </is>
      </c>
      <c r="G2934" t="n">
        <v>107</v>
      </c>
      <c r="H2934" t="inlineStr">
        <is>
          <t>Y</t>
        </is>
      </c>
      <c r="I2934">
        <f>HYPERLINK("https://admin.shopify.com/store/ge-beauty-cosmeticos/customers/10151397196096","abrir")</f>
        <v/>
      </c>
      <c r="J2934">
        <f>HYPERLINK("https://www.gebeauty.com.br/products/primer-cachos-definidos?ref=review","review")</f>
        <v/>
      </c>
      <c r="K2934" t="inlineStr">
        <is>
          <t>HOLDOUT</t>
        </is>
      </c>
    </row>
    <row r="2935">
      <c r="A2935" t="inlineStr">
        <is>
          <t>Ingrid</t>
        </is>
      </c>
      <c r="B2935" t="inlineStr">
        <is>
          <t>+5521981211781</t>
        </is>
      </c>
      <c r="C2935" t="inlineStr">
        <is>
          <t>Refill</t>
        </is>
      </c>
      <c r="D2935" t="inlineStr">
        <is>
          <t>Primer Cachos</t>
        </is>
      </c>
      <c r="E2935" t="n">
        <v>1</v>
      </c>
      <c r="F2935" t="inlineStr">
        <is>
          <t>2026-03-19</t>
        </is>
      </c>
      <c r="G2935" t="n">
        <v>107</v>
      </c>
      <c r="H2935" t="inlineStr">
        <is>
          <t>Y</t>
        </is>
      </c>
      <c r="I2935">
        <f>HYPERLINK("https://admin.shopify.com/store/ge-beauty-cosmeticos/customers/10149547114816","abrir")</f>
        <v/>
      </c>
      <c r="J2935">
        <f>HYPERLINK("https://www.gebeauty.com.br/products/primer-cachos-definidos?ref=review","review")</f>
        <v/>
      </c>
      <c r="K2935" t="inlineStr">
        <is>
          <t>SEND</t>
        </is>
      </c>
    </row>
    <row r="2936">
      <c r="A2936" t="inlineStr">
        <is>
          <t>Camila</t>
        </is>
      </c>
      <c r="B2936" t="inlineStr">
        <is>
          <t>+5515996327499</t>
        </is>
      </c>
      <c r="C2936" t="inlineStr">
        <is>
          <t>Refill</t>
        </is>
      </c>
      <c r="D2936" t="inlineStr">
        <is>
          <t>Primer Cachos</t>
        </is>
      </c>
      <c r="E2936" t="n">
        <v>1</v>
      </c>
      <c r="F2936" t="inlineStr">
        <is>
          <t>2026-03-19</t>
        </is>
      </c>
      <c r="G2936" t="n">
        <v>107</v>
      </c>
      <c r="H2936" t="inlineStr">
        <is>
          <t>Y</t>
        </is>
      </c>
      <c r="I2936">
        <f>HYPERLINK("https://admin.shopify.com/store/ge-beauty-cosmeticos/customers/10263582933312","abrir")</f>
        <v/>
      </c>
      <c r="J2936">
        <f>HYPERLINK("https://www.gebeauty.com.br/products/primer-cachos-definidos?ref=review","review")</f>
        <v/>
      </c>
      <c r="K2936" t="inlineStr">
        <is>
          <t>SEND</t>
        </is>
      </c>
    </row>
    <row r="2937">
      <c r="A2937" t="inlineStr">
        <is>
          <t>Marcella</t>
        </is>
      </c>
      <c r="B2937" t="inlineStr">
        <is>
          <t>+5511993496555</t>
        </is>
      </c>
      <c r="C2937" t="inlineStr">
        <is>
          <t>Refill</t>
        </is>
      </c>
      <c r="D2937" t="inlineStr">
        <is>
          <t>Primer Cachos</t>
        </is>
      </c>
      <c r="E2937" t="n">
        <v>1</v>
      </c>
      <c r="F2937" t="inlineStr">
        <is>
          <t>2026-03-19</t>
        </is>
      </c>
      <c r="G2937" t="n">
        <v>107</v>
      </c>
      <c r="H2937" t="inlineStr">
        <is>
          <t>Y</t>
        </is>
      </c>
      <c r="I2937">
        <f>HYPERLINK("https://admin.shopify.com/store/ge-beauty-cosmeticos/customers/9589328544064","abrir")</f>
        <v/>
      </c>
      <c r="J2937">
        <f>HYPERLINK("https://www.gebeauty.com.br/products/primer-cachos-definidos?ref=review","review")</f>
        <v/>
      </c>
      <c r="K2937" t="inlineStr">
        <is>
          <t>SEND</t>
        </is>
      </c>
    </row>
    <row r="2938">
      <c r="A2938" t="inlineStr">
        <is>
          <t>Eduardo</t>
        </is>
      </c>
      <c r="B2938" t="inlineStr">
        <is>
          <t>+551130231447</t>
        </is>
      </c>
      <c r="C2938" t="inlineStr">
        <is>
          <t>Refill</t>
        </is>
      </c>
      <c r="D2938" t="inlineStr">
        <is>
          <t>Primer Cachos</t>
        </is>
      </c>
      <c r="E2938" t="n">
        <v>1</v>
      </c>
      <c r="F2938" t="inlineStr">
        <is>
          <t>2026-03-19</t>
        </is>
      </c>
      <c r="G2938" t="n">
        <v>107</v>
      </c>
      <c r="H2938" t="inlineStr">
        <is>
          <t>Y</t>
        </is>
      </c>
      <c r="I2938">
        <f>HYPERLINK("https://admin.shopify.com/store/ge-beauty-cosmeticos/customers/10263579722048","abrir")</f>
        <v/>
      </c>
      <c r="J2938">
        <f>HYPERLINK("https://www.gebeauty.com.br/products/primer-cachos-definidos?ref=review","review")</f>
        <v/>
      </c>
      <c r="K2938" t="inlineStr">
        <is>
          <t>HOLDOUT</t>
        </is>
      </c>
    </row>
    <row r="2939">
      <c r="A2939" t="inlineStr">
        <is>
          <t>Rejane</t>
        </is>
      </c>
      <c r="B2939" t="inlineStr">
        <is>
          <t>+5511991022724</t>
        </is>
      </c>
      <c r="C2939" t="inlineStr">
        <is>
          <t>Refill</t>
        </is>
      </c>
      <c r="D2939" t="inlineStr">
        <is>
          <t>Primer Cachos</t>
        </is>
      </c>
      <c r="E2939" t="n">
        <v>1</v>
      </c>
      <c r="F2939" t="inlineStr">
        <is>
          <t>2026-03-19</t>
        </is>
      </c>
      <c r="G2939" t="n">
        <v>107</v>
      </c>
      <c r="H2939" t="inlineStr">
        <is>
          <t>Y</t>
        </is>
      </c>
      <c r="I2939">
        <f>HYPERLINK("https://admin.shopify.com/store/ge-beauty-cosmeticos/customers/10165666316608","abrir")</f>
        <v/>
      </c>
      <c r="J2939">
        <f>HYPERLINK("https://www.gebeauty.com.br/products/primer-cachos-definidos?ref=review","review")</f>
        <v/>
      </c>
      <c r="K2939" t="inlineStr">
        <is>
          <t>SEND</t>
        </is>
      </c>
    </row>
    <row r="2940">
      <c r="A2940" t="inlineStr">
        <is>
          <t>Ruzibel</t>
        </is>
      </c>
      <c r="B2940" t="inlineStr">
        <is>
          <t>+5511997817421</t>
        </is>
      </c>
      <c r="C2940" t="inlineStr">
        <is>
          <t>Refill</t>
        </is>
      </c>
      <c r="D2940" t="inlineStr">
        <is>
          <t>Primer Cachos</t>
        </is>
      </c>
      <c r="E2940" t="n">
        <v>1</v>
      </c>
      <c r="F2940" t="inlineStr">
        <is>
          <t>2026-03-19</t>
        </is>
      </c>
      <c r="G2940" t="n">
        <v>107</v>
      </c>
      <c r="H2940" t="inlineStr">
        <is>
          <t>Y</t>
        </is>
      </c>
      <c r="I2940">
        <f>HYPERLINK("https://admin.shopify.com/store/ge-beauty-cosmeticos/customers/10263586505024","abrir")</f>
        <v/>
      </c>
      <c r="J2940">
        <f>HYPERLINK("https://www.gebeauty.com.br/products/primer-cachos-definidos?ref=review","review")</f>
        <v/>
      </c>
      <c r="K2940" t="inlineStr">
        <is>
          <t>SEND</t>
        </is>
      </c>
    </row>
    <row r="2941">
      <c r="A2941" t="inlineStr">
        <is>
          <t>Josilene</t>
        </is>
      </c>
      <c r="B2941" t="inlineStr">
        <is>
          <t>+5534999553439</t>
        </is>
      </c>
      <c r="C2941" t="inlineStr">
        <is>
          <t>Refill</t>
        </is>
      </c>
      <c r="D2941" t="inlineStr">
        <is>
          <t>Primer Cachos</t>
        </is>
      </c>
      <c r="E2941" t="n">
        <v>1</v>
      </c>
      <c r="F2941" t="inlineStr">
        <is>
          <t>2026-03-19</t>
        </is>
      </c>
      <c r="G2941" t="n">
        <v>107</v>
      </c>
      <c r="H2941" t="inlineStr">
        <is>
          <t>Y</t>
        </is>
      </c>
      <c r="I2941">
        <f>HYPERLINK("https://admin.shopify.com/store/ge-beauty-cosmeticos/customers/10263587520832","abrir")</f>
        <v/>
      </c>
      <c r="J2941">
        <f>HYPERLINK("https://www.gebeauty.com.br/products/primer-cachos-definidos?ref=review","review")</f>
        <v/>
      </c>
      <c r="K2941" t="inlineStr">
        <is>
          <t>HOLDOUT</t>
        </is>
      </c>
    </row>
    <row r="2942">
      <c r="A2942" t="inlineStr">
        <is>
          <t>Caroline</t>
        </is>
      </c>
      <c r="B2942" t="inlineStr">
        <is>
          <t>+5511961778519</t>
        </is>
      </c>
      <c r="C2942" t="inlineStr">
        <is>
          <t>Refill</t>
        </is>
      </c>
      <c r="D2942" t="inlineStr">
        <is>
          <t>Primer Cachos</t>
        </is>
      </c>
      <c r="E2942" t="n">
        <v>1</v>
      </c>
      <c r="F2942" t="inlineStr">
        <is>
          <t>2026-03-19</t>
        </is>
      </c>
      <c r="G2942" t="n">
        <v>107</v>
      </c>
      <c r="H2942" t="inlineStr">
        <is>
          <t>Y</t>
        </is>
      </c>
      <c r="I2942">
        <f>HYPERLINK("https://admin.shopify.com/store/ge-beauty-cosmeticos/customers/10207324406080","abrir")</f>
        <v/>
      </c>
      <c r="J2942">
        <f>HYPERLINK("https://www.gebeauty.com.br/products/primer-cachos-definidos?ref=review","review")</f>
        <v/>
      </c>
      <c r="K2942" t="inlineStr">
        <is>
          <t>SEND</t>
        </is>
      </c>
    </row>
    <row r="2943">
      <c r="A2943" t="inlineStr">
        <is>
          <t>Tatiana</t>
        </is>
      </c>
      <c r="B2943" t="inlineStr">
        <is>
          <t>+5561981598444</t>
        </is>
      </c>
      <c r="C2943" t="inlineStr">
        <is>
          <t>Refill</t>
        </is>
      </c>
      <c r="D2943" t="inlineStr">
        <is>
          <t>Primer Cachos</t>
        </is>
      </c>
      <c r="E2943" t="n">
        <v>1</v>
      </c>
      <c r="F2943" t="inlineStr">
        <is>
          <t>2026-03-19</t>
        </is>
      </c>
      <c r="G2943" t="n">
        <v>107</v>
      </c>
      <c r="H2943" t="inlineStr">
        <is>
          <t>Y</t>
        </is>
      </c>
      <c r="I2943">
        <f>HYPERLINK("https://admin.shopify.com/store/ge-beauty-cosmeticos/customers/7759287222592","abrir")</f>
        <v/>
      </c>
      <c r="J2943">
        <f>HYPERLINK("https://www.gebeauty.com.br/products/primer-cachos-definidos?ref=review","review")</f>
        <v/>
      </c>
      <c r="K2943" t="inlineStr">
        <is>
          <t>SEND</t>
        </is>
      </c>
    </row>
    <row r="2944">
      <c r="A2944" t="inlineStr">
        <is>
          <t>Natalia</t>
        </is>
      </c>
      <c r="B2944" t="inlineStr">
        <is>
          <t>+5511941931183</t>
        </is>
      </c>
      <c r="C2944" t="inlineStr">
        <is>
          <t>Refill</t>
        </is>
      </c>
      <c r="D2944" t="inlineStr">
        <is>
          <t>Primer Cachos</t>
        </is>
      </c>
      <c r="E2944" t="n">
        <v>1</v>
      </c>
      <c r="F2944" t="inlineStr">
        <is>
          <t>2026-03-19</t>
        </is>
      </c>
      <c r="G2944" t="n">
        <v>107</v>
      </c>
      <c r="H2944" t="inlineStr">
        <is>
          <t>Y</t>
        </is>
      </c>
      <c r="I2944">
        <f>HYPERLINK("https://admin.shopify.com/store/ge-beauty-cosmeticos/customers/10168879612224","abrir")</f>
        <v/>
      </c>
      <c r="J2944">
        <f>HYPERLINK("https://www.gebeauty.com.br/products/primer-cachos-definidos?ref=review","review")</f>
        <v/>
      </c>
      <c r="K2944" t="inlineStr">
        <is>
          <t>SEND</t>
        </is>
      </c>
    </row>
    <row r="2945">
      <c r="A2945" t="inlineStr">
        <is>
          <t>Liliane</t>
        </is>
      </c>
      <c r="B2945" t="inlineStr">
        <is>
          <t>+5591983966900</t>
        </is>
      </c>
      <c r="C2945" t="inlineStr">
        <is>
          <t>Refill</t>
        </is>
      </c>
      <c r="D2945" t="inlineStr">
        <is>
          <t>Primer Cachos</t>
        </is>
      </c>
      <c r="E2945" t="n">
        <v>1</v>
      </c>
      <c r="F2945" t="inlineStr">
        <is>
          <t>2026-03-19</t>
        </is>
      </c>
      <c r="G2945" t="n">
        <v>107</v>
      </c>
      <c r="H2945" t="inlineStr">
        <is>
          <t>Y</t>
        </is>
      </c>
      <c r="I2945">
        <f>HYPERLINK("https://admin.shopify.com/store/ge-beauty-cosmeticos/customers/10263543808320","abrir")</f>
        <v/>
      </c>
      <c r="J2945">
        <f>HYPERLINK("https://www.gebeauty.com.br/products/primer-cachos-definidos?ref=review","review")</f>
        <v/>
      </c>
      <c r="K2945" t="inlineStr">
        <is>
          <t>SEND</t>
        </is>
      </c>
    </row>
    <row r="2946">
      <c r="A2946" t="inlineStr">
        <is>
          <t>Catarine</t>
        </is>
      </c>
      <c r="B2946" t="inlineStr">
        <is>
          <t>+5511993830266</t>
        </is>
      </c>
      <c r="C2946" t="inlineStr">
        <is>
          <t>Refill</t>
        </is>
      </c>
      <c r="D2946" t="inlineStr">
        <is>
          <t>Primer Cachos</t>
        </is>
      </c>
      <c r="E2946" t="n">
        <v>1</v>
      </c>
      <c r="F2946" t="inlineStr">
        <is>
          <t>2026-03-19</t>
        </is>
      </c>
      <c r="G2946" t="n">
        <v>107</v>
      </c>
      <c r="H2946" t="inlineStr">
        <is>
          <t>Y</t>
        </is>
      </c>
      <c r="I2946">
        <f>HYPERLINK("https://admin.shopify.com/store/ge-beauty-cosmeticos/customers/10131153486144","abrir")</f>
        <v/>
      </c>
      <c r="J2946">
        <f>HYPERLINK("https://www.gebeauty.com.br/products/primer-cachos-definidos?ref=review","review")</f>
        <v/>
      </c>
      <c r="K2946" t="inlineStr">
        <is>
          <t>SEND</t>
        </is>
      </c>
    </row>
    <row r="2947">
      <c r="A2947" t="inlineStr">
        <is>
          <t>Aline</t>
        </is>
      </c>
      <c r="B2947" t="inlineStr">
        <is>
          <t>+5533984536262</t>
        </is>
      </c>
      <c r="C2947" t="inlineStr">
        <is>
          <t>Refill</t>
        </is>
      </c>
      <c r="D2947" t="inlineStr">
        <is>
          <t>Primer Cachos</t>
        </is>
      </c>
      <c r="E2947" t="n">
        <v>1</v>
      </c>
      <c r="F2947" t="inlineStr">
        <is>
          <t>2026-03-19</t>
        </is>
      </c>
      <c r="G2947" t="n">
        <v>107</v>
      </c>
      <c r="H2947" t="inlineStr">
        <is>
          <t>Y</t>
        </is>
      </c>
      <c r="I2947">
        <f>HYPERLINK("https://admin.shopify.com/store/ge-beauty-cosmeticos/customers/10187172577600","abrir")</f>
        <v/>
      </c>
      <c r="J2947">
        <f>HYPERLINK("https://www.gebeauty.com.br/products/primer-cachos-definidos?ref=review","review")</f>
        <v/>
      </c>
      <c r="K2947" t="inlineStr">
        <is>
          <t>SEND</t>
        </is>
      </c>
    </row>
    <row r="2948">
      <c r="A2948" t="inlineStr">
        <is>
          <t>Fernanda Gabriela</t>
        </is>
      </c>
      <c r="B2948" t="inlineStr">
        <is>
          <t>+5547999037058</t>
        </is>
      </c>
      <c r="C2948" t="inlineStr">
        <is>
          <t>Refill</t>
        </is>
      </c>
      <c r="D2948" t="inlineStr">
        <is>
          <t>Primer Cachos</t>
        </is>
      </c>
      <c r="E2948" t="n">
        <v>1</v>
      </c>
      <c r="F2948" t="inlineStr">
        <is>
          <t>2026-03-19</t>
        </is>
      </c>
      <c r="G2948" t="n">
        <v>107</v>
      </c>
      <c r="H2948" t="inlineStr">
        <is>
          <t>Y</t>
        </is>
      </c>
      <c r="I2948">
        <f>HYPERLINK("https://admin.shopify.com/store/ge-beauty-cosmeticos/customers/10263602233664","abrir")</f>
        <v/>
      </c>
      <c r="J2948">
        <f>HYPERLINK("https://www.gebeauty.com.br/products/primer-cachos-definidos?ref=review","review")</f>
        <v/>
      </c>
      <c r="K2948" t="inlineStr">
        <is>
          <t>SEND</t>
        </is>
      </c>
    </row>
    <row r="2949">
      <c r="A2949" t="inlineStr">
        <is>
          <t>Carina</t>
        </is>
      </c>
      <c r="B2949" t="inlineStr">
        <is>
          <t>+5511932452604</t>
        </is>
      </c>
      <c r="C2949" t="inlineStr">
        <is>
          <t>Refill</t>
        </is>
      </c>
      <c r="D2949" t="inlineStr">
        <is>
          <t>Primer Cachos</t>
        </is>
      </c>
      <c r="E2949" t="n">
        <v>1</v>
      </c>
      <c r="F2949" t="inlineStr">
        <is>
          <t>2026-03-19</t>
        </is>
      </c>
      <c r="G2949" t="n">
        <v>107</v>
      </c>
      <c r="H2949" t="inlineStr">
        <is>
          <t>Y</t>
        </is>
      </c>
      <c r="I2949">
        <f>HYPERLINK("https://admin.shopify.com/store/ge-beauty-cosmeticos/customers/10263582966080","abrir")</f>
        <v/>
      </c>
      <c r="J2949">
        <f>HYPERLINK("https://www.gebeauty.com.br/products/primer-cachos-definidos?ref=review","review")</f>
        <v/>
      </c>
      <c r="K2949" t="inlineStr">
        <is>
          <t>SEND</t>
        </is>
      </c>
    </row>
    <row r="2950">
      <c r="A2950" t="inlineStr">
        <is>
          <t>Camila</t>
        </is>
      </c>
      <c r="B2950" t="inlineStr">
        <is>
          <t>+5555996037507</t>
        </is>
      </c>
      <c r="C2950" t="inlineStr">
        <is>
          <t>Refill</t>
        </is>
      </c>
      <c r="D2950" t="inlineStr">
        <is>
          <t>Primer Cachos</t>
        </is>
      </c>
      <c r="E2950" t="n">
        <v>1</v>
      </c>
      <c r="F2950" t="inlineStr">
        <is>
          <t>2026-03-19</t>
        </is>
      </c>
      <c r="G2950" t="n">
        <v>107</v>
      </c>
      <c r="H2950" t="inlineStr">
        <is>
          <t>Y</t>
        </is>
      </c>
      <c r="I2950">
        <f>HYPERLINK("https://admin.shopify.com/store/ge-beauty-cosmeticos/customers/10263611801920","abrir")</f>
        <v/>
      </c>
      <c r="J2950">
        <f>HYPERLINK("https://www.gebeauty.com.br/products/primer-cachos-definidos?ref=review","review")</f>
        <v/>
      </c>
      <c r="K2950" t="inlineStr">
        <is>
          <t>SEND</t>
        </is>
      </c>
    </row>
    <row r="2951">
      <c r="A2951" t="inlineStr">
        <is>
          <t>Letícia</t>
        </is>
      </c>
      <c r="B2951" t="inlineStr">
        <is>
          <t>+5514997682236</t>
        </is>
      </c>
      <c r="C2951" t="inlineStr">
        <is>
          <t>Refill</t>
        </is>
      </c>
      <c r="D2951" t="inlineStr">
        <is>
          <t>Primer Cachos</t>
        </is>
      </c>
      <c r="E2951" t="n">
        <v>1</v>
      </c>
      <c r="F2951" t="inlineStr">
        <is>
          <t>2026-03-19</t>
        </is>
      </c>
      <c r="G2951" t="n">
        <v>107</v>
      </c>
      <c r="H2951" t="inlineStr">
        <is>
          <t>Y</t>
        </is>
      </c>
      <c r="I2951">
        <f>HYPERLINK("https://admin.shopify.com/store/ge-beauty-cosmeticos/customers/9485852705088","abrir")</f>
        <v/>
      </c>
      <c r="J2951">
        <f>HYPERLINK("https://www.gebeauty.com.br/products/primer-cachos-definidos?ref=review","review")</f>
        <v/>
      </c>
      <c r="K2951" t="inlineStr">
        <is>
          <t>SEND</t>
        </is>
      </c>
    </row>
    <row r="2952">
      <c r="A2952" t="inlineStr">
        <is>
          <t>Victoria</t>
        </is>
      </c>
      <c r="B2952" t="inlineStr">
        <is>
          <t>+5551997973597</t>
        </is>
      </c>
      <c r="C2952" t="inlineStr">
        <is>
          <t>Refill</t>
        </is>
      </c>
      <c r="D2952" t="inlineStr">
        <is>
          <t>Primer Cachos</t>
        </is>
      </c>
      <c r="E2952" t="n">
        <v>1</v>
      </c>
      <c r="F2952" t="inlineStr">
        <is>
          <t>2026-03-19</t>
        </is>
      </c>
      <c r="G2952" t="n">
        <v>107</v>
      </c>
      <c r="H2952" t="inlineStr">
        <is>
          <t>Y</t>
        </is>
      </c>
      <c r="I2952">
        <f>HYPERLINK("https://admin.shopify.com/store/ge-beauty-cosmeticos/customers/10239437472064","abrir")</f>
        <v/>
      </c>
      <c r="J2952">
        <f>HYPERLINK("https://www.gebeauty.com.br/products/primer-cachos-definidos?ref=review","review")</f>
        <v/>
      </c>
      <c r="K2952" t="inlineStr">
        <is>
          <t>SEND</t>
        </is>
      </c>
    </row>
    <row r="2953">
      <c r="A2953" t="inlineStr">
        <is>
          <t>Fernanda</t>
        </is>
      </c>
      <c r="B2953" t="inlineStr">
        <is>
          <t>+5512988201502</t>
        </is>
      </c>
      <c r="C2953" t="inlineStr">
        <is>
          <t>Refill</t>
        </is>
      </c>
      <c r="D2953" t="inlineStr">
        <is>
          <t>Primer Cachos</t>
        </is>
      </c>
      <c r="E2953" t="n">
        <v>1</v>
      </c>
      <c r="F2953" t="inlineStr">
        <is>
          <t>2026-03-19</t>
        </is>
      </c>
      <c r="G2953" t="n">
        <v>107</v>
      </c>
      <c r="H2953" t="inlineStr">
        <is>
          <t>Y</t>
        </is>
      </c>
      <c r="I2953">
        <f>HYPERLINK("https://admin.shopify.com/store/ge-beauty-cosmeticos/customers/10263596597568","abrir")</f>
        <v/>
      </c>
      <c r="J2953">
        <f>HYPERLINK("https://www.gebeauty.com.br/products/primer-cachos-definidos?ref=review","review")</f>
        <v/>
      </c>
      <c r="K2953" t="inlineStr">
        <is>
          <t>SEND</t>
        </is>
      </c>
    </row>
    <row r="2954">
      <c r="A2954" t="inlineStr">
        <is>
          <t>Renato</t>
        </is>
      </c>
      <c r="B2954" t="inlineStr">
        <is>
          <t>+5519992512984</t>
        </is>
      </c>
      <c r="C2954" t="inlineStr">
        <is>
          <t>Refill</t>
        </is>
      </c>
      <c r="D2954" t="inlineStr">
        <is>
          <t>Primer Cachos</t>
        </is>
      </c>
      <c r="E2954" t="n">
        <v>1</v>
      </c>
      <c r="F2954" t="inlineStr">
        <is>
          <t>2026-03-19</t>
        </is>
      </c>
      <c r="G2954" t="n">
        <v>107</v>
      </c>
      <c r="H2954" t="inlineStr">
        <is>
          <t>Y</t>
        </is>
      </c>
      <c r="I2954">
        <f>HYPERLINK("https://admin.shopify.com/store/ge-beauty-cosmeticos/customers/10074168131904","abrir")</f>
        <v/>
      </c>
      <c r="J2954">
        <f>HYPERLINK("https://www.gebeauty.com.br/products/primer-cachos-definidos?ref=review","review")</f>
        <v/>
      </c>
      <c r="K2954" t="inlineStr">
        <is>
          <t>SEND</t>
        </is>
      </c>
    </row>
    <row r="2955">
      <c r="A2955" t="inlineStr">
        <is>
          <t>Natalia</t>
        </is>
      </c>
      <c r="B2955" t="inlineStr">
        <is>
          <t>+5585996468151</t>
        </is>
      </c>
      <c r="C2955" t="inlineStr">
        <is>
          <t>Refill</t>
        </is>
      </c>
      <c r="D2955" t="inlineStr">
        <is>
          <t>Primer Cachos</t>
        </is>
      </c>
      <c r="E2955" t="n">
        <v>1</v>
      </c>
      <c r="F2955" t="inlineStr">
        <is>
          <t>2026-03-19</t>
        </is>
      </c>
      <c r="G2955" t="n">
        <v>107</v>
      </c>
      <c r="H2955" t="inlineStr">
        <is>
          <t>Y</t>
        </is>
      </c>
      <c r="I2955">
        <f>HYPERLINK("https://admin.shopify.com/store/ge-beauty-cosmeticos/customers/10100967309632","abrir")</f>
        <v/>
      </c>
      <c r="J2955">
        <f>HYPERLINK("https://www.gebeauty.com.br/products/primer-cachos-definidos?ref=review","review")</f>
        <v/>
      </c>
      <c r="K2955" t="inlineStr">
        <is>
          <t>SEND</t>
        </is>
      </c>
    </row>
    <row r="2956">
      <c r="A2956" t="inlineStr">
        <is>
          <t>Marcela</t>
        </is>
      </c>
      <c r="B2956" t="inlineStr">
        <is>
          <t>+5561992371242</t>
        </is>
      </c>
      <c r="C2956" t="inlineStr">
        <is>
          <t>Refill</t>
        </is>
      </c>
      <c r="D2956" t="inlineStr">
        <is>
          <t>Primer Cachos</t>
        </is>
      </c>
      <c r="E2956" t="n">
        <v>1</v>
      </c>
      <c r="F2956" t="inlineStr">
        <is>
          <t>2026-03-19</t>
        </is>
      </c>
      <c r="G2956" t="n">
        <v>107</v>
      </c>
      <c r="H2956" t="inlineStr">
        <is>
          <t>Y</t>
        </is>
      </c>
      <c r="I2956">
        <f>HYPERLINK("https://admin.shopify.com/store/ge-beauty-cosmeticos/customers/8908380111168","abrir")</f>
        <v/>
      </c>
      <c r="J2956">
        <f>HYPERLINK("https://www.gebeauty.com.br/products/primer-cachos-definidos?ref=review","review")</f>
        <v/>
      </c>
      <c r="K2956" t="inlineStr">
        <is>
          <t>SEND</t>
        </is>
      </c>
    </row>
    <row r="2957">
      <c r="A2957" t="inlineStr">
        <is>
          <t>Cecília</t>
        </is>
      </c>
      <c r="B2957" t="inlineStr">
        <is>
          <t>+5585987578647</t>
        </is>
      </c>
      <c r="C2957" t="inlineStr">
        <is>
          <t>Refill</t>
        </is>
      </c>
      <c r="D2957" t="inlineStr">
        <is>
          <t>Primer Cachos</t>
        </is>
      </c>
      <c r="E2957" t="n">
        <v>1</v>
      </c>
      <c r="F2957" t="inlineStr">
        <is>
          <t>2026-03-19</t>
        </is>
      </c>
      <c r="G2957" t="n">
        <v>107</v>
      </c>
      <c r="H2957" t="inlineStr">
        <is>
          <t>Y</t>
        </is>
      </c>
      <c r="I2957">
        <f>HYPERLINK("https://admin.shopify.com/store/ge-beauty-cosmeticos/customers/10212036215104","abrir")</f>
        <v/>
      </c>
      <c r="J2957">
        <f>HYPERLINK("https://www.gebeauty.com.br/products/primer-cachos-definidos?ref=review","review")</f>
        <v/>
      </c>
      <c r="K2957" t="inlineStr">
        <is>
          <t>SEND</t>
        </is>
      </c>
    </row>
    <row r="2958">
      <c r="A2958" t="inlineStr">
        <is>
          <t>Mariana</t>
        </is>
      </c>
      <c r="B2958" t="inlineStr">
        <is>
          <t>+5562999945402</t>
        </is>
      </c>
      <c r="C2958" t="inlineStr">
        <is>
          <t>Refill</t>
        </is>
      </c>
      <c r="D2958" t="inlineStr">
        <is>
          <t>Primer Cachos</t>
        </is>
      </c>
      <c r="E2958" t="n">
        <v>1</v>
      </c>
      <c r="F2958" t="inlineStr">
        <is>
          <t>2026-03-19</t>
        </is>
      </c>
      <c r="G2958" t="n">
        <v>107</v>
      </c>
      <c r="H2958" t="inlineStr">
        <is>
          <t>Y</t>
        </is>
      </c>
      <c r="I2958">
        <f>HYPERLINK("https://admin.shopify.com/store/ge-beauty-cosmeticos/customers/10263593189696","abrir")</f>
        <v/>
      </c>
      <c r="J2958">
        <f>HYPERLINK("https://www.gebeauty.com.br/products/primer-cachos-definidos?ref=review","review")</f>
        <v/>
      </c>
      <c r="K2958" t="inlineStr">
        <is>
          <t>SEND</t>
        </is>
      </c>
    </row>
    <row r="2959">
      <c r="A2959" t="inlineStr">
        <is>
          <t>Michelle</t>
        </is>
      </c>
      <c r="B2959" t="inlineStr">
        <is>
          <t>+5521995819968</t>
        </is>
      </c>
      <c r="C2959" t="inlineStr">
        <is>
          <t>Refill</t>
        </is>
      </c>
      <c r="D2959" t="inlineStr">
        <is>
          <t>Primer Cachos</t>
        </is>
      </c>
      <c r="E2959" t="n">
        <v>1</v>
      </c>
      <c r="F2959" t="inlineStr">
        <is>
          <t>2026-03-19</t>
        </is>
      </c>
      <c r="G2959" t="n">
        <v>107</v>
      </c>
      <c r="H2959" t="inlineStr">
        <is>
          <t>Y</t>
        </is>
      </c>
      <c r="I2959">
        <f>HYPERLINK("https://admin.shopify.com/store/ge-beauty-cosmeticos/customers/10259395608896","abrir")</f>
        <v/>
      </c>
      <c r="J2959">
        <f>HYPERLINK("https://www.gebeauty.com.br/products/primer-cachos-definidos?ref=review","review")</f>
        <v/>
      </c>
      <c r="K2959" t="inlineStr">
        <is>
          <t>SEND</t>
        </is>
      </c>
    </row>
    <row r="2960">
      <c r="A2960" t="inlineStr">
        <is>
          <t>Barbara Maria</t>
        </is>
      </c>
      <c r="B2960" t="inlineStr">
        <is>
          <t>+5537998692527</t>
        </is>
      </c>
      <c r="C2960" t="inlineStr">
        <is>
          <t>Refill</t>
        </is>
      </c>
      <c r="D2960" t="inlineStr">
        <is>
          <t>Primer Cachos</t>
        </is>
      </c>
      <c r="E2960" t="n">
        <v>1</v>
      </c>
      <c r="F2960" t="inlineStr">
        <is>
          <t>2026-03-19</t>
        </is>
      </c>
      <c r="G2960" t="n">
        <v>107</v>
      </c>
      <c r="H2960" t="inlineStr">
        <is>
          <t>Y</t>
        </is>
      </c>
      <c r="I2960">
        <f>HYPERLINK("https://admin.shopify.com/store/ge-beauty-cosmeticos/customers/10263619371328","abrir")</f>
        <v/>
      </c>
      <c r="J2960">
        <f>HYPERLINK("https://www.gebeauty.com.br/products/primer-cachos-definidos?ref=review","review")</f>
        <v/>
      </c>
      <c r="K2960" t="inlineStr">
        <is>
          <t>SEND</t>
        </is>
      </c>
    </row>
    <row r="2961">
      <c r="A2961" t="inlineStr">
        <is>
          <t>Jucilene</t>
        </is>
      </c>
      <c r="B2961" t="inlineStr">
        <is>
          <t>+5571981468777</t>
        </is>
      </c>
      <c r="C2961" t="inlineStr">
        <is>
          <t>Refill</t>
        </is>
      </c>
      <c r="D2961" t="inlineStr">
        <is>
          <t>Primer Cachos</t>
        </is>
      </c>
      <c r="E2961" t="n">
        <v>1</v>
      </c>
      <c r="F2961" t="inlineStr">
        <is>
          <t>2026-03-19</t>
        </is>
      </c>
      <c r="G2961" t="n">
        <v>107</v>
      </c>
      <c r="H2961" t="inlineStr">
        <is>
          <t>Y</t>
        </is>
      </c>
      <c r="I2961">
        <f>HYPERLINK("https://admin.shopify.com/store/ge-beauty-cosmeticos/customers/9484413665600","abrir")</f>
        <v/>
      </c>
      <c r="J2961">
        <f>HYPERLINK("https://www.gebeauty.com.br/products/primer-cachos-definidos?ref=review","review")</f>
        <v/>
      </c>
      <c r="K2961" t="inlineStr">
        <is>
          <t>SEND</t>
        </is>
      </c>
    </row>
    <row r="2962">
      <c r="A2962" t="inlineStr">
        <is>
          <t>Fernanda</t>
        </is>
      </c>
      <c r="B2962" t="inlineStr">
        <is>
          <t>+5511994613592</t>
        </is>
      </c>
      <c r="C2962" t="inlineStr">
        <is>
          <t>Refill</t>
        </is>
      </c>
      <c r="D2962" t="inlineStr">
        <is>
          <t>Primer Cachos</t>
        </is>
      </c>
      <c r="E2962" t="n">
        <v>1</v>
      </c>
      <c r="F2962" t="inlineStr">
        <is>
          <t>2026-03-19</t>
        </is>
      </c>
      <c r="G2962" t="n">
        <v>107</v>
      </c>
      <c r="H2962" t="inlineStr">
        <is>
          <t>Y</t>
        </is>
      </c>
      <c r="I2962">
        <f>HYPERLINK("https://admin.shopify.com/store/ge-beauty-cosmeticos/customers/10263636115776","abrir")</f>
        <v/>
      </c>
      <c r="J2962">
        <f>HYPERLINK("https://www.gebeauty.com.br/products/primer-cachos-definidos?ref=review","review")</f>
        <v/>
      </c>
      <c r="K2962" t="inlineStr">
        <is>
          <t>SEND</t>
        </is>
      </c>
    </row>
    <row r="2963">
      <c r="A2963" t="inlineStr">
        <is>
          <t>Tania</t>
        </is>
      </c>
      <c r="B2963" t="inlineStr">
        <is>
          <t>+5511986493101</t>
        </is>
      </c>
      <c r="C2963" t="inlineStr">
        <is>
          <t>Refill</t>
        </is>
      </c>
      <c r="D2963" t="inlineStr">
        <is>
          <t>Primer Cachos</t>
        </is>
      </c>
      <c r="E2963" t="n">
        <v>1</v>
      </c>
      <c r="F2963" t="inlineStr">
        <is>
          <t>2026-03-19</t>
        </is>
      </c>
      <c r="G2963" t="n">
        <v>107</v>
      </c>
      <c r="H2963" t="inlineStr">
        <is>
          <t>Y</t>
        </is>
      </c>
      <c r="I2963">
        <f>HYPERLINK("https://admin.shopify.com/store/ge-beauty-cosmeticos/customers/10171330167104","abrir")</f>
        <v/>
      </c>
      <c r="J2963">
        <f>HYPERLINK("https://www.gebeauty.com.br/products/primer-cachos-definidos?ref=review","review")</f>
        <v/>
      </c>
      <c r="K2963" t="inlineStr">
        <is>
          <t>SEND</t>
        </is>
      </c>
    </row>
    <row r="2964">
      <c r="A2964" t="inlineStr">
        <is>
          <t>Isabella</t>
        </is>
      </c>
      <c r="B2964" t="inlineStr">
        <is>
          <t>+5511999510064</t>
        </is>
      </c>
      <c r="C2964" t="inlineStr">
        <is>
          <t>Refill</t>
        </is>
      </c>
      <c r="D2964" t="inlineStr">
        <is>
          <t>Primer Cachos</t>
        </is>
      </c>
      <c r="E2964" t="n">
        <v>1</v>
      </c>
      <c r="F2964" t="inlineStr">
        <is>
          <t>2026-03-19</t>
        </is>
      </c>
      <c r="G2964" t="n">
        <v>107</v>
      </c>
      <c r="H2964" t="inlineStr">
        <is>
          <t>Y</t>
        </is>
      </c>
      <c r="I2964">
        <f>HYPERLINK("https://admin.shopify.com/store/ge-beauty-cosmeticos/customers/10147438330176","abrir")</f>
        <v/>
      </c>
      <c r="J2964">
        <f>HYPERLINK("https://www.gebeauty.com.br/products/primer-cachos-definidos?ref=review","review")</f>
        <v/>
      </c>
      <c r="K2964" t="inlineStr">
        <is>
          <t>SEND</t>
        </is>
      </c>
    </row>
    <row r="2965">
      <c r="A2965" t="inlineStr">
        <is>
          <t>Joana</t>
        </is>
      </c>
      <c r="B2965" t="inlineStr">
        <is>
          <t>+5527992227481</t>
        </is>
      </c>
      <c r="C2965" t="inlineStr">
        <is>
          <t>Refill</t>
        </is>
      </c>
      <c r="D2965" t="inlineStr">
        <is>
          <t>Primer Cachos</t>
        </is>
      </c>
      <c r="E2965" t="n">
        <v>1</v>
      </c>
      <c r="F2965" t="inlineStr">
        <is>
          <t>2026-03-19</t>
        </is>
      </c>
      <c r="G2965" t="n">
        <v>107</v>
      </c>
      <c r="H2965" t="inlineStr">
        <is>
          <t>Y</t>
        </is>
      </c>
      <c r="I2965">
        <f>HYPERLINK("https://admin.shopify.com/store/ge-beauty-cosmeticos/customers/10263646241088","abrir")</f>
        <v/>
      </c>
      <c r="J2965">
        <f>HYPERLINK("https://www.gebeauty.com.br/products/primer-cachos-definidos?ref=review","review")</f>
        <v/>
      </c>
      <c r="K2965" t="inlineStr">
        <is>
          <t>SEND</t>
        </is>
      </c>
    </row>
    <row r="2966">
      <c r="A2966" t="inlineStr">
        <is>
          <t>Luangi</t>
        </is>
      </c>
      <c r="B2966" t="inlineStr">
        <is>
          <t>+5527999920805</t>
        </is>
      </c>
      <c r="C2966" t="inlineStr">
        <is>
          <t>Refill</t>
        </is>
      </c>
      <c r="D2966" t="inlineStr">
        <is>
          <t>Primer Cachos</t>
        </is>
      </c>
      <c r="E2966" t="n">
        <v>1</v>
      </c>
      <c r="F2966" t="inlineStr">
        <is>
          <t>2026-03-19</t>
        </is>
      </c>
      <c r="G2966" t="n">
        <v>107</v>
      </c>
      <c r="H2966" t="inlineStr">
        <is>
          <t>Y</t>
        </is>
      </c>
      <c r="I2966">
        <f>HYPERLINK("https://admin.shopify.com/store/ge-beauty-cosmeticos/customers/10086369624384","abrir")</f>
        <v/>
      </c>
      <c r="J2966">
        <f>HYPERLINK("https://www.gebeauty.com.br/products/primer-cachos-definidos?ref=review","review")</f>
        <v/>
      </c>
      <c r="K2966" t="inlineStr">
        <is>
          <t>SEND</t>
        </is>
      </c>
    </row>
    <row r="2967">
      <c r="A2967" t="inlineStr">
        <is>
          <t>Amanda</t>
        </is>
      </c>
      <c r="B2967" t="inlineStr">
        <is>
          <t>+5511973356947</t>
        </is>
      </c>
      <c r="C2967" t="inlineStr">
        <is>
          <t>Refill</t>
        </is>
      </c>
      <c r="D2967" t="inlineStr">
        <is>
          <t>Primer Cachos</t>
        </is>
      </c>
      <c r="E2967" t="n">
        <v>1</v>
      </c>
      <c r="F2967" t="inlineStr">
        <is>
          <t>2026-03-19</t>
        </is>
      </c>
      <c r="G2967" t="n">
        <v>107</v>
      </c>
      <c r="H2967" t="inlineStr">
        <is>
          <t>Y</t>
        </is>
      </c>
      <c r="I2967">
        <f>HYPERLINK("https://admin.shopify.com/store/ge-beauty-cosmeticos/customers/10094224802112","abrir")</f>
        <v/>
      </c>
      <c r="J2967">
        <f>HYPERLINK("https://www.gebeauty.com.br/products/primer-cachos-definidos?ref=review","review")</f>
        <v/>
      </c>
      <c r="K2967" t="inlineStr">
        <is>
          <t>SEND</t>
        </is>
      </c>
    </row>
    <row r="2968">
      <c r="A2968" t="inlineStr">
        <is>
          <t>Karolina</t>
        </is>
      </c>
      <c r="B2968" t="inlineStr">
        <is>
          <t>+5511994413082</t>
        </is>
      </c>
      <c r="C2968" t="inlineStr">
        <is>
          <t>Refill</t>
        </is>
      </c>
      <c r="D2968" t="inlineStr">
        <is>
          <t>Primer Cachos</t>
        </is>
      </c>
      <c r="E2968" t="n">
        <v>1</v>
      </c>
      <c r="F2968" t="inlineStr">
        <is>
          <t>2026-03-19</t>
        </is>
      </c>
      <c r="G2968" t="n">
        <v>107</v>
      </c>
      <c r="H2968" t="inlineStr">
        <is>
          <t>Y</t>
        </is>
      </c>
      <c r="I2968">
        <f>HYPERLINK("https://admin.shopify.com/store/ge-beauty-cosmeticos/customers/10263592272192","abrir")</f>
        <v/>
      </c>
      <c r="J2968">
        <f>HYPERLINK("https://www.gebeauty.com.br/products/primer-cachos-definidos?ref=review","review")</f>
        <v/>
      </c>
      <c r="K2968" t="inlineStr">
        <is>
          <t>SEND</t>
        </is>
      </c>
    </row>
    <row r="2969">
      <c r="A2969" t="inlineStr">
        <is>
          <t>Laura</t>
        </is>
      </c>
      <c r="B2969" t="inlineStr">
        <is>
          <t>+5581992823198</t>
        </is>
      </c>
      <c r="C2969" t="inlineStr">
        <is>
          <t>Refill</t>
        </is>
      </c>
      <c r="D2969" t="inlineStr">
        <is>
          <t>Primer Cachos</t>
        </is>
      </c>
      <c r="E2969" t="n">
        <v>1</v>
      </c>
      <c r="F2969" t="inlineStr">
        <is>
          <t>2026-03-19</t>
        </is>
      </c>
      <c r="G2969" t="n">
        <v>107</v>
      </c>
      <c r="H2969" t="inlineStr">
        <is>
          <t>Y</t>
        </is>
      </c>
      <c r="I2969">
        <f>HYPERLINK("https://admin.shopify.com/store/ge-beauty-cosmeticos/customers/10236433006912","abrir")</f>
        <v/>
      </c>
      <c r="J2969">
        <f>HYPERLINK("https://www.gebeauty.com.br/products/primer-cachos-definidos?ref=review","review")</f>
        <v/>
      </c>
      <c r="K2969" t="inlineStr">
        <is>
          <t>SEND</t>
        </is>
      </c>
    </row>
    <row r="2970">
      <c r="A2970" t="inlineStr">
        <is>
          <t>Yasmin</t>
        </is>
      </c>
      <c r="B2970" t="inlineStr">
        <is>
          <t>+5567996041671</t>
        </is>
      </c>
      <c r="C2970" t="inlineStr">
        <is>
          <t>Refill</t>
        </is>
      </c>
      <c r="D2970" t="inlineStr">
        <is>
          <t>Primer Cachos</t>
        </is>
      </c>
      <c r="E2970" t="n">
        <v>1</v>
      </c>
      <c r="F2970" t="inlineStr">
        <is>
          <t>2026-03-19</t>
        </is>
      </c>
      <c r="G2970" t="n">
        <v>107</v>
      </c>
      <c r="H2970" t="inlineStr">
        <is>
          <t>Y</t>
        </is>
      </c>
      <c r="I2970">
        <f>HYPERLINK("https://admin.shopify.com/store/ge-beauty-cosmeticos/customers/10263640506688","abrir")</f>
        <v/>
      </c>
      <c r="J2970">
        <f>HYPERLINK("https://www.gebeauty.com.br/products/primer-cachos-definidos?ref=review","review")</f>
        <v/>
      </c>
      <c r="K2970" t="inlineStr">
        <is>
          <t>SEND</t>
        </is>
      </c>
    </row>
    <row r="2971">
      <c r="A2971" t="inlineStr">
        <is>
          <t>Lara</t>
        </is>
      </c>
      <c r="B2971" t="inlineStr">
        <is>
          <t>+5585992840505</t>
        </is>
      </c>
      <c r="C2971" t="inlineStr">
        <is>
          <t>Refill</t>
        </is>
      </c>
      <c r="D2971" t="inlineStr">
        <is>
          <t>Primer Cachos</t>
        </is>
      </c>
      <c r="E2971" t="n">
        <v>1</v>
      </c>
      <c r="F2971" t="inlineStr">
        <is>
          <t>2026-03-19</t>
        </is>
      </c>
      <c r="G2971" t="n">
        <v>107</v>
      </c>
      <c r="H2971" t="inlineStr">
        <is>
          <t>Y</t>
        </is>
      </c>
      <c r="I2971">
        <f>HYPERLINK("https://admin.shopify.com/store/ge-beauty-cosmeticos/customers/10191633678656","abrir")</f>
        <v/>
      </c>
      <c r="J2971">
        <f>HYPERLINK("https://www.gebeauty.com.br/products/primer-cachos-definidos?ref=review","review")</f>
        <v/>
      </c>
      <c r="K2971" t="inlineStr">
        <is>
          <t>SEND</t>
        </is>
      </c>
    </row>
    <row r="2972">
      <c r="A2972" t="inlineStr">
        <is>
          <t>Elanne</t>
        </is>
      </c>
      <c r="B2972" t="inlineStr">
        <is>
          <t>+5561981140071</t>
        </is>
      </c>
      <c r="C2972" t="inlineStr">
        <is>
          <t>Refill</t>
        </is>
      </c>
      <c r="D2972" t="inlineStr">
        <is>
          <t>Primer Cachos</t>
        </is>
      </c>
      <c r="E2972" t="n">
        <v>1</v>
      </c>
      <c r="F2972" t="inlineStr">
        <is>
          <t>2026-03-19</t>
        </is>
      </c>
      <c r="G2972" t="n">
        <v>107</v>
      </c>
      <c r="H2972" t="inlineStr">
        <is>
          <t>Y</t>
        </is>
      </c>
      <c r="I2972">
        <f>HYPERLINK("https://admin.shopify.com/store/ge-beauty-cosmeticos/customers/10263587389760","abrir")</f>
        <v/>
      </c>
      <c r="J2972">
        <f>HYPERLINK("https://www.gebeauty.com.br/products/primer-cachos-definidos?ref=review","review")</f>
        <v/>
      </c>
      <c r="K2972" t="inlineStr">
        <is>
          <t>SEND</t>
        </is>
      </c>
    </row>
    <row r="2973">
      <c r="A2973" t="inlineStr">
        <is>
          <t>Fernanda</t>
        </is>
      </c>
      <c r="B2973" t="inlineStr">
        <is>
          <t>+5541999748375</t>
        </is>
      </c>
      <c r="C2973" t="inlineStr">
        <is>
          <t>Refill</t>
        </is>
      </c>
      <c r="D2973" t="inlineStr">
        <is>
          <t>Primer Cachos</t>
        </is>
      </c>
      <c r="E2973" t="n">
        <v>1</v>
      </c>
      <c r="F2973" t="inlineStr">
        <is>
          <t>2026-03-19</t>
        </is>
      </c>
      <c r="G2973" t="n">
        <v>107</v>
      </c>
      <c r="H2973" t="inlineStr">
        <is>
          <t>Y</t>
        </is>
      </c>
      <c r="I2973">
        <f>HYPERLINK("https://admin.shopify.com/store/ge-beauty-cosmeticos/customers/9486203814208","abrir")</f>
        <v/>
      </c>
      <c r="J2973">
        <f>HYPERLINK("https://www.gebeauty.com.br/products/primer-cachos-definidos?ref=review","review")</f>
        <v/>
      </c>
      <c r="K2973" t="inlineStr">
        <is>
          <t>SEND</t>
        </is>
      </c>
    </row>
    <row r="2974">
      <c r="A2974" t="inlineStr">
        <is>
          <t>Lorena</t>
        </is>
      </c>
      <c r="B2974" t="inlineStr">
        <is>
          <t>+5591982840095</t>
        </is>
      </c>
      <c r="C2974" t="inlineStr">
        <is>
          <t>Refill</t>
        </is>
      </c>
      <c r="D2974" t="inlineStr">
        <is>
          <t>Primer Cachos</t>
        </is>
      </c>
      <c r="E2974" t="n">
        <v>1</v>
      </c>
      <c r="F2974" t="inlineStr">
        <is>
          <t>2026-03-19</t>
        </is>
      </c>
      <c r="G2974" t="n">
        <v>107</v>
      </c>
      <c r="H2974" t="inlineStr">
        <is>
          <t>Y</t>
        </is>
      </c>
      <c r="I2974">
        <f>HYPERLINK("https://admin.shopify.com/store/ge-beauty-cosmeticos/customers/10263670751552","abrir")</f>
        <v/>
      </c>
      <c r="J2974">
        <f>HYPERLINK("https://www.gebeauty.com.br/products/primer-cachos-definidos?ref=review","review")</f>
        <v/>
      </c>
      <c r="K2974" t="inlineStr">
        <is>
          <t>SEND</t>
        </is>
      </c>
    </row>
    <row r="2975">
      <c r="A2975" t="inlineStr">
        <is>
          <t>Monica</t>
        </is>
      </c>
      <c r="B2975" t="inlineStr">
        <is>
          <t>+5521996119933</t>
        </is>
      </c>
      <c r="C2975" t="inlineStr">
        <is>
          <t>Refill</t>
        </is>
      </c>
      <c r="D2975" t="inlineStr">
        <is>
          <t>Primer Cachos</t>
        </is>
      </c>
      <c r="E2975" t="n">
        <v>1</v>
      </c>
      <c r="F2975" t="inlineStr">
        <is>
          <t>2026-03-19</t>
        </is>
      </c>
      <c r="G2975" t="n">
        <v>107</v>
      </c>
      <c r="H2975" t="inlineStr">
        <is>
          <t>Y</t>
        </is>
      </c>
      <c r="I2975">
        <f>HYPERLINK("https://admin.shopify.com/store/ge-beauty-cosmeticos/customers/10078184079680","abrir")</f>
        <v/>
      </c>
      <c r="J2975">
        <f>HYPERLINK("https://www.gebeauty.com.br/products/primer-cachos-definidos?ref=review","review")</f>
        <v/>
      </c>
      <c r="K2975" t="inlineStr">
        <is>
          <t>SEND</t>
        </is>
      </c>
    </row>
    <row r="2976">
      <c r="A2976" t="inlineStr">
        <is>
          <t>Cynthia Leticia</t>
        </is>
      </c>
      <c r="B2976" t="inlineStr">
        <is>
          <t>+5511996272278</t>
        </is>
      </c>
      <c r="C2976" t="inlineStr">
        <is>
          <t>Refill</t>
        </is>
      </c>
      <c r="D2976" t="inlineStr">
        <is>
          <t>Primer Cachos</t>
        </is>
      </c>
      <c r="E2976" t="n">
        <v>1</v>
      </c>
      <c r="F2976" t="inlineStr">
        <is>
          <t>2026-03-19</t>
        </is>
      </c>
      <c r="G2976" t="n">
        <v>107</v>
      </c>
      <c r="H2976" t="inlineStr">
        <is>
          <t>Y</t>
        </is>
      </c>
      <c r="I2976">
        <f>HYPERLINK("https://admin.shopify.com/store/ge-beauty-cosmeticos/customers/9960727216448","abrir")</f>
        <v/>
      </c>
      <c r="J2976">
        <f>HYPERLINK("https://www.gebeauty.com.br/products/primer-cachos-definidos?ref=review","review")</f>
        <v/>
      </c>
      <c r="K2976" t="inlineStr">
        <is>
          <t>SEND</t>
        </is>
      </c>
    </row>
    <row r="2977">
      <c r="A2977" t="inlineStr">
        <is>
          <t>Lorenza</t>
        </is>
      </c>
      <c r="B2977" t="inlineStr">
        <is>
          <t>+5511970330210</t>
        </is>
      </c>
      <c r="C2977" t="inlineStr">
        <is>
          <t>Refill</t>
        </is>
      </c>
      <c r="D2977" t="inlineStr">
        <is>
          <t>Primer Cachos</t>
        </is>
      </c>
      <c r="E2977" t="n">
        <v>1</v>
      </c>
      <c r="F2977" t="inlineStr">
        <is>
          <t>2026-03-19</t>
        </is>
      </c>
      <c r="G2977" t="n">
        <v>107</v>
      </c>
      <c r="H2977" t="inlineStr">
        <is>
          <t>Y</t>
        </is>
      </c>
      <c r="I2977">
        <f>HYPERLINK("https://admin.shopify.com/store/ge-beauty-cosmeticos/customers/7761955520832","abrir")</f>
        <v/>
      </c>
      <c r="J2977">
        <f>HYPERLINK("https://www.gebeauty.com.br/products/primer-cachos-definidos?ref=review","review")</f>
        <v/>
      </c>
      <c r="K2977" t="inlineStr">
        <is>
          <t>SEND</t>
        </is>
      </c>
    </row>
    <row r="2978">
      <c r="A2978" t="inlineStr">
        <is>
          <t>Ana</t>
        </is>
      </c>
      <c r="B2978" t="inlineStr">
        <is>
          <t>+5579999646770</t>
        </is>
      </c>
      <c r="C2978" t="inlineStr">
        <is>
          <t>Refill</t>
        </is>
      </c>
      <c r="D2978" t="inlineStr">
        <is>
          <t>Primer Cachos</t>
        </is>
      </c>
      <c r="E2978" t="n">
        <v>1</v>
      </c>
      <c r="F2978" t="inlineStr">
        <is>
          <t>2026-03-19</t>
        </is>
      </c>
      <c r="G2978" t="n">
        <v>107</v>
      </c>
      <c r="H2978" t="inlineStr">
        <is>
          <t>Y</t>
        </is>
      </c>
      <c r="I2978">
        <f>HYPERLINK("https://admin.shopify.com/store/ge-beauty-cosmeticos/customers/10169893683520","abrir")</f>
        <v/>
      </c>
      <c r="J2978">
        <f>HYPERLINK("https://www.gebeauty.com.br/products/primer-cachos-definidos?ref=review","review")</f>
        <v/>
      </c>
      <c r="K2978" t="inlineStr">
        <is>
          <t>SEND</t>
        </is>
      </c>
    </row>
    <row r="2979">
      <c r="A2979" t="inlineStr">
        <is>
          <t>Cristiane</t>
        </is>
      </c>
      <c r="B2979" t="inlineStr">
        <is>
          <t>+5555999623725</t>
        </is>
      </c>
      <c r="C2979" t="inlineStr">
        <is>
          <t>Refill</t>
        </is>
      </c>
      <c r="D2979" t="inlineStr">
        <is>
          <t>Primer Cachos</t>
        </is>
      </c>
      <c r="E2979" t="n">
        <v>1</v>
      </c>
      <c r="F2979" t="inlineStr">
        <is>
          <t>2026-03-19</t>
        </is>
      </c>
      <c r="G2979" t="n">
        <v>107</v>
      </c>
      <c r="H2979" t="inlineStr">
        <is>
          <t>Y</t>
        </is>
      </c>
      <c r="I2979">
        <f>HYPERLINK("https://admin.shopify.com/store/ge-beauty-cosmeticos/customers/10097653514560","abrir")</f>
        <v/>
      </c>
      <c r="J2979">
        <f>HYPERLINK("https://www.gebeauty.com.br/products/primer-cachos-definidos?ref=review","review")</f>
        <v/>
      </c>
      <c r="K2979" t="inlineStr">
        <is>
          <t>SEND</t>
        </is>
      </c>
    </row>
    <row r="2980">
      <c r="A2980" t="inlineStr">
        <is>
          <t>Paula</t>
        </is>
      </c>
      <c r="B2980" t="inlineStr">
        <is>
          <t>+5548999338087</t>
        </is>
      </c>
      <c r="C2980" t="inlineStr">
        <is>
          <t>Refill</t>
        </is>
      </c>
      <c r="D2980" t="inlineStr">
        <is>
          <t>Primer Cachos</t>
        </is>
      </c>
      <c r="E2980" t="n">
        <v>1</v>
      </c>
      <c r="F2980" t="inlineStr">
        <is>
          <t>2026-03-19</t>
        </is>
      </c>
      <c r="G2980" t="n">
        <v>107</v>
      </c>
      <c r="H2980" t="inlineStr">
        <is>
          <t>Y</t>
        </is>
      </c>
      <c r="I2980">
        <f>HYPERLINK("https://admin.shopify.com/store/ge-beauty-cosmeticos/customers/10263718658368","abrir")</f>
        <v/>
      </c>
      <c r="J2980">
        <f>HYPERLINK("https://www.gebeauty.com.br/products/primer-cachos-definidos?ref=review","review")</f>
        <v/>
      </c>
      <c r="K2980" t="inlineStr">
        <is>
          <t>HOLDOUT</t>
        </is>
      </c>
    </row>
    <row r="2981">
      <c r="A2981" t="inlineStr">
        <is>
          <t>Ana</t>
        </is>
      </c>
      <c r="B2981" t="inlineStr">
        <is>
          <t>+5541996186830</t>
        </is>
      </c>
      <c r="C2981" t="inlineStr">
        <is>
          <t>Refill</t>
        </is>
      </c>
      <c r="D2981" t="inlineStr">
        <is>
          <t>Primer Cachos</t>
        </is>
      </c>
      <c r="E2981" t="n">
        <v>1</v>
      </c>
      <c r="F2981" t="inlineStr">
        <is>
          <t>2026-03-19</t>
        </is>
      </c>
      <c r="G2981" t="n">
        <v>107</v>
      </c>
      <c r="H2981" t="inlineStr">
        <is>
          <t>Y</t>
        </is>
      </c>
      <c r="I2981">
        <f>HYPERLINK("https://admin.shopify.com/store/ge-beauty-cosmeticos/customers/10076819915072","abrir")</f>
        <v/>
      </c>
      <c r="J2981">
        <f>HYPERLINK("https://www.gebeauty.com.br/products/primer-cachos-definidos?ref=review","review")</f>
        <v/>
      </c>
      <c r="K2981" t="inlineStr">
        <is>
          <t>SEND</t>
        </is>
      </c>
    </row>
    <row r="2982">
      <c r="A2982" t="inlineStr">
        <is>
          <t>Geisielle</t>
        </is>
      </c>
      <c r="B2982" t="inlineStr">
        <is>
          <t>+5531994001454</t>
        </is>
      </c>
      <c r="C2982" t="inlineStr">
        <is>
          <t>Refill</t>
        </is>
      </c>
      <c r="D2982" t="inlineStr">
        <is>
          <t>Primer Cachos</t>
        </is>
      </c>
      <c r="E2982" t="n">
        <v>1</v>
      </c>
      <c r="F2982" t="inlineStr">
        <is>
          <t>2026-03-19</t>
        </is>
      </c>
      <c r="G2982" t="n">
        <v>107</v>
      </c>
      <c r="H2982" t="inlineStr">
        <is>
          <t>Y</t>
        </is>
      </c>
      <c r="I2982">
        <f>HYPERLINK("https://admin.shopify.com/store/ge-beauty-cosmeticos/customers/10200947556672","abrir")</f>
        <v/>
      </c>
      <c r="J2982">
        <f>HYPERLINK("https://www.gebeauty.com.br/products/primer-cachos-definidos?ref=review","review")</f>
        <v/>
      </c>
      <c r="K2982" t="inlineStr">
        <is>
          <t>SEND</t>
        </is>
      </c>
    </row>
    <row r="2983">
      <c r="A2983" t="inlineStr">
        <is>
          <t>Ana Cristina</t>
        </is>
      </c>
      <c r="B2983" t="inlineStr">
        <is>
          <t>+5534988229906</t>
        </is>
      </c>
      <c r="C2983" t="inlineStr">
        <is>
          <t>Refill</t>
        </is>
      </c>
      <c r="D2983" t="inlineStr">
        <is>
          <t>Primer Cachos</t>
        </is>
      </c>
      <c r="E2983" t="n">
        <v>1</v>
      </c>
      <c r="F2983" t="inlineStr">
        <is>
          <t>2026-03-19</t>
        </is>
      </c>
      <c r="G2983" t="n">
        <v>107</v>
      </c>
      <c r="H2983" t="inlineStr">
        <is>
          <t>Y</t>
        </is>
      </c>
      <c r="I2983">
        <f>HYPERLINK("https://admin.shopify.com/store/ge-beauty-cosmeticos/customers/10098757009728","abrir")</f>
        <v/>
      </c>
      <c r="J2983">
        <f>HYPERLINK("https://www.gebeauty.com.br/products/primer-cachos-definidos?ref=review","review")</f>
        <v/>
      </c>
      <c r="K2983" t="inlineStr">
        <is>
          <t>SEND</t>
        </is>
      </c>
    </row>
    <row r="2984">
      <c r="A2984" t="inlineStr">
        <is>
          <t>Claudia</t>
        </is>
      </c>
      <c r="B2984" t="inlineStr">
        <is>
          <t>+5511967843809</t>
        </is>
      </c>
      <c r="C2984" t="inlineStr">
        <is>
          <t>Refill</t>
        </is>
      </c>
      <c r="D2984" t="inlineStr">
        <is>
          <t>Primer Cachos</t>
        </is>
      </c>
      <c r="E2984" t="n">
        <v>1</v>
      </c>
      <c r="F2984" t="inlineStr">
        <is>
          <t>2026-03-19</t>
        </is>
      </c>
      <c r="G2984" t="n">
        <v>107</v>
      </c>
      <c r="H2984" t="inlineStr">
        <is>
          <t>Y</t>
        </is>
      </c>
      <c r="I2984">
        <f>HYPERLINK("https://admin.shopify.com/store/ge-beauty-cosmeticos/customers/10079991791936","abrir")</f>
        <v/>
      </c>
      <c r="J2984">
        <f>HYPERLINK("https://www.gebeauty.com.br/products/primer-cachos-definidos?ref=review","review")</f>
        <v/>
      </c>
      <c r="K2984" t="inlineStr">
        <is>
          <t>SEND</t>
        </is>
      </c>
    </row>
    <row r="2985">
      <c r="A2985" t="inlineStr">
        <is>
          <t>Aline</t>
        </is>
      </c>
      <c r="B2985" t="inlineStr">
        <is>
          <t>+5521993107765</t>
        </is>
      </c>
      <c r="C2985" t="inlineStr">
        <is>
          <t>Refill</t>
        </is>
      </c>
      <c r="D2985" t="inlineStr">
        <is>
          <t>Primer Cachos</t>
        </is>
      </c>
      <c r="E2985" t="n">
        <v>1</v>
      </c>
      <c r="F2985" t="inlineStr">
        <is>
          <t>2026-03-19</t>
        </is>
      </c>
      <c r="G2985" t="n">
        <v>107</v>
      </c>
      <c r="H2985" t="inlineStr">
        <is>
          <t>Y</t>
        </is>
      </c>
      <c r="I2985">
        <f>HYPERLINK("https://admin.shopify.com/store/ge-beauty-cosmeticos/customers/10173757653312","abrir")</f>
        <v/>
      </c>
      <c r="J2985">
        <f>HYPERLINK("https://www.gebeauty.com.br/products/primer-cachos-definidos?ref=review","review")</f>
        <v/>
      </c>
      <c r="K2985" t="inlineStr">
        <is>
          <t>SEND</t>
        </is>
      </c>
    </row>
    <row r="2986">
      <c r="A2986" t="inlineStr">
        <is>
          <t>Carolina</t>
        </is>
      </c>
      <c r="B2986" t="inlineStr">
        <is>
          <t>+5519992596104</t>
        </is>
      </c>
      <c r="C2986" t="inlineStr">
        <is>
          <t>Refill</t>
        </is>
      </c>
      <c r="D2986" t="inlineStr">
        <is>
          <t>Primer Cachos</t>
        </is>
      </c>
      <c r="E2986" t="n">
        <v>1</v>
      </c>
      <c r="F2986" t="inlineStr">
        <is>
          <t>2026-03-19</t>
        </is>
      </c>
      <c r="G2986" t="n">
        <v>107</v>
      </c>
      <c r="H2986" t="inlineStr">
        <is>
          <t>Y</t>
        </is>
      </c>
      <c r="I2986">
        <f>HYPERLINK("https://admin.shopify.com/store/ge-beauty-cosmeticos/customers/10167188947264","abrir")</f>
        <v/>
      </c>
      <c r="J2986">
        <f>HYPERLINK("https://www.gebeauty.com.br/products/primer-cachos-definidos?ref=review","review")</f>
        <v/>
      </c>
      <c r="K2986" t="inlineStr">
        <is>
          <t>SEND</t>
        </is>
      </c>
    </row>
    <row r="2987">
      <c r="A2987" t="inlineStr">
        <is>
          <t>Danielle</t>
        </is>
      </c>
      <c r="B2987" t="inlineStr">
        <is>
          <t>+5571988360929</t>
        </is>
      </c>
      <c r="C2987" t="inlineStr">
        <is>
          <t>Refill</t>
        </is>
      </c>
      <c r="D2987" t="inlineStr">
        <is>
          <t>Primer Cachos</t>
        </is>
      </c>
      <c r="E2987" t="n">
        <v>1</v>
      </c>
      <c r="F2987" t="inlineStr">
        <is>
          <t>2026-03-19</t>
        </is>
      </c>
      <c r="G2987" t="n">
        <v>107</v>
      </c>
      <c r="H2987" t="inlineStr">
        <is>
          <t>Y</t>
        </is>
      </c>
      <c r="I2987">
        <f>HYPERLINK("https://admin.shopify.com/store/ge-beauty-cosmeticos/customers/10263736058176","abrir")</f>
        <v/>
      </c>
      <c r="J2987">
        <f>HYPERLINK("https://www.gebeauty.com.br/products/primer-cachos-definidos?ref=review","review")</f>
        <v/>
      </c>
      <c r="K2987" t="inlineStr">
        <is>
          <t>SEND</t>
        </is>
      </c>
    </row>
    <row r="2988">
      <c r="A2988" t="inlineStr">
        <is>
          <t>Débora</t>
        </is>
      </c>
      <c r="B2988" t="inlineStr">
        <is>
          <t>+5511992111909</t>
        </is>
      </c>
      <c r="C2988" t="inlineStr">
        <is>
          <t>Refill</t>
        </is>
      </c>
      <c r="D2988" t="inlineStr">
        <is>
          <t>Primer Cachos</t>
        </is>
      </c>
      <c r="E2988" t="n">
        <v>1</v>
      </c>
      <c r="F2988" t="inlineStr">
        <is>
          <t>2026-03-19</t>
        </is>
      </c>
      <c r="G2988" t="n">
        <v>107</v>
      </c>
      <c r="H2988" t="inlineStr">
        <is>
          <t>Y</t>
        </is>
      </c>
      <c r="I2988">
        <f>HYPERLINK("https://admin.shopify.com/store/ge-beauty-cosmeticos/customers/10263760830784","abrir")</f>
        <v/>
      </c>
      <c r="J2988">
        <f>HYPERLINK("https://www.gebeauty.com.br/products/primer-cachos-definidos?ref=review","review")</f>
        <v/>
      </c>
      <c r="K2988" t="inlineStr">
        <is>
          <t>SEND</t>
        </is>
      </c>
    </row>
    <row r="2989">
      <c r="A2989" t="inlineStr">
        <is>
          <t>Vânia</t>
        </is>
      </c>
      <c r="B2989" t="inlineStr">
        <is>
          <t>+5519989099059</t>
        </is>
      </c>
      <c r="C2989" t="inlineStr">
        <is>
          <t>Refill</t>
        </is>
      </c>
      <c r="D2989" t="inlineStr">
        <is>
          <t>Primer Cachos</t>
        </is>
      </c>
      <c r="E2989" t="n">
        <v>1</v>
      </c>
      <c r="F2989" t="inlineStr">
        <is>
          <t>2026-03-19</t>
        </is>
      </c>
      <c r="G2989" t="n">
        <v>107</v>
      </c>
      <c r="H2989" t="inlineStr">
        <is>
          <t>Y</t>
        </is>
      </c>
      <c r="I2989">
        <f>HYPERLINK("https://admin.shopify.com/store/ge-beauty-cosmeticos/customers/10181835620672","abrir")</f>
        <v/>
      </c>
      <c r="J2989">
        <f>HYPERLINK("https://www.gebeauty.com.br/products/primer-cachos-definidos?ref=review","review")</f>
        <v/>
      </c>
      <c r="K2989" t="inlineStr">
        <is>
          <t>SEND</t>
        </is>
      </c>
    </row>
    <row r="2990">
      <c r="A2990" t="inlineStr">
        <is>
          <t>Rosa Helena</t>
        </is>
      </c>
      <c r="B2990" t="inlineStr">
        <is>
          <t>+5591981429859</t>
        </is>
      </c>
      <c r="C2990" t="inlineStr">
        <is>
          <t>Refill</t>
        </is>
      </c>
      <c r="D2990" t="inlineStr">
        <is>
          <t>Primer Cachos</t>
        </is>
      </c>
      <c r="E2990" t="n">
        <v>1</v>
      </c>
      <c r="F2990" t="inlineStr">
        <is>
          <t>2026-03-19</t>
        </is>
      </c>
      <c r="G2990" t="n">
        <v>107</v>
      </c>
      <c r="H2990" t="inlineStr">
        <is>
          <t>Y</t>
        </is>
      </c>
      <c r="I2990">
        <f>HYPERLINK("https://admin.shopify.com/store/ge-beauty-cosmeticos/customers/10068982071616","abrir")</f>
        <v/>
      </c>
      <c r="J2990">
        <f>HYPERLINK("https://www.gebeauty.com.br/products/primer-cachos-definidos?ref=review","review")</f>
        <v/>
      </c>
      <c r="K2990" t="inlineStr">
        <is>
          <t>SEND</t>
        </is>
      </c>
    </row>
    <row r="2991">
      <c r="A2991" t="inlineStr">
        <is>
          <t>Ana Karina</t>
        </is>
      </c>
      <c r="B2991" t="inlineStr">
        <is>
          <t>+5531991923801</t>
        </is>
      </c>
      <c r="C2991" t="inlineStr">
        <is>
          <t>Refill</t>
        </is>
      </c>
      <c r="D2991" t="inlineStr">
        <is>
          <t>Primer Cachos</t>
        </is>
      </c>
      <c r="E2991" t="n">
        <v>1</v>
      </c>
      <c r="F2991" t="inlineStr">
        <is>
          <t>2026-03-19</t>
        </is>
      </c>
      <c r="G2991" t="n">
        <v>107</v>
      </c>
      <c r="H2991" t="inlineStr">
        <is>
          <t>Y</t>
        </is>
      </c>
      <c r="I2991">
        <f>HYPERLINK("https://admin.shopify.com/store/ge-beauty-cosmeticos/customers/10145937588544","abrir")</f>
        <v/>
      </c>
      <c r="J2991">
        <f>HYPERLINK("https://www.gebeauty.com.br/products/primer-cachos-definidos?ref=review","review")</f>
        <v/>
      </c>
      <c r="K2991" t="inlineStr">
        <is>
          <t>SEND</t>
        </is>
      </c>
    </row>
    <row r="2992">
      <c r="A2992" t="inlineStr">
        <is>
          <t>Ana Paula</t>
        </is>
      </c>
      <c r="B2992" t="inlineStr">
        <is>
          <t>+5511971818444</t>
        </is>
      </c>
      <c r="C2992" t="inlineStr">
        <is>
          <t>Refill</t>
        </is>
      </c>
      <c r="D2992" t="inlineStr">
        <is>
          <t>Primer Cachos</t>
        </is>
      </c>
      <c r="E2992" t="n">
        <v>1</v>
      </c>
      <c r="F2992" t="inlineStr">
        <is>
          <t>2026-03-19</t>
        </is>
      </c>
      <c r="G2992" t="n">
        <v>107</v>
      </c>
      <c r="H2992" t="inlineStr">
        <is>
          <t>Y</t>
        </is>
      </c>
      <c r="I2992">
        <f>HYPERLINK("https://admin.shopify.com/store/ge-beauty-cosmeticos/customers/10251334943040","abrir")</f>
        <v/>
      </c>
      <c r="J2992">
        <f>HYPERLINK("https://www.gebeauty.com.br/products/primer-cachos-definidos?ref=review","review")</f>
        <v/>
      </c>
      <c r="K2992" t="inlineStr">
        <is>
          <t>SEND</t>
        </is>
      </c>
    </row>
    <row r="2993">
      <c r="A2993" t="inlineStr">
        <is>
          <t>Carolina</t>
        </is>
      </c>
      <c r="B2993" t="inlineStr">
        <is>
          <t>+5521979720412</t>
        </is>
      </c>
      <c r="C2993" t="inlineStr">
        <is>
          <t>Refill</t>
        </is>
      </c>
      <c r="D2993" t="inlineStr">
        <is>
          <t>Primer Cachos</t>
        </is>
      </c>
      <c r="E2993" t="n">
        <v>1</v>
      </c>
      <c r="F2993" t="inlineStr">
        <is>
          <t>2026-03-19</t>
        </is>
      </c>
      <c r="G2993" t="n">
        <v>107</v>
      </c>
      <c r="H2993" t="inlineStr">
        <is>
          <t>N</t>
        </is>
      </c>
      <c r="I2993">
        <f>HYPERLINK("https://admin.shopify.com/store/ge-beauty-cosmeticos/customers/10167718445376","abrir")</f>
        <v/>
      </c>
      <c r="J2993">
        <f>HYPERLINK("https://www.gebeauty.com.br/products/primer-cachos-definidos?ref=review","review")</f>
        <v/>
      </c>
      <c r="K2993" t="inlineStr">
        <is>
          <t>SEND</t>
        </is>
      </c>
    </row>
    <row r="2994">
      <c r="A2994" t="inlineStr">
        <is>
          <t>Thais</t>
        </is>
      </c>
      <c r="B2994" t="inlineStr">
        <is>
          <t>+5511982525423</t>
        </is>
      </c>
      <c r="C2994" t="inlineStr">
        <is>
          <t>Refill</t>
        </is>
      </c>
      <c r="D2994" t="inlineStr">
        <is>
          <t>Primer Cachos</t>
        </is>
      </c>
      <c r="E2994" t="n">
        <v>1</v>
      </c>
      <c r="F2994" t="inlineStr">
        <is>
          <t>2026-03-19</t>
        </is>
      </c>
      <c r="G2994" t="n">
        <v>107</v>
      </c>
      <c r="H2994" t="inlineStr">
        <is>
          <t>Y</t>
        </is>
      </c>
      <c r="I2994">
        <f>HYPERLINK("https://admin.shopify.com/store/ge-beauty-cosmeticos/customers/9494657892672","abrir")</f>
        <v/>
      </c>
      <c r="J2994">
        <f>HYPERLINK("https://www.gebeauty.com.br/products/primer-cachos-definidos?ref=review","review")</f>
        <v/>
      </c>
      <c r="K2994" t="inlineStr">
        <is>
          <t>SEND</t>
        </is>
      </c>
    </row>
    <row r="2995">
      <c r="A2995" t="inlineStr">
        <is>
          <t>Jéssica</t>
        </is>
      </c>
      <c r="B2995" t="inlineStr">
        <is>
          <t>+5511990167192</t>
        </is>
      </c>
      <c r="C2995" t="inlineStr">
        <is>
          <t>Refill</t>
        </is>
      </c>
      <c r="D2995" t="inlineStr">
        <is>
          <t>Primer Cachos</t>
        </is>
      </c>
      <c r="E2995" t="n">
        <v>1</v>
      </c>
      <c r="F2995" t="inlineStr">
        <is>
          <t>2026-03-19</t>
        </is>
      </c>
      <c r="G2995" t="n">
        <v>107</v>
      </c>
      <c r="H2995" t="inlineStr">
        <is>
          <t>Y</t>
        </is>
      </c>
      <c r="I2995">
        <f>HYPERLINK("https://admin.shopify.com/store/ge-beauty-cosmeticos/customers/10084455121216","abrir")</f>
        <v/>
      </c>
      <c r="J2995">
        <f>HYPERLINK("https://www.gebeauty.com.br/products/primer-cachos-definidos?ref=review","review")</f>
        <v/>
      </c>
      <c r="K2995" t="inlineStr">
        <is>
          <t>SEND</t>
        </is>
      </c>
    </row>
    <row r="2996">
      <c r="A2996" t="inlineStr">
        <is>
          <t>Luciana</t>
        </is>
      </c>
      <c r="B2996" t="inlineStr">
        <is>
          <t>+5511968455723</t>
        </is>
      </c>
      <c r="C2996" t="inlineStr">
        <is>
          <t>Refill</t>
        </is>
      </c>
      <c r="D2996" t="inlineStr">
        <is>
          <t>Primer Cachos</t>
        </is>
      </c>
      <c r="E2996" t="n">
        <v>1</v>
      </c>
      <c r="F2996" t="inlineStr">
        <is>
          <t>2026-03-19</t>
        </is>
      </c>
      <c r="G2996" t="n">
        <v>107</v>
      </c>
      <c r="H2996" t="inlineStr">
        <is>
          <t>Y</t>
        </is>
      </c>
      <c r="I2996">
        <f>HYPERLINK("https://admin.shopify.com/store/ge-beauty-cosmeticos/customers/10263925424448","abrir")</f>
        <v/>
      </c>
      <c r="J2996">
        <f>HYPERLINK("https://www.gebeauty.com.br/products/primer-cachos-definidos?ref=review","review")</f>
        <v/>
      </c>
      <c r="K2996" t="inlineStr">
        <is>
          <t>HOLDOUT</t>
        </is>
      </c>
    </row>
    <row r="2997">
      <c r="A2997" t="inlineStr">
        <is>
          <t>Wacylea</t>
        </is>
      </c>
      <c r="B2997" t="inlineStr">
        <is>
          <t>+5531982923182</t>
        </is>
      </c>
      <c r="C2997" t="inlineStr">
        <is>
          <t>Refill</t>
        </is>
      </c>
      <c r="D2997" t="inlineStr">
        <is>
          <t>Primer Cachos</t>
        </is>
      </c>
      <c r="E2997" t="n">
        <v>1</v>
      </c>
      <c r="F2997" t="inlineStr">
        <is>
          <t>2026-03-19</t>
        </is>
      </c>
      <c r="G2997" t="n">
        <v>107</v>
      </c>
      <c r="H2997" t="inlineStr">
        <is>
          <t>Y</t>
        </is>
      </c>
      <c r="I2997">
        <f>HYPERLINK("https://admin.shopify.com/store/ge-beauty-cosmeticos/customers/10214761496896","abrir")</f>
        <v/>
      </c>
      <c r="J2997">
        <f>HYPERLINK("https://www.gebeauty.com.br/products/primer-cachos-definidos?ref=review","review")</f>
        <v/>
      </c>
      <c r="K2997" t="inlineStr">
        <is>
          <t>SEND</t>
        </is>
      </c>
    </row>
    <row r="2998">
      <c r="A2998" t="inlineStr">
        <is>
          <t>Tatiana</t>
        </is>
      </c>
      <c r="B2998" t="inlineStr">
        <is>
          <t>+5511989961110</t>
        </is>
      </c>
      <c r="C2998" t="inlineStr">
        <is>
          <t>Refill</t>
        </is>
      </c>
      <c r="D2998" t="inlineStr">
        <is>
          <t>Primer Cachos</t>
        </is>
      </c>
      <c r="E2998" t="n">
        <v>1</v>
      </c>
      <c r="F2998" t="inlineStr">
        <is>
          <t>2026-03-19</t>
        </is>
      </c>
      <c r="G2998" t="n">
        <v>107</v>
      </c>
      <c r="H2998" t="inlineStr">
        <is>
          <t>Y</t>
        </is>
      </c>
      <c r="I2998">
        <f>HYPERLINK("https://admin.shopify.com/store/ge-beauty-cosmeticos/customers/7761767432512","abrir")</f>
        <v/>
      </c>
      <c r="J2998">
        <f>HYPERLINK("https://www.gebeauty.com.br/products/primer-cachos-definidos?ref=review","review")</f>
        <v/>
      </c>
      <c r="K2998" t="inlineStr">
        <is>
          <t>SEND</t>
        </is>
      </c>
    </row>
    <row r="2999">
      <c r="A2999" t="inlineStr">
        <is>
          <t>Ana</t>
        </is>
      </c>
      <c r="B2999" t="inlineStr">
        <is>
          <t>+5514996565244</t>
        </is>
      </c>
      <c r="C2999" t="inlineStr">
        <is>
          <t>Refill</t>
        </is>
      </c>
      <c r="D2999" t="inlineStr">
        <is>
          <t>Primer Cachos</t>
        </is>
      </c>
      <c r="E2999" t="n">
        <v>1</v>
      </c>
      <c r="F2999" t="inlineStr">
        <is>
          <t>2026-03-19</t>
        </is>
      </c>
      <c r="G2999" t="n">
        <v>107</v>
      </c>
      <c r="H2999" t="inlineStr">
        <is>
          <t>Y</t>
        </is>
      </c>
      <c r="I2999">
        <f>HYPERLINK("https://admin.shopify.com/store/ge-beauty-cosmeticos/customers/10191667953984","abrir")</f>
        <v/>
      </c>
      <c r="J2999">
        <f>HYPERLINK("https://www.gebeauty.com.br/products/primer-cachos-definidos?ref=review","review")</f>
        <v/>
      </c>
      <c r="K2999" t="inlineStr">
        <is>
          <t>SEND</t>
        </is>
      </c>
    </row>
    <row r="3000">
      <c r="A3000" t="inlineStr">
        <is>
          <t>Yasmim</t>
        </is>
      </c>
      <c r="B3000" t="inlineStr">
        <is>
          <t>+5511993798986</t>
        </is>
      </c>
      <c r="C3000" t="inlineStr">
        <is>
          <t>Refill</t>
        </is>
      </c>
      <c r="D3000" t="inlineStr">
        <is>
          <t>Primer Cachos</t>
        </is>
      </c>
      <c r="E3000" t="n">
        <v>1</v>
      </c>
      <c r="F3000" t="inlineStr">
        <is>
          <t>2026-03-19</t>
        </is>
      </c>
      <c r="G3000" t="n">
        <v>107</v>
      </c>
      <c r="H3000" t="inlineStr">
        <is>
          <t>Y</t>
        </is>
      </c>
      <c r="I3000">
        <f>HYPERLINK("https://admin.shopify.com/store/ge-beauty-cosmeticos/customers/10240879427904","abrir")</f>
        <v/>
      </c>
      <c r="J3000">
        <f>HYPERLINK("https://www.gebeauty.com.br/products/primer-cachos-definidos?ref=review","review")</f>
        <v/>
      </c>
      <c r="K3000" t="inlineStr">
        <is>
          <t>SEND</t>
        </is>
      </c>
    </row>
    <row r="3001">
      <c r="A3001" t="inlineStr">
        <is>
          <t>Natália</t>
        </is>
      </c>
      <c r="B3001" t="inlineStr">
        <is>
          <t>+5521986951109</t>
        </is>
      </c>
      <c r="C3001" t="inlineStr">
        <is>
          <t>Refill</t>
        </is>
      </c>
      <c r="D3001" t="inlineStr">
        <is>
          <t>Primer Cachos</t>
        </is>
      </c>
      <c r="E3001" t="n">
        <v>1</v>
      </c>
      <c r="F3001" t="inlineStr">
        <is>
          <t>2026-03-19</t>
        </is>
      </c>
      <c r="G3001" t="n">
        <v>107</v>
      </c>
      <c r="H3001" t="inlineStr">
        <is>
          <t>Y</t>
        </is>
      </c>
      <c r="I3001">
        <f>HYPERLINK("https://admin.shopify.com/store/ge-beauty-cosmeticos/customers/10181009506624","abrir")</f>
        <v/>
      </c>
      <c r="J3001">
        <f>HYPERLINK("https://www.gebeauty.com.br/products/primer-cachos-definidos?ref=review","review")</f>
        <v/>
      </c>
      <c r="K3001" t="inlineStr">
        <is>
          <t>SEND</t>
        </is>
      </c>
    </row>
    <row r="3002">
      <c r="A3002" t="inlineStr">
        <is>
          <t>Elisandra</t>
        </is>
      </c>
      <c r="B3002" t="inlineStr">
        <is>
          <t>+5549999702600</t>
        </is>
      </c>
      <c r="C3002" t="inlineStr">
        <is>
          <t>Refill</t>
        </is>
      </c>
      <c r="D3002" t="inlineStr">
        <is>
          <t>Primer Cachos</t>
        </is>
      </c>
      <c r="E3002" t="n">
        <v>1</v>
      </c>
      <c r="F3002" t="inlineStr">
        <is>
          <t>2026-03-19</t>
        </is>
      </c>
      <c r="G3002" t="n">
        <v>107</v>
      </c>
      <c r="H3002" t="inlineStr">
        <is>
          <t>Y</t>
        </is>
      </c>
      <c r="I3002">
        <f>HYPERLINK("https://admin.shopify.com/store/ge-beauty-cosmeticos/customers/10218002547008","abrir")</f>
        <v/>
      </c>
      <c r="J3002">
        <f>HYPERLINK("https://www.gebeauty.com.br/products/primer-cachos-definidos?ref=review","review")</f>
        <v/>
      </c>
      <c r="K3002" t="inlineStr">
        <is>
          <t>SEND</t>
        </is>
      </c>
    </row>
    <row r="3003">
      <c r="A3003" t="inlineStr">
        <is>
          <t>Patricia</t>
        </is>
      </c>
      <c r="B3003" t="inlineStr">
        <is>
          <t>+5571986329569</t>
        </is>
      </c>
      <c r="C3003" t="inlineStr">
        <is>
          <t>Refill</t>
        </is>
      </c>
      <c r="D3003" t="inlineStr">
        <is>
          <t>Primer Cachos</t>
        </is>
      </c>
      <c r="E3003" t="n">
        <v>1</v>
      </c>
      <c r="F3003" t="inlineStr">
        <is>
          <t>2026-03-20</t>
        </is>
      </c>
      <c r="G3003" t="n">
        <v>106</v>
      </c>
      <c r="H3003" t="inlineStr">
        <is>
          <t>Y</t>
        </is>
      </c>
      <c r="I3003">
        <f>HYPERLINK("https://admin.shopify.com/store/ge-beauty-cosmeticos/customers/10263641424192","abrir")</f>
        <v/>
      </c>
      <c r="J3003">
        <f>HYPERLINK("https://www.gebeauty.com.br/products/primer-cachos-definidos?ref=review","review")</f>
        <v/>
      </c>
      <c r="K3003" t="inlineStr">
        <is>
          <t>SEND</t>
        </is>
      </c>
    </row>
    <row r="3004">
      <c r="A3004" t="inlineStr">
        <is>
          <t>Ana Luiza</t>
        </is>
      </c>
      <c r="B3004" t="inlineStr">
        <is>
          <t>+5548988467955</t>
        </is>
      </c>
      <c r="C3004" t="inlineStr">
        <is>
          <t>Refill</t>
        </is>
      </c>
      <c r="D3004" t="inlineStr">
        <is>
          <t>Primer Cachos</t>
        </is>
      </c>
      <c r="E3004" t="n">
        <v>1</v>
      </c>
      <c r="F3004" t="inlineStr">
        <is>
          <t>2026-03-20</t>
        </is>
      </c>
      <c r="G3004" t="n">
        <v>106</v>
      </c>
      <c r="H3004" t="inlineStr">
        <is>
          <t>Y</t>
        </is>
      </c>
      <c r="I3004">
        <f>HYPERLINK("https://admin.shopify.com/store/ge-beauty-cosmeticos/customers/10083194011968","abrir")</f>
        <v/>
      </c>
      <c r="J3004">
        <f>HYPERLINK("https://www.gebeauty.com.br/products/primer-cachos-definidos?ref=review","review")</f>
        <v/>
      </c>
      <c r="K3004" t="inlineStr">
        <is>
          <t>SEND</t>
        </is>
      </c>
    </row>
    <row r="3005">
      <c r="A3005" t="inlineStr">
        <is>
          <t>Maíra</t>
        </is>
      </c>
      <c r="B3005" t="inlineStr">
        <is>
          <t>+5511959662040</t>
        </is>
      </c>
      <c r="C3005" t="inlineStr">
        <is>
          <t>Refill</t>
        </is>
      </c>
      <c r="D3005" t="inlineStr">
        <is>
          <t>Primer Cachos</t>
        </is>
      </c>
      <c r="E3005" t="n">
        <v>1</v>
      </c>
      <c r="F3005" t="inlineStr">
        <is>
          <t>2026-03-20</t>
        </is>
      </c>
      <c r="G3005" t="n">
        <v>106</v>
      </c>
      <c r="H3005" t="inlineStr">
        <is>
          <t>Y</t>
        </is>
      </c>
      <c r="I3005">
        <f>HYPERLINK("https://admin.shopify.com/store/ge-beauty-cosmeticos/customers/10250855547200","abrir")</f>
        <v/>
      </c>
      <c r="J3005">
        <f>HYPERLINK("https://www.gebeauty.com.br/products/primer-cachos-definidos?ref=review","review")</f>
        <v/>
      </c>
      <c r="K3005" t="inlineStr">
        <is>
          <t>SEND</t>
        </is>
      </c>
    </row>
    <row r="3006">
      <c r="A3006" t="inlineStr">
        <is>
          <t>Thais</t>
        </is>
      </c>
      <c r="B3006" t="inlineStr">
        <is>
          <t>+5511986846029</t>
        </is>
      </c>
      <c r="C3006" t="inlineStr">
        <is>
          <t>Refill</t>
        </is>
      </c>
      <c r="D3006" t="inlineStr">
        <is>
          <t>Primer Cachos</t>
        </is>
      </c>
      <c r="E3006" t="n">
        <v>1</v>
      </c>
      <c r="F3006" t="inlineStr">
        <is>
          <t>2026-03-20</t>
        </is>
      </c>
      <c r="G3006" t="n">
        <v>106</v>
      </c>
      <c r="H3006" t="inlineStr">
        <is>
          <t>Y</t>
        </is>
      </c>
      <c r="I3006">
        <f>HYPERLINK("https://admin.shopify.com/store/ge-beauty-cosmeticos/customers/10087385334080","abrir")</f>
        <v/>
      </c>
      <c r="J3006">
        <f>HYPERLINK("https://www.gebeauty.com.br/products/primer-cachos-definidos?ref=review","review")</f>
        <v/>
      </c>
      <c r="K3006" t="inlineStr">
        <is>
          <t>HOLDOUT</t>
        </is>
      </c>
    </row>
    <row r="3007">
      <c r="A3007" t="inlineStr">
        <is>
          <t>Alice</t>
        </is>
      </c>
      <c r="B3007" t="inlineStr">
        <is>
          <t>+5511971301048</t>
        </is>
      </c>
      <c r="C3007" t="inlineStr">
        <is>
          <t>Refill</t>
        </is>
      </c>
      <c r="D3007" t="inlineStr">
        <is>
          <t>Primer Cachos</t>
        </is>
      </c>
      <c r="E3007" t="n">
        <v>1</v>
      </c>
      <c r="F3007" t="inlineStr">
        <is>
          <t>2026-03-20</t>
        </is>
      </c>
      <c r="G3007" t="n">
        <v>106</v>
      </c>
      <c r="H3007" t="inlineStr">
        <is>
          <t>Y</t>
        </is>
      </c>
      <c r="I3007">
        <f>HYPERLINK("https://admin.shopify.com/store/ge-beauty-cosmeticos/customers/10265176506688","abrir")</f>
        <v/>
      </c>
      <c r="J3007">
        <f>HYPERLINK("https://www.gebeauty.com.br/products/primer-cachos-definidos?ref=review","review")</f>
        <v/>
      </c>
      <c r="K3007" t="inlineStr">
        <is>
          <t>SEND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Phone</t>
        </is>
      </c>
      <c r="C1" t="inlineStr">
        <is>
          <t>Segment</t>
        </is>
      </c>
      <c r="D1" t="inlineStr">
        <is>
          <t>Product</t>
        </is>
      </c>
      <c r="E1" t="inlineStr">
        <is>
          <t>Times Bought</t>
        </is>
      </c>
      <c r="F1" t="inlineStr">
        <is>
          <t>Last Purchase</t>
        </is>
      </c>
      <c r="G1" t="inlineStr">
        <is>
          <t>Days Since</t>
        </is>
      </c>
      <c r="H1" t="inlineStr">
        <is>
          <t>Review Eligible</t>
        </is>
      </c>
      <c r="I1" t="inlineStr">
        <is>
          <t>Customer Page</t>
        </is>
      </c>
      <c r="J1" t="inlineStr">
        <is>
          <t>Review Link</t>
        </is>
      </c>
      <c r="K1" t="inlineStr">
        <is>
          <t>Holdout</t>
        </is>
      </c>
    </row>
    <row r="2">
      <c r="A2" t="inlineStr">
        <is>
          <t>Marielle</t>
        </is>
      </c>
      <c r="B2" t="inlineStr">
        <is>
          <t>+5516981245800</t>
        </is>
      </c>
      <c r="C2" t="inlineStr">
        <is>
          <t>Advocate</t>
        </is>
      </c>
      <c r="D2" t="inlineStr">
        <is>
          <t>Primer Liso</t>
        </is>
      </c>
      <c r="E2" t="n">
        <v>2</v>
      </c>
      <c r="F2" t="inlineStr">
        <is>
          <t>2026-02-01</t>
        </is>
      </c>
      <c r="G2" t="n">
        <v>153</v>
      </c>
      <c r="H2" t="inlineStr">
        <is>
          <t>Y</t>
        </is>
      </c>
      <c r="I2">
        <f>HYPERLINK("https://admin.shopify.com/store/ge-beauty-cosmeticos/customers/9039436677440","abrir")</f>
        <v/>
      </c>
      <c r="J2">
        <f>HYPERLINK("https://www.gebeauty.com.br/products/primer-liso-intacto?ref=review","review")</f>
        <v/>
      </c>
      <c r="K2" t="inlineStr">
        <is>
          <t>SEND</t>
        </is>
      </c>
    </row>
    <row r="3">
      <c r="A3" t="inlineStr">
        <is>
          <t>Bruna</t>
        </is>
      </c>
      <c r="B3" t="inlineStr">
        <is>
          <t>+5581981299761</t>
        </is>
      </c>
      <c r="C3" t="inlineStr">
        <is>
          <t>Advocate</t>
        </is>
      </c>
      <c r="D3" t="inlineStr">
        <is>
          <t>Primer Liso</t>
        </is>
      </c>
      <c r="E3" t="n">
        <v>2</v>
      </c>
      <c r="F3" t="inlineStr">
        <is>
          <t>2026-04-22</t>
        </is>
      </c>
      <c r="G3" t="n">
        <v>73</v>
      </c>
      <c r="H3" t="inlineStr">
        <is>
          <t>Y</t>
        </is>
      </c>
      <c r="I3">
        <f>HYPERLINK("https://admin.shopify.com/store/ge-beauty-cosmeticos/customers/9039977644352","abrir")</f>
        <v/>
      </c>
      <c r="J3">
        <f>HYPERLINK("https://www.gebeauty.com.br/products/primer-liso-intacto?ref=review","review")</f>
        <v/>
      </c>
      <c r="K3" t="inlineStr">
        <is>
          <t>SEND</t>
        </is>
      </c>
    </row>
    <row r="4">
      <c r="A4" t="inlineStr">
        <is>
          <t>Mayara</t>
        </is>
      </c>
      <c r="B4" t="inlineStr">
        <is>
          <t>+5531973391771</t>
        </is>
      </c>
      <c r="C4" t="inlineStr">
        <is>
          <t>Advocate</t>
        </is>
      </c>
      <c r="D4" t="inlineStr">
        <is>
          <t>Primer Liso</t>
        </is>
      </c>
      <c r="E4" t="n">
        <v>2</v>
      </c>
      <c r="F4" t="inlineStr">
        <is>
          <t>2025-04-13</t>
        </is>
      </c>
      <c r="G4" t="n">
        <v>447</v>
      </c>
      <c r="H4" t="inlineStr">
        <is>
          <t>Y</t>
        </is>
      </c>
      <c r="I4">
        <f>HYPERLINK("https://admin.shopify.com/store/ge-beauty-cosmeticos/customers/8584087044416","abrir")</f>
        <v/>
      </c>
      <c r="J4">
        <f>HYPERLINK("https://www.gebeauty.com.br/products/primer-liso-intacto?ref=review","review")</f>
        <v/>
      </c>
      <c r="K4" t="inlineStr">
        <is>
          <t>SEND</t>
        </is>
      </c>
    </row>
    <row r="5">
      <c r="A5" t="inlineStr">
        <is>
          <t>Daniela</t>
        </is>
      </c>
      <c r="B5" t="inlineStr">
        <is>
          <t>+5511974431465</t>
        </is>
      </c>
      <c r="C5" t="inlineStr">
        <is>
          <t>Advocate</t>
        </is>
      </c>
      <c r="D5" t="inlineStr">
        <is>
          <t>Primer Liso</t>
        </is>
      </c>
      <c r="E5" t="n">
        <v>2</v>
      </c>
      <c r="F5" t="inlineStr">
        <is>
          <t>2025-01-27</t>
        </is>
      </c>
      <c r="G5" t="n">
        <v>523</v>
      </c>
      <c r="H5" t="inlineStr">
        <is>
          <t>Y</t>
        </is>
      </c>
      <c r="I5">
        <f>HYPERLINK("https://admin.shopify.com/store/ge-beauty-cosmeticos/customers/7761232560448","abrir")</f>
        <v/>
      </c>
      <c r="J5">
        <f>HYPERLINK("https://www.gebeauty.com.br/products/primer-liso-intacto?ref=review","review")</f>
        <v/>
      </c>
      <c r="K5" t="inlineStr">
        <is>
          <t>SEND</t>
        </is>
      </c>
    </row>
    <row r="6">
      <c r="A6" t="inlineStr">
        <is>
          <t>Helena</t>
        </is>
      </c>
      <c r="B6" t="inlineStr">
        <is>
          <t>+5511987191167</t>
        </is>
      </c>
      <c r="C6" t="inlineStr">
        <is>
          <t>Advocate</t>
        </is>
      </c>
      <c r="D6" t="inlineStr">
        <is>
          <t>Primer Liso</t>
        </is>
      </c>
      <c r="E6" t="n">
        <v>2</v>
      </c>
      <c r="F6" t="inlineStr">
        <is>
          <t>2025-05-21</t>
        </is>
      </c>
      <c r="G6" t="n">
        <v>409</v>
      </c>
      <c r="H6" t="inlineStr">
        <is>
          <t>Y</t>
        </is>
      </c>
      <c r="I6">
        <f>HYPERLINK("https://admin.shopify.com/store/ge-beauty-cosmeticos/customers/7761573314880","abrir")</f>
        <v/>
      </c>
      <c r="J6">
        <f>HYPERLINK("https://www.gebeauty.com.br/products/primer-liso-intacto?ref=review","review")</f>
        <v/>
      </c>
      <c r="K6" t="inlineStr">
        <is>
          <t>SEND</t>
        </is>
      </c>
    </row>
    <row r="7">
      <c r="A7" t="inlineStr">
        <is>
          <t>Adriana</t>
        </is>
      </c>
      <c r="B7" t="inlineStr">
        <is>
          <t>+5581925144115</t>
        </is>
      </c>
      <c r="C7" t="inlineStr">
        <is>
          <t>Advocate</t>
        </is>
      </c>
      <c r="D7" t="inlineStr">
        <is>
          <t>Primer Liso</t>
        </is>
      </c>
      <c r="E7" t="n">
        <v>2</v>
      </c>
      <c r="F7" t="inlineStr">
        <is>
          <t>2026-07-01</t>
        </is>
      </c>
      <c r="G7" t="n">
        <v>3</v>
      </c>
      <c r="H7" t="inlineStr">
        <is>
          <t>Y</t>
        </is>
      </c>
      <c r="I7">
        <f>HYPERLINK("https://admin.shopify.com/store/ge-beauty-cosmeticos/customers/9048603722048","abrir")</f>
        <v/>
      </c>
      <c r="J7">
        <f>HYPERLINK("https://www.gebeauty.com.br/products/primer-liso-intacto?ref=review","review")</f>
        <v/>
      </c>
      <c r="K7" t="inlineStr">
        <is>
          <t>SEND</t>
        </is>
      </c>
    </row>
    <row r="8">
      <c r="A8" t="inlineStr">
        <is>
          <t>Júlia</t>
        </is>
      </c>
      <c r="B8" t="inlineStr">
        <is>
          <t>+5551996388292</t>
        </is>
      </c>
      <c r="C8" t="inlineStr">
        <is>
          <t>Advocate</t>
        </is>
      </c>
      <c r="D8" t="inlineStr">
        <is>
          <t>Primer Liso</t>
        </is>
      </c>
      <c r="E8" t="n">
        <v>2</v>
      </c>
      <c r="F8" t="inlineStr">
        <is>
          <t>2025-04-14</t>
        </is>
      </c>
      <c r="G8" t="n">
        <v>446</v>
      </c>
      <c r="H8" t="inlineStr">
        <is>
          <t>Y</t>
        </is>
      </c>
      <c r="I8">
        <f>HYPERLINK("https://admin.shopify.com/store/ge-beauty-cosmeticos/customers/9050361987392","abrir")</f>
        <v/>
      </c>
      <c r="J8">
        <f>HYPERLINK("https://www.gebeauty.com.br/products/primer-liso-intacto?ref=review","review")</f>
        <v/>
      </c>
      <c r="K8" t="inlineStr">
        <is>
          <t>SEND</t>
        </is>
      </c>
    </row>
    <row r="9">
      <c r="A9" t="inlineStr">
        <is>
          <t>Roseane</t>
        </is>
      </c>
      <c r="B9" t="inlineStr">
        <is>
          <t>+5598988752569</t>
        </is>
      </c>
      <c r="C9" t="inlineStr">
        <is>
          <t>Advocate</t>
        </is>
      </c>
      <c r="D9" t="inlineStr">
        <is>
          <t>Primer Liso</t>
        </is>
      </c>
      <c r="E9" t="n">
        <v>2</v>
      </c>
      <c r="F9" t="inlineStr">
        <is>
          <t>2026-07-01</t>
        </is>
      </c>
      <c r="G9" t="n">
        <v>3</v>
      </c>
      <c r="H9" t="inlineStr">
        <is>
          <t>Y</t>
        </is>
      </c>
      <c r="I9">
        <f>HYPERLINK("https://admin.shopify.com/store/ge-beauty-cosmeticos/customers/9051755512128","abrir")</f>
        <v/>
      </c>
      <c r="J9">
        <f>HYPERLINK("https://www.gebeauty.com.br/products/primer-liso-intacto?ref=review","review")</f>
        <v/>
      </c>
      <c r="K9" t="inlineStr">
        <is>
          <t>SEND</t>
        </is>
      </c>
    </row>
    <row r="10">
      <c r="A10" t="inlineStr">
        <is>
          <t>Larissa</t>
        </is>
      </c>
      <c r="B10" t="inlineStr">
        <is>
          <t>+5512997860921</t>
        </is>
      </c>
      <c r="C10" t="inlineStr">
        <is>
          <t>Advocate</t>
        </is>
      </c>
      <c r="D10" t="inlineStr">
        <is>
          <t>Primer Liso</t>
        </is>
      </c>
      <c r="E10" t="n">
        <v>2</v>
      </c>
      <c r="F10" t="inlineStr">
        <is>
          <t>2026-01-04</t>
        </is>
      </c>
      <c r="G10" t="n">
        <v>181</v>
      </c>
      <c r="H10" t="inlineStr">
        <is>
          <t>Y</t>
        </is>
      </c>
      <c r="I10">
        <f>HYPERLINK("https://admin.shopify.com/store/ge-beauty-cosmeticos/customers/9052901540160","abrir")</f>
        <v/>
      </c>
      <c r="J10">
        <f>HYPERLINK("https://www.gebeauty.com.br/products/primer-liso-intacto?ref=review","review")</f>
        <v/>
      </c>
      <c r="K10" t="inlineStr">
        <is>
          <t>SEND</t>
        </is>
      </c>
    </row>
    <row r="11">
      <c r="A11" t="inlineStr">
        <is>
          <t>Tais</t>
        </is>
      </c>
      <c r="B11" t="inlineStr">
        <is>
          <t>+5511999456441</t>
        </is>
      </c>
      <c r="C11" t="inlineStr">
        <is>
          <t>Advocate</t>
        </is>
      </c>
      <c r="D11" t="inlineStr">
        <is>
          <t>Primer Liso</t>
        </is>
      </c>
      <c r="E11" t="n">
        <v>4</v>
      </c>
      <c r="F11" t="inlineStr">
        <is>
          <t>2025-03-25</t>
        </is>
      </c>
      <c r="G11" t="n">
        <v>466</v>
      </c>
      <c r="H11" t="inlineStr">
        <is>
          <t>Y</t>
        </is>
      </c>
      <c r="I11">
        <f>HYPERLINK("https://admin.shopify.com/store/ge-beauty-cosmeticos/customers/8344516428096","abrir")</f>
        <v/>
      </c>
      <c r="J11">
        <f>HYPERLINK("https://www.gebeauty.com.br/products/primer-liso-intacto?ref=review","review")</f>
        <v/>
      </c>
      <c r="K11" t="inlineStr">
        <is>
          <t>SEND</t>
        </is>
      </c>
    </row>
    <row r="12">
      <c r="A12" t="inlineStr">
        <is>
          <t>Gabriela</t>
        </is>
      </c>
      <c r="B12" t="inlineStr">
        <is>
          <t>+5512991507011</t>
        </is>
      </c>
      <c r="C12" t="inlineStr">
        <is>
          <t>Advocate</t>
        </is>
      </c>
      <c r="D12" t="inlineStr">
        <is>
          <t>Primer Liso</t>
        </is>
      </c>
      <c r="E12" t="n">
        <v>2</v>
      </c>
      <c r="F12" t="inlineStr">
        <is>
          <t>2025-10-01</t>
        </is>
      </c>
      <c r="G12" t="n">
        <v>276</v>
      </c>
      <c r="H12" t="inlineStr">
        <is>
          <t>Y</t>
        </is>
      </c>
      <c r="I12">
        <f>HYPERLINK("https://admin.shopify.com/store/ge-beauty-cosmeticos/customers/9056165200192","abrir")</f>
        <v/>
      </c>
      <c r="J12">
        <f>HYPERLINK("https://www.gebeauty.com.br/products/primer-liso-intacto?ref=review","review")</f>
        <v/>
      </c>
      <c r="K12" t="inlineStr">
        <is>
          <t>SEND</t>
        </is>
      </c>
    </row>
    <row r="13">
      <c r="A13" t="inlineStr">
        <is>
          <t>Melissa</t>
        </is>
      </c>
      <c r="B13" t="inlineStr">
        <is>
          <t>+5511975743020</t>
        </is>
      </c>
      <c r="C13" t="inlineStr">
        <is>
          <t>Advocate</t>
        </is>
      </c>
      <c r="D13" t="inlineStr">
        <is>
          <t>Primer Liso</t>
        </is>
      </c>
      <c r="E13" t="n">
        <v>3</v>
      </c>
      <c r="F13" t="inlineStr">
        <is>
          <t>2026-04-08</t>
        </is>
      </c>
      <c r="G13" t="n">
        <v>87</v>
      </c>
      <c r="H13" t="inlineStr">
        <is>
          <t>Y</t>
        </is>
      </c>
      <c r="I13">
        <f>HYPERLINK("https://admin.shopify.com/store/ge-beauty-cosmeticos/customers/9056278446400","abrir")</f>
        <v/>
      </c>
      <c r="J13">
        <f>HYPERLINK("https://www.gebeauty.com.br/products/primer-liso-intacto?ref=review","review")</f>
        <v/>
      </c>
      <c r="K13" t="inlineStr">
        <is>
          <t>SEND</t>
        </is>
      </c>
    </row>
    <row r="14">
      <c r="A14" t="inlineStr">
        <is>
          <t>Juliana</t>
        </is>
      </c>
      <c r="B14" t="inlineStr">
        <is>
          <t>+5549998247171</t>
        </is>
      </c>
      <c r="C14" t="inlineStr">
        <is>
          <t>Advocate</t>
        </is>
      </c>
      <c r="D14" t="inlineStr">
        <is>
          <t>Primer Liso</t>
        </is>
      </c>
      <c r="E14" t="n">
        <v>2</v>
      </c>
      <c r="F14" t="inlineStr">
        <is>
          <t>2026-02-18</t>
        </is>
      </c>
      <c r="G14" t="n">
        <v>136</v>
      </c>
      <c r="H14" t="inlineStr">
        <is>
          <t>Y</t>
        </is>
      </c>
      <c r="I14">
        <f>HYPERLINK("https://admin.shopify.com/store/ge-beauty-cosmeticos/customers/9056483541312","abrir")</f>
        <v/>
      </c>
      <c r="J14">
        <f>HYPERLINK("https://www.gebeauty.com.br/products/primer-liso-intacto?ref=review","review")</f>
        <v/>
      </c>
      <c r="K14" t="inlineStr">
        <is>
          <t>SEND</t>
        </is>
      </c>
    </row>
    <row r="15">
      <c r="A15" t="inlineStr">
        <is>
          <t>Glenda</t>
        </is>
      </c>
      <c r="B15" t="inlineStr">
        <is>
          <t>+5521992528407</t>
        </is>
      </c>
      <c r="C15" t="inlineStr">
        <is>
          <t>Advocate</t>
        </is>
      </c>
      <c r="D15" t="inlineStr">
        <is>
          <t>Primer Liso</t>
        </is>
      </c>
      <c r="E15" t="n">
        <v>2</v>
      </c>
      <c r="F15" t="inlineStr">
        <is>
          <t>2026-02-14</t>
        </is>
      </c>
      <c r="G15" t="n">
        <v>140</v>
      </c>
      <c r="H15" t="inlineStr">
        <is>
          <t>Y</t>
        </is>
      </c>
      <c r="I15">
        <f>HYPERLINK("https://admin.shopify.com/store/ge-beauty-cosmeticos/customers/8163356279104","abrir")</f>
        <v/>
      </c>
      <c r="J15">
        <f>HYPERLINK("https://www.gebeauty.com.br/products/primer-liso-intacto?ref=review","review")</f>
        <v/>
      </c>
      <c r="K15" t="inlineStr">
        <is>
          <t>SEND</t>
        </is>
      </c>
    </row>
    <row r="16">
      <c r="A16" t="inlineStr">
        <is>
          <t>Hannah</t>
        </is>
      </c>
      <c r="B16" t="inlineStr">
        <is>
          <t>+5571997000030</t>
        </is>
      </c>
      <c r="C16" t="inlineStr">
        <is>
          <t>Advocate</t>
        </is>
      </c>
      <c r="D16" t="inlineStr">
        <is>
          <t>Primer Liso</t>
        </is>
      </c>
      <c r="E16" t="n">
        <v>2</v>
      </c>
      <c r="F16" t="inlineStr">
        <is>
          <t>2026-06-05</t>
        </is>
      </c>
      <c r="G16" t="n">
        <v>29</v>
      </c>
      <c r="H16" t="inlineStr">
        <is>
          <t>Y</t>
        </is>
      </c>
      <c r="I16">
        <f>HYPERLINK("https://admin.shopify.com/store/ge-beauty-cosmeticos/customers/7761012097344","abrir")</f>
        <v/>
      </c>
      <c r="J16">
        <f>HYPERLINK("https://www.gebeauty.com.br/products/primer-liso-intacto?ref=review","review")</f>
        <v/>
      </c>
      <c r="K16" t="inlineStr">
        <is>
          <t>SEND</t>
        </is>
      </c>
    </row>
    <row r="17">
      <c r="A17" t="inlineStr">
        <is>
          <t>Ligia</t>
        </is>
      </c>
      <c r="B17" t="inlineStr">
        <is>
          <t>+5511993491331</t>
        </is>
      </c>
      <c r="C17" t="inlineStr">
        <is>
          <t>Advocate</t>
        </is>
      </c>
      <c r="D17" t="inlineStr">
        <is>
          <t>Primer Liso</t>
        </is>
      </c>
      <c r="E17" t="n">
        <v>2</v>
      </c>
      <c r="F17" t="inlineStr">
        <is>
          <t>2025-02-06</t>
        </is>
      </c>
      <c r="G17" t="n">
        <v>513</v>
      </c>
      <c r="H17" t="inlineStr">
        <is>
          <t>Y</t>
        </is>
      </c>
      <c r="I17">
        <f>HYPERLINK("https://admin.shopify.com/store/ge-beauty-cosmeticos/customers/7759229878592","abrir")</f>
        <v/>
      </c>
      <c r="J17">
        <f>HYPERLINK("https://www.gebeauty.com.br/products/primer-liso-intacto?ref=review","review")</f>
        <v/>
      </c>
      <c r="K17" t="inlineStr">
        <is>
          <t>SEND</t>
        </is>
      </c>
    </row>
    <row r="18">
      <c r="A18" t="inlineStr">
        <is>
          <t>Fernanda</t>
        </is>
      </c>
      <c r="B18" t="inlineStr">
        <is>
          <t>+5535997544553</t>
        </is>
      </c>
      <c r="C18" t="inlineStr">
        <is>
          <t>Advocate</t>
        </is>
      </c>
      <c r="D18" t="inlineStr">
        <is>
          <t>Primer Liso</t>
        </is>
      </c>
      <c r="E18" t="n">
        <v>2</v>
      </c>
      <c r="F18" t="inlineStr">
        <is>
          <t>2025-04-16</t>
        </is>
      </c>
      <c r="G18" t="n">
        <v>444</v>
      </c>
      <c r="H18" t="inlineStr">
        <is>
          <t>Y</t>
        </is>
      </c>
      <c r="I18">
        <f>HYPERLINK("https://admin.shopify.com/store/ge-beauty-cosmeticos/customers/9060327883072","abrir")</f>
        <v/>
      </c>
      <c r="J18">
        <f>HYPERLINK("https://www.gebeauty.com.br/products/primer-liso-intacto?ref=review","review")</f>
        <v/>
      </c>
      <c r="K18" t="inlineStr">
        <is>
          <t>SEND</t>
        </is>
      </c>
    </row>
    <row r="19">
      <c r="A19" t="inlineStr">
        <is>
          <t>Juliana</t>
        </is>
      </c>
      <c r="B19" t="inlineStr">
        <is>
          <t>+5521996452272</t>
        </is>
      </c>
      <c r="C19" t="inlineStr">
        <is>
          <t>Advocate</t>
        </is>
      </c>
      <c r="D19" t="inlineStr">
        <is>
          <t>Primer Liso</t>
        </is>
      </c>
      <c r="E19" t="n">
        <v>2</v>
      </c>
      <c r="F19" t="inlineStr">
        <is>
          <t>2025-06-27</t>
        </is>
      </c>
      <c r="G19" t="n">
        <v>372</v>
      </c>
      <c r="H19" t="inlineStr">
        <is>
          <t>Y</t>
        </is>
      </c>
      <c r="I19">
        <f>HYPERLINK("https://admin.shopify.com/store/ge-beauty-cosmeticos/customers/9061190631744","abrir")</f>
        <v/>
      </c>
      <c r="J19">
        <f>HYPERLINK("https://www.gebeauty.com.br/products/primer-liso-intacto?ref=review","review")</f>
        <v/>
      </c>
      <c r="K19" t="inlineStr">
        <is>
          <t>SEND</t>
        </is>
      </c>
    </row>
    <row r="20">
      <c r="A20" t="inlineStr">
        <is>
          <t>Marcela</t>
        </is>
      </c>
      <c r="B20" t="inlineStr">
        <is>
          <t>+5531999582531</t>
        </is>
      </c>
      <c r="C20" t="inlineStr">
        <is>
          <t>Advocate</t>
        </is>
      </c>
      <c r="D20" t="inlineStr">
        <is>
          <t>Primer Liso</t>
        </is>
      </c>
      <c r="E20" t="n">
        <v>2</v>
      </c>
      <c r="F20" t="inlineStr">
        <is>
          <t>2025-09-24</t>
        </is>
      </c>
      <c r="G20" t="n">
        <v>283</v>
      </c>
      <c r="H20" t="inlineStr">
        <is>
          <t>Y</t>
        </is>
      </c>
      <c r="I20">
        <f>HYPERLINK("https://admin.shopify.com/store/ge-beauty-cosmeticos/customers/8278628499776","abrir")</f>
        <v/>
      </c>
      <c r="J20">
        <f>HYPERLINK("https://www.gebeauty.com.br/products/primer-liso-intacto?ref=review","review")</f>
        <v/>
      </c>
      <c r="K20" t="inlineStr">
        <is>
          <t>SEND</t>
        </is>
      </c>
    </row>
    <row r="21">
      <c r="A21" t="inlineStr">
        <is>
          <t>Roberta</t>
        </is>
      </c>
      <c r="B21" t="inlineStr">
        <is>
          <t>+5521967377084</t>
        </is>
      </c>
      <c r="C21" t="inlineStr">
        <is>
          <t>Advocate</t>
        </is>
      </c>
      <c r="D21" t="inlineStr">
        <is>
          <t>Primer Liso</t>
        </is>
      </c>
      <c r="E21" t="n">
        <v>3</v>
      </c>
      <c r="F21" t="inlineStr">
        <is>
          <t>2026-02-22</t>
        </is>
      </c>
      <c r="G21" t="n">
        <v>132</v>
      </c>
      <c r="H21" t="inlineStr">
        <is>
          <t>Y</t>
        </is>
      </c>
      <c r="I21">
        <f>HYPERLINK("https://admin.shopify.com/store/ge-beauty-cosmeticos/customers/7761835163968","abrir")</f>
        <v/>
      </c>
      <c r="J21">
        <f>HYPERLINK("https://www.gebeauty.com.br/products/primer-liso-intacto?ref=review","review")</f>
        <v/>
      </c>
      <c r="K21" t="inlineStr">
        <is>
          <t>SEND</t>
        </is>
      </c>
    </row>
    <row r="22">
      <c r="A22" t="inlineStr">
        <is>
          <t>Kelly</t>
        </is>
      </c>
      <c r="B22" t="inlineStr">
        <is>
          <t>+5511986018408</t>
        </is>
      </c>
      <c r="C22" t="inlineStr">
        <is>
          <t>Advocate</t>
        </is>
      </c>
      <c r="D22" t="inlineStr">
        <is>
          <t>Primer Liso</t>
        </is>
      </c>
      <c r="E22" t="n">
        <v>2</v>
      </c>
      <c r="F22" t="inlineStr">
        <is>
          <t>2025-11-04</t>
        </is>
      </c>
      <c r="G22" t="n">
        <v>242</v>
      </c>
      <c r="H22" t="inlineStr">
        <is>
          <t>Y</t>
        </is>
      </c>
      <c r="I22">
        <f>HYPERLINK("https://admin.shopify.com/store/ge-beauty-cosmeticos/customers/7761762287936","abrir")</f>
        <v/>
      </c>
      <c r="J22">
        <f>HYPERLINK("https://www.gebeauty.com.br/products/primer-liso-intacto?ref=review","review")</f>
        <v/>
      </c>
      <c r="K22" t="inlineStr">
        <is>
          <t>SEND</t>
        </is>
      </c>
    </row>
    <row r="23">
      <c r="A23" t="inlineStr">
        <is>
          <t>Raquel</t>
        </is>
      </c>
      <c r="B23" t="inlineStr">
        <is>
          <t>+5598981200505</t>
        </is>
      </c>
      <c r="C23" t="inlineStr">
        <is>
          <t>Advocate</t>
        </is>
      </c>
      <c r="D23" t="inlineStr">
        <is>
          <t>Primer Liso</t>
        </is>
      </c>
      <c r="E23" t="n">
        <v>2</v>
      </c>
      <c r="F23" t="inlineStr">
        <is>
          <t>2025-05-30</t>
        </is>
      </c>
      <c r="G23" t="n">
        <v>400</v>
      </c>
      <c r="H23" t="inlineStr">
        <is>
          <t>Y</t>
        </is>
      </c>
      <c r="I23">
        <f>HYPERLINK("https://admin.shopify.com/store/ge-beauty-cosmeticos/customers/7762159665472","abrir")</f>
        <v/>
      </c>
      <c r="J23">
        <f>HYPERLINK("https://www.gebeauty.com.br/products/primer-liso-intacto?ref=review","review")</f>
        <v/>
      </c>
      <c r="K23" t="inlineStr">
        <is>
          <t>SEND</t>
        </is>
      </c>
    </row>
    <row r="24">
      <c r="A24" t="inlineStr">
        <is>
          <t>Viviane</t>
        </is>
      </c>
      <c r="B24" t="inlineStr">
        <is>
          <t>+5571999634064</t>
        </is>
      </c>
      <c r="C24" t="inlineStr">
        <is>
          <t>Advocate</t>
        </is>
      </c>
      <c r="D24" t="inlineStr">
        <is>
          <t>Primer Liso</t>
        </is>
      </c>
      <c r="E24" t="n">
        <v>2</v>
      </c>
      <c r="F24" t="inlineStr">
        <is>
          <t>2026-06-21</t>
        </is>
      </c>
      <c r="G24" t="n">
        <v>13</v>
      </c>
      <c r="H24" t="inlineStr">
        <is>
          <t>Y</t>
        </is>
      </c>
      <c r="I24">
        <f>HYPERLINK("https://admin.shopify.com/store/ge-beauty-cosmeticos/customers/7761346593088","abrir")</f>
        <v/>
      </c>
      <c r="J24">
        <f>HYPERLINK("https://www.gebeauty.com.br/products/primer-liso-intacto?ref=review","review")</f>
        <v/>
      </c>
      <c r="K24" t="inlineStr">
        <is>
          <t>SEND</t>
        </is>
      </c>
    </row>
    <row r="25">
      <c r="A25" t="inlineStr">
        <is>
          <t>Maria</t>
        </is>
      </c>
      <c r="B25" t="inlineStr">
        <is>
          <t>+5585999857700</t>
        </is>
      </c>
      <c r="C25" t="inlineStr">
        <is>
          <t>Advocate</t>
        </is>
      </c>
      <c r="D25" t="inlineStr">
        <is>
          <t>Primer Liso</t>
        </is>
      </c>
      <c r="E25" t="n">
        <v>3</v>
      </c>
      <c r="F25" t="inlineStr">
        <is>
          <t>2026-03-15</t>
        </is>
      </c>
      <c r="G25" t="n">
        <v>111</v>
      </c>
      <c r="H25" t="inlineStr">
        <is>
          <t>Y</t>
        </is>
      </c>
      <c r="I25">
        <f>HYPERLINK("https://admin.shopify.com/store/ge-beauty-cosmeticos/customers/7762358665536","abrir")</f>
        <v/>
      </c>
      <c r="J25">
        <f>HYPERLINK("https://www.gebeauty.com.br/products/primer-liso-intacto?ref=review","review")</f>
        <v/>
      </c>
      <c r="K25" t="inlineStr">
        <is>
          <t>SEND</t>
        </is>
      </c>
    </row>
    <row r="26">
      <c r="A26" t="inlineStr">
        <is>
          <t>Thailla</t>
        </is>
      </c>
      <c r="B26" t="inlineStr">
        <is>
          <t>+5511974540188</t>
        </is>
      </c>
      <c r="C26" t="inlineStr">
        <is>
          <t>Advocate</t>
        </is>
      </c>
      <c r="D26" t="inlineStr">
        <is>
          <t>Primer Liso</t>
        </is>
      </c>
      <c r="E26" t="n">
        <v>2</v>
      </c>
      <c r="F26" t="inlineStr">
        <is>
          <t>2025-11-03</t>
        </is>
      </c>
      <c r="G26" t="n">
        <v>243</v>
      </c>
      <c r="H26" t="inlineStr">
        <is>
          <t>Y</t>
        </is>
      </c>
      <c r="I26">
        <f>HYPERLINK("https://admin.shopify.com/store/ge-beauty-cosmeticos/customers/9058171420992","abrir")</f>
        <v/>
      </c>
      <c r="J26">
        <f>HYPERLINK("https://www.gebeauty.com.br/products/primer-liso-intacto?ref=review","review")</f>
        <v/>
      </c>
      <c r="K26" t="inlineStr">
        <is>
          <t>SEND</t>
        </is>
      </c>
    </row>
    <row r="27">
      <c r="A27" t="inlineStr">
        <is>
          <t>Marcella</t>
        </is>
      </c>
      <c r="B27" t="inlineStr">
        <is>
          <t>+5581997230004</t>
        </is>
      </c>
      <c r="C27" t="inlineStr">
        <is>
          <t>Advocate</t>
        </is>
      </c>
      <c r="D27" t="inlineStr">
        <is>
          <t>Primer Liso</t>
        </is>
      </c>
      <c r="E27" t="n">
        <v>2</v>
      </c>
      <c r="F27" t="inlineStr">
        <is>
          <t>2025-11-29</t>
        </is>
      </c>
      <c r="G27" t="n">
        <v>217</v>
      </c>
      <c r="H27" t="inlineStr">
        <is>
          <t>Y</t>
        </is>
      </c>
      <c r="I27">
        <f>HYPERLINK("https://admin.shopify.com/store/ge-beauty-cosmeticos/customers/7762523881792","abrir")</f>
        <v/>
      </c>
      <c r="J27">
        <f>HYPERLINK("https://www.gebeauty.com.br/products/primer-liso-intacto?ref=review","review")</f>
        <v/>
      </c>
      <c r="K27" t="inlineStr">
        <is>
          <t>SEND</t>
        </is>
      </c>
    </row>
    <row r="28">
      <c r="A28" t="inlineStr">
        <is>
          <t>Giovana</t>
        </is>
      </c>
      <c r="B28" t="inlineStr">
        <is>
          <t>+5511982072982</t>
        </is>
      </c>
      <c r="C28" t="inlineStr">
        <is>
          <t>Advocate</t>
        </is>
      </c>
      <c r="D28" t="inlineStr">
        <is>
          <t>Primer Liso</t>
        </is>
      </c>
      <c r="E28" t="n">
        <v>3</v>
      </c>
      <c r="F28" t="inlineStr">
        <is>
          <t>2026-03-16</t>
        </is>
      </c>
      <c r="G28" t="n">
        <v>110</v>
      </c>
      <c r="H28" t="inlineStr">
        <is>
          <t>Y</t>
        </is>
      </c>
      <c r="I28">
        <f>HYPERLINK("https://admin.shopify.com/store/ge-beauty-cosmeticos/customers/7761921573184","abrir")</f>
        <v/>
      </c>
      <c r="J28">
        <f>HYPERLINK("https://www.gebeauty.com.br/products/primer-liso-intacto?ref=review","review")</f>
        <v/>
      </c>
      <c r="K28" t="inlineStr">
        <is>
          <t>SEND</t>
        </is>
      </c>
    </row>
    <row r="29">
      <c r="A29" t="inlineStr">
        <is>
          <t>Amanda</t>
        </is>
      </c>
      <c r="B29" t="inlineStr">
        <is>
          <t>+5519981310818</t>
        </is>
      </c>
      <c r="C29" t="inlineStr">
        <is>
          <t>Advocate</t>
        </is>
      </c>
      <c r="D29" t="inlineStr">
        <is>
          <t>Primer Liso</t>
        </is>
      </c>
      <c r="E29" t="n">
        <v>3</v>
      </c>
      <c r="F29" t="inlineStr">
        <is>
          <t>2026-02-02</t>
        </is>
      </c>
      <c r="G29" t="n">
        <v>152</v>
      </c>
      <c r="H29" t="inlineStr">
        <is>
          <t>Y</t>
        </is>
      </c>
      <c r="I29">
        <f>HYPERLINK("https://admin.shopify.com/store/ge-beauty-cosmeticos/customers/9064030142784","abrir")</f>
        <v/>
      </c>
      <c r="J29">
        <f>HYPERLINK("https://www.gebeauty.com.br/products/primer-liso-intacto?ref=review","review")</f>
        <v/>
      </c>
      <c r="K29" t="inlineStr">
        <is>
          <t>SEND</t>
        </is>
      </c>
    </row>
    <row r="30">
      <c r="A30" t="inlineStr">
        <is>
          <t>Liliane</t>
        </is>
      </c>
      <c r="B30" t="inlineStr">
        <is>
          <t>+5531988259662</t>
        </is>
      </c>
      <c r="C30" t="inlineStr">
        <is>
          <t>Advocate</t>
        </is>
      </c>
      <c r="D30" t="inlineStr">
        <is>
          <t>Primer Liso</t>
        </is>
      </c>
      <c r="E30" t="n">
        <v>2</v>
      </c>
      <c r="F30" t="inlineStr">
        <is>
          <t>2025-11-05</t>
        </is>
      </c>
      <c r="G30" t="n">
        <v>241</v>
      </c>
      <c r="H30" t="inlineStr">
        <is>
          <t>Y</t>
        </is>
      </c>
      <c r="I30">
        <f>HYPERLINK("https://admin.shopify.com/store/ge-beauty-cosmeticos/customers/7760900161856","abrir")</f>
        <v/>
      </c>
      <c r="J30">
        <f>HYPERLINK("https://www.gebeauty.com.br/products/primer-liso-intacto?ref=review","review")</f>
        <v/>
      </c>
      <c r="K30" t="inlineStr">
        <is>
          <t>SEND</t>
        </is>
      </c>
    </row>
    <row r="31">
      <c r="A31" t="inlineStr">
        <is>
          <t>Mayla</t>
        </is>
      </c>
      <c r="B31" t="inlineStr">
        <is>
          <t>+5511964485716</t>
        </is>
      </c>
      <c r="C31" t="inlineStr">
        <is>
          <t>Advocate</t>
        </is>
      </c>
      <c r="D31" t="inlineStr">
        <is>
          <t>Primer Liso</t>
        </is>
      </c>
      <c r="E31" t="n">
        <v>2</v>
      </c>
      <c r="F31" t="inlineStr">
        <is>
          <t>2025-11-23</t>
        </is>
      </c>
      <c r="G31" t="n">
        <v>223</v>
      </c>
      <c r="H31" t="inlineStr">
        <is>
          <t>Y</t>
        </is>
      </c>
      <c r="I31">
        <f>HYPERLINK("https://admin.shopify.com/store/ge-beauty-cosmeticos/customers/9065402302784","abrir")</f>
        <v/>
      </c>
      <c r="J31">
        <f>HYPERLINK("https://www.gebeauty.com.br/products/primer-liso-intacto?ref=review","review")</f>
        <v/>
      </c>
      <c r="K31" t="inlineStr">
        <is>
          <t>SEND</t>
        </is>
      </c>
    </row>
    <row r="32">
      <c r="A32" t="inlineStr">
        <is>
          <t>Luciana</t>
        </is>
      </c>
      <c r="B32" t="inlineStr">
        <is>
          <t>+5511919369940</t>
        </is>
      </c>
      <c r="C32" t="inlineStr">
        <is>
          <t>Advocate</t>
        </is>
      </c>
      <c r="D32" t="inlineStr">
        <is>
          <t>Primer Liso</t>
        </is>
      </c>
      <c r="E32" t="n">
        <v>2</v>
      </c>
      <c r="F32" t="inlineStr">
        <is>
          <t>2026-02-02</t>
        </is>
      </c>
      <c r="G32" t="n">
        <v>152</v>
      </c>
      <c r="H32" t="inlineStr">
        <is>
          <t>Y</t>
        </is>
      </c>
      <c r="I32">
        <f>HYPERLINK("https://admin.shopify.com/store/ge-beauty-cosmeticos/customers/8292694884672","abrir")</f>
        <v/>
      </c>
      <c r="J32">
        <f>HYPERLINK("https://www.gebeauty.com.br/products/primer-liso-intacto?ref=review","review")</f>
        <v/>
      </c>
      <c r="K32" t="inlineStr">
        <is>
          <t>HOLDOUT</t>
        </is>
      </c>
    </row>
    <row r="33">
      <c r="A33" t="inlineStr">
        <is>
          <t>Mariana</t>
        </is>
      </c>
      <c r="B33" t="inlineStr">
        <is>
          <t>+5535988083696</t>
        </is>
      </c>
      <c r="C33" t="inlineStr">
        <is>
          <t>Advocate</t>
        </is>
      </c>
      <c r="D33" t="inlineStr">
        <is>
          <t>Primer Liso</t>
        </is>
      </c>
      <c r="E33" t="n">
        <v>2</v>
      </c>
      <c r="F33" t="inlineStr">
        <is>
          <t>2025-08-05</t>
        </is>
      </c>
      <c r="G33" t="n">
        <v>333</v>
      </c>
      <c r="H33" t="inlineStr">
        <is>
          <t>Y</t>
        </is>
      </c>
      <c r="I33">
        <f>HYPERLINK("https://admin.shopify.com/store/ge-beauty-cosmeticos/customers/7760425320768","abrir")</f>
        <v/>
      </c>
      <c r="J33">
        <f>HYPERLINK("https://www.gebeauty.com.br/products/primer-liso-intacto?ref=review","review")</f>
        <v/>
      </c>
      <c r="K33" t="inlineStr">
        <is>
          <t>SEND</t>
        </is>
      </c>
    </row>
    <row r="34">
      <c r="A34" t="inlineStr">
        <is>
          <t>Nathalya</t>
        </is>
      </c>
      <c r="B34" t="inlineStr">
        <is>
          <t>+5511970881912</t>
        </is>
      </c>
      <c r="C34" t="inlineStr">
        <is>
          <t>Advocate</t>
        </is>
      </c>
      <c r="D34" t="inlineStr">
        <is>
          <t>Primer Liso</t>
        </is>
      </c>
      <c r="E34" t="n">
        <v>2</v>
      </c>
      <c r="F34" t="inlineStr">
        <is>
          <t>2025-03-11</t>
        </is>
      </c>
      <c r="G34" t="n">
        <v>480</v>
      </c>
      <c r="H34" t="inlineStr">
        <is>
          <t>Y</t>
        </is>
      </c>
      <c r="I34">
        <f>HYPERLINK("https://admin.shopify.com/store/ge-beauty-cosmeticos/customers/9069107216704","abrir")</f>
        <v/>
      </c>
      <c r="J34">
        <f>HYPERLINK("https://www.gebeauty.com.br/products/primer-liso-intacto?ref=review","review")</f>
        <v/>
      </c>
      <c r="K34" t="inlineStr">
        <is>
          <t>SEND</t>
        </is>
      </c>
    </row>
    <row r="35">
      <c r="A35" t="inlineStr">
        <is>
          <t>Mariana</t>
        </is>
      </c>
      <c r="B35" t="inlineStr">
        <is>
          <t>+5511982222820</t>
        </is>
      </c>
      <c r="C35" t="inlineStr">
        <is>
          <t>Advocate</t>
        </is>
      </c>
      <c r="D35" t="inlineStr">
        <is>
          <t>Primer Liso</t>
        </is>
      </c>
      <c r="E35" t="n">
        <v>2</v>
      </c>
      <c r="F35" t="inlineStr">
        <is>
          <t>2025-08-19</t>
        </is>
      </c>
      <c r="G35" t="n">
        <v>319</v>
      </c>
      <c r="H35" t="inlineStr">
        <is>
          <t>Y</t>
        </is>
      </c>
      <c r="I35">
        <f>HYPERLINK("https://admin.shopify.com/store/ge-beauty-cosmeticos/customers/7762542428480","abrir")</f>
        <v/>
      </c>
      <c r="J35">
        <f>HYPERLINK("https://www.gebeauty.com.br/products/primer-liso-intacto?ref=review","review")</f>
        <v/>
      </c>
      <c r="K35" t="inlineStr">
        <is>
          <t>SEND</t>
        </is>
      </c>
    </row>
    <row r="36">
      <c r="A36" t="inlineStr">
        <is>
          <t>Luisa</t>
        </is>
      </c>
      <c r="B36" t="inlineStr">
        <is>
          <t>+5521987539174</t>
        </is>
      </c>
      <c r="C36" t="inlineStr">
        <is>
          <t>Advocate</t>
        </is>
      </c>
      <c r="D36" t="inlineStr">
        <is>
          <t>Primer Liso</t>
        </is>
      </c>
      <c r="E36" t="n">
        <v>2</v>
      </c>
      <c r="F36" t="inlineStr">
        <is>
          <t>2025-11-29</t>
        </is>
      </c>
      <c r="G36" t="n">
        <v>217</v>
      </c>
      <c r="H36" t="inlineStr">
        <is>
          <t>Y</t>
        </is>
      </c>
      <c r="I36">
        <f>HYPERLINK("https://admin.shopify.com/store/ge-beauty-cosmeticos/customers/7761266147648","abrir")</f>
        <v/>
      </c>
      <c r="J36">
        <f>HYPERLINK("https://www.gebeauty.com.br/products/primer-liso-intacto?ref=review","review")</f>
        <v/>
      </c>
      <c r="K36" t="inlineStr">
        <is>
          <t>SEND</t>
        </is>
      </c>
    </row>
    <row r="37">
      <c r="A37" t="inlineStr">
        <is>
          <t>Taynara</t>
        </is>
      </c>
      <c r="B37" t="inlineStr">
        <is>
          <t>+5514981172911</t>
        </is>
      </c>
      <c r="C37" t="inlineStr">
        <is>
          <t>Advocate</t>
        </is>
      </c>
      <c r="D37" t="inlineStr">
        <is>
          <t>Primer Liso</t>
        </is>
      </c>
      <c r="E37" t="n">
        <v>2</v>
      </c>
      <c r="F37" t="inlineStr">
        <is>
          <t>2025-10-21</t>
        </is>
      </c>
      <c r="G37" t="n">
        <v>256</v>
      </c>
      <c r="H37" t="inlineStr">
        <is>
          <t>Y</t>
        </is>
      </c>
      <c r="I37">
        <f>HYPERLINK("https://admin.shopify.com/store/ge-beauty-cosmeticos/customers/9079723163968","abrir")</f>
        <v/>
      </c>
      <c r="J37">
        <f>HYPERLINK("https://www.gebeauty.com.br/products/primer-liso-intacto?ref=review","review")</f>
        <v/>
      </c>
      <c r="K37" t="inlineStr">
        <is>
          <t>SEND</t>
        </is>
      </c>
    </row>
    <row r="38">
      <c r="A38" t="inlineStr">
        <is>
          <t>Thayná</t>
        </is>
      </c>
      <c r="B38" t="inlineStr">
        <is>
          <t>+5585997168787</t>
        </is>
      </c>
      <c r="C38" t="inlineStr">
        <is>
          <t>Advocate</t>
        </is>
      </c>
      <c r="D38" t="inlineStr">
        <is>
          <t>Primer Liso</t>
        </is>
      </c>
      <c r="E38" t="n">
        <v>2</v>
      </c>
      <c r="F38" t="inlineStr">
        <is>
          <t>2025-11-23</t>
        </is>
      </c>
      <c r="G38" t="n">
        <v>223</v>
      </c>
      <c r="H38" t="inlineStr">
        <is>
          <t>Y</t>
        </is>
      </c>
      <c r="I38">
        <f>HYPERLINK("https://admin.shopify.com/store/ge-beauty-cosmeticos/customers/7762605474112","abrir")</f>
        <v/>
      </c>
      <c r="J38">
        <f>HYPERLINK("https://www.gebeauty.com.br/products/primer-liso-intacto?ref=review","review")</f>
        <v/>
      </c>
      <c r="K38" t="inlineStr">
        <is>
          <t>SEND</t>
        </is>
      </c>
    </row>
    <row r="39">
      <c r="A39" t="inlineStr">
        <is>
          <t>Michele</t>
        </is>
      </c>
      <c r="B39" t="inlineStr">
        <is>
          <t>+5547999111104</t>
        </is>
      </c>
      <c r="C39" t="inlineStr">
        <is>
          <t>Advocate</t>
        </is>
      </c>
      <c r="D39" t="inlineStr">
        <is>
          <t>Primer Liso</t>
        </is>
      </c>
      <c r="E39" t="n">
        <v>2</v>
      </c>
      <c r="F39" t="inlineStr">
        <is>
          <t>2025-06-17</t>
        </is>
      </c>
      <c r="G39" t="n">
        <v>382</v>
      </c>
      <c r="H39" t="inlineStr">
        <is>
          <t>Y</t>
        </is>
      </c>
      <c r="I39">
        <f>HYPERLINK("https://admin.shopify.com/store/ge-beauty-cosmeticos/customers/9086354293056","abrir")</f>
        <v/>
      </c>
      <c r="J39">
        <f>HYPERLINK("https://www.gebeauty.com.br/products/primer-liso-intacto?ref=review","review")</f>
        <v/>
      </c>
      <c r="K39" t="inlineStr">
        <is>
          <t>HOLDOUT</t>
        </is>
      </c>
    </row>
    <row r="40">
      <c r="A40" t="inlineStr">
        <is>
          <t>Gustavo</t>
        </is>
      </c>
      <c r="B40" t="inlineStr">
        <is>
          <t>+5511971827003</t>
        </is>
      </c>
      <c r="C40" t="inlineStr">
        <is>
          <t>Advocate</t>
        </is>
      </c>
      <c r="D40" t="inlineStr">
        <is>
          <t>Primer Liso</t>
        </is>
      </c>
      <c r="E40" t="n">
        <v>2</v>
      </c>
      <c r="F40" t="inlineStr">
        <is>
          <t>2026-04-30</t>
        </is>
      </c>
      <c r="G40" t="n">
        <v>65</v>
      </c>
      <c r="H40" t="inlineStr">
        <is>
          <t>Y</t>
        </is>
      </c>
      <c r="I40">
        <f>HYPERLINK("https://admin.shopify.com/store/ge-beauty-cosmeticos/customers/9089380647232","abrir")</f>
        <v/>
      </c>
      <c r="J40">
        <f>HYPERLINK("https://www.gebeauty.com.br/products/primer-liso-intacto?ref=review","review")</f>
        <v/>
      </c>
      <c r="K40" t="inlineStr">
        <is>
          <t>SEND</t>
        </is>
      </c>
    </row>
    <row r="41">
      <c r="A41" t="inlineStr">
        <is>
          <t>Carolina</t>
        </is>
      </c>
      <c r="B41" t="inlineStr">
        <is>
          <t>+5511941108170</t>
        </is>
      </c>
      <c r="C41" t="inlineStr">
        <is>
          <t>Advocate</t>
        </is>
      </c>
      <c r="D41" t="inlineStr">
        <is>
          <t>Primer Liso</t>
        </is>
      </c>
      <c r="E41" t="n">
        <v>2</v>
      </c>
      <c r="F41" t="inlineStr">
        <is>
          <t>2025-03-12</t>
        </is>
      </c>
      <c r="G41" t="n">
        <v>479</v>
      </c>
      <c r="H41" t="inlineStr">
        <is>
          <t>Y</t>
        </is>
      </c>
      <c r="I41">
        <f>HYPERLINK("https://admin.shopify.com/store/ge-beauty-cosmeticos/customers/9089403814208","abrir")</f>
        <v/>
      </c>
      <c r="J41">
        <f>HYPERLINK("https://www.gebeauty.com.br/products/primer-liso-intacto?ref=review","review")</f>
        <v/>
      </c>
      <c r="K41" t="inlineStr">
        <is>
          <t>SEND</t>
        </is>
      </c>
    </row>
    <row r="42">
      <c r="A42" t="inlineStr">
        <is>
          <t>Kamilla</t>
        </is>
      </c>
      <c r="B42" t="inlineStr">
        <is>
          <t>+5511981059671</t>
        </is>
      </c>
      <c r="C42" t="inlineStr">
        <is>
          <t>Advocate</t>
        </is>
      </c>
      <c r="D42" t="inlineStr">
        <is>
          <t>Primer Liso</t>
        </is>
      </c>
      <c r="E42" t="n">
        <v>2</v>
      </c>
      <c r="F42" t="inlineStr">
        <is>
          <t>2025-02-17</t>
        </is>
      </c>
      <c r="G42" t="n">
        <v>502</v>
      </c>
      <c r="H42" t="inlineStr">
        <is>
          <t>Y</t>
        </is>
      </c>
      <c r="I42">
        <f>HYPERLINK("https://admin.shopify.com/store/ge-beauty-cosmeticos/customers/7761043292480","abrir")</f>
        <v/>
      </c>
      <c r="J42">
        <f>HYPERLINK("https://www.gebeauty.com.br/products/primer-liso-intacto?ref=review","review")</f>
        <v/>
      </c>
      <c r="K42" t="inlineStr">
        <is>
          <t>SEND</t>
        </is>
      </c>
    </row>
    <row r="43">
      <c r="A43" t="inlineStr">
        <is>
          <t>Priscila</t>
        </is>
      </c>
      <c r="B43" t="inlineStr">
        <is>
          <t>+5581981498090</t>
        </is>
      </c>
      <c r="C43" t="inlineStr">
        <is>
          <t>Advocate</t>
        </is>
      </c>
      <c r="D43" t="inlineStr">
        <is>
          <t>Primer Liso</t>
        </is>
      </c>
      <c r="E43" t="n">
        <v>4</v>
      </c>
      <c r="F43" t="inlineStr">
        <is>
          <t>2026-01-27</t>
        </is>
      </c>
      <c r="G43" t="n">
        <v>158</v>
      </c>
      <c r="H43" t="inlineStr">
        <is>
          <t>Y</t>
        </is>
      </c>
      <c r="I43">
        <f>HYPERLINK("https://admin.shopify.com/store/ge-beauty-cosmeticos/customers/9040043213120","abrir")</f>
        <v/>
      </c>
      <c r="J43">
        <f>HYPERLINK("https://www.gebeauty.com.br/products/primer-liso-intacto?ref=review","review")</f>
        <v/>
      </c>
      <c r="K43" t="inlineStr">
        <is>
          <t>SEND</t>
        </is>
      </c>
    </row>
    <row r="44">
      <c r="A44" t="inlineStr">
        <is>
          <t>Ana</t>
        </is>
      </c>
      <c r="B44" t="inlineStr">
        <is>
          <t>+5521987472863</t>
        </is>
      </c>
      <c r="C44" t="inlineStr">
        <is>
          <t>Advocate</t>
        </is>
      </c>
      <c r="D44" t="inlineStr">
        <is>
          <t>Primer Liso</t>
        </is>
      </c>
      <c r="E44" t="n">
        <v>3</v>
      </c>
      <c r="F44" t="inlineStr">
        <is>
          <t>2025-11-29</t>
        </is>
      </c>
      <c r="G44" t="n">
        <v>217</v>
      </c>
      <c r="H44" t="inlineStr">
        <is>
          <t>Y</t>
        </is>
      </c>
      <c r="I44">
        <f>HYPERLINK("https://admin.shopify.com/store/ge-beauty-cosmeticos/customers/7762060411200","abrir")</f>
        <v/>
      </c>
      <c r="J44">
        <f>HYPERLINK("https://www.gebeauty.com.br/products/primer-liso-intacto?ref=review","review")</f>
        <v/>
      </c>
      <c r="K44" t="inlineStr">
        <is>
          <t>SEND</t>
        </is>
      </c>
    </row>
    <row r="45">
      <c r="A45" t="inlineStr">
        <is>
          <t>Fabiany</t>
        </is>
      </c>
      <c r="B45" t="inlineStr">
        <is>
          <t>+5527981117163</t>
        </is>
      </c>
      <c r="C45" t="inlineStr">
        <is>
          <t>Advocate</t>
        </is>
      </c>
      <c r="D45" t="inlineStr">
        <is>
          <t>Primer Liso</t>
        </is>
      </c>
      <c r="E45" t="n">
        <v>2</v>
      </c>
      <c r="F45" t="inlineStr">
        <is>
          <t>2026-03-11</t>
        </is>
      </c>
      <c r="G45" t="n">
        <v>115</v>
      </c>
      <c r="H45" t="inlineStr">
        <is>
          <t>Y</t>
        </is>
      </c>
      <c r="I45">
        <f>HYPERLINK("https://admin.shopify.com/store/ge-beauty-cosmeticos/customers/9094014337344","abrir")</f>
        <v/>
      </c>
      <c r="J45">
        <f>HYPERLINK("https://www.gebeauty.com.br/products/primer-liso-intacto?ref=review","review")</f>
        <v/>
      </c>
      <c r="K45" t="inlineStr">
        <is>
          <t>SEND</t>
        </is>
      </c>
    </row>
    <row r="46">
      <c r="A46" t="inlineStr">
        <is>
          <t>Adriana</t>
        </is>
      </c>
      <c r="B46" t="inlineStr">
        <is>
          <t>+5511972750961</t>
        </is>
      </c>
      <c r="C46" t="inlineStr">
        <is>
          <t>Advocate</t>
        </is>
      </c>
      <c r="D46" t="inlineStr">
        <is>
          <t>Primer Liso</t>
        </is>
      </c>
      <c r="E46" t="n">
        <v>3</v>
      </c>
      <c r="F46" t="inlineStr">
        <is>
          <t>2026-02-03</t>
        </is>
      </c>
      <c r="G46" t="n">
        <v>151</v>
      </c>
      <c r="H46" t="inlineStr">
        <is>
          <t>Y</t>
        </is>
      </c>
      <c r="I46">
        <f>HYPERLINK("https://admin.shopify.com/store/ge-beauty-cosmeticos/customers/9094829670720","abrir")</f>
        <v/>
      </c>
      <c r="J46">
        <f>HYPERLINK("https://www.gebeauty.com.br/products/primer-liso-intacto?ref=review","review")</f>
        <v/>
      </c>
      <c r="K46" t="inlineStr">
        <is>
          <t>SEND</t>
        </is>
      </c>
    </row>
    <row r="47">
      <c r="A47" t="inlineStr">
        <is>
          <t>Renato</t>
        </is>
      </c>
      <c r="B47" t="inlineStr">
        <is>
          <t>+5511996440212</t>
        </is>
      </c>
      <c r="C47" t="inlineStr">
        <is>
          <t>Advocate</t>
        </is>
      </c>
      <c r="D47" t="inlineStr">
        <is>
          <t>Primer Liso</t>
        </is>
      </c>
      <c r="E47" t="n">
        <v>2</v>
      </c>
      <c r="F47" t="inlineStr">
        <is>
          <t>2025-11-04</t>
        </is>
      </c>
      <c r="G47" t="n">
        <v>242</v>
      </c>
      <c r="H47" t="inlineStr">
        <is>
          <t>Y</t>
        </is>
      </c>
      <c r="I47">
        <f>HYPERLINK("https://admin.shopify.com/store/ge-beauty-cosmeticos/customers/9094908346688","abrir")</f>
        <v/>
      </c>
      <c r="J47">
        <f>HYPERLINK("https://www.gebeauty.com.br/products/primer-liso-intacto?ref=review","review")</f>
        <v/>
      </c>
      <c r="K47" t="inlineStr">
        <is>
          <t>SEND</t>
        </is>
      </c>
    </row>
    <row r="48">
      <c r="A48" t="inlineStr">
        <is>
          <t>Luciana</t>
        </is>
      </c>
      <c r="B48" t="inlineStr">
        <is>
          <t>+5535991330277</t>
        </is>
      </c>
      <c r="C48" t="inlineStr">
        <is>
          <t>Advocate</t>
        </is>
      </c>
      <c r="D48" t="inlineStr">
        <is>
          <t>Primer Liso</t>
        </is>
      </c>
      <c r="E48" t="n">
        <v>2</v>
      </c>
      <c r="F48" t="inlineStr">
        <is>
          <t>2026-01-02</t>
        </is>
      </c>
      <c r="G48" t="n">
        <v>183</v>
      </c>
      <c r="H48" t="inlineStr">
        <is>
          <t>Y</t>
        </is>
      </c>
      <c r="I48">
        <f>HYPERLINK("https://admin.shopify.com/store/ge-beauty-cosmeticos/customers/7759908274496","abrir")</f>
        <v/>
      </c>
      <c r="J48">
        <f>HYPERLINK("https://www.gebeauty.com.br/products/primer-liso-intacto?ref=review","review")</f>
        <v/>
      </c>
      <c r="K48" t="inlineStr">
        <is>
          <t>SEND</t>
        </is>
      </c>
    </row>
    <row r="49">
      <c r="A49" t="inlineStr">
        <is>
          <t>Karina</t>
        </is>
      </c>
      <c r="B49" t="inlineStr">
        <is>
          <t>+5531999470089</t>
        </is>
      </c>
      <c r="C49" t="inlineStr">
        <is>
          <t>Advocate</t>
        </is>
      </c>
      <c r="D49" t="inlineStr">
        <is>
          <t>Primer Liso</t>
        </is>
      </c>
      <c r="E49" t="n">
        <v>2</v>
      </c>
      <c r="F49" t="inlineStr">
        <is>
          <t>2025-02-27</t>
        </is>
      </c>
      <c r="G49" t="n">
        <v>492</v>
      </c>
      <c r="H49" t="inlineStr">
        <is>
          <t>Y</t>
        </is>
      </c>
      <c r="I49">
        <f>HYPERLINK("https://admin.shopify.com/store/ge-beauty-cosmeticos/customers/9095603716416","abrir")</f>
        <v/>
      </c>
      <c r="J49">
        <f>HYPERLINK("https://www.gebeauty.com.br/products/primer-liso-intacto?ref=review","review")</f>
        <v/>
      </c>
      <c r="K49" t="inlineStr">
        <is>
          <t>SEND</t>
        </is>
      </c>
    </row>
    <row r="50">
      <c r="A50" t="inlineStr">
        <is>
          <t>Carolina</t>
        </is>
      </c>
      <c r="B50" t="inlineStr">
        <is>
          <t>+5581981089972</t>
        </is>
      </c>
      <c r="C50" t="inlineStr">
        <is>
          <t>Advocate</t>
        </is>
      </c>
      <c r="D50" t="inlineStr">
        <is>
          <t>Primer Liso</t>
        </is>
      </c>
      <c r="E50" t="n">
        <v>2</v>
      </c>
      <c r="F50" t="inlineStr">
        <is>
          <t>2025-08-28</t>
        </is>
      </c>
      <c r="G50" t="n">
        <v>310</v>
      </c>
      <c r="H50" t="inlineStr">
        <is>
          <t>Y</t>
        </is>
      </c>
      <c r="I50">
        <f>HYPERLINK("https://admin.shopify.com/store/ge-beauty-cosmeticos/customers/9095876149568","abrir")</f>
        <v/>
      </c>
      <c r="J50">
        <f>HYPERLINK("https://www.gebeauty.com.br/products/primer-liso-intacto?ref=review","review")</f>
        <v/>
      </c>
      <c r="K50" t="inlineStr">
        <is>
          <t>SEND</t>
        </is>
      </c>
    </row>
    <row r="51">
      <c r="A51" t="inlineStr">
        <is>
          <t>Lorena</t>
        </is>
      </c>
      <c r="B51" t="inlineStr">
        <is>
          <t>+5577981039837</t>
        </is>
      </c>
      <c r="C51" t="inlineStr">
        <is>
          <t>Advocate</t>
        </is>
      </c>
      <c r="D51" t="inlineStr">
        <is>
          <t>Primer Liso</t>
        </is>
      </c>
      <c r="E51" t="n">
        <v>3</v>
      </c>
      <c r="F51" t="inlineStr">
        <is>
          <t>2026-03-07</t>
        </is>
      </c>
      <c r="G51" t="n">
        <v>119</v>
      </c>
      <c r="H51" t="inlineStr">
        <is>
          <t>Y</t>
        </is>
      </c>
      <c r="I51">
        <f>HYPERLINK("https://admin.shopify.com/store/ge-beauty-cosmeticos/customers/8352588169536","abrir")</f>
        <v/>
      </c>
      <c r="J51">
        <f>HYPERLINK("https://www.gebeauty.com.br/products/primer-liso-intacto?ref=review","review")</f>
        <v/>
      </c>
      <c r="K51" t="inlineStr">
        <is>
          <t>SEND</t>
        </is>
      </c>
    </row>
    <row r="52">
      <c r="A52" t="inlineStr">
        <is>
          <t>Caroline</t>
        </is>
      </c>
      <c r="B52" t="inlineStr">
        <is>
          <t>+5541999011778</t>
        </is>
      </c>
      <c r="C52" t="inlineStr">
        <is>
          <t>Advocate</t>
        </is>
      </c>
      <c r="D52" t="inlineStr">
        <is>
          <t>Primer Liso</t>
        </is>
      </c>
      <c r="E52" t="n">
        <v>2</v>
      </c>
      <c r="F52" t="inlineStr">
        <is>
          <t>2025-02-27</t>
        </is>
      </c>
      <c r="G52" t="n">
        <v>492</v>
      </c>
      <c r="H52" t="inlineStr">
        <is>
          <t>Y</t>
        </is>
      </c>
      <c r="I52">
        <f>HYPERLINK("https://admin.shopify.com/store/ge-beauty-cosmeticos/customers/9096828354880","abrir")</f>
        <v/>
      </c>
      <c r="J52">
        <f>HYPERLINK("https://www.gebeauty.com.br/products/primer-liso-intacto?ref=review","review")</f>
        <v/>
      </c>
      <c r="K52" t="inlineStr">
        <is>
          <t>HOLDOUT</t>
        </is>
      </c>
    </row>
    <row r="53">
      <c r="A53" t="inlineStr">
        <is>
          <t>Flavia</t>
        </is>
      </c>
      <c r="B53" t="inlineStr">
        <is>
          <t>+5511948816954</t>
        </is>
      </c>
      <c r="C53" t="inlineStr">
        <is>
          <t>Advocate</t>
        </is>
      </c>
      <c r="D53" t="inlineStr">
        <is>
          <t>Primer Liso</t>
        </is>
      </c>
      <c r="E53" t="n">
        <v>3</v>
      </c>
      <c r="F53" t="inlineStr">
        <is>
          <t>2025-08-04</t>
        </is>
      </c>
      <c r="G53" t="n">
        <v>334</v>
      </c>
      <c r="H53" t="inlineStr">
        <is>
          <t>Y</t>
        </is>
      </c>
      <c r="I53">
        <f>HYPERLINK("https://admin.shopify.com/store/ge-beauty-cosmeticos/customers/7761301078336","abrir")</f>
        <v/>
      </c>
      <c r="J53">
        <f>HYPERLINK("https://www.gebeauty.com.br/products/primer-liso-intacto?ref=review","review")</f>
        <v/>
      </c>
      <c r="K53" t="inlineStr">
        <is>
          <t>SEND</t>
        </is>
      </c>
    </row>
    <row r="54">
      <c r="A54" t="inlineStr">
        <is>
          <t>Andrea</t>
        </is>
      </c>
      <c r="B54" t="inlineStr">
        <is>
          <t>+5561992135881</t>
        </is>
      </c>
      <c r="C54" t="inlineStr">
        <is>
          <t>Advocate</t>
        </is>
      </c>
      <c r="D54" t="inlineStr">
        <is>
          <t>Primer Liso</t>
        </is>
      </c>
      <c r="E54" t="n">
        <v>2</v>
      </c>
      <c r="F54" t="inlineStr">
        <is>
          <t>2025-11-19</t>
        </is>
      </c>
      <c r="G54" t="n">
        <v>227</v>
      </c>
      <c r="H54" t="inlineStr">
        <is>
          <t>Y</t>
        </is>
      </c>
      <c r="I54">
        <f>HYPERLINK("https://admin.shopify.com/store/ge-beauty-cosmeticos/customers/9099177394496","abrir")</f>
        <v/>
      </c>
      <c r="J54">
        <f>HYPERLINK("https://www.gebeauty.com.br/products/primer-liso-intacto?ref=review","review")</f>
        <v/>
      </c>
      <c r="K54" t="inlineStr">
        <is>
          <t>SEND</t>
        </is>
      </c>
    </row>
    <row r="55">
      <c r="A55" t="inlineStr">
        <is>
          <t>Clarissa</t>
        </is>
      </c>
      <c r="B55" t="inlineStr">
        <is>
          <t>+5548991319899</t>
        </is>
      </c>
      <c r="C55" t="inlineStr">
        <is>
          <t>Advocate</t>
        </is>
      </c>
      <c r="D55" t="inlineStr">
        <is>
          <t>Primer Liso</t>
        </is>
      </c>
      <c r="E55" t="n">
        <v>2</v>
      </c>
      <c r="F55" t="inlineStr">
        <is>
          <t>2026-01-07</t>
        </is>
      </c>
      <c r="G55" t="n">
        <v>178</v>
      </c>
      <c r="H55" t="inlineStr">
        <is>
          <t>Y</t>
        </is>
      </c>
      <c r="I55">
        <f>HYPERLINK("https://admin.shopify.com/store/ge-beauty-cosmeticos/customers/7762666029376","abrir")</f>
        <v/>
      </c>
      <c r="J55">
        <f>HYPERLINK("https://www.gebeauty.com.br/products/primer-liso-intacto?ref=review","review")</f>
        <v/>
      </c>
      <c r="K55" t="inlineStr">
        <is>
          <t>HOLDOUT</t>
        </is>
      </c>
    </row>
    <row r="56">
      <c r="A56" t="inlineStr">
        <is>
          <t>Clarisse</t>
        </is>
      </c>
      <c r="B56" t="inlineStr">
        <is>
          <t>+5561983295041</t>
        </is>
      </c>
      <c r="C56" t="inlineStr">
        <is>
          <t>Advocate</t>
        </is>
      </c>
      <c r="D56" t="inlineStr">
        <is>
          <t>Primer Liso</t>
        </is>
      </c>
      <c r="E56" t="n">
        <v>2</v>
      </c>
      <c r="F56" t="inlineStr">
        <is>
          <t>2025-09-04</t>
        </is>
      </c>
      <c r="G56" t="n">
        <v>303</v>
      </c>
      <c r="H56" t="inlineStr">
        <is>
          <t>Y</t>
        </is>
      </c>
      <c r="I56">
        <f>HYPERLINK("https://admin.shopify.com/store/ge-beauty-cosmeticos/customers/9101428130112","abrir")</f>
        <v/>
      </c>
      <c r="J56">
        <f>HYPERLINK("https://www.gebeauty.com.br/products/primer-liso-intacto?ref=review","review")</f>
        <v/>
      </c>
      <c r="K56" t="inlineStr">
        <is>
          <t>SEND</t>
        </is>
      </c>
    </row>
    <row r="57">
      <c r="A57" t="inlineStr">
        <is>
          <t>Alexandra</t>
        </is>
      </c>
      <c r="B57" t="inlineStr">
        <is>
          <t>+5511988244671</t>
        </is>
      </c>
      <c r="C57" t="inlineStr">
        <is>
          <t>Advocate</t>
        </is>
      </c>
      <c r="D57" t="inlineStr">
        <is>
          <t>Primer Liso</t>
        </is>
      </c>
      <c r="E57" t="n">
        <v>2</v>
      </c>
      <c r="F57" t="inlineStr">
        <is>
          <t>2025-08-10</t>
        </is>
      </c>
      <c r="G57" t="n">
        <v>328</v>
      </c>
      <c r="H57" t="inlineStr">
        <is>
          <t>Y</t>
        </is>
      </c>
      <c r="I57">
        <f>HYPERLINK("https://admin.shopify.com/store/ge-beauty-cosmeticos/customers/8122680181056","abrir")</f>
        <v/>
      </c>
      <c r="J57">
        <f>HYPERLINK("https://www.gebeauty.com.br/products/primer-liso-intacto?ref=review","review")</f>
        <v/>
      </c>
      <c r="K57" t="inlineStr">
        <is>
          <t>SEND</t>
        </is>
      </c>
    </row>
    <row r="58">
      <c r="A58" t="inlineStr">
        <is>
          <t>Graziele</t>
        </is>
      </c>
      <c r="B58" t="inlineStr">
        <is>
          <t>+5511982367490</t>
        </is>
      </c>
      <c r="C58" t="inlineStr">
        <is>
          <t>Advocate</t>
        </is>
      </c>
      <c r="D58" t="inlineStr">
        <is>
          <t>Primer Liso</t>
        </is>
      </c>
      <c r="E58" t="n">
        <v>3</v>
      </c>
      <c r="F58" t="inlineStr">
        <is>
          <t>2026-01-04</t>
        </is>
      </c>
      <c r="G58" t="n">
        <v>181</v>
      </c>
      <c r="H58" t="inlineStr">
        <is>
          <t>Y</t>
        </is>
      </c>
      <c r="I58">
        <f>HYPERLINK("https://admin.shopify.com/store/ge-beauty-cosmeticos/customers/7762133516608","abrir")</f>
        <v/>
      </c>
      <c r="J58">
        <f>HYPERLINK("https://www.gebeauty.com.br/products/primer-liso-intacto?ref=review","review")</f>
        <v/>
      </c>
      <c r="K58" t="inlineStr">
        <is>
          <t>HOLDOUT</t>
        </is>
      </c>
    </row>
    <row r="59">
      <c r="A59" t="inlineStr">
        <is>
          <t>Stephanie</t>
        </is>
      </c>
      <c r="B59" t="inlineStr">
        <is>
          <t>+5585988860500</t>
        </is>
      </c>
      <c r="C59" t="inlineStr">
        <is>
          <t>Advocate</t>
        </is>
      </c>
      <c r="D59" t="inlineStr">
        <is>
          <t>Primer Liso</t>
        </is>
      </c>
      <c r="E59" t="n">
        <v>2</v>
      </c>
      <c r="F59" t="inlineStr">
        <is>
          <t>2025-02-26</t>
        </is>
      </c>
      <c r="G59" t="n">
        <v>493</v>
      </c>
      <c r="H59" t="inlineStr">
        <is>
          <t>Y</t>
        </is>
      </c>
      <c r="I59">
        <f>HYPERLINK("https://admin.shopify.com/store/ge-beauty-cosmeticos/customers/7760166355264","abrir")</f>
        <v/>
      </c>
      <c r="J59">
        <f>HYPERLINK("https://www.gebeauty.com.br/products/primer-liso-intacto?ref=review","review")</f>
        <v/>
      </c>
      <c r="K59" t="inlineStr">
        <is>
          <t>SEND</t>
        </is>
      </c>
    </row>
    <row r="60">
      <c r="A60" t="inlineStr">
        <is>
          <t>Virginia</t>
        </is>
      </c>
      <c r="B60" t="inlineStr">
        <is>
          <t>+5511984444403</t>
        </is>
      </c>
      <c r="C60" t="inlineStr">
        <is>
          <t>Advocate</t>
        </is>
      </c>
      <c r="D60" t="inlineStr">
        <is>
          <t>Primer Liso</t>
        </is>
      </c>
      <c r="E60" t="n">
        <v>2</v>
      </c>
      <c r="F60" t="inlineStr">
        <is>
          <t>2025-11-27</t>
        </is>
      </c>
      <c r="G60" t="n">
        <v>219</v>
      </c>
      <c r="H60" t="inlineStr">
        <is>
          <t>Y</t>
        </is>
      </c>
      <c r="I60">
        <f>HYPERLINK("https://admin.shopify.com/store/ge-beauty-cosmeticos/customers/7760495542592","abrir")</f>
        <v/>
      </c>
      <c r="J60">
        <f>HYPERLINK("https://www.gebeauty.com.br/products/primer-liso-intacto?ref=review","review")</f>
        <v/>
      </c>
      <c r="K60" t="inlineStr">
        <is>
          <t>SEND</t>
        </is>
      </c>
    </row>
    <row r="61">
      <c r="A61" t="inlineStr">
        <is>
          <t>Claudia</t>
        </is>
      </c>
      <c r="B61" t="inlineStr">
        <is>
          <t>+5532988450288</t>
        </is>
      </c>
      <c r="C61" t="inlineStr">
        <is>
          <t>Advocate</t>
        </is>
      </c>
      <c r="D61" t="inlineStr">
        <is>
          <t>Primer Liso</t>
        </is>
      </c>
      <c r="E61" t="n">
        <v>2</v>
      </c>
      <c r="F61" t="inlineStr">
        <is>
          <t>2025-12-28</t>
        </is>
      </c>
      <c r="G61" t="n">
        <v>188</v>
      </c>
      <c r="H61" t="inlineStr">
        <is>
          <t>Y</t>
        </is>
      </c>
      <c r="I61">
        <f>HYPERLINK("https://admin.shopify.com/store/ge-beauty-cosmeticos/customers/7762632802624","abrir")</f>
        <v/>
      </c>
      <c r="J61">
        <f>HYPERLINK("https://www.gebeauty.com.br/products/primer-liso-intacto?ref=review","review")</f>
        <v/>
      </c>
      <c r="K61" t="inlineStr">
        <is>
          <t>HOLDOUT</t>
        </is>
      </c>
    </row>
    <row r="62">
      <c r="A62" t="inlineStr">
        <is>
          <t>Camilla</t>
        </is>
      </c>
      <c r="B62" t="inlineStr">
        <is>
          <t>+5521997240653</t>
        </is>
      </c>
      <c r="C62" t="inlineStr">
        <is>
          <t>Advocate</t>
        </is>
      </c>
      <c r="D62" t="inlineStr">
        <is>
          <t>Primer Liso</t>
        </is>
      </c>
      <c r="E62" t="n">
        <v>2</v>
      </c>
      <c r="F62" t="inlineStr">
        <is>
          <t>2025-02-27</t>
        </is>
      </c>
      <c r="G62" t="n">
        <v>492</v>
      </c>
      <c r="H62" t="inlineStr">
        <is>
          <t>Y</t>
        </is>
      </c>
      <c r="I62">
        <f>HYPERLINK("https://admin.shopify.com/store/ge-beauty-cosmeticos/customers/7761385914688","abrir")</f>
        <v/>
      </c>
      <c r="J62">
        <f>HYPERLINK("https://www.gebeauty.com.br/products/primer-liso-intacto?ref=review","review")</f>
        <v/>
      </c>
      <c r="K62" t="inlineStr">
        <is>
          <t>HOLDOUT</t>
        </is>
      </c>
    </row>
    <row r="63">
      <c r="A63" t="inlineStr">
        <is>
          <t>Ana</t>
        </is>
      </c>
      <c r="B63" t="inlineStr">
        <is>
          <t>+5511988771706</t>
        </is>
      </c>
      <c r="C63" t="inlineStr">
        <is>
          <t>Advocate</t>
        </is>
      </c>
      <c r="D63" t="inlineStr">
        <is>
          <t>Primer Liso</t>
        </is>
      </c>
      <c r="E63" t="n">
        <v>2</v>
      </c>
      <c r="F63" t="inlineStr">
        <is>
          <t>2026-02-05</t>
        </is>
      </c>
      <c r="G63" t="n">
        <v>149</v>
      </c>
      <c r="H63" t="inlineStr">
        <is>
          <t>Y</t>
        </is>
      </c>
      <c r="I63">
        <f>HYPERLINK("https://admin.shopify.com/store/ge-beauty-cosmeticos/customers/7760318824768","abrir")</f>
        <v/>
      </c>
      <c r="J63">
        <f>HYPERLINK("https://www.gebeauty.com.br/products/primer-liso-intacto?ref=review","review")</f>
        <v/>
      </c>
      <c r="K63" t="inlineStr">
        <is>
          <t>SEND</t>
        </is>
      </c>
    </row>
    <row r="64">
      <c r="A64" t="inlineStr">
        <is>
          <t>Vivian</t>
        </is>
      </c>
      <c r="B64" t="inlineStr">
        <is>
          <t>+5521999790012</t>
        </is>
      </c>
      <c r="C64" t="inlineStr">
        <is>
          <t>Advocate</t>
        </is>
      </c>
      <c r="D64" t="inlineStr">
        <is>
          <t>Primer Liso</t>
        </is>
      </c>
      <c r="E64" t="n">
        <v>2</v>
      </c>
      <c r="F64" t="inlineStr">
        <is>
          <t>2025-06-20</t>
        </is>
      </c>
      <c r="G64" t="n">
        <v>379</v>
      </c>
      <c r="H64" t="inlineStr">
        <is>
          <t>Y</t>
        </is>
      </c>
      <c r="I64">
        <f>HYPERLINK("https://admin.shopify.com/store/ge-beauty-cosmeticos/customers/9108937539904","abrir")</f>
        <v/>
      </c>
      <c r="J64">
        <f>HYPERLINK("https://www.gebeauty.com.br/products/primer-liso-intacto?ref=review","review")</f>
        <v/>
      </c>
      <c r="K64" t="inlineStr">
        <is>
          <t>SEND</t>
        </is>
      </c>
    </row>
    <row r="65">
      <c r="A65" t="inlineStr">
        <is>
          <t>Fernanda</t>
        </is>
      </c>
      <c r="B65" t="inlineStr">
        <is>
          <t>+5511971768707</t>
        </is>
      </c>
      <c r="C65" t="inlineStr">
        <is>
          <t>Advocate</t>
        </is>
      </c>
      <c r="D65" t="inlineStr">
        <is>
          <t>Primer Liso</t>
        </is>
      </c>
      <c r="E65" t="n">
        <v>2</v>
      </c>
      <c r="F65" t="inlineStr">
        <is>
          <t>2026-06-28</t>
        </is>
      </c>
      <c r="G65" t="n">
        <v>6</v>
      </c>
      <c r="H65" t="inlineStr">
        <is>
          <t>Y</t>
        </is>
      </c>
      <c r="I65">
        <f>HYPERLINK("https://admin.shopify.com/store/ge-beauty-cosmeticos/customers/8278642229568","abrir")</f>
        <v/>
      </c>
      <c r="J65">
        <f>HYPERLINK("https://www.gebeauty.com.br/products/primer-liso-intacto?ref=review","review")</f>
        <v/>
      </c>
      <c r="K65" t="inlineStr">
        <is>
          <t>SEND</t>
        </is>
      </c>
    </row>
    <row r="66">
      <c r="A66" t="inlineStr">
        <is>
          <t>Madja</t>
        </is>
      </c>
      <c r="B66" t="inlineStr">
        <is>
          <t>+5585992204884</t>
        </is>
      </c>
      <c r="C66" t="inlineStr">
        <is>
          <t>Advocate</t>
        </is>
      </c>
      <c r="D66" t="inlineStr">
        <is>
          <t>Primer Liso</t>
        </is>
      </c>
      <c r="E66" t="n">
        <v>2</v>
      </c>
      <c r="F66" t="inlineStr">
        <is>
          <t>2025-08-10</t>
        </is>
      </c>
      <c r="G66" t="n">
        <v>328</v>
      </c>
      <c r="H66" t="inlineStr">
        <is>
          <t>Y</t>
        </is>
      </c>
      <c r="I66">
        <f>HYPERLINK("https://admin.shopify.com/store/ge-beauty-cosmeticos/customers/8533421195584","abrir")</f>
        <v/>
      </c>
      <c r="J66">
        <f>HYPERLINK("https://www.gebeauty.com.br/products/primer-liso-intacto?ref=review","review")</f>
        <v/>
      </c>
      <c r="K66" t="inlineStr">
        <is>
          <t>SEND</t>
        </is>
      </c>
    </row>
    <row r="67">
      <c r="A67" t="inlineStr">
        <is>
          <t>Thais</t>
        </is>
      </c>
      <c r="B67" t="inlineStr">
        <is>
          <t>+5535997314917</t>
        </is>
      </c>
      <c r="C67" t="inlineStr">
        <is>
          <t>Advocate</t>
        </is>
      </c>
      <c r="D67" t="inlineStr">
        <is>
          <t>Primer Liso</t>
        </is>
      </c>
      <c r="E67" t="n">
        <v>2</v>
      </c>
      <c r="F67" t="inlineStr">
        <is>
          <t>2026-06-22</t>
        </is>
      </c>
      <c r="G67" t="n">
        <v>12</v>
      </c>
      <c r="H67" t="inlineStr">
        <is>
          <t>Y</t>
        </is>
      </c>
      <c r="I67">
        <f>HYPERLINK("https://admin.shopify.com/store/ge-beauty-cosmeticos/customers/7760603775296","abrir")</f>
        <v/>
      </c>
      <c r="J67">
        <f>HYPERLINK("https://www.gebeauty.com.br/products/primer-liso-intacto?ref=review","review")</f>
        <v/>
      </c>
      <c r="K67" t="inlineStr">
        <is>
          <t>SEND</t>
        </is>
      </c>
    </row>
    <row r="68">
      <c r="A68" t="inlineStr">
        <is>
          <t>Flavia</t>
        </is>
      </c>
      <c r="B68" t="inlineStr">
        <is>
          <t>+5521999005618</t>
        </is>
      </c>
      <c r="C68" t="inlineStr">
        <is>
          <t>Advocate</t>
        </is>
      </c>
      <c r="D68" t="inlineStr">
        <is>
          <t>Primer Liso</t>
        </is>
      </c>
      <c r="E68" t="n">
        <v>3</v>
      </c>
      <c r="F68" t="inlineStr">
        <is>
          <t>2026-02-01</t>
        </is>
      </c>
      <c r="G68" t="n">
        <v>153</v>
      </c>
      <c r="H68" t="inlineStr">
        <is>
          <t>Y</t>
        </is>
      </c>
      <c r="I68">
        <f>HYPERLINK("https://admin.shopify.com/store/ge-beauty-cosmeticos/customers/7762634932544","abrir")</f>
        <v/>
      </c>
      <c r="J68">
        <f>HYPERLINK("https://www.gebeauty.com.br/products/primer-liso-intacto?ref=review","review")</f>
        <v/>
      </c>
      <c r="K68" t="inlineStr">
        <is>
          <t>SEND</t>
        </is>
      </c>
    </row>
    <row r="69">
      <c r="A69" t="inlineStr">
        <is>
          <t>Jorge</t>
        </is>
      </c>
      <c r="B69" t="inlineStr">
        <is>
          <t>+5587996116764</t>
        </is>
      </c>
      <c r="C69" t="inlineStr">
        <is>
          <t>Advocate</t>
        </is>
      </c>
      <c r="D69" t="inlineStr">
        <is>
          <t>Primer Liso</t>
        </is>
      </c>
      <c r="E69" t="n">
        <v>2</v>
      </c>
      <c r="F69" t="inlineStr">
        <is>
          <t>2026-05-07</t>
        </is>
      </c>
      <c r="G69" t="n">
        <v>58</v>
      </c>
      <c r="H69" t="inlineStr">
        <is>
          <t>Y</t>
        </is>
      </c>
      <c r="I69">
        <f>HYPERLINK("https://admin.shopify.com/store/ge-beauty-cosmeticos/customers/7761571643712","abrir")</f>
        <v/>
      </c>
      <c r="J69">
        <f>HYPERLINK("https://www.gebeauty.com.br/products/primer-liso-intacto?ref=review","review")</f>
        <v/>
      </c>
      <c r="K69" t="inlineStr">
        <is>
          <t>SEND</t>
        </is>
      </c>
    </row>
    <row r="70">
      <c r="A70" t="inlineStr">
        <is>
          <t>Claudia</t>
        </is>
      </c>
      <c r="B70" t="inlineStr">
        <is>
          <t>+5571991644770</t>
        </is>
      </c>
      <c r="C70" t="inlineStr">
        <is>
          <t>Advocate</t>
        </is>
      </c>
      <c r="D70" t="inlineStr">
        <is>
          <t>Primer Liso</t>
        </is>
      </c>
      <c r="E70" t="n">
        <v>2</v>
      </c>
      <c r="F70" t="inlineStr">
        <is>
          <t>2026-03-10</t>
        </is>
      </c>
      <c r="G70" t="n">
        <v>116</v>
      </c>
      <c r="H70" t="inlineStr">
        <is>
          <t>Y</t>
        </is>
      </c>
      <c r="I70">
        <f>HYPERLINK("https://admin.shopify.com/store/ge-beauty-cosmeticos/customers/7761576067392","abrir")</f>
        <v/>
      </c>
      <c r="J70">
        <f>HYPERLINK("https://www.gebeauty.com.br/products/primer-liso-intacto?ref=review","review")</f>
        <v/>
      </c>
      <c r="K70" t="inlineStr">
        <is>
          <t>SEND</t>
        </is>
      </c>
    </row>
    <row r="71">
      <c r="A71" t="inlineStr">
        <is>
          <t>Talita</t>
        </is>
      </c>
      <c r="B71" t="inlineStr">
        <is>
          <t>+5531997680100</t>
        </is>
      </c>
      <c r="C71" t="inlineStr">
        <is>
          <t>Advocate</t>
        </is>
      </c>
      <c r="D71" t="inlineStr">
        <is>
          <t>Primer Liso</t>
        </is>
      </c>
      <c r="E71" t="n">
        <v>2</v>
      </c>
      <c r="F71" t="inlineStr">
        <is>
          <t>2026-02-21</t>
        </is>
      </c>
      <c r="G71" t="n">
        <v>133</v>
      </c>
      <c r="H71" t="inlineStr">
        <is>
          <t>Y</t>
        </is>
      </c>
      <c r="I71">
        <f>HYPERLINK("https://admin.shopify.com/store/ge-beauty-cosmeticos/customers/9098251632960","abrir")</f>
        <v/>
      </c>
      <c r="J71">
        <f>HYPERLINK("https://www.gebeauty.com.br/products/primer-liso-intacto?ref=review","review")</f>
        <v/>
      </c>
      <c r="K71" t="inlineStr">
        <is>
          <t>SEND</t>
        </is>
      </c>
    </row>
    <row r="72">
      <c r="A72" t="inlineStr">
        <is>
          <t>Mel</t>
        </is>
      </c>
      <c r="B72" t="inlineStr">
        <is>
          <t>+5521965887124</t>
        </is>
      </c>
      <c r="C72" t="inlineStr">
        <is>
          <t>Advocate</t>
        </is>
      </c>
      <c r="D72" t="inlineStr">
        <is>
          <t>Primer Liso</t>
        </is>
      </c>
      <c r="E72" t="n">
        <v>2</v>
      </c>
      <c r="F72" t="inlineStr">
        <is>
          <t>2026-04-10</t>
        </is>
      </c>
      <c r="G72" t="n">
        <v>85</v>
      </c>
      <c r="H72" t="inlineStr">
        <is>
          <t>Y</t>
        </is>
      </c>
      <c r="I72">
        <f>HYPERLINK("https://admin.shopify.com/store/ge-beauty-cosmeticos/customers/9124734107968","abrir")</f>
        <v/>
      </c>
      <c r="J72">
        <f>HYPERLINK("https://www.gebeauty.com.br/products/primer-liso-intacto?ref=review","review")</f>
        <v/>
      </c>
      <c r="K72" t="inlineStr">
        <is>
          <t>SEND</t>
        </is>
      </c>
    </row>
    <row r="73">
      <c r="A73" t="inlineStr">
        <is>
          <t>Beatriz</t>
        </is>
      </c>
      <c r="B73" t="inlineStr">
        <is>
          <t>+5567996012958</t>
        </is>
      </c>
      <c r="C73" t="inlineStr">
        <is>
          <t>Advocate</t>
        </is>
      </c>
      <c r="D73" t="inlineStr">
        <is>
          <t>Primer Liso</t>
        </is>
      </c>
      <c r="E73" t="n">
        <v>2</v>
      </c>
      <c r="F73" t="inlineStr">
        <is>
          <t>2025-10-07</t>
        </is>
      </c>
      <c r="G73" t="n">
        <v>270</v>
      </c>
      <c r="H73" t="inlineStr">
        <is>
          <t>Y</t>
        </is>
      </c>
      <c r="I73">
        <f>HYPERLINK("https://admin.shopify.com/store/ge-beauty-cosmeticos/customers/9126512722240","abrir")</f>
        <v/>
      </c>
      <c r="J73">
        <f>HYPERLINK("https://www.gebeauty.com.br/products/primer-liso-intacto?ref=review","review")</f>
        <v/>
      </c>
      <c r="K73" t="inlineStr">
        <is>
          <t>SEND</t>
        </is>
      </c>
    </row>
    <row r="74">
      <c r="A74" t="inlineStr">
        <is>
          <t>Simone</t>
        </is>
      </c>
      <c r="B74" t="inlineStr">
        <is>
          <t>+5521991753491</t>
        </is>
      </c>
      <c r="C74" t="inlineStr">
        <is>
          <t>Advocate</t>
        </is>
      </c>
      <c r="D74" t="inlineStr">
        <is>
          <t>Primer Liso</t>
        </is>
      </c>
      <c r="E74" t="n">
        <v>2</v>
      </c>
      <c r="F74" t="inlineStr">
        <is>
          <t>2025-11-22</t>
        </is>
      </c>
      <c r="G74" t="n">
        <v>224</v>
      </c>
      <c r="H74" t="inlineStr">
        <is>
          <t>Y</t>
        </is>
      </c>
      <c r="I74">
        <f>HYPERLINK("https://admin.shopify.com/store/ge-beauty-cosmeticos/customers/9126996214080","abrir")</f>
        <v/>
      </c>
      <c r="J74">
        <f>HYPERLINK("https://www.gebeauty.com.br/products/primer-liso-intacto?ref=review","review")</f>
        <v/>
      </c>
      <c r="K74" t="inlineStr">
        <is>
          <t>HOLDOUT</t>
        </is>
      </c>
    </row>
    <row r="75">
      <c r="A75" t="inlineStr">
        <is>
          <t>Amanda</t>
        </is>
      </c>
      <c r="B75" t="inlineStr">
        <is>
          <t>+5586999968699</t>
        </is>
      </c>
      <c r="C75" t="inlineStr">
        <is>
          <t>Advocate</t>
        </is>
      </c>
      <c r="D75" t="inlineStr">
        <is>
          <t>Primer Liso</t>
        </is>
      </c>
      <c r="E75" t="n">
        <v>2</v>
      </c>
      <c r="F75" t="inlineStr">
        <is>
          <t>2026-04-23</t>
        </is>
      </c>
      <c r="G75" t="n">
        <v>72</v>
      </c>
      <c r="H75" t="inlineStr">
        <is>
          <t>Y</t>
        </is>
      </c>
      <c r="I75">
        <f>HYPERLINK("https://admin.shopify.com/store/ge-beauty-cosmeticos/customers/9128648704320","abrir")</f>
        <v/>
      </c>
      <c r="J75">
        <f>HYPERLINK("https://www.gebeauty.com.br/products/primer-liso-intacto?ref=review","review")</f>
        <v/>
      </c>
      <c r="K75" t="inlineStr">
        <is>
          <t>SEND</t>
        </is>
      </c>
    </row>
    <row r="76">
      <c r="A76" t="inlineStr">
        <is>
          <t>Rebeca</t>
        </is>
      </c>
      <c r="B76" t="inlineStr">
        <is>
          <t>+5583993110458</t>
        </is>
      </c>
      <c r="C76" t="inlineStr">
        <is>
          <t>Advocate</t>
        </is>
      </c>
      <c r="D76" t="inlineStr">
        <is>
          <t>Primer Liso</t>
        </is>
      </c>
      <c r="E76" t="n">
        <v>2</v>
      </c>
      <c r="F76" t="inlineStr">
        <is>
          <t>2025-11-16</t>
        </is>
      </c>
      <c r="G76" t="n">
        <v>230</v>
      </c>
      <c r="H76" t="inlineStr">
        <is>
          <t>Y</t>
        </is>
      </c>
      <c r="I76">
        <f>HYPERLINK("https://admin.shopify.com/store/ge-beauty-cosmeticos/customers/7761543168320","abrir")</f>
        <v/>
      </c>
      <c r="J76">
        <f>HYPERLINK("https://www.gebeauty.com.br/products/primer-liso-intacto?ref=review","review")</f>
        <v/>
      </c>
      <c r="K76" t="inlineStr">
        <is>
          <t>SEND</t>
        </is>
      </c>
    </row>
    <row r="77">
      <c r="A77" t="inlineStr">
        <is>
          <t>Ana</t>
        </is>
      </c>
      <c r="B77" t="inlineStr">
        <is>
          <t>+5521996342172</t>
        </is>
      </c>
      <c r="C77" t="inlineStr">
        <is>
          <t>Advocate</t>
        </is>
      </c>
      <c r="D77" t="inlineStr">
        <is>
          <t>Primer Liso</t>
        </is>
      </c>
      <c r="E77" t="n">
        <v>2</v>
      </c>
      <c r="F77" t="inlineStr">
        <is>
          <t>2025-08-02</t>
        </is>
      </c>
      <c r="G77" t="n">
        <v>336</v>
      </c>
      <c r="H77" t="inlineStr">
        <is>
          <t>Y</t>
        </is>
      </c>
      <c r="I77">
        <f>HYPERLINK("https://admin.shopify.com/store/ge-beauty-cosmeticos/customers/7760871948608","abrir")</f>
        <v/>
      </c>
      <c r="J77">
        <f>HYPERLINK("https://www.gebeauty.com.br/products/primer-liso-intacto?ref=review","review")</f>
        <v/>
      </c>
      <c r="K77" t="inlineStr">
        <is>
          <t>SEND</t>
        </is>
      </c>
    </row>
    <row r="78">
      <c r="A78" t="inlineStr">
        <is>
          <t>Mariana</t>
        </is>
      </c>
      <c r="B78" t="inlineStr">
        <is>
          <t>+5511995800905</t>
        </is>
      </c>
      <c r="C78" t="inlineStr">
        <is>
          <t>Advocate</t>
        </is>
      </c>
      <c r="D78" t="inlineStr">
        <is>
          <t>Primer Liso</t>
        </is>
      </c>
      <c r="E78" t="n">
        <v>2</v>
      </c>
      <c r="F78" t="inlineStr">
        <is>
          <t>2025-08-18</t>
        </is>
      </c>
      <c r="G78" t="n">
        <v>320</v>
      </c>
      <c r="H78" t="inlineStr">
        <is>
          <t>Y</t>
        </is>
      </c>
      <c r="I78">
        <f>HYPERLINK("https://admin.shopify.com/store/ge-beauty-cosmeticos/customers/9127530889536","abrir")</f>
        <v/>
      </c>
      <c r="J78">
        <f>HYPERLINK("https://www.gebeauty.com.br/products/primer-liso-intacto?ref=review","review")</f>
        <v/>
      </c>
      <c r="K78" t="inlineStr">
        <is>
          <t>SEND</t>
        </is>
      </c>
    </row>
    <row r="79">
      <c r="A79" t="inlineStr">
        <is>
          <t>Mariana</t>
        </is>
      </c>
      <c r="B79" t="inlineStr">
        <is>
          <t>+5511983320751</t>
        </is>
      </c>
      <c r="C79" t="inlineStr">
        <is>
          <t>Advocate</t>
        </is>
      </c>
      <c r="D79" t="inlineStr">
        <is>
          <t>Primer Liso</t>
        </is>
      </c>
      <c r="E79" t="n">
        <v>2</v>
      </c>
      <c r="F79" t="inlineStr">
        <is>
          <t>2026-04-11</t>
        </is>
      </c>
      <c r="G79" t="n">
        <v>84</v>
      </c>
      <c r="H79" t="inlineStr">
        <is>
          <t>Y</t>
        </is>
      </c>
      <c r="I79">
        <f>HYPERLINK("https://admin.shopify.com/store/ge-beauty-cosmeticos/customers/9134142652736","abrir")</f>
        <v/>
      </c>
      <c r="J79">
        <f>HYPERLINK("https://www.gebeauty.com.br/products/primer-liso-intacto?ref=review","review")</f>
        <v/>
      </c>
      <c r="K79" t="inlineStr">
        <is>
          <t>SEND</t>
        </is>
      </c>
    </row>
    <row r="80">
      <c r="A80" t="inlineStr">
        <is>
          <t>Julia</t>
        </is>
      </c>
      <c r="B80" t="inlineStr">
        <is>
          <t>+5511963972016</t>
        </is>
      </c>
      <c r="C80" t="inlineStr">
        <is>
          <t>Advocate</t>
        </is>
      </c>
      <c r="D80" t="inlineStr">
        <is>
          <t>Primer Liso</t>
        </is>
      </c>
      <c r="E80" t="n">
        <v>2</v>
      </c>
      <c r="F80" t="inlineStr">
        <is>
          <t>2025-11-28</t>
        </is>
      </c>
      <c r="G80" t="n">
        <v>218</v>
      </c>
      <c r="H80" t="inlineStr">
        <is>
          <t>Y</t>
        </is>
      </c>
      <c r="I80">
        <f>HYPERLINK("https://admin.shopify.com/store/ge-beauty-cosmeticos/customers/9135337701696","abrir")</f>
        <v/>
      </c>
      <c r="J80">
        <f>HYPERLINK("https://www.gebeauty.com.br/products/primer-liso-intacto?ref=review","review")</f>
        <v/>
      </c>
      <c r="K80" t="inlineStr">
        <is>
          <t>SEND</t>
        </is>
      </c>
    </row>
    <row r="81">
      <c r="A81" t="inlineStr">
        <is>
          <t>Carolina</t>
        </is>
      </c>
      <c r="B81" t="inlineStr">
        <is>
          <t>+5511983830780</t>
        </is>
      </c>
      <c r="C81" t="inlineStr">
        <is>
          <t>Advocate</t>
        </is>
      </c>
      <c r="D81" t="inlineStr">
        <is>
          <t>Primer Liso</t>
        </is>
      </c>
      <c r="E81" t="n">
        <v>2</v>
      </c>
      <c r="F81" t="inlineStr">
        <is>
          <t>2025-12-01</t>
        </is>
      </c>
      <c r="G81" t="n">
        <v>215</v>
      </c>
      <c r="H81" t="inlineStr">
        <is>
          <t>Y</t>
        </is>
      </c>
      <c r="I81">
        <f>HYPERLINK("https://admin.shopify.com/store/ge-beauty-cosmeticos/customers/9135597683008","abrir")</f>
        <v/>
      </c>
      <c r="J81">
        <f>HYPERLINK("https://www.gebeauty.com.br/products/primer-liso-intacto?ref=review","review")</f>
        <v/>
      </c>
      <c r="K81" t="inlineStr">
        <is>
          <t>SEND</t>
        </is>
      </c>
    </row>
    <row r="82">
      <c r="A82" t="inlineStr">
        <is>
          <t>Giovana</t>
        </is>
      </c>
      <c r="B82" t="inlineStr">
        <is>
          <t>+5547984801335</t>
        </is>
      </c>
      <c r="C82" t="inlineStr">
        <is>
          <t>Advocate</t>
        </is>
      </c>
      <c r="D82" t="inlineStr">
        <is>
          <t>Primer Liso</t>
        </is>
      </c>
      <c r="E82" t="n">
        <v>2</v>
      </c>
      <c r="F82" t="inlineStr">
        <is>
          <t>2026-04-26</t>
        </is>
      </c>
      <c r="G82" t="n">
        <v>69</v>
      </c>
      <c r="H82" t="inlineStr">
        <is>
          <t>Y</t>
        </is>
      </c>
      <c r="I82">
        <f>HYPERLINK("https://admin.shopify.com/store/ge-beauty-cosmeticos/customers/7761113284928","abrir")</f>
        <v/>
      </c>
      <c r="J82">
        <f>HYPERLINK("https://www.gebeauty.com.br/products/primer-liso-intacto?ref=review","review")</f>
        <v/>
      </c>
      <c r="K82" t="inlineStr">
        <is>
          <t>SEND</t>
        </is>
      </c>
    </row>
    <row r="83">
      <c r="A83" t="inlineStr">
        <is>
          <t>Maria</t>
        </is>
      </c>
      <c r="B83" t="inlineStr">
        <is>
          <t>+5561999494509</t>
        </is>
      </c>
      <c r="C83" t="inlineStr">
        <is>
          <t>Advocate</t>
        </is>
      </c>
      <c r="D83" t="inlineStr">
        <is>
          <t>Primer Liso</t>
        </is>
      </c>
      <c r="E83" t="n">
        <v>2</v>
      </c>
      <c r="F83" t="inlineStr">
        <is>
          <t>2025-08-02</t>
        </is>
      </c>
      <c r="G83" t="n">
        <v>336</v>
      </c>
      <c r="H83" t="inlineStr">
        <is>
          <t>Y</t>
        </is>
      </c>
      <c r="I83">
        <f>HYPERLINK("https://admin.shopify.com/store/ge-beauty-cosmeticos/customers/7762367250752","abrir")</f>
        <v/>
      </c>
      <c r="J83">
        <f>HYPERLINK("https://www.gebeauty.com.br/products/primer-liso-intacto?ref=review","review")</f>
        <v/>
      </c>
      <c r="K83" t="inlineStr">
        <is>
          <t>SEND</t>
        </is>
      </c>
    </row>
    <row r="84">
      <c r="A84" t="inlineStr">
        <is>
          <t>Larissa</t>
        </is>
      </c>
      <c r="B84" t="inlineStr">
        <is>
          <t>+5547988335675</t>
        </is>
      </c>
      <c r="C84" t="inlineStr">
        <is>
          <t>Advocate</t>
        </is>
      </c>
      <c r="D84" t="inlineStr">
        <is>
          <t>Primer Liso</t>
        </is>
      </c>
      <c r="E84" t="n">
        <v>2</v>
      </c>
      <c r="F84" t="inlineStr">
        <is>
          <t>2025-08-02</t>
        </is>
      </c>
      <c r="G84" t="n">
        <v>336</v>
      </c>
      <c r="H84" t="inlineStr">
        <is>
          <t>Y</t>
        </is>
      </c>
      <c r="I84">
        <f>HYPERLINK("https://admin.shopify.com/store/ge-beauty-cosmeticos/customers/7760010150208","abrir")</f>
        <v/>
      </c>
      <c r="J84">
        <f>HYPERLINK("https://www.gebeauty.com.br/products/primer-liso-intacto?ref=review","review")</f>
        <v/>
      </c>
      <c r="K84" t="inlineStr">
        <is>
          <t>SEND</t>
        </is>
      </c>
    </row>
    <row r="85">
      <c r="A85" t="inlineStr">
        <is>
          <t>Larissa</t>
        </is>
      </c>
      <c r="B85" t="inlineStr">
        <is>
          <t>+5511983240599</t>
        </is>
      </c>
      <c r="C85" t="inlineStr">
        <is>
          <t>Advocate</t>
        </is>
      </c>
      <c r="D85" t="inlineStr">
        <is>
          <t>Primer Liso</t>
        </is>
      </c>
      <c r="E85" t="n">
        <v>2</v>
      </c>
      <c r="F85" t="inlineStr">
        <is>
          <t>2025-07-20</t>
        </is>
      </c>
      <c r="G85" t="n">
        <v>349</v>
      </c>
      <c r="H85" t="inlineStr">
        <is>
          <t>Y</t>
        </is>
      </c>
      <c r="I85">
        <f>HYPERLINK("https://admin.shopify.com/store/ge-beauty-cosmeticos/customers/9149905895744","abrir")</f>
        <v/>
      </c>
      <c r="J85">
        <f>HYPERLINK("https://www.gebeauty.com.br/products/primer-liso-intacto?ref=review","review")</f>
        <v/>
      </c>
      <c r="K85" t="inlineStr">
        <is>
          <t>SEND</t>
        </is>
      </c>
    </row>
    <row r="86">
      <c r="A86" t="inlineStr">
        <is>
          <t>Priscila</t>
        </is>
      </c>
      <c r="B86" t="inlineStr">
        <is>
          <t>+5581994328154</t>
        </is>
      </c>
      <c r="C86" t="inlineStr">
        <is>
          <t>Advocate</t>
        </is>
      </c>
      <c r="D86" t="inlineStr">
        <is>
          <t>Primer Liso</t>
        </is>
      </c>
      <c r="E86" t="n">
        <v>2</v>
      </c>
      <c r="F86" t="inlineStr">
        <is>
          <t>2025-05-31</t>
        </is>
      </c>
      <c r="G86" t="n">
        <v>399</v>
      </c>
      <c r="H86" t="inlineStr">
        <is>
          <t>Y</t>
        </is>
      </c>
      <c r="I86">
        <f>HYPERLINK("https://admin.shopify.com/store/ge-beauty-cosmeticos/customers/9151099339072","abrir")</f>
        <v/>
      </c>
      <c r="J86">
        <f>HYPERLINK("https://www.gebeauty.com.br/products/primer-liso-intacto?ref=review","review")</f>
        <v/>
      </c>
      <c r="K86" t="inlineStr">
        <is>
          <t>SEND</t>
        </is>
      </c>
    </row>
    <row r="87">
      <c r="A87" t="inlineStr">
        <is>
          <t>Rafaella</t>
        </is>
      </c>
      <c r="B87" t="inlineStr">
        <is>
          <t>+5511969133076</t>
        </is>
      </c>
      <c r="C87" t="inlineStr">
        <is>
          <t>Advocate</t>
        </is>
      </c>
      <c r="D87" t="inlineStr">
        <is>
          <t>Primer Liso</t>
        </is>
      </c>
      <c r="E87" t="n">
        <v>2</v>
      </c>
      <c r="F87" t="inlineStr">
        <is>
          <t>2025-09-18</t>
        </is>
      </c>
      <c r="G87" t="n">
        <v>289</v>
      </c>
      <c r="H87" t="inlineStr">
        <is>
          <t>Y</t>
        </is>
      </c>
      <c r="I87">
        <f>HYPERLINK("https://admin.shopify.com/store/ge-beauty-cosmeticos/customers/7759612870976","abrir")</f>
        <v/>
      </c>
      <c r="J87">
        <f>HYPERLINK("https://www.gebeauty.com.br/products/primer-liso-intacto?ref=review","review")</f>
        <v/>
      </c>
      <c r="K87" t="inlineStr">
        <is>
          <t>SEND</t>
        </is>
      </c>
    </row>
    <row r="88">
      <c r="A88" t="inlineStr">
        <is>
          <t>Natalia</t>
        </is>
      </c>
      <c r="B88" t="inlineStr">
        <is>
          <t>+5521996022237</t>
        </is>
      </c>
      <c r="C88" t="inlineStr">
        <is>
          <t>Advocate</t>
        </is>
      </c>
      <c r="D88" t="inlineStr">
        <is>
          <t>Primer Liso</t>
        </is>
      </c>
      <c r="E88" t="n">
        <v>2</v>
      </c>
      <c r="F88" t="inlineStr">
        <is>
          <t>2026-07-01</t>
        </is>
      </c>
      <c r="G88" t="n">
        <v>3</v>
      </c>
      <c r="H88" t="inlineStr">
        <is>
          <t>Y</t>
        </is>
      </c>
      <c r="I88">
        <f>HYPERLINK("https://admin.shopify.com/store/ge-beauty-cosmeticos/customers/9156062937408","abrir")</f>
        <v/>
      </c>
      <c r="J88">
        <f>HYPERLINK("https://www.gebeauty.com.br/products/primer-liso-intacto?ref=review","review")</f>
        <v/>
      </c>
      <c r="K88" t="inlineStr">
        <is>
          <t>SEND</t>
        </is>
      </c>
    </row>
    <row r="89">
      <c r="A89" t="inlineStr">
        <is>
          <t>Gelma</t>
        </is>
      </c>
      <c r="B89" t="inlineStr">
        <is>
          <t>+5511972570821</t>
        </is>
      </c>
      <c r="C89" t="inlineStr">
        <is>
          <t>Advocate</t>
        </is>
      </c>
      <c r="D89" t="inlineStr">
        <is>
          <t>Primer Liso</t>
        </is>
      </c>
      <c r="E89" t="n">
        <v>2</v>
      </c>
      <c r="F89" t="inlineStr">
        <is>
          <t>2025-03-28</t>
        </is>
      </c>
      <c r="G89" t="n">
        <v>463</v>
      </c>
      <c r="H89" t="inlineStr">
        <is>
          <t>Y</t>
        </is>
      </c>
      <c r="I89">
        <f>HYPERLINK("https://admin.shopify.com/store/ge-beauty-cosmeticos/customers/8956849291584","abrir")</f>
        <v/>
      </c>
      <c r="J89">
        <f>HYPERLINK("https://www.gebeauty.com.br/products/primer-liso-intacto?ref=review","review")</f>
        <v/>
      </c>
      <c r="K89" t="inlineStr">
        <is>
          <t>SEND</t>
        </is>
      </c>
    </row>
    <row r="90">
      <c r="A90" t="inlineStr">
        <is>
          <t>Polianma</t>
        </is>
      </c>
      <c r="B90" t="inlineStr">
        <is>
          <t>+5541991644220</t>
        </is>
      </c>
      <c r="C90" t="inlineStr">
        <is>
          <t>Advocate</t>
        </is>
      </c>
      <c r="D90" t="inlineStr">
        <is>
          <t>Primer Liso</t>
        </is>
      </c>
      <c r="E90" t="n">
        <v>2</v>
      </c>
      <c r="F90" t="inlineStr">
        <is>
          <t>2025-03-29</t>
        </is>
      </c>
      <c r="G90" t="n">
        <v>462</v>
      </c>
      <c r="H90" t="inlineStr">
        <is>
          <t>Y</t>
        </is>
      </c>
      <c r="I90">
        <f>HYPERLINK("https://admin.shopify.com/store/ge-beauty-cosmeticos/customers/7762008506688","abrir")</f>
        <v/>
      </c>
      <c r="J90">
        <f>HYPERLINK("https://www.gebeauty.com.br/products/primer-liso-intacto?ref=review","review")</f>
        <v/>
      </c>
      <c r="K90" t="inlineStr">
        <is>
          <t>SEND</t>
        </is>
      </c>
    </row>
    <row r="91">
      <c r="A91" t="inlineStr">
        <is>
          <t>Sara</t>
        </is>
      </c>
      <c r="B91" t="inlineStr">
        <is>
          <t>+5571996981980</t>
        </is>
      </c>
      <c r="C91" t="inlineStr">
        <is>
          <t>Advocate</t>
        </is>
      </c>
      <c r="D91" t="inlineStr">
        <is>
          <t>Primer Liso</t>
        </is>
      </c>
      <c r="E91" t="n">
        <v>3</v>
      </c>
      <c r="F91" t="inlineStr">
        <is>
          <t>2025-05-12</t>
        </is>
      </c>
      <c r="G91" t="n">
        <v>418</v>
      </c>
      <c r="H91" t="inlineStr">
        <is>
          <t>Y</t>
        </is>
      </c>
      <c r="I91">
        <f>HYPERLINK("https://admin.shopify.com/store/ge-beauty-cosmeticos/customers/7759968207168","abrir")</f>
        <v/>
      </c>
      <c r="J91">
        <f>HYPERLINK("https://www.gebeauty.com.br/products/primer-liso-intacto?ref=review","review")</f>
        <v/>
      </c>
      <c r="K91" t="inlineStr">
        <is>
          <t>HOLDOUT</t>
        </is>
      </c>
    </row>
    <row r="92">
      <c r="A92" t="inlineStr">
        <is>
          <t>Maria</t>
        </is>
      </c>
      <c r="B92" t="inlineStr">
        <is>
          <t>+5521992994848</t>
        </is>
      </c>
      <c r="C92" t="inlineStr">
        <is>
          <t>Advocate</t>
        </is>
      </c>
      <c r="D92" t="inlineStr">
        <is>
          <t>Primer Liso</t>
        </is>
      </c>
      <c r="E92" t="n">
        <v>3</v>
      </c>
      <c r="F92" t="inlineStr">
        <is>
          <t>2025-07-29</t>
        </is>
      </c>
      <c r="G92" t="n">
        <v>340</v>
      </c>
      <c r="H92" t="inlineStr">
        <is>
          <t>Y</t>
        </is>
      </c>
      <c r="I92">
        <f>HYPERLINK("https://admin.shopify.com/store/ge-beauty-cosmeticos/customers/7762334908736","abrir")</f>
        <v/>
      </c>
      <c r="J92">
        <f>HYPERLINK("https://www.gebeauty.com.br/products/primer-liso-intacto?ref=review","review")</f>
        <v/>
      </c>
      <c r="K92" t="inlineStr">
        <is>
          <t>SEND</t>
        </is>
      </c>
    </row>
    <row r="93">
      <c r="A93" t="inlineStr">
        <is>
          <t>Kenia</t>
        </is>
      </c>
      <c r="B93" t="inlineStr">
        <is>
          <t>+5511981092080</t>
        </is>
      </c>
      <c r="C93" t="inlineStr">
        <is>
          <t>Advocate</t>
        </is>
      </c>
      <c r="D93" t="inlineStr">
        <is>
          <t>Primer Liso</t>
        </is>
      </c>
      <c r="E93" t="n">
        <v>2</v>
      </c>
      <c r="F93" t="inlineStr">
        <is>
          <t>2025-07-08</t>
        </is>
      </c>
      <c r="G93" t="n">
        <v>361</v>
      </c>
      <c r="H93" t="inlineStr">
        <is>
          <t>Y</t>
        </is>
      </c>
      <c r="I93">
        <f>HYPERLINK("https://admin.shopify.com/store/ge-beauty-cosmeticos/customers/9159037845824","abrir")</f>
        <v/>
      </c>
      <c r="J93">
        <f>HYPERLINK("https://www.gebeauty.com.br/products/primer-liso-intacto?ref=review","review")</f>
        <v/>
      </c>
      <c r="K93" t="inlineStr">
        <is>
          <t>SEND</t>
        </is>
      </c>
    </row>
    <row r="94">
      <c r="A94" t="inlineStr">
        <is>
          <t>Beatriz</t>
        </is>
      </c>
      <c r="B94" t="inlineStr">
        <is>
          <t>+5511983450110</t>
        </is>
      </c>
      <c r="C94" t="inlineStr">
        <is>
          <t>Advocate</t>
        </is>
      </c>
      <c r="D94" t="inlineStr">
        <is>
          <t>Primer Liso</t>
        </is>
      </c>
      <c r="E94" t="n">
        <v>3</v>
      </c>
      <c r="F94" t="inlineStr">
        <is>
          <t>2026-05-12</t>
        </is>
      </c>
      <c r="G94" t="n">
        <v>53</v>
      </c>
      <c r="H94" t="inlineStr">
        <is>
          <t>Y</t>
        </is>
      </c>
      <c r="I94">
        <f>HYPERLINK("https://admin.shopify.com/store/ge-beauty-cosmeticos/customers/7761873338688","abrir")</f>
        <v/>
      </c>
      <c r="J94">
        <f>HYPERLINK("https://www.gebeauty.com.br/products/primer-liso-intacto?ref=review","review")</f>
        <v/>
      </c>
      <c r="K94" t="inlineStr">
        <is>
          <t>SEND</t>
        </is>
      </c>
    </row>
    <row r="95">
      <c r="A95" t="inlineStr">
        <is>
          <t>Mercia</t>
        </is>
      </c>
      <c r="B95" t="inlineStr">
        <is>
          <t>+5511981054848</t>
        </is>
      </c>
      <c r="C95" t="inlineStr">
        <is>
          <t>Advocate</t>
        </is>
      </c>
      <c r="D95" t="inlineStr">
        <is>
          <t>Primer Liso</t>
        </is>
      </c>
      <c r="E95" t="n">
        <v>2</v>
      </c>
      <c r="F95" t="inlineStr">
        <is>
          <t>2025-04-24</t>
        </is>
      </c>
      <c r="G95" t="n">
        <v>436</v>
      </c>
      <c r="H95" t="inlineStr">
        <is>
          <t>Y</t>
        </is>
      </c>
      <c r="I95">
        <f>HYPERLINK("https://admin.shopify.com/store/ge-beauty-cosmeticos/customers/9159225442624","abrir")</f>
        <v/>
      </c>
      <c r="J95">
        <f>HYPERLINK("https://www.gebeauty.com.br/products/primer-liso-intacto?ref=review","review")</f>
        <v/>
      </c>
      <c r="K95" t="inlineStr">
        <is>
          <t>SEND</t>
        </is>
      </c>
    </row>
    <row r="96">
      <c r="B96" t="inlineStr">
        <is>
          <t>+5511991676859</t>
        </is>
      </c>
      <c r="C96" t="inlineStr">
        <is>
          <t>Advocate</t>
        </is>
      </c>
      <c r="D96" t="inlineStr">
        <is>
          <t>Primer Liso</t>
        </is>
      </c>
      <c r="E96" t="n">
        <v>2</v>
      </c>
      <c r="F96" t="inlineStr">
        <is>
          <t>2025-11-29</t>
        </is>
      </c>
      <c r="G96" t="n">
        <v>217</v>
      </c>
      <c r="H96" t="inlineStr">
        <is>
          <t>Y</t>
        </is>
      </c>
      <c r="I96">
        <f>HYPERLINK("https://admin.shopify.com/store/ge-beauty-cosmeticos/customers/7762350506304","abrir")</f>
        <v/>
      </c>
      <c r="J96">
        <f>HYPERLINK("https://www.gebeauty.com.br/products/primer-liso-intacto?ref=review","review")</f>
        <v/>
      </c>
      <c r="K96" t="inlineStr">
        <is>
          <t>SEND</t>
        </is>
      </c>
    </row>
    <row r="97">
      <c r="A97" t="inlineStr">
        <is>
          <t>Sindyele</t>
        </is>
      </c>
      <c r="B97" t="inlineStr">
        <is>
          <t>+5571999651629</t>
        </is>
      </c>
      <c r="C97" t="inlineStr">
        <is>
          <t>Advocate</t>
        </is>
      </c>
      <c r="D97" t="inlineStr">
        <is>
          <t>Primer Liso</t>
        </is>
      </c>
      <c r="E97" t="n">
        <v>2</v>
      </c>
      <c r="F97" t="inlineStr">
        <is>
          <t>2026-02-02</t>
        </is>
      </c>
      <c r="G97" t="n">
        <v>152</v>
      </c>
      <c r="H97" t="inlineStr">
        <is>
          <t>Y</t>
        </is>
      </c>
      <c r="I97">
        <f>HYPERLINK("https://admin.shopify.com/store/ge-beauty-cosmeticos/customers/7761081172288","abrir")</f>
        <v/>
      </c>
      <c r="J97">
        <f>HYPERLINK("https://www.gebeauty.com.br/products/primer-liso-intacto?ref=review","review")</f>
        <v/>
      </c>
      <c r="K97" t="inlineStr">
        <is>
          <t>SEND</t>
        </is>
      </c>
    </row>
    <row r="98">
      <c r="A98" t="inlineStr">
        <is>
          <t>Fabiane</t>
        </is>
      </c>
      <c r="B98" t="inlineStr">
        <is>
          <t>+5516981381333</t>
        </is>
      </c>
      <c r="C98" t="inlineStr">
        <is>
          <t>Advocate</t>
        </is>
      </c>
      <c r="D98" t="inlineStr">
        <is>
          <t>Primer Liso</t>
        </is>
      </c>
      <c r="E98" t="n">
        <v>2</v>
      </c>
      <c r="F98" t="inlineStr">
        <is>
          <t>2025-04-03</t>
        </is>
      </c>
      <c r="G98" t="n">
        <v>457</v>
      </c>
      <c r="H98" t="inlineStr">
        <is>
          <t>Y</t>
        </is>
      </c>
      <c r="I98">
        <f>HYPERLINK("https://admin.shopify.com/store/ge-beauty-cosmeticos/customers/8929152237888","abrir")</f>
        <v/>
      </c>
      <c r="J98">
        <f>HYPERLINK("https://www.gebeauty.com.br/products/primer-liso-intacto?ref=review","review")</f>
        <v/>
      </c>
      <c r="K98" t="inlineStr">
        <is>
          <t>SEND</t>
        </is>
      </c>
    </row>
    <row r="99">
      <c r="A99" t="inlineStr">
        <is>
          <t>Camila</t>
        </is>
      </c>
      <c r="B99" t="inlineStr">
        <is>
          <t>+5516177857845</t>
        </is>
      </c>
      <c r="C99" t="inlineStr">
        <is>
          <t>Advocate</t>
        </is>
      </c>
      <c r="D99" t="inlineStr">
        <is>
          <t>Primer Liso</t>
        </is>
      </c>
      <c r="E99" t="n">
        <v>4</v>
      </c>
      <c r="F99" t="inlineStr">
        <is>
          <t>2025-12-26</t>
        </is>
      </c>
      <c r="G99" t="n">
        <v>190</v>
      </c>
      <c r="H99" t="inlineStr">
        <is>
          <t>Y</t>
        </is>
      </c>
      <c r="I99">
        <f>HYPERLINK("https://admin.shopify.com/store/ge-beauty-cosmeticos/customers/7759967158592","abrir")</f>
        <v/>
      </c>
      <c r="J99">
        <f>HYPERLINK("https://www.gebeauty.com.br/products/primer-liso-intacto?ref=review","review")</f>
        <v/>
      </c>
      <c r="K99" t="inlineStr">
        <is>
          <t>SEND</t>
        </is>
      </c>
    </row>
    <row r="100">
      <c r="A100" t="inlineStr">
        <is>
          <t>Júnia</t>
        </is>
      </c>
      <c r="B100" t="inlineStr">
        <is>
          <t>+5511986993649</t>
        </is>
      </c>
      <c r="C100" t="inlineStr">
        <is>
          <t>Advocate</t>
        </is>
      </c>
      <c r="D100" t="inlineStr">
        <is>
          <t>Primer Liso</t>
        </is>
      </c>
      <c r="E100" t="n">
        <v>2</v>
      </c>
      <c r="F100" t="inlineStr">
        <is>
          <t>2025-08-02</t>
        </is>
      </c>
      <c r="G100" t="n">
        <v>336</v>
      </c>
      <c r="H100" t="inlineStr">
        <is>
          <t>Y</t>
        </is>
      </c>
      <c r="I100">
        <f>HYPERLINK("https://admin.shopify.com/store/ge-beauty-cosmeticos/customers/8725544108352","abrir")</f>
        <v/>
      </c>
      <c r="J100">
        <f>HYPERLINK("https://www.gebeauty.com.br/products/primer-liso-intacto?ref=review","review")</f>
        <v/>
      </c>
      <c r="K100" t="inlineStr">
        <is>
          <t>SEND</t>
        </is>
      </c>
    </row>
    <row r="101">
      <c r="A101" t="inlineStr">
        <is>
          <t>Adriane</t>
        </is>
      </c>
      <c r="B101" t="inlineStr">
        <is>
          <t>+5561992091203</t>
        </is>
      </c>
      <c r="C101" t="inlineStr">
        <is>
          <t>Advocate</t>
        </is>
      </c>
      <c r="D101" t="inlineStr">
        <is>
          <t>Primer Liso</t>
        </is>
      </c>
      <c r="E101" t="n">
        <v>2</v>
      </c>
      <c r="F101" t="inlineStr">
        <is>
          <t>2025-08-06</t>
        </is>
      </c>
      <c r="G101" t="n">
        <v>332</v>
      </c>
      <c r="H101" t="inlineStr">
        <is>
          <t>Y</t>
        </is>
      </c>
      <c r="I101">
        <f>HYPERLINK("https://admin.shopify.com/store/ge-beauty-cosmeticos/customers/7761920360768","abrir")</f>
        <v/>
      </c>
      <c r="J101">
        <f>HYPERLINK("https://www.gebeauty.com.br/products/primer-liso-intacto?ref=review","review")</f>
        <v/>
      </c>
      <c r="K101" t="inlineStr">
        <is>
          <t>SEND</t>
        </is>
      </c>
    </row>
    <row r="102">
      <c r="A102" t="inlineStr">
        <is>
          <t>Letícia</t>
        </is>
      </c>
      <c r="B102" t="inlineStr">
        <is>
          <t>+5531992020626</t>
        </is>
      </c>
      <c r="C102" t="inlineStr">
        <is>
          <t>Advocate</t>
        </is>
      </c>
      <c r="D102" t="inlineStr">
        <is>
          <t>Primer Liso</t>
        </is>
      </c>
      <c r="E102" t="n">
        <v>2</v>
      </c>
      <c r="F102" t="inlineStr">
        <is>
          <t>2025-10-01</t>
        </is>
      </c>
      <c r="G102" t="n">
        <v>276</v>
      </c>
      <c r="H102" t="inlineStr">
        <is>
          <t>Y</t>
        </is>
      </c>
      <c r="I102">
        <f>HYPERLINK("https://admin.shopify.com/store/ge-beauty-cosmeticos/customers/7759789228352","abrir")</f>
        <v/>
      </c>
      <c r="J102">
        <f>HYPERLINK("https://www.gebeauty.com.br/products/primer-liso-intacto?ref=review","review")</f>
        <v/>
      </c>
      <c r="K102" t="inlineStr">
        <is>
          <t>SEND</t>
        </is>
      </c>
    </row>
    <row r="103">
      <c r="A103" t="inlineStr">
        <is>
          <t>Luciana</t>
        </is>
      </c>
      <c r="B103" t="inlineStr">
        <is>
          <t>+5511993682286</t>
        </is>
      </c>
      <c r="C103" t="inlineStr">
        <is>
          <t>Advocate</t>
        </is>
      </c>
      <c r="D103" t="inlineStr">
        <is>
          <t>Primer Liso</t>
        </is>
      </c>
      <c r="E103" t="n">
        <v>2</v>
      </c>
      <c r="F103" t="inlineStr">
        <is>
          <t>2025-10-27</t>
        </is>
      </c>
      <c r="G103" t="n">
        <v>250</v>
      </c>
      <c r="H103" t="inlineStr">
        <is>
          <t>Y</t>
        </is>
      </c>
      <c r="I103">
        <f>HYPERLINK("https://admin.shopify.com/store/ge-beauty-cosmeticos/customers/9156980212032","abrir")</f>
        <v/>
      </c>
      <c r="J103">
        <f>HYPERLINK("https://www.gebeauty.com.br/products/primer-liso-intacto?ref=review","review")</f>
        <v/>
      </c>
      <c r="K103" t="inlineStr">
        <is>
          <t>HOLDOUT</t>
        </is>
      </c>
    </row>
    <row r="104">
      <c r="A104" t="inlineStr">
        <is>
          <t>Luciana</t>
        </is>
      </c>
      <c r="B104" t="inlineStr">
        <is>
          <t>+5511993700208</t>
        </is>
      </c>
      <c r="C104" t="inlineStr">
        <is>
          <t>Advocate</t>
        </is>
      </c>
      <c r="D104" t="inlineStr">
        <is>
          <t>Primer Liso</t>
        </is>
      </c>
      <c r="E104" t="n">
        <v>2</v>
      </c>
      <c r="F104" t="inlineStr">
        <is>
          <t>2025-07-17</t>
        </is>
      </c>
      <c r="G104" t="n">
        <v>352</v>
      </c>
      <c r="H104" t="inlineStr">
        <is>
          <t>Y</t>
        </is>
      </c>
      <c r="I104">
        <f>HYPERLINK("https://admin.shopify.com/store/ge-beauty-cosmeticos/customers/7761385750848","abrir")</f>
        <v/>
      </c>
      <c r="J104">
        <f>HYPERLINK("https://www.gebeauty.com.br/products/primer-liso-intacto?ref=review","review")</f>
        <v/>
      </c>
      <c r="K104" t="inlineStr">
        <is>
          <t>SEND</t>
        </is>
      </c>
    </row>
    <row r="105">
      <c r="A105" t="inlineStr">
        <is>
          <t>Emanuela</t>
        </is>
      </c>
      <c r="B105" t="inlineStr">
        <is>
          <t>+5581991361299</t>
        </is>
      </c>
      <c r="C105" t="inlineStr">
        <is>
          <t>Advocate</t>
        </is>
      </c>
      <c r="D105" t="inlineStr">
        <is>
          <t>Primer Liso</t>
        </is>
      </c>
      <c r="E105" t="n">
        <v>2</v>
      </c>
      <c r="F105" t="inlineStr">
        <is>
          <t>2025-10-02</t>
        </is>
      </c>
      <c r="G105" t="n">
        <v>275</v>
      </c>
      <c r="H105" t="inlineStr">
        <is>
          <t>Y</t>
        </is>
      </c>
      <c r="I105">
        <f>HYPERLINK("https://admin.shopify.com/store/ge-beauty-cosmeticos/customers/8370848137536","abrir")</f>
        <v/>
      </c>
      <c r="J105">
        <f>HYPERLINK("https://www.gebeauty.com.br/products/primer-liso-intacto?ref=review","review")</f>
        <v/>
      </c>
      <c r="K105" t="inlineStr">
        <is>
          <t>SEND</t>
        </is>
      </c>
    </row>
    <row r="106">
      <c r="A106" t="inlineStr">
        <is>
          <t>Dalila</t>
        </is>
      </c>
      <c r="B106" t="inlineStr">
        <is>
          <t>+5571999799245</t>
        </is>
      </c>
      <c r="C106" t="inlineStr">
        <is>
          <t>Advocate</t>
        </is>
      </c>
      <c r="D106" t="inlineStr">
        <is>
          <t>Primer Liso</t>
        </is>
      </c>
      <c r="E106" t="n">
        <v>2</v>
      </c>
      <c r="F106" t="inlineStr">
        <is>
          <t>2025-11-19</t>
        </is>
      </c>
      <c r="G106" t="n">
        <v>227</v>
      </c>
      <c r="H106" t="inlineStr">
        <is>
          <t>Y</t>
        </is>
      </c>
      <c r="I106">
        <f>HYPERLINK("https://admin.shopify.com/store/ge-beauty-cosmeticos/customers/7760143057216","abrir")</f>
        <v/>
      </c>
      <c r="J106">
        <f>HYPERLINK("https://www.gebeauty.com.br/products/primer-liso-intacto?ref=review","review")</f>
        <v/>
      </c>
      <c r="K106" t="inlineStr">
        <is>
          <t>SEND</t>
        </is>
      </c>
    </row>
    <row r="107">
      <c r="A107" t="inlineStr">
        <is>
          <t>Renata</t>
        </is>
      </c>
      <c r="B107" t="inlineStr">
        <is>
          <t>+5511996596733</t>
        </is>
      </c>
      <c r="C107" t="inlineStr">
        <is>
          <t>Advocate</t>
        </is>
      </c>
      <c r="D107" t="inlineStr">
        <is>
          <t>Primer Liso</t>
        </is>
      </c>
      <c r="E107" t="n">
        <v>2</v>
      </c>
      <c r="F107" t="inlineStr">
        <is>
          <t>2025-11-28</t>
        </is>
      </c>
      <c r="G107" t="n">
        <v>218</v>
      </c>
      <c r="H107" t="inlineStr">
        <is>
          <t>Y</t>
        </is>
      </c>
      <c r="I107">
        <f>HYPERLINK("https://admin.shopify.com/store/ge-beauty-cosmeticos/customers/9174281716032","abrir")</f>
        <v/>
      </c>
      <c r="J107">
        <f>HYPERLINK("https://www.gebeauty.com.br/products/primer-liso-intacto?ref=review","review")</f>
        <v/>
      </c>
      <c r="K107" t="inlineStr">
        <is>
          <t>SEND</t>
        </is>
      </c>
    </row>
    <row r="108">
      <c r="A108" t="inlineStr">
        <is>
          <t>Vallery</t>
        </is>
      </c>
      <c r="B108" t="inlineStr">
        <is>
          <t>+5571993585737</t>
        </is>
      </c>
      <c r="C108" t="inlineStr">
        <is>
          <t>Advocate</t>
        </is>
      </c>
      <c r="D108" t="inlineStr">
        <is>
          <t>Primer Liso</t>
        </is>
      </c>
      <c r="E108" t="n">
        <v>2</v>
      </c>
      <c r="F108" t="inlineStr">
        <is>
          <t>2025-11-02</t>
        </is>
      </c>
      <c r="G108" t="n">
        <v>244</v>
      </c>
      <c r="H108" t="inlineStr">
        <is>
          <t>Y</t>
        </is>
      </c>
      <c r="I108">
        <f>HYPERLINK("https://admin.shopify.com/store/ge-beauty-cosmeticos/customers/7760941941056","abrir")</f>
        <v/>
      </c>
      <c r="J108">
        <f>HYPERLINK("https://www.gebeauty.com.br/products/primer-liso-intacto?ref=review","review")</f>
        <v/>
      </c>
      <c r="K108" t="inlineStr">
        <is>
          <t>SEND</t>
        </is>
      </c>
    </row>
    <row r="109">
      <c r="A109" t="inlineStr">
        <is>
          <t>Renata</t>
        </is>
      </c>
      <c r="B109" t="inlineStr">
        <is>
          <t>+5531999912456</t>
        </is>
      </c>
      <c r="C109" t="inlineStr">
        <is>
          <t>Advocate</t>
        </is>
      </c>
      <c r="D109" t="inlineStr">
        <is>
          <t>Primer Liso</t>
        </is>
      </c>
      <c r="E109" t="n">
        <v>2</v>
      </c>
      <c r="F109" t="inlineStr">
        <is>
          <t>2025-08-06</t>
        </is>
      </c>
      <c r="G109" t="n">
        <v>332</v>
      </c>
      <c r="H109" t="inlineStr">
        <is>
          <t>Y</t>
        </is>
      </c>
      <c r="I109">
        <f>HYPERLINK("https://admin.shopify.com/store/ge-beauty-cosmeticos/customers/9176015667520","abrir")</f>
        <v/>
      </c>
      <c r="J109">
        <f>HYPERLINK("https://www.gebeauty.com.br/products/primer-liso-intacto?ref=review","review")</f>
        <v/>
      </c>
      <c r="K109" t="inlineStr">
        <is>
          <t>SEND</t>
        </is>
      </c>
    </row>
    <row r="110">
      <c r="A110" t="inlineStr">
        <is>
          <t>Damila</t>
        </is>
      </c>
      <c r="B110" t="inlineStr">
        <is>
          <t>+5519996571601</t>
        </is>
      </c>
      <c r="C110" t="inlineStr">
        <is>
          <t>Advocate</t>
        </is>
      </c>
      <c r="D110" t="inlineStr">
        <is>
          <t>Primer Liso</t>
        </is>
      </c>
      <c r="E110" t="n">
        <v>2</v>
      </c>
      <c r="F110" t="inlineStr">
        <is>
          <t>2025-11-08</t>
        </is>
      </c>
      <c r="G110" t="n">
        <v>238</v>
      </c>
      <c r="H110" t="inlineStr">
        <is>
          <t>Y</t>
        </is>
      </c>
      <c r="I110">
        <f>HYPERLINK("https://admin.shopify.com/store/ge-beauty-cosmeticos/customers/9182167466304","abrir")</f>
        <v/>
      </c>
      <c r="J110">
        <f>HYPERLINK("https://www.gebeauty.com.br/products/primer-liso-intacto?ref=review","review")</f>
        <v/>
      </c>
      <c r="K110" t="inlineStr">
        <is>
          <t>SEND</t>
        </is>
      </c>
    </row>
    <row r="111">
      <c r="A111" t="inlineStr">
        <is>
          <t>Juliana</t>
        </is>
      </c>
      <c r="B111" t="inlineStr">
        <is>
          <t>+5562984270653</t>
        </is>
      </c>
      <c r="C111" t="inlineStr">
        <is>
          <t>Advocate</t>
        </is>
      </c>
      <c r="D111" t="inlineStr">
        <is>
          <t>Primer Liso</t>
        </is>
      </c>
      <c r="E111" t="n">
        <v>2</v>
      </c>
      <c r="F111" t="inlineStr">
        <is>
          <t>2026-01-13</t>
        </is>
      </c>
      <c r="G111" t="n">
        <v>172</v>
      </c>
      <c r="H111" t="inlineStr">
        <is>
          <t>Y</t>
        </is>
      </c>
      <c r="I111">
        <f>HYPERLINK("https://admin.shopify.com/store/ge-beauty-cosmeticos/customers/8284694937920","abrir")</f>
        <v/>
      </c>
      <c r="J111">
        <f>HYPERLINK("https://www.gebeauty.com.br/products/primer-liso-intacto?ref=review","review")</f>
        <v/>
      </c>
      <c r="K111" t="inlineStr">
        <is>
          <t>HOLDOUT</t>
        </is>
      </c>
    </row>
    <row r="112">
      <c r="A112" t="inlineStr">
        <is>
          <t>Patricia</t>
        </is>
      </c>
      <c r="B112" t="inlineStr">
        <is>
          <t>+5511987000272</t>
        </is>
      </c>
      <c r="C112" t="inlineStr">
        <is>
          <t>Advocate</t>
        </is>
      </c>
      <c r="D112" t="inlineStr">
        <is>
          <t>Primer Liso</t>
        </is>
      </c>
      <c r="E112" t="n">
        <v>4</v>
      </c>
      <c r="F112" t="inlineStr">
        <is>
          <t>2025-11-27</t>
        </is>
      </c>
      <c r="G112" t="n">
        <v>219</v>
      </c>
      <c r="H112" t="inlineStr">
        <is>
          <t>Y</t>
        </is>
      </c>
      <c r="I112">
        <f>HYPERLINK("https://admin.shopify.com/store/ge-beauty-cosmeticos/customers/7760388882752","abrir")</f>
        <v/>
      </c>
      <c r="J112">
        <f>HYPERLINK("https://www.gebeauty.com.br/products/primer-liso-intacto?ref=review","review")</f>
        <v/>
      </c>
      <c r="K112" t="inlineStr">
        <is>
          <t>SEND</t>
        </is>
      </c>
    </row>
    <row r="113">
      <c r="A113" t="inlineStr">
        <is>
          <t>Taís</t>
        </is>
      </c>
      <c r="B113" t="inlineStr">
        <is>
          <t>+5571988441777</t>
        </is>
      </c>
      <c r="C113" t="inlineStr">
        <is>
          <t>Advocate</t>
        </is>
      </c>
      <c r="D113" t="inlineStr">
        <is>
          <t>Primer Liso</t>
        </is>
      </c>
      <c r="E113" t="n">
        <v>3</v>
      </c>
      <c r="F113" t="inlineStr">
        <is>
          <t>2026-05-03</t>
        </is>
      </c>
      <c r="G113" t="n">
        <v>62</v>
      </c>
      <c r="H113" t="inlineStr">
        <is>
          <t>Y</t>
        </is>
      </c>
      <c r="I113">
        <f>HYPERLINK("https://admin.shopify.com/store/ge-beauty-cosmeticos/customers/9187667640640","abrir")</f>
        <v/>
      </c>
      <c r="J113">
        <f>HYPERLINK("https://www.gebeauty.com.br/products/primer-liso-intacto?ref=review","review")</f>
        <v/>
      </c>
      <c r="K113" t="inlineStr">
        <is>
          <t>SEND</t>
        </is>
      </c>
    </row>
    <row r="114">
      <c r="A114" t="inlineStr">
        <is>
          <t>Michele</t>
        </is>
      </c>
      <c r="B114" t="inlineStr">
        <is>
          <t>+5511995018025</t>
        </is>
      </c>
      <c r="C114" t="inlineStr">
        <is>
          <t>Advocate</t>
        </is>
      </c>
      <c r="D114" t="inlineStr">
        <is>
          <t>Primer Liso</t>
        </is>
      </c>
      <c r="E114" t="n">
        <v>2</v>
      </c>
      <c r="F114" t="inlineStr">
        <is>
          <t>2025-04-12</t>
        </is>
      </c>
      <c r="G114" t="n">
        <v>448</v>
      </c>
      <c r="H114" t="inlineStr">
        <is>
          <t>Y</t>
        </is>
      </c>
      <c r="I114">
        <f>HYPERLINK("https://admin.shopify.com/store/ge-beauty-cosmeticos/customers/7760203776320","abrir")</f>
        <v/>
      </c>
      <c r="J114">
        <f>HYPERLINK("https://www.gebeauty.com.br/products/primer-liso-intacto?ref=review","review")</f>
        <v/>
      </c>
      <c r="K114" t="inlineStr">
        <is>
          <t>SEND</t>
        </is>
      </c>
    </row>
    <row r="115">
      <c r="A115" t="inlineStr">
        <is>
          <t>Bárbara</t>
        </is>
      </c>
      <c r="B115" t="inlineStr">
        <is>
          <t>+5515981708463</t>
        </is>
      </c>
      <c r="C115" t="inlineStr">
        <is>
          <t>Advocate</t>
        </is>
      </c>
      <c r="D115" t="inlineStr">
        <is>
          <t>Primer Liso</t>
        </is>
      </c>
      <c r="E115" t="n">
        <v>2</v>
      </c>
      <c r="F115" t="inlineStr">
        <is>
          <t>2025-12-23</t>
        </is>
      </c>
      <c r="G115" t="n">
        <v>193</v>
      </c>
      <c r="H115" t="inlineStr">
        <is>
          <t>Y</t>
        </is>
      </c>
      <c r="I115">
        <f>HYPERLINK("https://admin.shopify.com/store/ge-beauty-cosmeticos/customers/7761204937024","abrir")</f>
        <v/>
      </c>
      <c r="J115">
        <f>HYPERLINK("https://www.gebeauty.com.br/products/primer-liso-intacto?ref=review","review")</f>
        <v/>
      </c>
      <c r="K115" t="inlineStr">
        <is>
          <t>SEND</t>
        </is>
      </c>
    </row>
    <row r="116">
      <c r="A116" t="inlineStr">
        <is>
          <t>Camila</t>
        </is>
      </c>
      <c r="B116" t="inlineStr">
        <is>
          <t>+5511917675600</t>
        </is>
      </c>
      <c r="C116" t="inlineStr">
        <is>
          <t>Advocate</t>
        </is>
      </c>
      <c r="D116" t="inlineStr">
        <is>
          <t>Primer Liso</t>
        </is>
      </c>
      <c r="E116" t="n">
        <v>2</v>
      </c>
      <c r="F116" t="inlineStr">
        <is>
          <t>2025-12-18</t>
        </is>
      </c>
      <c r="G116" t="n">
        <v>198</v>
      </c>
      <c r="H116" t="inlineStr">
        <is>
          <t>Y</t>
        </is>
      </c>
      <c r="I116">
        <f>HYPERLINK("https://admin.shopify.com/store/ge-beauty-cosmeticos/customers/9188846043456","abrir")</f>
        <v/>
      </c>
      <c r="J116">
        <f>HYPERLINK("https://www.gebeauty.com.br/products/primer-liso-intacto?ref=review","review")</f>
        <v/>
      </c>
      <c r="K116" t="inlineStr">
        <is>
          <t>SEND</t>
        </is>
      </c>
    </row>
    <row r="117">
      <c r="A117" t="inlineStr">
        <is>
          <t>Carolina</t>
        </is>
      </c>
      <c r="B117" t="inlineStr">
        <is>
          <t>+5511964344011</t>
        </is>
      </c>
      <c r="C117" t="inlineStr">
        <is>
          <t>Advocate</t>
        </is>
      </c>
      <c r="D117" t="inlineStr">
        <is>
          <t>Primer Liso</t>
        </is>
      </c>
      <c r="E117" t="n">
        <v>2</v>
      </c>
      <c r="F117" t="inlineStr">
        <is>
          <t>2026-06-27</t>
        </is>
      </c>
      <c r="G117" t="n">
        <v>7</v>
      </c>
      <c r="H117" t="inlineStr">
        <is>
          <t>Y</t>
        </is>
      </c>
      <c r="I117">
        <f>HYPERLINK("https://admin.shopify.com/store/ge-beauty-cosmeticos/customers/7762115428672","abrir")</f>
        <v/>
      </c>
      <c r="J117">
        <f>HYPERLINK("https://www.gebeauty.com.br/products/primer-liso-intacto?ref=review","review")</f>
        <v/>
      </c>
      <c r="K117" t="inlineStr">
        <is>
          <t>SEND</t>
        </is>
      </c>
    </row>
    <row r="118">
      <c r="A118" t="inlineStr">
        <is>
          <t>Deborah</t>
        </is>
      </c>
      <c r="B118" t="inlineStr">
        <is>
          <t>+5511988297900</t>
        </is>
      </c>
      <c r="C118" t="inlineStr">
        <is>
          <t>Advocate</t>
        </is>
      </c>
      <c r="D118" t="inlineStr">
        <is>
          <t>Primer Liso</t>
        </is>
      </c>
      <c r="E118" t="n">
        <v>4</v>
      </c>
      <c r="F118" t="inlineStr">
        <is>
          <t>2026-02-02</t>
        </is>
      </c>
      <c r="G118" t="n">
        <v>152</v>
      </c>
      <c r="H118" t="inlineStr">
        <is>
          <t>Y</t>
        </is>
      </c>
      <c r="I118">
        <f>HYPERLINK("https://admin.shopify.com/store/ge-beauty-cosmeticos/customers/7759706521920","abrir")</f>
        <v/>
      </c>
      <c r="J118">
        <f>HYPERLINK("https://www.gebeauty.com.br/products/primer-liso-intacto?ref=review","review")</f>
        <v/>
      </c>
      <c r="K118" t="inlineStr">
        <is>
          <t>SEND</t>
        </is>
      </c>
    </row>
    <row r="119">
      <c r="A119" t="inlineStr">
        <is>
          <t>Thais</t>
        </is>
      </c>
      <c r="B119" t="inlineStr">
        <is>
          <t>+5511994595858</t>
        </is>
      </c>
      <c r="C119" t="inlineStr">
        <is>
          <t>Advocate</t>
        </is>
      </c>
      <c r="D119" t="inlineStr">
        <is>
          <t>Primer Liso</t>
        </is>
      </c>
      <c r="E119" t="n">
        <v>2</v>
      </c>
      <c r="F119" t="inlineStr">
        <is>
          <t>2025-11-26</t>
        </is>
      </c>
      <c r="G119" t="n">
        <v>220</v>
      </c>
      <c r="H119" t="inlineStr">
        <is>
          <t>Y</t>
        </is>
      </c>
      <c r="I119">
        <f>HYPERLINK("https://admin.shopify.com/store/ge-beauty-cosmeticos/customers/9027843031360","abrir")</f>
        <v/>
      </c>
      <c r="J119">
        <f>HYPERLINK("https://www.gebeauty.com.br/products/primer-liso-intacto?ref=review","review")</f>
        <v/>
      </c>
      <c r="K119" t="inlineStr">
        <is>
          <t>SEND</t>
        </is>
      </c>
    </row>
    <row r="120">
      <c r="A120" t="inlineStr">
        <is>
          <t>Danielle</t>
        </is>
      </c>
      <c r="B120" t="inlineStr">
        <is>
          <t>+5548999641252</t>
        </is>
      </c>
      <c r="C120" t="inlineStr">
        <is>
          <t>Advocate</t>
        </is>
      </c>
      <c r="D120" t="inlineStr">
        <is>
          <t>Primer Liso</t>
        </is>
      </c>
      <c r="E120" t="n">
        <v>2</v>
      </c>
      <c r="F120" t="inlineStr">
        <is>
          <t>2025-10-01</t>
        </is>
      </c>
      <c r="G120" t="n">
        <v>276</v>
      </c>
      <c r="H120" t="inlineStr">
        <is>
          <t>Y</t>
        </is>
      </c>
      <c r="I120">
        <f>HYPERLINK("https://admin.shopify.com/store/ge-beauty-cosmeticos/customers/7759084683584","abrir")</f>
        <v/>
      </c>
      <c r="J120">
        <f>HYPERLINK("https://www.gebeauty.com.br/products/primer-liso-intacto?ref=review","review")</f>
        <v/>
      </c>
      <c r="K120" t="inlineStr">
        <is>
          <t>SEND</t>
        </is>
      </c>
    </row>
    <row r="121">
      <c r="A121" t="inlineStr">
        <is>
          <t>Mariana</t>
        </is>
      </c>
      <c r="B121" t="inlineStr">
        <is>
          <t>+5521987041006</t>
        </is>
      </c>
      <c r="C121" t="inlineStr">
        <is>
          <t>Advocate</t>
        </is>
      </c>
      <c r="D121" t="inlineStr">
        <is>
          <t>Primer Liso</t>
        </is>
      </c>
      <c r="E121" t="n">
        <v>2</v>
      </c>
      <c r="F121" t="inlineStr">
        <is>
          <t>2026-01-05</t>
        </is>
      </c>
      <c r="G121" t="n">
        <v>180</v>
      </c>
      <c r="H121" t="inlineStr">
        <is>
          <t>Y</t>
        </is>
      </c>
      <c r="I121">
        <f>HYPERLINK("https://admin.shopify.com/store/ge-beauty-cosmeticos/customers/9195544707392","abrir")</f>
        <v/>
      </c>
      <c r="J121">
        <f>HYPERLINK("https://www.gebeauty.com.br/products/primer-liso-intacto?ref=review","review")</f>
        <v/>
      </c>
      <c r="K121" t="inlineStr">
        <is>
          <t>SEND</t>
        </is>
      </c>
    </row>
    <row r="122">
      <c r="A122" t="inlineStr">
        <is>
          <t>Ana Paula</t>
        </is>
      </c>
      <c r="B122" t="inlineStr">
        <is>
          <t>+5511993904045</t>
        </is>
      </c>
      <c r="C122" t="inlineStr">
        <is>
          <t>Advocate</t>
        </is>
      </c>
      <c r="D122" t="inlineStr">
        <is>
          <t>Primer Liso</t>
        </is>
      </c>
      <c r="E122" t="n">
        <v>2</v>
      </c>
      <c r="F122" t="inlineStr">
        <is>
          <t>2025-12-01</t>
        </is>
      </c>
      <c r="G122" t="n">
        <v>215</v>
      </c>
      <c r="H122" t="inlineStr">
        <is>
          <t>Y</t>
        </is>
      </c>
      <c r="I122">
        <f>HYPERLINK("https://admin.shopify.com/store/ge-beauty-cosmeticos/customers/9202448302400","abrir")</f>
        <v/>
      </c>
      <c r="J122">
        <f>HYPERLINK("https://www.gebeauty.com.br/products/primer-liso-intacto?ref=review","review")</f>
        <v/>
      </c>
      <c r="K122" t="inlineStr">
        <is>
          <t>SEND</t>
        </is>
      </c>
    </row>
    <row r="123">
      <c r="A123" t="inlineStr">
        <is>
          <t>Gisela</t>
        </is>
      </c>
      <c r="B123" t="inlineStr">
        <is>
          <t>+5511996012859</t>
        </is>
      </c>
      <c r="C123" t="inlineStr">
        <is>
          <t>Advocate</t>
        </is>
      </c>
      <c r="D123" t="inlineStr">
        <is>
          <t>Primer Liso</t>
        </is>
      </c>
      <c r="E123" t="n">
        <v>2</v>
      </c>
      <c r="F123" t="inlineStr">
        <is>
          <t>2025-04-23</t>
        </is>
      </c>
      <c r="G123" t="n">
        <v>437</v>
      </c>
      <c r="H123" t="inlineStr">
        <is>
          <t>Y</t>
        </is>
      </c>
      <c r="I123">
        <f>HYPERLINK("https://admin.shopify.com/store/ge-beauty-cosmeticos/customers/7761278894400","abrir")</f>
        <v/>
      </c>
      <c r="J123">
        <f>HYPERLINK("https://www.gebeauty.com.br/products/primer-liso-intacto?ref=review","review")</f>
        <v/>
      </c>
      <c r="K123" t="inlineStr">
        <is>
          <t>SEND</t>
        </is>
      </c>
    </row>
    <row r="124">
      <c r="A124" t="inlineStr">
        <is>
          <t>Jakeline</t>
        </is>
      </c>
      <c r="B124" t="inlineStr">
        <is>
          <t>+5521994439422</t>
        </is>
      </c>
      <c r="C124" t="inlineStr">
        <is>
          <t>Advocate</t>
        </is>
      </c>
      <c r="D124" t="inlineStr">
        <is>
          <t>Primer Liso</t>
        </is>
      </c>
      <c r="E124" t="n">
        <v>2</v>
      </c>
      <c r="F124" t="inlineStr">
        <is>
          <t>2025-04-24</t>
        </is>
      </c>
      <c r="G124" t="n">
        <v>436</v>
      </c>
      <c r="H124" t="inlineStr">
        <is>
          <t>Y</t>
        </is>
      </c>
      <c r="I124">
        <f>HYPERLINK("https://admin.shopify.com/store/ge-beauty-cosmeticos/customers/9014902882624","abrir")</f>
        <v/>
      </c>
      <c r="J124">
        <f>HYPERLINK("https://www.gebeauty.com.br/products/primer-liso-intacto?ref=review","review")</f>
        <v/>
      </c>
      <c r="K124" t="inlineStr">
        <is>
          <t>SEND</t>
        </is>
      </c>
    </row>
    <row r="125">
      <c r="A125" t="inlineStr">
        <is>
          <t>Lidiane</t>
        </is>
      </c>
      <c r="B125" t="inlineStr">
        <is>
          <t>+5586999478323</t>
        </is>
      </c>
      <c r="C125" t="inlineStr">
        <is>
          <t>Advocate</t>
        </is>
      </c>
      <c r="D125" t="inlineStr">
        <is>
          <t>Primer Liso</t>
        </is>
      </c>
      <c r="E125" t="n">
        <v>3</v>
      </c>
      <c r="F125" t="inlineStr">
        <is>
          <t>2026-01-15</t>
        </is>
      </c>
      <c r="G125" t="n">
        <v>170</v>
      </c>
      <c r="H125" t="inlineStr">
        <is>
          <t>Y</t>
        </is>
      </c>
      <c r="I125">
        <f>HYPERLINK("https://admin.shopify.com/store/ge-beauty-cosmeticos/customers/7762241945920","abrir")</f>
        <v/>
      </c>
      <c r="J125">
        <f>HYPERLINK("https://www.gebeauty.com.br/products/primer-liso-intacto?ref=review","review")</f>
        <v/>
      </c>
      <c r="K125" t="inlineStr">
        <is>
          <t>HOLDOUT</t>
        </is>
      </c>
    </row>
    <row r="126">
      <c r="A126" t="inlineStr">
        <is>
          <t>Joana</t>
        </is>
      </c>
      <c r="B126" t="inlineStr">
        <is>
          <t>+5527981513397</t>
        </is>
      </c>
      <c r="C126" t="inlineStr">
        <is>
          <t>Advocate</t>
        </is>
      </c>
      <c r="D126" t="inlineStr">
        <is>
          <t>Primer Liso</t>
        </is>
      </c>
      <c r="E126" t="n">
        <v>2</v>
      </c>
      <c r="F126" t="inlineStr">
        <is>
          <t>2026-05-10</t>
        </is>
      </c>
      <c r="G126" t="n">
        <v>55</v>
      </c>
      <c r="H126" t="inlineStr">
        <is>
          <t>Y</t>
        </is>
      </c>
      <c r="I126">
        <f>HYPERLINK("https://admin.shopify.com/store/ge-beauty-cosmeticos/customers/9212090089792","abrir")</f>
        <v/>
      </c>
      <c r="J126">
        <f>HYPERLINK("https://www.gebeauty.com.br/products/primer-liso-intacto?ref=review","review")</f>
        <v/>
      </c>
      <c r="K126" t="inlineStr">
        <is>
          <t>SEND</t>
        </is>
      </c>
    </row>
    <row r="127">
      <c r="A127" t="inlineStr">
        <is>
          <t>Federica</t>
        </is>
      </c>
      <c r="B127" t="inlineStr">
        <is>
          <t>+5511976547894</t>
        </is>
      </c>
      <c r="C127" t="inlineStr">
        <is>
          <t>Advocate</t>
        </is>
      </c>
      <c r="D127" t="inlineStr">
        <is>
          <t>Primer Liso</t>
        </is>
      </c>
      <c r="E127" t="n">
        <v>2</v>
      </c>
      <c r="F127" t="inlineStr">
        <is>
          <t>2026-01-22</t>
        </is>
      </c>
      <c r="G127" t="n">
        <v>163</v>
      </c>
      <c r="H127" t="inlineStr">
        <is>
          <t>Y</t>
        </is>
      </c>
      <c r="I127">
        <f>HYPERLINK("https://admin.shopify.com/store/ge-beauty-cosmeticos/customers/9222392774976","abrir")</f>
        <v/>
      </c>
      <c r="J127">
        <f>HYPERLINK("https://www.gebeauty.com.br/products/primer-liso-intacto?ref=review","review")</f>
        <v/>
      </c>
      <c r="K127" t="inlineStr">
        <is>
          <t>SEND</t>
        </is>
      </c>
    </row>
    <row r="128">
      <c r="A128" t="inlineStr">
        <is>
          <t>Isabel</t>
        </is>
      </c>
      <c r="B128" t="inlineStr">
        <is>
          <t>+5511995186154</t>
        </is>
      </c>
      <c r="C128" t="inlineStr">
        <is>
          <t>Advocate</t>
        </is>
      </c>
      <c r="D128" t="inlineStr">
        <is>
          <t>Primer Liso</t>
        </is>
      </c>
      <c r="E128" t="n">
        <v>3</v>
      </c>
      <c r="F128" t="inlineStr">
        <is>
          <t>2025-11-30</t>
        </is>
      </c>
      <c r="G128" t="n">
        <v>216</v>
      </c>
      <c r="H128" t="inlineStr">
        <is>
          <t>Y</t>
        </is>
      </c>
      <c r="I128">
        <f>HYPERLINK("https://admin.shopify.com/store/ge-beauty-cosmeticos/customers/7762102255936","abrir")</f>
        <v/>
      </c>
      <c r="J128">
        <f>HYPERLINK("https://www.gebeauty.com.br/products/primer-liso-intacto?ref=review","review")</f>
        <v/>
      </c>
      <c r="K128" t="inlineStr">
        <is>
          <t>SEND</t>
        </is>
      </c>
    </row>
    <row r="129">
      <c r="A129" t="inlineStr">
        <is>
          <t>Vanessa</t>
        </is>
      </c>
      <c r="B129" t="inlineStr">
        <is>
          <t>+5598988262177</t>
        </is>
      </c>
      <c r="C129" t="inlineStr">
        <is>
          <t>Advocate</t>
        </is>
      </c>
      <c r="D129" t="inlineStr">
        <is>
          <t>Primer Liso</t>
        </is>
      </c>
      <c r="E129" t="n">
        <v>2</v>
      </c>
      <c r="F129" t="inlineStr">
        <is>
          <t>2025-05-05</t>
        </is>
      </c>
      <c r="G129" t="n">
        <v>425</v>
      </c>
      <c r="H129" t="inlineStr">
        <is>
          <t>Y</t>
        </is>
      </c>
      <c r="I129">
        <f>HYPERLINK("https://admin.shopify.com/store/ge-beauty-cosmeticos/customers/9021959340352","abrir")</f>
        <v/>
      </c>
      <c r="J129">
        <f>HYPERLINK("https://www.gebeauty.com.br/products/primer-liso-intacto?ref=review","review")</f>
        <v/>
      </c>
      <c r="K129" t="inlineStr">
        <is>
          <t>SEND</t>
        </is>
      </c>
    </row>
    <row r="130">
      <c r="A130" t="inlineStr">
        <is>
          <t>Paula</t>
        </is>
      </c>
      <c r="B130" t="inlineStr">
        <is>
          <t>+5521992905724</t>
        </is>
      </c>
      <c r="C130" t="inlineStr">
        <is>
          <t>Advocate</t>
        </is>
      </c>
      <c r="D130" t="inlineStr">
        <is>
          <t>Primer Liso</t>
        </is>
      </c>
      <c r="E130" t="n">
        <v>2</v>
      </c>
      <c r="F130" t="inlineStr">
        <is>
          <t>2025-05-05</t>
        </is>
      </c>
      <c r="G130" t="n">
        <v>425</v>
      </c>
      <c r="H130" t="inlineStr">
        <is>
          <t>Y</t>
        </is>
      </c>
      <c r="I130">
        <f>HYPERLINK("https://admin.shopify.com/store/ge-beauty-cosmeticos/customers/7762706694464","abrir")</f>
        <v/>
      </c>
      <c r="J130">
        <f>HYPERLINK("https://www.gebeauty.com.br/products/primer-liso-intacto?ref=review","review")</f>
        <v/>
      </c>
      <c r="K130" t="inlineStr">
        <is>
          <t>SEND</t>
        </is>
      </c>
    </row>
    <row r="131">
      <c r="A131" t="inlineStr">
        <is>
          <t>Cecília</t>
        </is>
      </c>
      <c r="B131" t="inlineStr">
        <is>
          <t>+5581996811710</t>
        </is>
      </c>
      <c r="C131" t="inlineStr">
        <is>
          <t>Advocate</t>
        </is>
      </c>
      <c r="D131" t="inlineStr">
        <is>
          <t>Primer Liso</t>
        </is>
      </c>
      <c r="E131" t="n">
        <v>2</v>
      </c>
      <c r="F131" t="inlineStr">
        <is>
          <t>2025-05-09</t>
        </is>
      </c>
      <c r="G131" t="n">
        <v>421</v>
      </c>
      <c r="H131" t="inlineStr">
        <is>
          <t>Y</t>
        </is>
      </c>
      <c r="I131">
        <f>HYPERLINK("https://admin.shopify.com/store/ge-beauty-cosmeticos/customers/8935384318272","abrir")</f>
        <v/>
      </c>
      <c r="J131">
        <f>HYPERLINK("https://www.gebeauty.com.br/products/primer-liso-intacto?ref=review","review")</f>
        <v/>
      </c>
      <c r="K131" t="inlineStr">
        <is>
          <t>SEND</t>
        </is>
      </c>
    </row>
    <row r="132">
      <c r="A132" t="inlineStr">
        <is>
          <t>Liduina</t>
        </is>
      </c>
      <c r="B132" t="inlineStr">
        <is>
          <t>+5585996013634</t>
        </is>
      </c>
      <c r="C132" t="inlineStr">
        <is>
          <t>Advocate</t>
        </is>
      </c>
      <c r="D132" t="inlineStr">
        <is>
          <t>Primer Liso</t>
        </is>
      </c>
      <c r="E132" t="n">
        <v>2</v>
      </c>
      <c r="F132" t="inlineStr">
        <is>
          <t>2025-05-11</t>
        </is>
      </c>
      <c r="G132" t="n">
        <v>419</v>
      </c>
      <c r="H132" t="inlineStr">
        <is>
          <t>Y</t>
        </is>
      </c>
      <c r="I132">
        <f>HYPERLINK("https://admin.shopify.com/store/ge-beauty-cosmeticos/customers/9236651934016","abrir")</f>
        <v/>
      </c>
      <c r="J132">
        <f>HYPERLINK("https://www.gebeauty.com.br/products/primer-liso-intacto?ref=review","review")</f>
        <v/>
      </c>
      <c r="K132" t="inlineStr">
        <is>
          <t>SEND</t>
        </is>
      </c>
    </row>
    <row r="133">
      <c r="A133" t="inlineStr">
        <is>
          <t>Mirian</t>
        </is>
      </c>
      <c r="B133" t="inlineStr">
        <is>
          <t>+5511981153669</t>
        </is>
      </c>
      <c r="C133" t="inlineStr">
        <is>
          <t>Advocate</t>
        </is>
      </c>
      <c r="D133" t="inlineStr">
        <is>
          <t>Primer Liso</t>
        </is>
      </c>
      <c r="E133" t="n">
        <v>2</v>
      </c>
      <c r="F133" t="inlineStr">
        <is>
          <t>2025-08-09</t>
        </is>
      </c>
      <c r="G133" t="n">
        <v>329</v>
      </c>
      <c r="H133" t="inlineStr">
        <is>
          <t>Y</t>
        </is>
      </c>
      <c r="I133">
        <f>HYPERLINK("https://admin.shopify.com/store/ge-beauty-cosmeticos/customers/9240407179584","abrir")</f>
        <v/>
      </c>
      <c r="J133">
        <f>HYPERLINK("https://www.gebeauty.com.br/products/primer-liso-intacto?ref=review","review")</f>
        <v/>
      </c>
      <c r="K133" t="inlineStr">
        <is>
          <t>SEND</t>
        </is>
      </c>
    </row>
    <row r="134">
      <c r="A134" t="inlineStr">
        <is>
          <t>Marcelli</t>
        </is>
      </c>
      <c r="B134" t="inlineStr">
        <is>
          <t>+5521981678663</t>
        </is>
      </c>
      <c r="C134" t="inlineStr">
        <is>
          <t>Advocate</t>
        </is>
      </c>
      <c r="D134" t="inlineStr">
        <is>
          <t>Primer Liso</t>
        </is>
      </c>
      <c r="E134" t="n">
        <v>2</v>
      </c>
      <c r="F134" t="inlineStr">
        <is>
          <t>2025-09-26</t>
        </is>
      </c>
      <c r="G134" t="n">
        <v>281</v>
      </c>
      <c r="H134" t="inlineStr">
        <is>
          <t>Y</t>
        </is>
      </c>
      <c r="I134">
        <f>HYPERLINK("https://admin.shopify.com/store/ge-beauty-cosmeticos/customers/9242383679808","abrir")</f>
        <v/>
      </c>
      <c r="J134">
        <f>HYPERLINK("https://www.gebeauty.com.br/products/primer-liso-intacto?ref=review","review")</f>
        <v/>
      </c>
      <c r="K134" t="inlineStr">
        <is>
          <t>SEND</t>
        </is>
      </c>
    </row>
    <row r="135">
      <c r="A135" t="inlineStr">
        <is>
          <t>Gabriela</t>
        </is>
      </c>
      <c r="B135" t="inlineStr">
        <is>
          <t>+5521985662754</t>
        </is>
      </c>
      <c r="C135" t="inlineStr">
        <is>
          <t>Advocate</t>
        </is>
      </c>
      <c r="D135" t="inlineStr">
        <is>
          <t>Primer Liso</t>
        </is>
      </c>
      <c r="E135" t="n">
        <v>6</v>
      </c>
      <c r="F135" t="inlineStr">
        <is>
          <t>2025-10-10</t>
        </is>
      </c>
      <c r="G135" t="n">
        <v>267</v>
      </c>
      <c r="H135" t="inlineStr">
        <is>
          <t>Y</t>
        </is>
      </c>
      <c r="I135">
        <f>HYPERLINK("https://admin.shopify.com/store/ge-beauty-cosmeticos/customers/7761832673600","abrir")</f>
        <v/>
      </c>
      <c r="J135">
        <f>HYPERLINK("https://www.gebeauty.com.br/products/primer-liso-intacto?ref=review","review")</f>
        <v/>
      </c>
      <c r="K135" t="inlineStr">
        <is>
          <t>SEND</t>
        </is>
      </c>
    </row>
    <row r="136">
      <c r="A136" t="inlineStr">
        <is>
          <t>Mariana</t>
        </is>
      </c>
      <c r="B136" t="inlineStr">
        <is>
          <t>+5511953699944</t>
        </is>
      </c>
      <c r="C136" t="inlineStr">
        <is>
          <t>Advocate</t>
        </is>
      </c>
      <c r="D136" t="inlineStr">
        <is>
          <t>Primer Liso</t>
        </is>
      </c>
      <c r="E136" t="n">
        <v>4</v>
      </c>
      <c r="F136" t="inlineStr">
        <is>
          <t>2025-08-23</t>
        </is>
      </c>
      <c r="G136" t="n">
        <v>315</v>
      </c>
      <c r="H136" t="inlineStr">
        <is>
          <t>Y</t>
        </is>
      </c>
      <c r="I136">
        <f>HYPERLINK("https://admin.shopify.com/store/ge-beauty-cosmeticos/customers/8949691547968","abrir")</f>
        <v/>
      </c>
      <c r="J136">
        <f>HYPERLINK("https://www.gebeauty.com.br/products/primer-liso-intacto?ref=review","review")</f>
        <v/>
      </c>
      <c r="K136" t="inlineStr">
        <is>
          <t>HOLDOUT</t>
        </is>
      </c>
    </row>
    <row r="137">
      <c r="A137" t="inlineStr">
        <is>
          <t>Caroline</t>
        </is>
      </c>
      <c r="B137" t="inlineStr">
        <is>
          <t>+5511964921701</t>
        </is>
      </c>
      <c r="C137" t="inlineStr">
        <is>
          <t>Advocate</t>
        </is>
      </c>
      <c r="D137" t="inlineStr">
        <is>
          <t>Primer Liso</t>
        </is>
      </c>
      <c r="E137" t="n">
        <v>3</v>
      </c>
      <c r="F137" t="inlineStr">
        <is>
          <t>2026-03-24</t>
        </is>
      </c>
      <c r="G137" t="n">
        <v>102</v>
      </c>
      <c r="H137" t="inlineStr">
        <is>
          <t>Y</t>
        </is>
      </c>
      <c r="I137">
        <f>HYPERLINK("https://admin.shopify.com/store/ge-beauty-cosmeticos/customers/8942643872064","abrir")</f>
        <v/>
      </c>
      <c r="J137">
        <f>HYPERLINK("https://www.gebeauty.com.br/products/primer-liso-intacto?ref=review","review")</f>
        <v/>
      </c>
      <c r="K137" t="inlineStr">
        <is>
          <t>SEND</t>
        </is>
      </c>
    </row>
    <row r="138">
      <c r="A138" t="inlineStr">
        <is>
          <t>Idezina</t>
        </is>
      </c>
      <c r="B138" t="inlineStr">
        <is>
          <t>+5586994026002</t>
        </is>
      </c>
      <c r="C138" t="inlineStr">
        <is>
          <t>Advocate</t>
        </is>
      </c>
      <c r="D138" t="inlineStr">
        <is>
          <t>Primer Liso</t>
        </is>
      </c>
      <c r="E138" t="n">
        <v>2</v>
      </c>
      <c r="F138" t="inlineStr">
        <is>
          <t>2026-06-16</t>
        </is>
      </c>
      <c r="G138" t="n">
        <v>18</v>
      </c>
      <c r="H138" t="inlineStr">
        <is>
          <t>Y</t>
        </is>
      </c>
      <c r="I138">
        <f>HYPERLINK("https://admin.shopify.com/store/ge-beauty-cosmeticos/customers/9254789742912","abrir")</f>
        <v/>
      </c>
      <c r="J138">
        <f>HYPERLINK("https://www.gebeauty.com.br/products/primer-liso-intacto?ref=review","review")</f>
        <v/>
      </c>
      <c r="K138" t="inlineStr">
        <is>
          <t>SEND</t>
        </is>
      </c>
    </row>
    <row r="139">
      <c r="A139" t="inlineStr">
        <is>
          <t>Rebecca</t>
        </is>
      </c>
      <c r="B139" t="inlineStr">
        <is>
          <t>+5519981489883</t>
        </is>
      </c>
      <c r="C139" t="inlineStr">
        <is>
          <t>Advocate</t>
        </is>
      </c>
      <c r="D139" t="inlineStr">
        <is>
          <t>Primer Liso</t>
        </is>
      </c>
      <c r="E139" t="n">
        <v>2</v>
      </c>
      <c r="F139" t="inlineStr">
        <is>
          <t>2026-04-27</t>
        </is>
      </c>
      <c r="G139" t="n">
        <v>68</v>
      </c>
      <c r="H139" t="inlineStr">
        <is>
          <t>Y</t>
        </is>
      </c>
      <c r="I139">
        <f>HYPERLINK("https://admin.shopify.com/store/ge-beauty-cosmeticos/customers/7761193304384","abrir")</f>
        <v/>
      </c>
      <c r="J139">
        <f>HYPERLINK("https://www.gebeauty.com.br/products/primer-liso-intacto?ref=review","review")</f>
        <v/>
      </c>
      <c r="K139" t="inlineStr">
        <is>
          <t>SEND</t>
        </is>
      </c>
    </row>
    <row r="140">
      <c r="A140" t="inlineStr">
        <is>
          <t>Mariane</t>
        </is>
      </c>
      <c r="B140" t="inlineStr">
        <is>
          <t>+5581992470833</t>
        </is>
      </c>
      <c r="C140" t="inlineStr">
        <is>
          <t>Advocate</t>
        </is>
      </c>
      <c r="D140" t="inlineStr">
        <is>
          <t>Primer Liso</t>
        </is>
      </c>
      <c r="E140" t="n">
        <v>2</v>
      </c>
      <c r="F140" t="inlineStr">
        <is>
          <t>2026-03-11</t>
        </is>
      </c>
      <c r="G140" t="n">
        <v>115</v>
      </c>
      <c r="H140" t="inlineStr">
        <is>
          <t>Y</t>
        </is>
      </c>
      <c r="I140">
        <f>HYPERLINK("https://admin.shopify.com/store/ge-beauty-cosmeticos/customers/7761925996864","abrir")</f>
        <v/>
      </c>
      <c r="J140">
        <f>HYPERLINK("https://www.gebeauty.com.br/products/primer-liso-intacto?ref=review","review")</f>
        <v/>
      </c>
      <c r="K140" t="inlineStr">
        <is>
          <t>SEND</t>
        </is>
      </c>
    </row>
    <row r="141">
      <c r="A141" t="inlineStr">
        <is>
          <t>Beatriz</t>
        </is>
      </c>
      <c r="B141" t="inlineStr">
        <is>
          <t>+5585999351443</t>
        </is>
      </c>
      <c r="C141" t="inlineStr">
        <is>
          <t>Advocate</t>
        </is>
      </c>
      <c r="D141" t="inlineStr">
        <is>
          <t>Primer Liso</t>
        </is>
      </c>
      <c r="E141" t="n">
        <v>2</v>
      </c>
      <c r="F141" t="inlineStr">
        <is>
          <t>2026-01-21</t>
        </is>
      </c>
      <c r="G141" t="n">
        <v>164</v>
      </c>
      <c r="H141" t="inlineStr">
        <is>
          <t>Y</t>
        </is>
      </c>
      <c r="I141">
        <f>HYPERLINK("https://admin.shopify.com/store/ge-beauty-cosmeticos/customers/9272293032256","abrir")</f>
        <v/>
      </c>
      <c r="J141">
        <f>HYPERLINK("https://www.gebeauty.com.br/products/primer-liso-intacto?ref=review","review")</f>
        <v/>
      </c>
      <c r="K141" t="inlineStr">
        <is>
          <t>SEND</t>
        </is>
      </c>
    </row>
    <row r="142">
      <c r="A142" t="inlineStr">
        <is>
          <t>Renata</t>
        </is>
      </c>
      <c r="B142" t="inlineStr">
        <is>
          <t>+5541992790926</t>
        </is>
      </c>
      <c r="C142" t="inlineStr">
        <is>
          <t>Advocate</t>
        </is>
      </c>
      <c r="D142" t="inlineStr">
        <is>
          <t>Primer Liso</t>
        </is>
      </c>
      <c r="E142" t="n">
        <v>2</v>
      </c>
      <c r="F142" t="inlineStr">
        <is>
          <t>2025-11-25</t>
        </is>
      </c>
      <c r="G142" t="n">
        <v>221</v>
      </c>
      <c r="H142" t="inlineStr">
        <is>
          <t>Y</t>
        </is>
      </c>
      <c r="I142">
        <f>HYPERLINK("https://admin.shopify.com/store/ge-beauty-cosmeticos/customers/7761296752960","abrir")</f>
        <v/>
      </c>
      <c r="J142">
        <f>HYPERLINK("https://www.gebeauty.com.br/products/primer-liso-intacto?ref=review","review")</f>
        <v/>
      </c>
      <c r="K142" t="inlineStr">
        <is>
          <t>SEND</t>
        </is>
      </c>
    </row>
    <row r="143">
      <c r="A143" t="inlineStr">
        <is>
          <t>Elisa</t>
        </is>
      </c>
      <c r="B143" t="inlineStr">
        <is>
          <t>+5582996221688</t>
        </is>
      </c>
      <c r="C143" t="inlineStr">
        <is>
          <t>Advocate</t>
        </is>
      </c>
      <c r="D143" t="inlineStr">
        <is>
          <t>Primer Liso</t>
        </is>
      </c>
      <c r="E143" t="n">
        <v>2</v>
      </c>
      <c r="F143" t="inlineStr">
        <is>
          <t>2025-11-28</t>
        </is>
      </c>
      <c r="G143" t="n">
        <v>218</v>
      </c>
      <c r="H143" t="inlineStr">
        <is>
          <t>Y</t>
        </is>
      </c>
      <c r="I143">
        <f>HYPERLINK("https://admin.shopify.com/store/ge-beauty-cosmeticos/customers/9292527403328","abrir")</f>
        <v/>
      </c>
      <c r="J143">
        <f>HYPERLINK("https://www.gebeauty.com.br/products/primer-liso-intacto?ref=review","review")</f>
        <v/>
      </c>
      <c r="K143" t="inlineStr">
        <is>
          <t>SEND</t>
        </is>
      </c>
    </row>
    <row r="144">
      <c r="A144" t="inlineStr">
        <is>
          <t>Manuelle</t>
        </is>
      </c>
      <c r="B144" t="inlineStr">
        <is>
          <t>+5581991145533</t>
        </is>
      </c>
      <c r="C144" t="inlineStr">
        <is>
          <t>Advocate</t>
        </is>
      </c>
      <c r="D144" t="inlineStr">
        <is>
          <t>Primer Liso</t>
        </is>
      </c>
      <c r="E144" t="n">
        <v>2</v>
      </c>
      <c r="F144" t="inlineStr">
        <is>
          <t>2026-06-07</t>
        </is>
      </c>
      <c r="G144" t="n">
        <v>27</v>
      </c>
      <c r="H144" t="inlineStr">
        <is>
          <t>Y</t>
        </is>
      </c>
      <c r="I144">
        <f>HYPERLINK("https://admin.shopify.com/store/ge-beauty-cosmeticos/customers/9294882865472","abrir")</f>
        <v/>
      </c>
      <c r="J144">
        <f>HYPERLINK("https://www.gebeauty.com.br/products/primer-liso-intacto?ref=review","review")</f>
        <v/>
      </c>
      <c r="K144" t="inlineStr">
        <is>
          <t>SEND</t>
        </is>
      </c>
    </row>
    <row r="145">
      <c r="A145" t="inlineStr">
        <is>
          <t>Juliana</t>
        </is>
      </c>
      <c r="B145" t="inlineStr">
        <is>
          <t>+5581999733939</t>
        </is>
      </c>
      <c r="C145" t="inlineStr">
        <is>
          <t>Advocate</t>
        </is>
      </c>
      <c r="D145" t="inlineStr">
        <is>
          <t>Primer Liso</t>
        </is>
      </c>
      <c r="E145" t="n">
        <v>2</v>
      </c>
      <c r="F145" t="inlineStr">
        <is>
          <t>2025-08-25</t>
        </is>
      </c>
      <c r="G145" t="n">
        <v>313</v>
      </c>
      <c r="H145" t="inlineStr">
        <is>
          <t>Y</t>
        </is>
      </c>
      <c r="I145">
        <f>HYPERLINK("https://admin.shopify.com/store/ge-beauty-cosmeticos/customers/8157321232704","abrir")</f>
        <v/>
      </c>
      <c r="J145">
        <f>HYPERLINK("https://www.gebeauty.com.br/products/primer-liso-intacto?ref=review","review")</f>
        <v/>
      </c>
      <c r="K145" t="inlineStr">
        <is>
          <t>HOLDOUT</t>
        </is>
      </c>
    </row>
    <row r="146">
      <c r="A146" t="inlineStr">
        <is>
          <t>Karine</t>
        </is>
      </c>
      <c r="B146" t="inlineStr">
        <is>
          <t>+5571999388226</t>
        </is>
      </c>
      <c r="C146" t="inlineStr">
        <is>
          <t>Advocate</t>
        </is>
      </c>
      <c r="D146" t="inlineStr">
        <is>
          <t>Primer Liso</t>
        </is>
      </c>
      <c r="E146" t="n">
        <v>2</v>
      </c>
      <c r="F146" t="inlineStr">
        <is>
          <t>2025-11-25</t>
        </is>
      </c>
      <c r="G146" t="n">
        <v>221</v>
      </c>
      <c r="H146" t="inlineStr">
        <is>
          <t>Y</t>
        </is>
      </c>
      <c r="I146">
        <f>HYPERLINK("https://admin.shopify.com/store/ge-beauty-cosmeticos/customers/7760407068992","abrir")</f>
        <v/>
      </c>
      <c r="J146">
        <f>HYPERLINK("https://www.gebeauty.com.br/products/primer-liso-intacto?ref=review","review")</f>
        <v/>
      </c>
      <c r="K146" t="inlineStr">
        <is>
          <t>SEND</t>
        </is>
      </c>
    </row>
    <row r="147">
      <c r="A147" t="inlineStr">
        <is>
          <t>Maria</t>
        </is>
      </c>
      <c r="B147" t="inlineStr">
        <is>
          <t>+5511981813107</t>
        </is>
      </c>
      <c r="C147" t="inlineStr">
        <is>
          <t>Advocate</t>
        </is>
      </c>
      <c r="D147" t="inlineStr">
        <is>
          <t>Primer Liso</t>
        </is>
      </c>
      <c r="E147" t="n">
        <v>2</v>
      </c>
      <c r="F147" t="inlineStr">
        <is>
          <t>2025-11-27</t>
        </is>
      </c>
      <c r="G147" t="n">
        <v>219</v>
      </c>
      <c r="H147" t="inlineStr">
        <is>
          <t>Y</t>
        </is>
      </c>
      <c r="I147">
        <f>HYPERLINK("https://admin.shopify.com/store/ge-beauty-cosmeticos/customers/8240366190912","abrir")</f>
        <v/>
      </c>
      <c r="J147">
        <f>HYPERLINK("https://www.gebeauty.com.br/products/primer-liso-intacto?ref=review","review")</f>
        <v/>
      </c>
      <c r="K147" t="inlineStr">
        <is>
          <t>SEND</t>
        </is>
      </c>
    </row>
    <row r="148">
      <c r="A148" t="inlineStr">
        <is>
          <t>Lais</t>
        </is>
      </c>
      <c r="B148" t="inlineStr">
        <is>
          <t>+5521996967049</t>
        </is>
      </c>
      <c r="C148" t="inlineStr">
        <is>
          <t>Advocate</t>
        </is>
      </c>
      <c r="D148" t="inlineStr">
        <is>
          <t>Primer Liso</t>
        </is>
      </c>
      <c r="E148" t="n">
        <v>3</v>
      </c>
      <c r="F148" t="inlineStr">
        <is>
          <t>2026-01-12</t>
        </is>
      </c>
      <c r="G148" t="n">
        <v>173</v>
      </c>
      <c r="H148" t="inlineStr">
        <is>
          <t>Y</t>
        </is>
      </c>
      <c r="I148">
        <f>HYPERLINK("https://admin.shopify.com/store/ge-beauty-cosmeticos/customers/7761806229824","abrir")</f>
        <v/>
      </c>
      <c r="J148">
        <f>HYPERLINK("https://www.gebeauty.com.br/products/primer-liso-intacto?ref=review","review")</f>
        <v/>
      </c>
      <c r="K148" t="inlineStr">
        <is>
          <t>HOLDOUT</t>
        </is>
      </c>
    </row>
    <row r="149">
      <c r="A149" t="inlineStr">
        <is>
          <t>Eridan</t>
        </is>
      </c>
      <c r="B149" t="inlineStr">
        <is>
          <t>+5528999097591</t>
        </is>
      </c>
      <c r="C149" t="inlineStr">
        <is>
          <t>Advocate</t>
        </is>
      </c>
      <c r="D149" t="inlineStr">
        <is>
          <t>Primer Liso</t>
        </is>
      </c>
      <c r="E149" t="n">
        <v>2</v>
      </c>
      <c r="F149" t="inlineStr">
        <is>
          <t>2025-06-08</t>
        </is>
      </c>
      <c r="G149" t="n">
        <v>391</v>
      </c>
      <c r="H149" t="inlineStr">
        <is>
          <t>Y</t>
        </is>
      </c>
      <c r="I149">
        <f>HYPERLINK("https://admin.shopify.com/store/ge-beauty-cosmeticos/customers/7760876634432","abrir")</f>
        <v/>
      </c>
      <c r="J149">
        <f>HYPERLINK("https://www.gebeauty.com.br/products/primer-liso-intacto?ref=review","review")</f>
        <v/>
      </c>
      <c r="K149" t="inlineStr">
        <is>
          <t>SEND</t>
        </is>
      </c>
    </row>
    <row r="150">
      <c r="A150" t="inlineStr">
        <is>
          <t>Mariana</t>
        </is>
      </c>
      <c r="B150" t="inlineStr">
        <is>
          <t>+5511975035456</t>
        </is>
      </c>
      <c r="C150" t="inlineStr">
        <is>
          <t>Advocate</t>
        </is>
      </c>
      <c r="D150" t="inlineStr">
        <is>
          <t>Primer Liso</t>
        </is>
      </c>
      <c r="E150" t="n">
        <v>2</v>
      </c>
      <c r="F150" t="inlineStr">
        <is>
          <t>2025-08-30</t>
        </is>
      </c>
      <c r="G150" t="n">
        <v>308</v>
      </c>
      <c r="H150" t="inlineStr">
        <is>
          <t>Y</t>
        </is>
      </c>
      <c r="I150">
        <f>HYPERLINK("https://admin.shopify.com/store/ge-beauty-cosmeticos/customers/7762536530240","abrir")</f>
        <v/>
      </c>
      <c r="J150">
        <f>HYPERLINK("https://www.gebeauty.com.br/products/primer-liso-intacto?ref=review","review")</f>
        <v/>
      </c>
      <c r="K150" t="inlineStr">
        <is>
          <t>SEND</t>
        </is>
      </c>
    </row>
    <row r="151">
      <c r="A151" t="inlineStr">
        <is>
          <t>Pâmela</t>
        </is>
      </c>
      <c r="B151" t="inlineStr">
        <is>
          <t>+5511984319619</t>
        </is>
      </c>
      <c r="C151" t="inlineStr">
        <is>
          <t>Advocate</t>
        </is>
      </c>
      <c r="D151" t="inlineStr">
        <is>
          <t>Primer Liso</t>
        </is>
      </c>
      <c r="E151" t="n">
        <v>2</v>
      </c>
      <c r="F151" t="inlineStr">
        <is>
          <t>2025-09-30</t>
        </is>
      </c>
      <c r="G151" t="n">
        <v>277</v>
      </c>
      <c r="H151" t="inlineStr">
        <is>
          <t>Y</t>
        </is>
      </c>
      <c r="I151">
        <f>HYPERLINK("https://admin.shopify.com/store/ge-beauty-cosmeticos/customers/9319632896320","abrir")</f>
        <v/>
      </c>
      <c r="J151">
        <f>HYPERLINK("https://www.gebeauty.com.br/products/primer-liso-intacto?ref=review","review")</f>
        <v/>
      </c>
      <c r="K151" t="inlineStr">
        <is>
          <t>SEND</t>
        </is>
      </c>
    </row>
    <row r="152">
      <c r="A152" t="inlineStr">
        <is>
          <t>Gabriela</t>
        </is>
      </c>
      <c r="B152" t="inlineStr">
        <is>
          <t>+5561982465577</t>
        </is>
      </c>
      <c r="C152" t="inlineStr">
        <is>
          <t>Advocate</t>
        </is>
      </c>
      <c r="D152" t="inlineStr">
        <is>
          <t>Primer Liso</t>
        </is>
      </c>
      <c r="E152" t="n">
        <v>3</v>
      </c>
      <c r="F152" t="inlineStr">
        <is>
          <t>2026-07-03</t>
        </is>
      </c>
      <c r="G152" t="n">
        <v>1</v>
      </c>
      <c r="H152" t="inlineStr">
        <is>
          <t>Y</t>
        </is>
      </c>
      <c r="I152">
        <f>HYPERLINK("https://admin.shopify.com/store/ge-beauty-cosmeticos/customers/9327179235648","abrir")</f>
        <v/>
      </c>
      <c r="J152">
        <f>HYPERLINK("https://www.gebeauty.com.br/products/primer-liso-intacto?ref=review","review")</f>
        <v/>
      </c>
      <c r="K152" t="inlineStr">
        <is>
          <t>SEND</t>
        </is>
      </c>
    </row>
    <row r="153">
      <c r="A153" t="inlineStr">
        <is>
          <t>Monalisa</t>
        </is>
      </c>
      <c r="B153" t="inlineStr">
        <is>
          <t>+5511991231555</t>
        </is>
      </c>
      <c r="C153" t="inlineStr">
        <is>
          <t>Advocate</t>
        </is>
      </c>
      <c r="D153" t="inlineStr">
        <is>
          <t>Primer Liso</t>
        </is>
      </c>
      <c r="E153" t="n">
        <v>2</v>
      </c>
      <c r="F153" t="inlineStr">
        <is>
          <t>2025-11-14</t>
        </is>
      </c>
      <c r="G153" t="n">
        <v>232</v>
      </c>
      <c r="H153" t="inlineStr">
        <is>
          <t>Y</t>
        </is>
      </c>
      <c r="I153">
        <f>HYPERLINK("https://admin.shopify.com/store/ge-beauty-cosmeticos/customers/7760389538112","abrir")</f>
        <v/>
      </c>
      <c r="J153">
        <f>HYPERLINK("https://www.gebeauty.com.br/products/primer-liso-intacto?ref=review","review")</f>
        <v/>
      </c>
      <c r="K153" t="inlineStr">
        <is>
          <t>SEND</t>
        </is>
      </c>
    </row>
    <row r="154">
      <c r="A154" t="inlineStr">
        <is>
          <t>Mariana</t>
        </is>
      </c>
      <c r="B154" t="inlineStr">
        <is>
          <t>+5582988421221</t>
        </is>
      </c>
      <c r="C154" t="inlineStr">
        <is>
          <t>Advocate</t>
        </is>
      </c>
      <c r="D154" t="inlineStr">
        <is>
          <t>Primer Liso</t>
        </is>
      </c>
      <c r="E154" t="n">
        <v>2</v>
      </c>
      <c r="F154" t="inlineStr">
        <is>
          <t>2026-06-07</t>
        </is>
      </c>
      <c r="G154" t="n">
        <v>27</v>
      </c>
      <c r="H154" t="inlineStr">
        <is>
          <t>Y</t>
        </is>
      </c>
      <c r="I154">
        <f>HYPERLINK("https://admin.shopify.com/store/ge-beauty-cosmeticos/customers/9332163510592","abrir")</f>
        <v/>
      </c>
      <c r="J154">
        <f>HYPERLINK("https://www.gebeauty.com.br/products/primer-liso-intacto?ref=review","review")</f>
        <v/>
      </c>
      <c r="K154" t="inlineStr">
        <is>
          <t>SEND</t>
        </is>
      </c>
    </row>
    <row r="155">
      <c r="A155" t="inlineStr">
        <is>
          <t>Maria</t>
        </is>
      </c>
      <c r="B155" t="inlineStr">
        <is>
          <t>+5541988537822</t>
        </is>
      </c>
      <c r="C155" t="inlineStr">
        <is>
          <t>Advocate</t>
        </is>
      </c>
      <c r="D155" t="inlineStr">
        <is>
          <t>Primer Liso</t>
        </is>
      </c>
      <c r="E155" t="n">
        <v>4</v>
      </c>
      <c r="F155" t="inlineStr">
        <is>
          <t>2025-09-15</t>
        </is>
      </c>
      <c r="G155" t="n">
        <v>292</v>
      </c>
      <c r="H155" t="inlineStr">
        <is>
          <t>N</t>
        </is>
      </c>
      <c r="I155">
        <f>HYPERLINK("https://admin.shopify.com/store/ge-beauty-cosmeticos/customers/7759889072448","abrir")</f>
        <v/>
      </c>
      <c r="J155">
        <f>HYPERLINK("https://www.gebeauty.com.br/products/primer-liso-intacto?ref=review","review")</f>
        <v/>
      </c>
      <c r="K155" t="inlineStr">
        <is>
          <t>SEND</t>
        </is>
      </c>
    </row>
    <row r="156">
      <c r="A156" t="inlineStr">
        <is>
          <t>Ruth</t>
        </is>
      </c>
      <c r="B156" t="inlineStr">
        <is>
          <t>+5511988155012</t>
        </is>
      </c>
      <c r="C156" t="inlineStr">
        <is>
          <t>Advocate</t>
        </is>
      </c>
      <c r="D156" t="inlineStr">
        <is>
          <t>Primer Liso</t>
        </is>
      </c>
      <c r="E156" t="n">
        <v>2</v>
      </c>
      <c r="F156" t="inlineStr">
        <is>
          <t>2025-06-24</t>
        </is>
      </c>
      <c r="G156" t="n">
        <v>375</v>
      </c>
      <c r="H156" t="inlineStr">
        <is>
          <t>Y</t>
        </is>
      </c>
      <c r="I156">
        <f>HYPERLINK("https://admin.shopify.com/store/ge-beauty-cosmeticos/customers/9334751068480","abrir")</f>
        <v/>
      </c>
      <c r="J156">
        <f>HYPERLINK("https://www.gebeauty.com.br/products/primer-liso-intacto?ref=review","review")</f>
        <v/>
      </c>
      <c r="K156" t="inlineStr">
        <is>
          <t>SEND</t>
        </is>
      </c>
    </row>
    <row r="157">
      <c r="A157" t="inlineStr">
        <is>
          <t>Fernanda</t>
        </is>
      </c>
      <c r="B157" t="inlineStr">
        <is>
          <t>+5528992564474</t>
        </is>
      </c>
      <c r="C157" t="inlineStr">
        <is>
          <t>Advocate</t>
        </is>
      </c>
      <c r="D157" t="inlineStr">
        <is>
          <t>Primer Liso</t>
        </is>
      </c>
      <c r="E157" t="n">
        <v>2</v>
      </c>
      <c r="F157" t="inlineStr">
        <is>
          <t>2025-08-30</t>
        </is>
      </c>
      <c r="G157" t="n">
        <v>308</v>
      </c>
      <c r="H157" t="inlineStr">
        <is>
          <t>Y</t>
        </is>
      </c>
      <c r="I157">
        <f>HYPERLINK("https://admin.shopify.com/store/ge-beauty-cosmeticos/customers/9341599809856","abrir")</f>
        <v/>
      </c>
      <c r="J157">
        <f>HYPERLINK("https://www.gebeauty.com.br/products/primer-liso-intacto?ref=review","review")</f>
        <v/>
      </c>
      <c r="K157" t="inlineStr">
        <is>
          <t>SEND</t>
        </is>
      </c>
    </row>
    <row r="158">
      <c r="A158" t="inlineStr">
        <is>
          <t>Paula</t>
        </is>
      </c>
      <c r="B158" t="inlineStr">
        <is>
          <t>+5521988967877</t>
        </is>
      </c>
      <c r="C158" t="inlineStr">
        <is>
          <t>Advocate</t>
        </is>
      </c>
      <c r="D158" t="inlineStr">
        <is>
          <t>Primer Liso</t>
        </is>
      </c>
      <c r="E158" t="n">
        <v>2</v>
      </c>
      <c r="F158" t="inlineStr">
        <is>
          <t>2025-11-29</t>
        </is>
      </c>
      <c r="G158" t="n">
        <v>217</v>
      </c>
      <c r="H158" t="inlineStr">
        <is>
          <t>Y</t>
        </is>
      </c>
      <c r="I158">
        <f>HYPERLINK("https://admin.shopify.com/store/ge-beauty-cosmeticos/customers/7759895265600","abrir")</f>
        <v/>
      </c>
      <c r="J158">
        <f>HYPERLINK("https://www.gebeauty.com.br/products/primer-liso-intacto?ref=review","review")</f>
        <v/>
      </c>
      <c r="K158" t="inlineStr">
        <is>
          <t>SEND</t>
        </is>
      </c>
    </row>
    <row r="159">
      <c r="A159" t="inlineStr">
        <is>
          <t>Luisa</t>
        </is>
      </c>
      <c r="B159" t="inlineStr">
        <is>
          <t>+5511964836677</t>
        </is>
      </c>
      <c r="C159" t="inlineStr">
        <is>
          <t>Advocate</t>
        </is>
      </c>
      <c r="D159" t="inlineStr">
        <is>
          <t>Primer Liso</t>
        </is>
      </c>
      <c r="E159" t="n">
        <v>2</v>
      </c>
      <c r="F159" t="inlineStr">
        <is>
          <t>2026-05-12</t>
        </is>
      </c>
      <c r="G159" t="n">
        <v>53</v>
      </c>
      <c r="H159" t="inlineStr">
        <is>
          <t>Y</t>
        </is>
      </c>
      <c r="I159">
        <f>HYPERLINK("https://admin.shopify.com/store/ge-beauty-cosmeticos/customers/7759607365952","abrir")</f>
        <v/>
      </c>
      <c r="J159">
        <f>HYPERLINK("https://www.gebeauty.com.br/products/primer-liso-intacto?ref=review","review")</f>
        <v/>
      </c>
      <c r="K159" t="inlineStr">
        <is>
          <t>SEND</t>
        </is>
      </c>
    </row>
    <row r="160">
      <c r="A160" t="inlineStr">
        <is>
          <t>Isis</t>
        </is>
      </c>
      <c r="B160" t="inlineStr">
        <is>
          <t>+5541999119449</t>
        </is>
      </c>
      <c r="C160" t="inlineStr">
        <is>
          <t>Advocate</t>
        </is>
      </c>
      <c r="D160" t="inlineStr">
        <is>
          <t>Primer Liso</t>
        </is>
      </c>
      <c r="E160" t="n">
        <v>2</v>
      </c>
      <c r="F160" t="inlineStr">
        <is>
          <t>2026-06-28</t>
        </is>
      </c>
      <c r="G160" t="n">
        <v>6</v>
      </c>
      <c r="H160" t="inlineStr">
        <is>
          <t>Y</t>
        </is>
      </c>
      <c r="I160">
        <f>HYPERLINK("https://admin.shopify.com/store/ge-beauty-cosmeticos/customers/9356317393216","abrir")</f>
        <v/>
      </c>
      <c r="J160">
        <f>HYPERLINK("https://www.gebeauty.com.br/products/primer-liso-intacto?ref=review","review")</f>
        <v/>
      </c>
      <c r="K160" t="inlineStr">
        <is>
          <t>HOLDOUT</t>
        </is>
      </c>
    </row>
    <row r="161">
      <c r="A161" t="inlineStr">
        <is>
          <t>Lucilene</t>
        </is>
      </c>
      <c r="B161" t="inlineStr">
        <is>
          <t>+5511992707552</t>
        </is>
      </c>
      <c r="C161" t="inlineStr">
        <is>
          <t>Advocate</t>
        </is>
      </c>
      <c r="D161" t="inlineStr">
        <is>
          <t>Primer Liso</t>
        </is>
      </c>
      <c r="E161" t="n">
        <v>2</v>
      </c>
      <c r="F161" t="inlineStr">
        <is>
          <t>2025-11-07</t>
        </is>
      </c>
      <c r="G161" t="n">
        <v>239</v>
      </c>
      <c r="H161" t="inlineStr">
        <is>
          <t>Y</t>
        </is>
      </c>
      <c r="I161">
        <f>HYPERLINK("https://admin.shopify.com/store/ge-beauty-cosmeticos/customers/7762059657536","abrir")</f>
        <v/>
      </c>
      <c r="J161">
        <f>HYPERLINK("https://www.gebeauty.com.br/products/primer-liso-intacto?ref=review","review")</f>
        <v/>
      </c>
      <c r="K161" t="inlineStr">
        <is>
          <t>SEND</t>
        </is>
      </c>
    </row>
    <row r="162">
      <c r="A162" t="inlineStr">
        <is>
          <t>Fernanda</t>
        </is>
      </c>
      <c r="B162" t="inlineStr">
        <is>
          <t>+5521988634451</t>
        </is>
      </c>
      <c r="C162" t="inlineStr">
        <is>
          <t>Advocate</t>
        </is>
      </c>
      <c r="D162" t="inlineStr">
        <is>
          <t>Primer Liso</t>
        </is>
      </c>
      <c r="E162" t="n">
        <v>2</v>
      </c>
      <c r="F162" t="inlineStr">
        <is>
          <t>2025-11-10</t>
        </is>
      </c>
      <c r="G162" t="n">
        <v>236</v>
      </c>
      <c r="H162" t="inlineStr">
        <is>
          <t>Y</t>
        </is>
      </c>
      <c r="I162">
        <f>HYPERLINK("https://admin.shopify.com/store/ge-beauty-cosmeticos/customers/7762440945984","abrir")</f>
        <v/>
      </c>
      <c r="J162">
        <f>HYPERLINK("https://www.gebeauty.com.br/products/primer-liso-intacto?ref=review","review")</f>
        <v/>
      </c>
      <c r="K162" t="inlineStr">
        <is>
          <t>SEND</t>
        </is>
      </c>
    </row>
    <row r="163">
      <c r="A163" t="inlineStr">
        <is>
          <t>Bianca</t>
        </is>
      </c>
      <c r="B163" t="inlineStr">
        <is>
          <t>+5541996829650</t>
        </is>
      </c>
      <c r="C163" t="inlineStr">
        <is>
          <t>Advocate</t>
        </is>
      </c>
      <c r="D163" t="inlineStr">
        <is>
          <t>Primer Liso</t>
        </is>
      </c>
      <c r="E163" t="n">
        <v>2</v>
      </c>
      <c r="F163" t="inlineStr">
        <is>
          <t>2025-08-12</t>
        </is>
      </c>
      <c r="G163" t="n">
        <v>326</v>
      </c>
      <c r="H163" t="inlineStr">
        <is>
          <t>Y</t>
        </is>
      </c>
      <c r="I163">
        <f>HYPERLINK("https://admin.shopify.com/store/ge-beauty-cosmeticos/customers/9399711170880","abrir")</f>
        <v/>
      </c>
      <c r="J163">
        <f>HYPERLINK("https://www.gebeauty.com.br/products/primer-liso-intacto?ref=review","review")</f>
        <v/>
      </c>
      <c r="K163" t="inlineStr">
        <is>
          <t>SEND</t>
        </is>
      </c>
    </row>
    <row r="164">
      <c r="A164" t="inlineStr">
        <is>
          <t>Laísa</t>
        </is>
      </c>
      <c r="B164" t="inlineStr">
        <is>
          <t>+5571999660676</t>
        </is>
      </c>
      <c r="C164" t="inlineStr">
        <is>
          <t>Advocate</t>
        </is>
      </c>
      <c r="D164" t="inlineStr">
        <is>
          <t>Primer Liso</t>
        </is>
      </c>
      <c r="E164" t="n">
        <v>2</v>
      </c>
      <c r="F164" t="inlineStr">
        <is>
          <t>2026-04-26</t>
        </is>
      </c>
      <c r="G164" t="n">
        <v>69</v>
      </c>
      <c r="H164" t="inlineStr">
        <is>
          <t>Y</t>
        </is>
      </c>
      <c r="I164">
        <f>HYPERLINK("https://admin.shopify.com/store/ge-beauty-cosmeticos/customers/9418022781248","abrir")</f>
        <v/>
      </c>
      <c r="J164">
        <f>HYPERLINK("https://www.gebeauty.com.br/products/primer-liso-intacto?ref=review","review")</f>
        <v/>
      </c>
      <c r="K164" t="inlineStr">
        <is>
          <t>SEND</t>
        </is>
      </c>
    </row>
    <row r="165">
      <c r="A165" t="inlineStr">
        <is>
          <t>Larissa</t>
        </is>
      </c>
      <c r="B165" t="inlineStr">
        <is>
          <t>+5583999901297</t>
        </is>
      </c>
      <c r="C165" t="inlineStr">
        <is>
          <t>Advocate</t>
        </is>
      </c>
      <c r="D165" t="inlineStr">
        <is>
          <t>Primer Liso</t>
        </is>
      </c>
      <c r="E165" t="n">
        <v>2</v>
      </c>
      <c r="F165" t="inlineStr">
        <is>
          <t>2025-11-28</t>
        </is>
      </c>
      <c r="G165" t="n">
        <v>218</v>
      </c>
      <c r="H165" t="inlineStr">
        <is>
          <t>Y</t>
        </is>
      </c>
      <c r="I165">
        <f>HYPERLINK("https://admin.shopify.com/store/ge-beauty-cosmeticos/customers/7760915038528","abrir")</f>
        <v/>
      </c>
      <c r="J165">
        <f>HYPERLINK("https://www.gebeauty.com.br/products/primer-liso-intacto?ref=review","review")</f>
        <v/>
      </c>
      <c r="K165" t="inlineStr">
        <is>
          <t>SEND</t>
        </is>
      </c>
    </row>
    <row r="166">
      <c r="A166" t="inlineStr">
        <is>
          <t>Daniela</t>
        </is>
      </c>
      <c r="B166" t="inlineStr">
        <is>
          <t>+5531991790947</t>
        </is>
      </c>
      <c r="C166" t="inlineStr">
        <is>
          <t>Advocate</t>
        </is>
      </c>
      <c r="D166" t="inlineStr">
        <is>
          <t>Primer Liso</t>
        </is>
      </c>
      <c r="E166" t="n">
        <v>2</v>
      </c>
      <c r="F166" t="inlineStr">
        <is>
          <t>2026-01-25</t>
        </is>
      </c>
      <c r="G166" t="n">
        <v>160</v>
      </c>
      <c r="H166" t="inlineStr">
        <is>
          <t>Y</t>
        </is>
      </c>
      <c r="I166">
        <f>HYPERLINK("https://admin.shopify.com/store/ge-beauty-cosmeticos/customers/7762173624640","abrir")</f>
        <v/>
      </c>
      <c r="J166">
        <f>HYPERLINK("https://www.gebeauty.com.br/products/primer-liso-intacto?ref=review","review")</f>
        <v/>
      </c>
      <c r="K166" t="inlineStr">
        <is>
          <t>SEND</t>
        </is>
      </c>
    </row>
    <row r="167">
      <c r="A167" t="inlineStr">
        <is>
          <t>Camila</t>
        </is>
      </c>
      <c r="B167" t="inlineStr">
        <is>
          <t>+5511995115106</t>
        </is>
      </c>
      <c r="C167" t="inlineStr">
        <is>
          <t>Advocate</t>
        </is>
      </c>
      <c r="D167" t="inlineStr">
        <is>
          <t>Primer Liso</t>
        </is>
      </c>
      <c r="E167" t="n">
        <v>3</v>
      </c>
      <c r="F167" t="inlineStr">
        <is>
          <t>2026-06-03</t>
        </is>
      </c>
      <c r="G167" t="n">
        <v>31</v>
      </c>
      <c r="H167" t="inlineStr">
        <is>
          <t>Y</t>
        </is>
      </c>
      <c r="I167">
        <f>HYPERLINK("https://admin.shopify.com/store/ge-beauty-cosmeticos/customers/9024330334528","abrir")</f>
        <v/>
      </c>
      <c r="J167">
        <f>HYPERLINK("https://www.gebeauty.com.br/products/primer-liso-intacto?ref=review","review")</f>
        <v/>
      </c>
      <c r="K167" t="inlineStr">
        <is>
          <t>SEND</t>
        </is>
      </c>
    </row>
    <row r="168">
      <c r="A168" t="inlineStr">
        <is>
          <t>Letícia</t>
        </is>
      </c>
      <c r="B168" t="inlineStr">
        <is>
          <t>+5587981291235</t>
        </is>
      </c>
      <c r="C168" t="inlineStr">
        <is>
          <t>Advocate</t>
        </is>
      </c>
      <c r="D168" t="inlineStr">
        <is>
          <t>Primer Liso</t>
        </is>
      </c>
      <c r="E168" t="n">
        <v>2</v>
      </c>
      <c r="F168" t="inlineStr">
        <is>
          <t>2025-09-19</t>
        </is>
      </c>
      <c r="G168" t="n">
        <v>288</v>
      </c>
      <c r="H168" t="inlineStr">
        <is>
          <t>Y</t>
        </is>
      </c>
      <c r="I168">
        <f>HYPERLINK("https://admin.shopify.com/store/ge-beauty-cosmeticos/customers/9080074502464","abrir")</f>
        <v/>
      </c>
      <c r="J168">
        <f>HYPERLINK("https://www.gebeauty.com.br/products/primer-liso-intacto?ref=review","review")</f>
        <v/>
      </c>
      <c r="K168" t="inlineStr">
        <is>
          <t>HOLDOUT</t>
        </is>
      </c>
    </row>
    <row r="169">
      <c r="A169" t="inlineStr">
        <is>
          <t>Cloe</t>
        </is>
      </c>
      <c r="B169" t="inlineStr">
        <is>
          <t>+5521981485048</t>
        </is>
      </c>
      <c r="C169" t="inlineStr">
        <is>
          <t>Advocate</t>
        </is>
      </c>
      <c r="D169" t="inlineStr">
        <is>
          <t>Primer Liso</t>
        </is>
      </c>
      <c r="E169" t="n">
        <v>2</v>
      </c>
      <c r="F169" t="inlineStr">
        <is>
          <t>2026-06-06</t>
        </is>
      </c>
      <c r="G169" t="n">
        <v>28</v>
      </c>
      <c r="H169" t="inlineStr">
        <is>
          <t>Y</t>
        </is>
      </c>
      <c r="I169">
        <f>HYPERLINK("https://admin.shopify.com/store/ge-beauty-cosmeticos/customers/9436934472000","abrir")</f>
        <v/>
      </c>
      <c r="J169">
        <f>HYPERLINK("https://www.gebeauty.com.br/products/primer-liso-intacto?ref=review","review")</f>
        <v/>
      </c>
      <c r="K169" t="inlineStr">
        <is>
          <t>SEND</t>
        </is>
      </c>
    </row>
    <row r="170">
      <c r="A170" t="inlineStr">
        <is>
          <t>Juliana</t>
        </is>
      </c>
      <c r="B170" t="inlineStr">
        <is>
          <t>+5511983903351</t>
        </is>
      </c>
      <c r="C170" t="inlineStr">
        <is>
          <t>Advocate</t>
        </is>
      </c>
      <c r="D170" t="inlineStr">
        <is>
          <t>Primer Liso</t>
        </is>
      </c>
      <c r="E170" t="n">
        <v>2</v>
      </c>
      <c r="F170" t="inlineStr">
        <is>
          <t>2025-07-11</t>
        </is>
      </c>
      <c r="G170" t="n">
        <v>358</v>
      </c>
      <c r="H170" t="inlineStr">
        <is>
          <t>Y</t>
        </is>
      </c>
      <c r="I170">
        <f>HYPERLINK("https://admin.shopify.com/store/ge-beauty-cosmeticos/customers/7761661886784","abrir")</f>
        <v/>
      </c>
      <c r="J170">
        <f>HYPERLINK("https://www.gebeauty.com.br/products/primer-liso-intacto?ref=review","review")</f>
        <v/>
      </c>
      <c r="K170" t="inlineStr">
        <is>
          <t>SEND</t>
        </is>
      </c>
    </row>
    <row r="171">
      <c r="A171" t="inlineStr">
        <is>
          <t>Laís</t>
        </is>
      </c>
      <c r="B171" t="inlineStr">
        <is>
          <t>+5591981489371</t>
        </is>
      </c>
      <c r="C171" t="inlineStr">
        <is>
          <t>Advocate</t>
        </is>
      </c>
      <c r="D171" t="inlineStr">
        <is>
          <t>Primer Liso</t>
        </is>
      </c>
      <c r="E171" t="n">
        <v>2</v>
      </c>
      <c r="F171" t="inlineStr">
        <is>
          <t>2025-07-12</t>
        </is>
      </c>
      <c r="G171" t="n">
        <v>357</v>
      </c>
      <c r="H171" t="inlineStr">
        <is>
          <t>Y</t>
        </is>
      </c>
      <c r="I171">
        <f>HYPERLINK("https://admin.shopify.com/store/ge-beauty-cosmeticos/customers/7762124636480","abrir")</f>
        <v/>
      </c>
      <c r="J171">
        <f>HYPERLINK("https://www.gebeauty.com.br/products/primer-liso-intacto?ref=review","review")</f>
        <v/>
      </c>
      <c r="K171" t="inlineStr">
        <is>
          <t>SEND</t>
        </is>
      </c>
    </row>
    <row r="172">
      <c r="A172" t="inlineStr">
        <is>
          <t>Ilana</t>
        </is>
      </c>
      <c r="B172" t="inlineStr">
        <is>
          <t>+5571999332731</t>
        </is>
      </c>
      <c r="C172" t="inlineStr">
        <is>
          <t>Advocate</t>
        </is>
      </c>
      <c r="D172" t="inlineStr">
        <is>
          <t>Primer Liso</t>
        </is>
      </c>
      <c r="E172" t="n">
        <v>2</v>
      </c>
      <c r="F172" t="inlineStr">
        <is>
          <t>2025-11-03</t>
        </is>
      </c>
      <c r="G172" t="n">
        <v>243</v>
      </c>
      <c r="H172" t="inlineStr">
        <is>
          <t>Y</t>
        </is>
      </c>
      <c r="I172">
        <f>HYPERLINK("https://admin.shopify.com/store/ge-beauty-cosmeticos/customers/7761900470592","abrir")</f>
        <v/>
      </c>
      <c r="J172">
        <f>HYPERLINK("https://www.gebeauty.com.br/products/primer-liso-intacto?ref=review","review")</f>
        <v/>
      </c>
      <c r="K172" t="inlineStr">
        <is>
          <t>SEND</t>
        </is>
      </c>
    </row>
    <row r="173">
      <c r="A173" t="inlineStr">
        <is>
          <t>Mariana</t>
        </is>
      </c>
      <c r="B173" t="inlineStr">
        <is>
          <t>+5511996165750</t>
        </is>
      </c>
      <c r="C173" t="inlineStr">
        <is>
          <t>Advocate</t>
        </is>
      </c>
      <c r="D173" t="inlineStr">
        <is>
          <t>Primer Liso</t>
        </is>
      </c>
      <c r="E173" t="n">
        <v>2</v>
      </c>
      <c r="F173" t="inlineStr">
        <is>
          <t>2025-10-01</t>
        </is>
      </c>
      <c r="G173" t="n">
        <v>276</v>
      </c>
      <c r="H173" t="inlineStr">
        <is>
          <t>N</t>
        </is>
      </c>
      <c r="I173">
        <f>HYPERLINK("https://admin.shopify.com/store/ge-beauty-cosmeticos/customers/9438248239424","abrir")</f>
        <v/>
      </c>
      <c r="J173">
        <f>HYPERLINK("https://www.gebeauty.com.br/products/primer-liso-intacto?ref=review","review")</f>
        <v/>
      </c>
      <c r="K173" t="inlineStr">
        <is>
          <t>SEND</t>
        </is>
      </c>
    </row>
    <row r="174">
      <c r="A174" t="inlineStr">
        <is>
          <t>Fabianna</t>
        </is>
      </c>
      <c r="B174" t="inlineStr">
        <is>
          <t>+5511971770935</t>
        </is>
      </c>
      <c r="C174" t="inlineStr">
        <is>
          <t>Advocate</t>
        </is>
      </c>
      <c r="D174" t="inlineStr">
        <is>
          <t>Primer Liso</t>
        </is>
      </c>
      <c r="E174" t="n">
        <v>2</v>
      </c>
      <c r="F174" t="inlineStr">
        <is>
          <t>2025-12-22</t>
        </is>
      </c>
      <c r="G174" t="n">
        <v>194</v>
      </c>
      <c r="H174" t="inlineStr">
        <is>
          <t>Y</t>
        </is>
      </c>
      <c r="I174">
        <f>HYPERLINK("https://admin.shopify.com/store/ge-beauty-cosmeticos/customers/7760272490816","abrir")</f>
        <v/>
      </c>
      <c r="J174">
        <f>HYPERLINK("https://www.gebeauty.com.br/products/primer-liso-intacto?ref=review","review")</f>
        <v/>
      </c>
      <c r="K174" t="inlineStr">
        <is>
          <t>SEND</t>
        </is>
      </c>
    </row>
    <row r="175">
      <c r="A175" t="inlineStr">
        <is>
          <t>Nathalia</t>
        </is>
      </c>
      <c r="B175" t="inlineStr">
        <is>
          <t>+5581996707137</t>
        </is>
      </c>
      <c r="C175" t="inlineStr">
        <is>
          <t>Advocate</t>
        </is>
      </c>
      <c r="D175" t="inlineStr">
        <is>
          <t>Primer Liso</t>
        </is>
      </c>
      <c r="E175" t="n">
        <v>2</v>
      </c>
      <c r="F175" t="inlineStr">
        <is>
          <t>2026-02-28</t>
        </is>
      </c>
      <c r="G175" t="n">
        <v>126</v>
      </c>
      <c r="H175" t="inlineStr">
        <is>
          <t>N</t>
        </is>
      </c>
      <c r="I175">
        <f>HYPERLINK("https://admin.shopify.com/store/ge-beauty-cosmeticos/customers/9467937849664","abrir")</f>
        <v/>
      </c>
      <c r="J175">
        <f>HYPERLINK("https://www.gebeauty.com.br/products/primer-liso-intacto?ref=review","review")</f>
        <v/>
      </c>
      <c r="K175" t="inlineStr">
        <is>
          <t>SEND</t>
        </is>
      </c>
    </row>
    <row r="176">
      <c r="A176" t="inlineStr">
        <is>
          <t>Thais</t>
        </is>
      </c>
      <c r="B176" t="inlineStr">
        <is>
          <t>+5521981068686</t>
        </is>
      </c>
      <c r="C176" t="inlineStr">
        <is>
          <t>Advocate</t>
        </is>
      </c>
      <c r="D176" t="inlineStr">
        <is>
          <t>Primer Liso</t>
        </is>
      </c>
      <c r="E176" t="n">
        <v>2</v>
      </c>
      <c r="F176" t="inlineStr">
        <is>
          <t>2026-01-24</t>
        </is>
      </c>
      <c r="G176" t="n">
        <v>161</v>
      </c>
      <c r="H176" t="inlineStr">
        <is>
          <t>Y</t>
        </is>
      </c>
      <c r="I176">
        <f>HYPERLINK("https://admin.shopify.com/store/ge-beauty-cosmeticos/customers/9475066724672","abrir")</f>
        <v/>
      </c>
      <c r="J176">
        <f>HYPERLINK("https://www.gebeauty.com.br/products/primer-liso-intacto?ref=review","review")</f>
        <v/>
      </c>
      <c r="K176" t="inlineStr">
        <is>
          <t>SEND</t>
        </is>
      </c>
    </row>
    <row r="177">
      <c r="A177" t="inlineStr">
        <is>
          <t>Monique</t>
        </is>
      </c>
      <c r="B177" t="inlineStr">
        <is>
          <t>+5591982728656</t>
        </is>
      </c>
      <c r="C177" t="inlineStr">
        <is>
          <t>Advocate</t>
        </is>
      </c>
      <c r="D177" t="inlineStr">
        <is>
          <t>Primer Liso</t>
        </is>
      </c>
      <c r="E177" t="n">
        <v>2</v>
      </c>
      <c r="F177" t="inlineStr">
        <is>
          <t>2025-07-23</t>
        </is>
      </c>
      <c r="G177" t="n">
        <v>346</v>
      </c>
      <c r="H177" t="inlineStr">
        <is>
          <t>N</t>
        </is>
      </c>
      <c r="I177">
        <f>HYPERLINK("https://admin.shopify.com/store/ge-beauty-cosmeticos/customers/7759662219584","abrir")</f>
        <v/>
      </c>
      <c r="J177">
        <f>HYPERLINK("https://www.gebeauty.com.br/products/primer-liso-intacto?ref=review","review")</f>
        <v/>
      </c>
      <c r="K177" t="inlineStr">
        <is>
          <t>HOLDOUT</t>
        </is>
      </c>
    </row>
    <row r="178">
      <c r="A178" t="inlineStr">
        <is>
          <t>Alini</t>
        </is>
      </c>
      <c r="B178" t="inlineStr">
        <is>
          <t>+5581997841731</t>
        </is>
      </c>
      <c r="C178" t="inlineStr">
        <is>
          <t>Advocate</t>
        </is>
      </c>
      <c r="D178" t="inlineStr">
        <is>
          <t>Primer Liso</t>
        </is>
      </c>
      <c r="E178" t="n">
        <v>2</v>
      </c>
      <c r="F178" t="inlineStr">
        <is>
          <t>2026-02-27</t>
        </is>
      </c>
      <c r="G178" t="n">
        <v>127</v>
      </c>
      <c r="H178" t="inlineStr">
        <is>
          <t>Y</t>
        </is>
      </c>
      <c r="I178">
        <f>HYPERLINK("https://admin.shopify.com/store/ge-beauty-cosmeticos/customers/9478971097408","abrir")</f>
        <v/>
      </c>
      <c r="J178">
        <f>HYPERLINK("https://www.gebeauty.com.br/products/primer-liso-intacto?ref=review","review")</f>
        <v/>
      </c>
      <c r="K178" t="inlineStr">
        <is>
          <t>SEND</t>
        </is>
      </c>
    </row>
    <row r="179">
      <c r="A179" t="inlineStr">
        <is>
          <t>Janaina</t>
        </is>
      </c>
      <c r="B179" t="inlineStr">
        <is>
          <t>+5541999193209</t>
        </is>
      </c>
      <c r="C179" t="inlineStr">
        <is>
          <t>Advocate</t>
        </is>
      </c>
      <c r="D179" t="inlineStr">
        <is>
          <t>Primer Liso</t>
        </is>
      </c>
      <c r="E179" t="n">
        <v>2</v>
      </c>
      <c r="F179" t="inlineStr">
        <is>
          <t>2026-03-03</t>
        </is>
      </c>
      <c r="G179" t="n">
        <v>123</v>
      </c>
      <c r="H179" t="inlineStr">
        <is>
          <t>Y</t>
        </is>
      </c>
      <c r="I179">
        <f>HYPERLINK("https://admin.shopify.com/store/ge-beauty-cosmeticos/customers/7759214707008","abrir")</f>
        <v/>
      </c>
      <c r="J179">
        <f>HYPERLINK("https://www.gebeauty.com.br/products/primer-liso-intacto?ref=review","review")</f>
        <v/>
      </c>
      <c r="K179" t="inlineStr">
        <is>
          <t>SEND</t>
        </is>
      </c>
    </row>
    <row r="180">
      <c r="A180" t="inlineStr">
        <is>
          <t>Bruna</t>
        </is>
      </c>
      <c r="B180" t="inlineStr">
        <is>
          <t>+5521984156263</t>
        </is>
      </c>
      <c r="C180" t="inlineStr">
        <is>
          <t>Advocate</t>
        </is>
      </c>
      <c r="D180" t="inlineStr">
        <is>
          <t>Primer Liso</t>
        </is>
      </c>
      <c r="E180" t="n">
        <v>2</v>
      </c>
      <c r="F180" t="inlineStr">
        <is>
          <t>2026-03-19</t>
        </is>
      </c>
      <c r="G180" t="n">
        <v>107</v>
      </c>
      <c r="H180" t="inlineStr">
        <is>
          <t>Y</t>
        </is>
      </c>
      <c r="I180">
        <f>HYPERLINK("https://admin.shopify.com/store/ge-beauty-cosmeticos/customers/7759462203712","abrir")</f>
        <v/>
      </c>
      <c r="J180">
        <f>HYPERLINK("https://www.gebeauty.com.br/products/primer-liso-intacto?ref=review","review")</f>
        <v/>
      </c>
      <c r="K180" t="inlineStr">
        <is>
          <t>HOLDOUT</t>
        </is>
      </c>
    </row>
    <row r="181">
      <c r="A181" t="inlineStr">
        <is>
          <t>Samira</t>
        </is>
      </c>
      <c r="B181" t="inlineStr">
        <is>
          <t>+5543988368151</t>
        </is>
      </c>
      <c r="C181" t="inlineStr">
        <is>
          <t>Advocate</t>
        </is>
      </c>
      <c r="D181" t="inlineStr">
        <is>
          <t>Primer Liso</t>
        </is>
      </c>
      <c r="E181" t="n">
        <v>2</v>
      </c>
      <c r="F181" t="inlineStr">
        <is>
          <t>2025-07-27</t>
        </is>
      </c>
      <c r="G181" t="n">
        <v>342</v>
      </c>
      <c r="H181" t="inlineStr">
        <is>
          <t>Y</t>
        </is>
      </c>
      <c r="I181">
        <f>HYPERLINK("https://admin.shopify.com/store/ge-beauty-cosmeticos/customers/8395282514240","abrir")</f>
        <v/>
      </c>
      <c r="J181">
        <f>HYPERLINK("https://www.gebeauty.com.br/products/primer-liso-intacto?ref=review","review")</f>
        <v/>
      </c>
      <c r="K181" t="inlineStr">
        <is>
          <t>SEND</t>
        </is>
      </c>
    </row>
    <row r="182">
      <c r="A182" t="inlineStr">
        <is>
          <t>Amanda</t>
        </is>
      </c>
      <c r="B182" t="inlineStr">
        <is>
          <t>+5571997327339</t>
        </is>
      </c>
      <c r="C182" t="inlineStr">
        <is>
          <t>Advocate</t>
        </is>
      </c>
      <c r="D182" t="inlineStr">
        <is>
          <t>Primer Liso</t>
        </is>
      </c>
      <c r="E182" t="n">
        <v>2</v>
      </c>
      <c r="F182" t="inlineStr">
        <is>
          <t>2026-06-16</t>
        </is>
      </c>
      <c r="G182" t="n">
        <v>18</v>
      </c>
      <c r="H182" t="inlineStr">
        <is>
          <t>Y</t>
        </is>
      </c>
      <c r="I182">
        <f>HYPERLINK("https://admin.shopify.com/store/ge-beauty-cosmeticos/customers/7762230444352","abrir")</f>
        <v/>
      </c>
      <c r="J182">
        <f>HYPERLINK("https://www.gebeauty.com.br/products/primer-liso-intacto?ref=review","review")</f>
        <v/>
      </c>
      <c r="K182" t="inlineStr">
        <is>
          <t>SEND</t>
        </is>
      </c>
    </row>
    <row r="183">
      <c r="A183" t="inlineStr">
        <is>
          <t>Rossana</t>
        </is>
      </c>
      <c r="B183" t="inlineStr">
        <is>
          <t>+5511993912102</t>
        </is>
      </c>
      <c r="C183" t="inlineStr">
        <is>
          <t>Advocate</t>
        </is>
      </c>
      <c r="D183" t="inlineStr">
        <is>
          <t>Primer Liso</t>
        </is>
      </c>
      <c r="E183" t="n">
        <v>2</v>
      </c>
      <c r="F183" t="inlineStr">
        <is>
          <t>2025-08-02</t>
        </is>
      </c>
      <c r="G183" t="n">
        <v>336</v>
      </c>
      <c r="H183" t="inlineStr">
        <is>
          <t>N</t>
        </is>
      </c>
      <c r="I183">
        <f>HYPERLINK("https://admin.shopify.com/store/ge-beauty-cosmeticos/customers/7762005295424","abrir")</f>
        <v/>
      </c>
      <c r="J183">
        <f>HYPERLINK("https://www.gebeauty.com.br/products/primer-liso-intacto?ref=review","review")</f>
        <v/>
      </c>
      <c r="K183" t="inlineStr">
        <is>
          <t>SEND</t>
        </is>
      </c>
    </row>
    <row r="184">
      <c r="A184" t="inlineStr">
        <is>
          <t>Janaina</t>
        </is>
      </c>
      <c r="B184" t="inlineStr">
        <is>
          <t>+5531991886264</t>
        </is>
      </c>
      <c r="C184" t="inlineStr">
        <is>
          <t>Advocate</t>
        </is>
      </c>
      <c r="D184" t="inlineStr">
        <is>
          <t>Primer Liso</t>
        </is>
      </c>
      <c r="E184" t="n">
        <v>2</v>
      </c>
      <c r="F184" t="inlineStr">
        <is>
          <t>2026-03-17</t>
        </is>
      </c>
      <c r="G184" t="n">
        <v>109</v>
      </c>
      <c r="H184" t="inlineStr">
        <is>
          <t>Y</t>
        </is>
      </c>
      <c r="I184">
        <f>HYPERLINK("https://admin.shopify.com/store/ge-beauty-cosmeticos/customers/9505771979072","abrir")</f>
        <v/>
      </c>
      <c r="J184">
        <f>HYPERLINK("https://www.gebeauty.com.br/products/primer-liso-intacto?ref=review","review")</f>
        <v/>
      </c>
      <c r="K184" t="inlineStr">
        <is>
          <t>SEND</t>
        </is>
      </c>
    </row>
    <row r="185">
      <c r="A185" t="inlineStr">
        <is>
          <t>Mariah</t>
        </is>
      </c>
      <c r="B185" t="inlineStr">
        <is>
          <t>+5581998737641</t>
        </is>
      </c>
      <c r="C185" t="inlineStr">
        <is>
          <t>Advocate</t>
        </is>
      </c>
      <c r="D185" t="inlineStr">
        <is>
          <t>Primer Liso</t>
        </is>
      </c>
      <c r="E185" t="n">
        <v>2</v>
      </c>
      <c r="F185" t="inlineStr">
        <is>
          <t>2026-05-28</t>
        </is>
      </c>
      <c r="G185" t="n">
        <v>37</v>
      </c>
      <c r="H185" t="inlineStr">
        <is>
          <t>Y</t>
        </is>
      </c>
      <c r="I185">
        <f>HYPERLINK("https://admin.shopify.com/store/ge-beauty-cosmeticos/customers/9484636094784","abrir")</f>
        <v/>
      </c>
      <c r="J185">
        <f>HYPERLINK("https://www.gebeauty.com.br/products/primer-liso-intacto?ref=review","review")</f>
        <v/>
      </c>
      <c r="K185" t="inlineStr">
        <is>
          <t>SEND</t>
        </is>
      </c>
    </row>
    <row r="186">
      <c r="A186" t="inlineStr">
        <is>
          <t>Isabela</t>
        </is>
      </c>
      <c r="B186" t="inlineStr">
        <is>
          <t>+5532988885065</t>
        </is>
      </c>
      <c r="C186" t="inlineStr">
        <is>
          <t>Advocate</t>
        </is>
      </c>
      <c r="D186" t="inlineStr">
        <is>
          <t>Primer Liso</t>
        </is>
      </c>
      <c r="E186" t="n">
        <v>2</v>
      </c>
      <c r="F186" t="inlineStr">
        <is>
          <t>2026-05-23</t>
        </is>
      </c>
      <c r="G186" t="n">
        <v>42</v>
      </c>
      <c r="H186" t="inlineStr">
        <is>
          <t>Y</t>
        </is>
      </c>
      <c r="I186">
        <f>HYPERLINK("https://admin.shopify.com/store/ge-beauty-cosmeticos/customers/9486415987008","abrir")</f>
        <v/>
      </c>
      <c r="J186">
        <f>HYPERLINK("https://www.gebeauty.com.br/products/primer-liso-intacto?ref=review","review")</f>
        <v/>
      </c>
      <c r="K186" t="inlineStr">
        <is>
          <t>SEND</t>
        </is>
      </c>
    </row>
    <row r="187">
      <c r="A187" t="inlineStr">
        <is>
          <t>Mariana</t>
        </is>
      </c>
      <c r="B187" t="inlineStr">
        <is>
          <t>+5511999912011</t>
        </is>
      </c>
      <c r="C187" t="inlineStr">
        <is>
          <t>Advocate</t>
        </is>
      </c>
      <c r="D187" t="inlineStr">
        <is>
          <t>Primer Liso</t>
        </is>
      </c>
      <c r="E187" t="n">
        <v>2</v>
      </c>
      <c r="F187" t="inlineStr">
        <is>
          <t>2026-06-16</t>
        </is>
      </c>
      <c r="G187" t="n">
        <v>18</v>
      </c>
      <c r="H187" t="inlineStr">
        <is>
          <t>Y</t>
        </is>
      </c>
      <c r="I187">
        <f>HYPERLINK("https://admin.shopify.com/store/ge-beauty-cosmeticos/customers/7762664161600","abrir")</f>
        <v/>
      </c>
      <c r="J187">
        <f>HYPERLINK("https://www.gebeauty.com.br/products/primer-liso-intacto?ref=review","review")</f>
        <v/>
      </c>
      <c r="K187" t="inlineStr">
        <is>
          <t>SEND</t>
        </is>
      </c>
    </row>
    <row r="188">
      <c r="A188" t="inlineStr">
        <is>
          <t>Thaiz</t>
        </is>
      </c>
      <c r="B188" t="inlineStr">
        <is>
          <t>+5585981153009</t>
        </is>
      </c>
      <c r="C188" t="inlineStr">
        <is>
          <t>Advocate</t>
        </is>
      </c>
      <c r="D188" t="inlineStr">
        <is>
          <t>Primer Liso</t>
        </is>
      </c>
      <c r="E188" t="n">
        <v>2</v>
      </c>
      <c r="F188" t="inlineStr">
        <is>
          <t>2025-09-30</t>
        </is>
      </c>
      <c r="G188" t="n">
        <v>277</v>
      </c>
      <c r="H188" t="inlineStr">
        <is>
          <t>Y</t>
        </is>
      </c>
      <c r="I188">
        <f>HYPERLINK("https://admin.shopify.com/store/ge-beauty-cosmeticos/customers/8474429882688","abrir")</f>
        <v/>
      </c>
      <c r="J188">
        <f>HYPERLINK("https://www.gebeauty.com.br/products/primer-liso-intacto?ref=review","review")</f>
        <v/>
      </c>
      <c r="K188" t="inlineStr">
        <is>
          <t>SEND</t>
        </is>
      </c>
    </row>
    <row r="189">
      <c r="A189" t="inlineStr">
        <is>
          <t>Tatiane</t>
        </is>
      </c>
      <c r="B189" t="inlineStr">
        <is>
          <t>+5581999594662</t>
        </is>
      </c>
      <c r="C189" t="inlineStr">
        <is>
          <t>Advocate</t>
        </is>
      </c>
      <c r="D189" t="inlineStr">
        <is>
          <t>Primer Liso</t>
        </is>
      </c>
      <c r="E189" t="n">
        <v>3</v>
      </c>
      <c r="F189" t="inlineStr">
        <is>
          <t>2026-03-27</t>
        </is>
      </c>
      <c r="G189" t="n">
        <v>99</v>
      </c>
      <c r="H189" t="inlineStr">
        <is>
          <t>Y</t>
        </is>
      </c>
      <c r="I189">
        <f>HYPERLINK("https://admin.shopify.com/store/ge-beauty-cosmeticos/customers/9513128886592","abrir")</f>
        <v/>
      </c>
      <c r="J189">
        <f>HYPERLINK("https://www.gebeauty.com.br/products/primer-liso-intacto?ref=review","review")</f>
        <v/>
      </c>
      <c r="K189" t="inlineStr">
        <is>
          <t>SEND</t>
        </is>
      </c>
    </row>
    <row r="190">
      <c r="A190" t="inlineStr">
        <is>
          <t>Flavia</t>
        </is>
      </c>
      <c r="B190" t="inlineStr">
        <is>
          <t>+5571999664621</t>
        </is>
      </c>
      <c r="C190" t="inlineStr">
        <is>
          <t>Advocate</t>
        </is>
      </c>
      <c r="D190" t="inlineStr">
        <is>
          <t>Primer Liso</t>
        </is>
      </c>
      <c r="E190" t="n">
        <v>2</v>
      </c>
      <c r="F190" t="inlineStr">
        <is>
          <t>2025-11-02</t>
        </is>
      </c>
      <c r="G190" t="n">
        <v>244</v>
      </c>
      <c r="H190" t="inlineStr">
        <is>
          <t>Y</t>
        </is>
      </c>
      <c r="I190">
        <f>HYPERLINK("https://admin.shopify.com/store/ge-beauty-cosmeticos/customers/7761002135872","abrir")</f>
        <v/>
      </c>
      <c r="J190">
        <f>HYPERLINK("https://www.gebeauty.com.br/products/primer-liso-intacto?ref=review","review")</f>
        <v/>
      </c>
      <c r="K190" t="inlineStr">
        <is>
          <t>HOLDOUT</t>
        </is>
      </c>
    </row>
    <row r="191">
      <c r="A191" t="inlineStr">
        <is>
          <t>Juliana</t>
        </is>
      </c>
      <c r="B191" t="inlineStr">
        <is>
          <t>+5511982860064</t>
        </is>
      </c>
      <c r="C191" t="inlineStr">
        <is>
          <t>Advocate</t>
        </is>
      </c>
      <c r="D191" t="inlineStr">
        <is>
          <t>Primer Liso</t>
        </is>
      </c>
      <c r="E191" t="n">
        <v>2</v>
      </c>
      <c r="F191" t="inlineStr">
        <is>
          <t>2025-08-16</t>
        </is>
      </c>
      <c r="G191" t="n">
        <v>322</v>
      </c>
      <c r="H191" t="inlineStr">
        <is>
          <t>Y</t>
        </is>
      </c>
      <c r="I191">
        <f>HYPERLINK("https://admin.shopify.com/store/ge-beauty-cosmeticos/customers/7761974329664","abrir")</f>
        <v/>
      </c>
      <c r="J191">
        <f>HYPERLINK("https://www.gebeauty.com.br/products/primer-liso-intacto?ref=review","review")</f>
        <v/>
      </c>
      <c r="K191" t="inlineStr">
        <is>
          <t>SEND</t>
        </is>
      </c>
    </row>
    <row r="192">
      <c r="A192" t="inlineStr">
        <is>
          <t>Cristiane</t>
        </is>
      </c>
      <c r="B192" t="inlineStr">
        <is>
          <t>+5511976883082</t>
        </is>
      </c>
      <c r="C192" t="inlineStr">
        <is>
          <t>Advocate</t>
        </is>
      </c>
      <c r="D192" t="inlineStr">
        <is>
          <t>Primer Liso</t>
        </is>
      </c>
      <c r="E192" t="n">
        <v>2</v>
      </c>
      <c r="F192" t="inlineStr">
        <is>
          <t>2025-12-02</t>
        </is>
      </c>
      <c r="G192" t="n">
        <v>214</v>
      </c>
      <c r="H192" t="inlineStr">
        <is>
          <t>Y</t>
        </is>
      </c>
      <c r="I192">
        <f>HYPERLINK("https://admin.shopify.com/store/ge-beauty-cosmeticos/customers/9565265363264","abrir")</f>
        <v/>
      </c>
      <c r="J192">
        <f>HYPERLINK("https://www.gebeauty.com.br/products/primer-liso-intacto?ref=review","review")</f>
        <v/>
      </c>
      <c r="K192" t="inlineStr">
        <is>
          <t>SEND</t>
        </is>
      </c>
    </row>
    <row r="193">
      <c r="A193" t="inlineStr">
        <is>
          <t>Flavia</t>
        </is>
      </c>
      <c r="B193" t="inlineStr">
        <is>
          <t>+5583993827379</t>
        </is>
      </c>
      <c r="C193" t="inlineStr">
        <is>
          <t>Advocate</t>
        </is>
      </c>
      <c r="D193" t="inlineStr">
        <is>
          <t>Primer Liso</t>
        </is>
      </c>
      <c r="E193" t="n">
        <v>2</v>
      </c>
      <c r="F193" t="inlineStr">
        <is>
          <t>2025-11-25</t>
        </is>
      </c>
      <c r="G193" t="n">
        <v>221</v>
      </c>
      <c r="H193" t="inlineStr">
        <is>
          <t>Y</t>
        </is>
      </c>
      <c r="I193">
        <f>HYPERLINK("https://admin.shopify.com/store/ge-beauty-cosmeticos/customers/9578686153024","abrir")</f>
        <v/>
      </c>
      <c r="J193">
        <f>HYPERLINK("https://www.gebeauty.com.br/products/primer-liso-intacto?ref=review","review")</f>
        <v/>
      </c>
      <c r="K193" t="inlineStr">
        <is>
          <t>SEND</t>
        </is>
      </c>
    </row>
    <row r="194">
      <c r="A194" t="inlineStr">
        <is>
          <t>Liz</t>
        </is>
      </c>
      <c r="B194" t="inlineStr">
        <is>
          <t>+5582991042591</t>
        </is>
      </c>
      <c r="C194" t="inlineStr">
        <is>
          <t>Advocate</t>
        </is>
      </c>
      <c r="D194" t="inlineStr">
        <is>
          <t>Primer Liso</t>
        </is>
      </c>
      <c r="E194" t="n">
        <v>3</v>
      </c>
      <c r="F194" t="inlineStr">
        <is>
          <t>2026-06-14</t>
        </is>
      </c>
      <c r="G194" t="n">
        <v>20</v>
      </c>
      <c r="H194" t="inlineStr">
        <is>
          <t>Y</t>
        </is>
      </c>
      <c r="I194">
        <f>HYPERLINK("https://admin.shopify.com/store/ge-beauty-cosmeticos/customers/9970661491008","abrir")</f>
        <v/>
      </c>
      <c r="J194">
        <f>HYPERLINK("https://www.gebeauty.com.br/products/primer-liso-intacto?ref=review","review")</f>
        <v/>
      </c>
      <c r="K194" t="inlineStr">
        <is>
          <t>SEND</t>
        </is>
      </c>
    </row>
    <row r="195">
      <c r="A195" t="inlineStr">
        <is>
          <t>Alessandra</t>
        </is>
      </c>
      <c r="B195" t="inlineStr">
        <is>
          <t>+5511981411433</t>
        </is>
      </c>
      <c r="C195" t="inlineStr">
        <is>
          <t>Advocate</t>
        </is>
      </c>
      <c r="D195" t="inlineStr">
        <is>
          <t>Primer Liso</t>
        </is>
      </c>
      <c r="E195" t="n">
        <v>2</v>
      </c>
      <c r="F195" t="inlineStr">
        <is>
          <t>2026-02-18</t>
        </is>
      </c>
      <c r="G195" t="n">
        <v>136</v>
      </c>
      <c r="H195" t="inlineStr">
        <is>
          <t>Y</t>
        </is>
      </c>
      <c r="I195">
        <f>HYPERLINK("https://admin.shopify.com/store/ge-beauty-cosmeticos/customers/9586553880896","abrir")</f>
        <v/>
      </c>
      <c r="J195">
        <f>HYPERLINK("https://www.gebeauty.com.br/products/primer-liso-intacto?ref=review","review")</f>
        <v/>
      </c>
      <c r="K195" t="inlineStr">
        <is>
          <t>SEND</t>
        </is>
      </c>
    </row>
    <row r="196">
      <c r="A196" t="inlineStr">
        <is>
          <t>Flavia</t>
        </is>
      </c>
      <c r="B196" t="inlineStr">
        <is>
          <t>+5511981267638</t>
        </is>
      </c>
      <c r="C196" t="inlineStr">
        <is>
          <t>Advocate</t>
        </is>
      </c>
      <c r="D196" t="inlineStr">
        <is>
          <t>Primer Liso</t>
        </is>
      </c>
      <c r="E196" t="n">
        <v>2</v>
      </c>
      <c r="F196" t="inlineStr">
        <is>
          <t>2026-06-29</t>
        </is>
      </c>
      <c r="G196" t="n">
        <v>5</v>
      </c>
      <c r="H196" t="inlineStr">
        <is>
          <t>Y</t>
        </is>
      </c>
      <c r="I196">
        <f>HYPERLINK("https://admin.shopify.com/store/ge-beauty-cosmeticos/customers/9078054158656","abrir")</f>
        <v/>
      </c>
      <c r="J196">
        <f>HYPERLINK("https://www.gebeauty.com.br/products/primer-liso-intacto?ref=review","review")</f>
        <v/>
      </c>
      <c r="K196" t="inlineStr">
        <is>
          <t>SEND</t>
        </is>
      </c>
    </row>
    <row r="197">
      <c r="A197" t="inlineStr">
        <is>
          <t>Danielle</t>
        </is>
      </c>
      <c r="B197" t="inlineStr">
        <is>
          <t>+5511966368320</t>
        </is>
      </c>
      <c r="C197" t="inlineStr">
        <is>
          <t>Advocate</t>
        </is>
      </c>
      <c r="D197" t="inlineStr">
        <is>
          <t>Primer Liso</t>
        </is>
      </c>
      <c r="E197" t="n">
        <v>3</v>
      </c>
      <c r="F197" t="inlineStr">
        <is>
          <t>2026-07-01</t>
        </is>
      </c>
      <c r="G197" t="n">
        <v>3</v>
      </c>
      <c r="H197" t="inlineStr">
        <is>
          <t>Y</t>
        </is>
      </c>
      <c r="I197">
        <f>HYPERLINK("https://admin.shopify.com/store/ge-beauty-cosmeticos/customers/7761403806016","abrir")</f>
        <v/>
      </c>
      <c r="J197">
        <f>HYPERLINK("https://www.gebeauty.com.br/products/primer-liso-intacto?ref=review","review")</f>
        <v/>
      </c>
      <c r="K197" t="inlineStr">
        <is>
          <t>SEND</t>
        </is>
      </c>
    </row>
    <row r="198">
      <c r="A198" t="inlineStr">
        <is>
          <t>Barbara</t>
        </is>
      </c>
      <c r="B198" t="inlineStr">
        <is>
          <t>+5519998571543</t>
        </is>
      </c>
      <c r="C198" t="inlineStr">
        <is>
          <t>Advocate</t>
        </is>
      </c>
      <c r="D198" t="inlineStr">
        <is>
          <t>Primer Liso</t>
        </is>
      </c>
      <c r="E198" t="n">
        <v>2</v>
      </c>
      <c r="F198" t="inlineStr">
        <is>
          <t>2026-06-14</t>
        </is>
      </c>
      <c r="G198" t="n">
        <v>20</v>
      </c>
      <c r="H198" t="inlineStr">
        <is>
          <t>Y</t>
        </is>
      </c>
      <c r="I198">
        <f>HYPERLINK("https://admin.shopify.com/store/ge-beauty-cosmeticos/customers/7762451235136","abrir")</f>
        <v/>
      </c>
      <c r="J198">
        <f>HYPERLINK("https://www.gebeauty.com.br/products/primer-liso-intacto?ref=review","review")</f>
        <v/>
      </c>
      <c r="K198" t="inlineStr">
        <is>
          <t>SEND</t>
        </is>
      </c>
    </row>
    <row r="199">
      <c r="A199" t="inlineStr">
        <is>
          <t>Suelen</t>
        </is>
      </c>
      <c r="B199" t="inlineStr">
        <is>
          <t>+5554996555470</t>
        </is>
      </c>
      <c r="C199" t="inlineStr">
        <is>
          <t>Advocate</t>
        </is>
      </c>
      <c r="D199" t="inlineStr">
        <is>
          <t>Primer Liso</t>
        </is>
      </c>
      <c r="E199" t="n">
        <v>3</v>
      </c>
      <c r="F199" t="inlineStr">
        <is>
          <t>2025-12-13</t>
        </is>
      </c>
      <c r="G199" t="n">
        <v>203</v>
      </c>
      <c r="H199" t="inlineStr">
        <is>
          <t>Y</t>
        </is>
      </c>
      <c r="I199">
        <f>HYPERLINK("https://admin.shopify.com/store/ge-beauty-cosmeticos/customers/9589403976000","abrir")</f>
        <v/>
      </c>
      <c r="J199">
        <f>HYPERLINK("https://www.gebeauty.com.br/products/primer-liso-intacto?ref=review","review")</f>
        <v/>
      </c>
      <c r="K199" t="inlineStr">
        <is>
          <t>SEND</t>
        </is>
      </c>
    </row>
    <row r="200">
      <c r="A200" t="inlineStr">
        <is>
          <t>Olivia</t>
        </is>
      </c>
      <c r="B200" t="inlineStr">
        <is>
          <t>+551932726180</t>
        </is>
      </c>
      <c r="C200" t="inlineStr">
        <is>
          <t>Advocate</t>
        </is>
      </c>
      <c r="D200" t="inlineStr">
        <is>
          <t>Primer Liso</t>
        </is>
      </c>
      <c r="E200" t="n">
        <v>3</v>
      </c>
      <c r="F200" t="inlineStr">
        <is>
          <t>2025-12-01</t>
        </is>
      </c>
      <c r="G200" t="n">
        <v>215</v>
      </c>
      <c r="H200" t="inlineStr">
        <is>
          <t>Y</t>
        </is>
      </c>
      <c r="I200">
        <f>HYPERLINK("https://admin.shopify.com/store/ge-beauty-cosmeticos/customers/7760385933632","abrir")</f>
        <v/>
      </c>
      <c r="J200">
        <f>HYPERLINK("https://www.gebeauty.com.br/products/primer-liso-intacto?ref=review","review")</f>
        <v/>
      </c>
      <c r="K200" t="inlineStr">
        <is>
          <t>SEND</t>
        </is>
      </c>
    </row>
    <row r="201">
      <c r="A201" t="inlineStr">
        <is>
          <t>Flavia</t>
        </is>
      </c>
      <c r="B201" t="inlineStr">
        <is>
          <t>+5521996673133</t>
        </is>
      </c>
      <c r="C201" t="inlineStr">
        <is>
          <t>Advocate</t>
        </is>
      </c>
      <c r="D201" t="inlineStr">
        <is>
          <t>Primer Liso</t>
        </is>
      </c>
      <c r="E201" t="n">
        <v>2</v>
      </c>
      <c r="F201" t="inlineStr">
        <is>
          <t>2026-03-16</t>
        </is>
      </c>
      <c r="G201" t="n">
        <v>110</v>
      </c>
      <c r="H201" t="inlineStr">
        <is>
          <t>Y</t>
        </is>
      </c>
      <c r="I201">
        <f>HYPERLINK("https://admin.shopify.com/store/ge-beauty-cosmeticos/customers/9655880122688","abrir")</f>
        <v/>
      </c>
      <c r="J201">
        <f>HYPERLINK("https://www.gebeauty.com.br/products/primer-liso-intacto?ref=review","review")</f>
        <v/>
      </c>
      <c r="K201" t="inlineStr">
        <is>
          <t>SEND</t>
        </is>
      </c>
    </row>
    <row r="202">
      <c r="A202" t="inlineStr">
        <is>
          <t>Fernanda</t>
        </is>
      </c>
      <c r="B202" t="inlineStr">
        <is>
          <t>+5585999852412</t>
        </is>
      </c>
      <c r="C202" t="inlineStr">
        <is>
          <t>Advocate</t>
        </is>
      </c>
      <c r="D202" t="inlineStr">
        <is>
          <t>Primer Liso</t>
        </is>
      </c>
      <c r="E202" t="n">
        <v>2</v>
      </c>
      <c r="F202" t="inlineStr">
        <is>
          <t>2025-09-14</t>
        </is>
      </c>
      <c r="G202" t="n">
        <v>293</v>
      </c>
      <c r="H202" t="inlineStr">
        <is>
          <t>Y</t>
        </is>
      </c>
      <c r="I202">
        <f>HYPERLINK("https://admin.shopify.com/store/ge-beauty-cosmeticos/customers/8611984933184","abrir")</f>
        <v/>
      </c>
      <c r="J202">
        <f>HYPERLINK("https://www.gebeauty.com.br/products/primer-liso-intacto?ref=review","review")</f>
        <v/>
      </c>
      <c r="K202" t="inlineStr">
        <is>
          <t>SEND</t>
        </is>
      </c>
    </row>
    <row r="203">
      <c r="A203" t="inlineStr">
        <is>
          <t>Paola</t>
        </is>
      </c>
      <c r="B203" t="inlineStr">
        <is>
          <t>+5551981429178</t>
        </is>
      </c>
      <c r="C203" t="inlineStr">
        <is>
          <t>Advocate</t>
        </is>
      </c>
      <c r="D203" t="inlineStr">
        <is>
          <t>Primer Liso</t>
        </is>
      </c>
      <c r="E203" t="n">
        <v>2</v>
      </c>
      <c r="F203" t="inlineStr">
        <is>
          <t>2025-10-24</t>
        </is>
      </c>
      <c r="G203" t="n">
        <v>253</v>
      </c>
      <c r="H203" t="inlineStr">
        <is>
          <t>Y</t>
        </is>
      </c>
      <c r="I203">
        <f>HYPERLINK("https://admin.shopify.com/store/ge-beauty-cosmeticos/customers/9672318452032","abrir")</f>
        <v/>
      </c>
      <c r="J203">
        <f>HYPERLINK("https://www.gebeauty.com.br/products/primer-liso-intacto?ref=review","review")</f>
        <v/>
      </c>
      <c r="K203" t="inlineStr">
        <is>
          <t>SEND</t>
        </is>
      </c>
    </row>
    <row r="204">
      <c r="A204" t="inlineStr">
        <is>
          <t>Claudejane</t>
        </is>
      </c>
      <c r="B204" t="inlineStr">
        <is>
          <t>+5581989555868</t>
        </is>
      </c>
      <c r="C204" t="inlineStr">
        <is>
          <t>Advocate</t>
        </is>
      </c>
      <c r="D204" t="inlineStr">
        <is>
          <t>Primer Liso</t>
        </is>
      </c>
      <c r="E204" t="n">
        <v>2</v>
      </c>
      <c r="F204" t="inlineStr">
        <is>
          <t>2026-04-23</t>
        </is>
      </c>
      <c r="G204" t="n">
        <v>72</v>
      </c>
      <c r="H204" t="inlineStr">
        <is>
          <t>Y</t>
        </is>
      </c>
      <c r="I204">
        <f>HYPERLINK("https://admin.shopify.com/store/ge-beauty-cosmeticos/customers/9121589690688","abrir")</f>
        <v/>
      </c>
      <c r="J204">
        <f>HYPERLINK("https://www.gebeauty.com.br/products/primer-liso-intacto?ref=review","review")</f>
        <v/>
      </c>
      <c r="K204" t="inlineStr">
        <is>
          <t>HOLDOUT</t>
        </is>
      </c>
    </row>
    <row r="205">
      <c r="A205" t="inlineStr">
        <is>
          <t>Letícia</t>
        </is>
      </c>
      <c r="B205" t="inlineStr">
        <is>
          <t>+5511986221183</t>
        </is>
      </c>
      <c r="C205" t="inlineStr">
        <is>
          <t>Advocate</t>
        </is>
      </c>
      <c r="D205" t="inlineStr">
        <is>
          <t>Primer Liso</t>
        </is>
      </c>
      <c r="E205" t="n">
        <v>2</v>
      </c>
      <c r="F205" t="inlineStr">
        <is>
          <t>2025-09-25</t>
        </is>
      </c>
      <c r="G205" t="n">
        <v>282</v>
      </c>
      <c r="H205" t="inlineStr">
        <is>
          <t>Y</t>
        </is>
      </c>
      <c r="I205">
        <f>HYPERLINK("https://admin.shopify.com/store/ge-beauty-cosmeticos/customers/9022930616640","abrir")</f>
        <v/>
      </c>
      <c r="J205">
        <f>HYPERLINK("https://www.gebeauty.com.br/products/primer-liso-intacto?ref=review","review")</f>
        <v/>
      </c>
      <c r="K205" t="inlineStr">
        <is>
          <t>SEND</t>
        </is>
      </c>
    </row>
    <row r="206">
      <c r="A206" t="inlineStr">
        <is>
          <t>Juliana</t>
        </is>
      </c>
      <c r="B206" t="inlineStr">
        <is>
          <t>+5571987603158</t>
        </is>
      </c>
      <c r="C206" t="inlineStr">
        <is>
          <t>Advocate</t>
        </is>
      </c>
      <c r="D206" t="inlineStr">
        <is>
          <t>Primer Liso</t>
        </is>
      </c>
      <c r="E206" t="n">
        <v>2</v>
      </c>
      <c r="F206" t="inlineStr">
        <is>
          <t>2026-02-22</t>
        </is>
      </c>
      <c r="G206" t="n">
        <v>132</v>
      </c>
      <c r="H206" t="inlineStr">
        <is>
          <t>Y</t>
        </is>
      </c>
      <c r="I206">
        <f>HYPERLINK("https://admin.shopify.com/store/ge-beauty-cosmeticos/customers/9738588684608","abrir")</f>
        <v/>
      </c>
      <c r="J206">
        <f>HYPERLINK("https://www.gebeauty.com.br/products/primer-liso-intacto?ref=review","review")</f>
        <v/>
      </c>
      <c r="K206" t="inlineStr">
        <is>
          <t>SEND</t>
        </is>
      </c>
    </row>
    <row r="207">
      <c r="A207" t="inlineStr">
        <is>
          <t>Ana Beatriz</t>
        </is>
      </c>
      <c r="B207" t="inlineStr">
        <is>
          <t>+5562982799370</t>
        </is>
      </c>
      <c r="C207" t="inlineStr">
        <is>
          <t>Advocate</t>
        </is>
      </c>
      <c r="D207" t="inlineStr">
        <is>
          <t>Primer Liso</t>
        </is>
      </c>
      <c r="E207" t="n">
        <v>2</v>
      </c>
      <c r="F207" t="inlineStr">
        <is>
          <t>2026-05-23</t>
        </is>
      </c>
      <c r="G207" t="n">
        <v>42</v>
      </c>
      <c r="H207" t="inlineStr">
        <is>
          <t>Y</t>
        </is>
      </c>
      <c r="I207">
        <f>HYPERLINK("https://admin.shopify.com/store/ge-beauty-cosmeticos/customers/9494619652416","abrir")</f>
        <v/>
      </c>
      <c r="J207">
        <f>HYPERLINK("https://www.gebeauty.com.br/products/primer-liso-intacto?ref=review","review")</f>
        <v/>
      </c>
      <c r="K207" t="inlineStr">
        <is>
          <t>HOLDOUT</t>
        </is>
      </c>
    </row>
    <row r="208">
      <c r="A208" t="inlineStr">
        <is>
          <t>Julia</t>
        </is>
      </c>
      <c r="B208" t="inlineStr">
        <is>
          <t>+558496560022</t>
        </is>
      </c>
      <c r="C208" t="inlineStr">
        <is>
          <t>Advocate</t>
        </is>
      </c>
      <c r="D208" t="inlineStr">
        <is>
          <t>Primer Liso</t>
        </is>
      </c>
      <c r="E208" t="n">
        <v>2</v>
      </c>
      <c r="F208" t="inlineStr">
        <is>
          <t>2026-02-25</t>
        </is>
      </c>
      <c r="G208" t="n">
        <v>129</v>
      </c>
      <c r="H208" t="inlineStr">
        <is>
          <t>Y</t>
        </is>
      </c>
      <c r="I208">
        <f>HYPERLINK("https://admin.shopify.com/store/ge-beauty-cosmeticos/customers/9485683654976","abrir")</f>
        <v/>
      </c>
      <c r="J208">
        <f>HYPERLINK("https://www.gebeauty.com.br/products/primer-liso-intacto?ref=review","review")</f>
        <v/>
      </c>
      <c r="K208" t="inlineStr">
        <is>
          <t>SEND</t>
        </is>
      </c>
    </row>
    <row r="209">
      <c r="A209" t="inlineStr">
        <is>
          <t>Luiz</t>
        </is>
      </c>
      <c r="B209" t="inlineStr">
        <is>
          <t>+5511947902375</t>
        </is>
      </c>
      <c r="C209" t="inlineStr">
        <is>
          <t>Advocate</t>
        </is>
      </c>
      <c r="D209" t="inlineStr">
        <is>
          <t>Primer Liso</t>
        </is>
      </c>
      <c r="E209" t="n">
        <v>2</v>
      </c>
      <c r="F209" t="inlineStr">
        <is>
          <t>2026-04-29</t>
        </is>
      </c>
      <c r="G209" t="n">
        <v>66</v>
      </c>
      <c r="H209" t="inlineStr">
        <is>
          <t>Y</t>
        </is>
      </c>
      <c r="I209">
        <f>HYPERLINK("https://admin.shopify.com/store/ge-beauty-cosmeticos/customers/9779464307008","abrir")</f>
        <v/>
      </c>
      <c r="J209">
        <f>HYPERLINK("https://www.gebeauty.com.br/products/primer-liso-intacto?ref=review","review")</f>
        <v/>
      </c>
      <c r="K209" t="inlineStr">
        <is>
          <t>SEND</t>
        </is>
      </c>
    </row>
    <row r="210">
      <c r="A210" t="inlineStr">
        <is>
          <t>Gabriela</t>
        </is>
      </c>
      <c r="B210" t="inlineStr">
        <is>
          <t>+5524992292104</t>
        </is>
      </c>
      <c r="C210" t="inlineStr">
        <is>
          <t>Advocate</t>
        </is>
      </c>
      <c r="D210" t="inlineStr">
        <is>
          <t>Primer Liso</t>
        </is>
      </c>
      <c r="E210" t="n">
        <v>2</v>
      </c>
      <c r="F210" t="inlineStr">
        <is>
          <t>2025-10-24</t>
        </is>
      </c>
      <c r="G210" t="n">
        <v>253</v>
      </c>
      <c r="H210" t="inlineStr">
        <is>
          <t>Y</t>
        </is>
      </c>
      <c r="I210">
        <f>HYPERLINK("https://admin.shopify.com/store/ge-beauty-cosmeticos/customers/7762142658880","abrir")</f>
        <v/>
      </c>
      <c r="J210">
        <f>HYPERLINK("https://www.gebeauty.com.br/products/primer-liso-intacto?ref=review","review")</f>
        <v/>
      </c>
      <c r="K210" t="inlineStr">
        <is>
          <t>SEND</t>
        </is>
      </c>
    </row>
    <row r="211">
      <c r="A211" t="inlineStr">
        <is>
          <t>Claudia</t>
        </is>
      </c>
      <c r="B211" t="inlineStr">
        <is>
          <t>+5581999524313</t>
        </is>
      </c>
      <c r="C211" t="inlineStr">
        <is>
          <t>Advocate</t>
        </is>
      </c>
      <c r="D211" t="inlineStr">
        <is>
          <t>Primer Liso</t>
        </is>
      </c>
      <c r="E211" t="n">
        <v>2</v>
      </c>
      <c r="F211" t="inlineStr">
        <is>
          <t>2025-10-30</t>
        </is>
      </c>
      <c r="G211" t="n">
        <v>247</v>
      </c>
      <c r="H211" t="inlineStr">
        <is>
          <t>Y</t>
        </is>
      </c>
      <c r="I211">
        <f>HYPERLINK("https://admin.shopify.com/store/ge-beauty-cosmeticos/customers/9019753759040","abrir")</f>
        <v/>
      </c>
      <c r="J211">
        <f>HYPERLINK("https://www.gebeauty.com.br/products/primer-liso-intacto?ref=review","review")</f>
        <v/>
      </c>
      <c r="K211" t="inlineStr">
        <is>
          <t>HOLDOUT</t>
        </is>
      </c>
    </row>
    <row r="212">
      <c r="A212" t="inlineStr">
        <is>
          <t>Nathalia</t>
        </is>
      </c>
      <c r="B212" t="inlineStr">
        <is>
          <t>+5511987188745</t>
        </is>
      </c>
      <c r="C212" t="inlineStr">
        <is>
          <t>Advocate</t>
        </is>
      </c>
      <c r="D212" t="inlineStr">
        <is>
          <t>Primer Liso</t>
        </is>
      </c>
      <c r="E212" t="n">
        <v>2</v>
      </c>
      <c r="F212" t="inlineStr">
        <is>
          <t>2026-06-08</t>
        </is>
      </c>
      <c r="G212" t="n">
        <v>26</v>
      </c>
      <c r="H212" t="inlineStr">
        <is>
          <t>Y</t>
        </is>
      </c>
      <c r="I212">
        <f>HYPERLINK("https://admin.shopify.com/store/ge-beauty-cosmeticos/customers/7761815142720","abrir")</f>
        <v/>
      </c>
      <c r="J212">
        <f>HYPERLINK("https://www.gebeauty.com.br/products/primer-liso-intacto?ref=review","review")</f>
        <v/>
      </c>
      <c r="K212" t="inlineStr">
        <is>
          <t>SEND</t>
        </is>
      </c>
    </row>
    <row r="213">
      <c r="A213" t="inlineStr">
        <is>
          <t>Fernanda</t>
        </is>
      </c>
      <c r="B213" t="inlineStr">
        <is>
          <t>+5511952201498</t>
        </is>
      </c>
      <c r="C213" t="inlineStr">
        <is>
          <t>Advocate</t>
        </is>
      </c>
      <c r="D213" t="inlineStr">
        <is>
          <t>Primer Liso</t>
        </is>
      </c>
      <c r="E213" t="n">
        <v>3</v>
      </c>
      <c r="F213" t="inlineStr">
        <is>
          <t>2025-11-01</t>
        </is>
      </c>
      <c r="G213" t="n">
        <v>245</v>
      </c>
      <c r="H213" t="inlineStr">
        <is>
          <t>Y</t>
        </is>
      </c>
      <c r="I213">
        <f>HYPERLINK("https://admin.shopify.com/store/ge-beauty-cosmeticos/customers/7761292624192","abrir")</f>
        <v/>
      </c>
      <c r="J213">
        <f>HYPERLINK("https://www.gebeauty.com.br/products/primer-liso-intacto?ref=review","review")</f>
        <v/>
      </c>
      <c r="K213" t="inlineStr">
        <is>
          <t>SEND</t>
        </is>
      </c>
    </row>
    <row r="214">
      <c r="A214" t="inlineStr">
        <is>
          <t>Tayna</t>
        </is>
      </c>
      <c r="B214" t="inlineStr">
        <is>
          <t>+5511977322989</t>
        </is>
      </c>
      <c r="C214" t="inlineStr">
        <is>
          <t>Advocate</t>
        </is>
      </c>
      <c r="D214" t="inlineStr">
        <is>
          <t>Primer Liso</t>
        </is>
      </c>
      <c r="E214" t="n">
        <v>2</v>
      </c>
      <c r="F214" t="inlineStr">
        <is>
          <t>2026-02-23</t>
        </is>
      </c>
      <c r="G214" t="n">
        <v>131</v>
      </c>
      <c r="H214" t="inlineStr">
        <is>
          <t>Y</t>
        </is>
      </c>
      <c r="I214">
        <f>HYPERLINK("https://admin.shopify.com/store/ge-beauty-cosmeticos/customers/9777105043776","abrir")</f>
        <v/>
      </c>
      <c r="J214">
        <f>HYPERLINK("https://www.gebeauty.com.br/products/primer-liso-intacto?ref=review","review")</f>
        <v/>
      </c>
      <c r="K214" t="inlineStr">
        <is>
          <t>SEND</t>
        </is>
      </c>
    </row>
    <row r="215">
      <c r="A215" t="inlineStr">
        <is>
          <t>Ylanna</t>
        </is>
      </c>
      <c r="B215" t="inlineStr">
        <is>
          <t>+5571988646245</t>
        </is>
      </c>
      <c r="C215" t="inlineStr">
        <is>
          <t>Advocate</t>
        </is>
      </c>
      <c r="D215" t="inlineStr">
        <is>
          <t>Primer Liso</t>
        </is>
      </c>
      <c r="E215" t="n">
        <v>2</v>
      </c>
      <c r="F215" t="inlineStr">
        <is>
          <t>2025-11-23</t>
        </is>
      </c>
      <c r="G215" t="n">
        <v>223</v>
      </c>
      <c r="H215" t="inlineStr">
        <is>
          <t>Y</t>
        </is>
      </c>
      <c r="I215">
        <f>HYPERLINK("https://admin.shopify.com/store/ge-beauty-cosmeticos/customers/9831985905984","abrir")</f>
        <v/>
      </c>
      <c r="J215">
        <f>HYPERLINK("https://www.gebeauty.com.br/products/primer-liso-intacto?ref=review","review")</f>
        <v/>
      </c>
      <c r="K215" t="inlineStr">
        <is>
          <t>SEND</t>
        </is>
      </c>
    </row>
    <row r="216">
      <c r="A216" t="inlineStr">
        <is>
          <t>Aline</t>
        </is>
      </c>
      <c r="B216" t="inlineStr">
        <is>
          <t>+5511989184934</t>
        </is>
      </c>
      <c r="C216" t="inlineStr">
        <is>
          <t>Advocate</t>
        </is>
      </c>
      <c r="D216" t="inlineStr">
        <is>
          <t>Primer Liso</t>
        </is>
      </c>
      <c r="E216" t="n">
        <v>2</v>
      </c>
      <c r="F216" t="inlineStr">
        <is>
          <t>2026-05-24</t>
        </is>
      </c>
      <c r="G216" t="n">
        <v>41</v>
      </c>
      <c r="H216" t="inlineStr">
        <is>
          <t>Y</t>
        </is>
      </c>
      <c r="I216">
        <f>HYPERLINK("https://admin.shopify.com/store/ge-beauty-cosmeticos/customers/8107651203392","abrir")</f>
        <v/>
      </c>
      <c r="J216">
        <f>HYPERLINK("https://www.gebeauty.com.br/products/primer-liso-intacto?ref=review","review")</f>
        <v/>
      </c>
      <c r="K216" t="inlineStr">
        <is>
          <t>SEND</t>
        </is>
      </c>
    </row>
    <row r="217">
      <c r="A217" t="inlineStr">
        <is>
          <t>Lucas</t>
        </is>
      </c>
      <c r="B217" t="inlineStr">
        <is>
          <t>+5555984020478</t>
        </is>
      </c>
      <c r="C217" t="inlineStr">
        <is>
          <t>Advocate</t>
        </is>
      </c>
      <c r="D217" t="inlineStr">
        <is>
          <t>Primer Liso</t>
        </is>
      </c>
      <c r="E217" t="n">
        <v>2</v>
      </c>
      <c r="F217" t="inlineStr">
        <is>
          <t>2026-05-12</t>
        </is>
      </c>
      <c r="G217" t="n">
        <v>53</v>
      </c>
      <c r="H217" t="inlineStr">
        <is>
          <t>Y</t>
        </is>
      </c>
      <c r="I217">
        <f>HYPERLINK("https://admin.shopify.com/store/ge-beauty-cosmeticos/customers/9686619193664","abrir")</f>
        <v/>
      </c>
      <c r="J217">
        <f>HYPERLINK("https://www.gebeauty.com.br/products/primer-liso-intacto?ref=review","review")</f>
        <v/>
      </c>
      <c r="K217" t="inlineStr">
        <is>
          <t>SEND</t>
        </is>
      </c>
    </row>
    <row r="218">
      <c r="A218" t="inlineStr">
        <is>
          <t>Paula</t>
        </is>
      </c>
      <c r="B218" t="inlineStr">
        <is>
          <t>+5519996466707</t>
        </is>
      </c>
      <c r="C218" t="inlineStr">
        <is>
          <t>Advocate</t>
        </is>
      </c>
      <c r="D218" t="inlineStr">
        <is>
          <t>Primer Liso</t>
        </is>
      </c>
      <c r="E218" t="n">
        <v>2</v>
      </c>
      <c r="F218" t="inlineStr">
        <is>
          <t>2025-11-05</t>
        </is>
      </c>
      <c r="G218" t="n">
        <v>241</v>
      </c>
      <c r="H218" t="inlineStr">
        <is>
          <t>Y</t>
        </is>
      </c>
      <c r="I218">
        <f>HYPERLINK("https://admin.shopify.com/store/ge-beauty-cosmeticos/customers/9024004227392","abrir")</f>
        <v/>
      </c>
      <c r="J218">
        <f>HYPERLINK("https://www.gebeauty.com.br/products/primer-liso-intacto?ref=review","review")</f>
        <v/>
      </c>
      <c r="K218" t="inlineStr">
        <is>
          <t>SEND</t>
        </is>
      </c>
    </row>
    <row r="219">
      <c r="A219" t="inlineStr">
        <is>
          <t>Tatiana</t>
        </is>
      </c>
      <c r="B219" t="inlineStr">
        <is>
          <t>+5519992091846</t>
        </is>
      </c>
      <c r="C219" t="inlineStr">
        <is>
          <t>Advocate</t>
        </is>
      </c>
      <c r="D219" t="inlineStr">
        <is>
          <t>Primer Liso</t>
        </is>
      </c>
      <c r="E219" t="n">
        <v>2</v>
      </c>
      <c r="F219" t="inlineStr">
        <is>
          <t>2026-03-13</t>
        </is>
      </c>
      <c r="G219" t="n">
        <v>113</v>
      </c>
      <c r="H219" t="inlineStr">
        <is>
          <t>Y</t>
        </is>
      </c>
      <c r="I219">
        <f>HYPERLINK("https://admin.shopify.com/store/ge-beauty-cosmeticos/customers/9837891420480","abrir")</f>
        <v/>
      </c>
      <c r="J219">
        <f>HYPERLINK("https://www.gebeauty.com.br/products/primer-liso-intacto?ref=review","review")</f>
        <v/>
      </c>
      <c r="K219" t="inlineStr">
        <is>
          <t>SEND</t>
        </is>
      </c>
    </row>
    <row r="220">
      <c r="A220" t="inlineStr">
        <is>
          <t>Maria</t>
        </is>
      </c>
      <c r="B220" t="inlineStr">
        <is>
          <t>+5511996256694</t>
        </is>
      </c>
      <c r="C220" t="inlineStr">
        <is>
          <t>Advocate</t>
        </is>
      </c>
      <c r="D220" t="inlineStr">
        <is>
          <t>Primer Liso</t>
        </is>
      </c>
      <c r="E220" t="n">
        <v>2</v>
      </c>
      <c r="F220" t="inlineStr">
        <is>
          <t>2026-01-10</t>
        </is>
      </c>
      <c r="G220" t="n">
        <v>175</v>
      </c>
      <c r="H220" t="inlineStr">
        <is>
          <t>Y</t>
        </is>
      </c>
      <c r="I220">
        <f>HYPERLINK("https://admin.shopify.com/store/ge-beauty-cosmeticos/customers/9486331019584","abrir")</f>
        <v/>
      </c>
      <c r="J220">
        <f>HYPERLINK("https://www.gebeauty.com.br/products/primer-liso-intacto?ref=review","review")</f>
        <v/>
      </c>
      <c r="K220" t="inlineStr">
        <is>
          <t>SEND</t>
        </is>
      </c>
    </row>
    <row r="221">
      <c r="A221" t="inlineStr">
        <is>
          <t>Priscila</t>
        </is>
      </c>
      <c r="B221" t="inlineStr">
        <is>
          <t>+5512997502040</t>
        </is>
      </c>
      <c r="C221" t="inlineStr">
        <is>
          <t>Advocate</t>
        </is>
      </c>
      <c r="D221" t="inlineStr">
        <is>
          <t>Primer Liso</t>
        </is>
      </c>
      <c r="E221" t="n">
        <v>2</v>
      </c>
      <c r="F221" t="inlineStr">
        <is>
          <t>2026-06-27</t>
        </is>
      </c>
      <c r="G221" t="n">
        <v>7</v>
      </c>
      <c r="H221" t="inlineStr">
        <is>
          <t>Y</t>
        </is>
      </c>
      <c r="I221">
        <f>HYPERLINK("https://admin.shopify.com/store/ge-beauty-cosmeticos/customers/9846553346368","abrir")</f>
        <v/>
      </c>
      <c r="J221">
        <f>HYPERLINK("https://www.gebeauty.com.br/products/primer-liso-intacto?ref=review","review")</f>
        <v/>
      </c>
      <c r="K221" t="inlineStr">
        <is>
          <t>SEND</t>
        </is>
      </c>
    </row>
    <row r="222">
      <c r="A222" t="inlineStr">
        <is>
          <t>Vanessa</t>
        </is>
      </c>
      <c r="B222" t="inlineStr">
        <is>
          <t>+5511986361161</t>
        </is>
      </c>
      <c r="C222" t="inlineStr">
        <is>
          <t>Advocate</t>
        </is>
      </c>
      <c r="D222" t="inlineStr">
        <is>
          <t>Primer Liso</t>
        </is>
      </c>
      <c r="E222" t="n">
        <v>2</v>
      </c>
      <c r="F222" t="inlineStr">
        <is>
          <t>2025-11-12</t>
        </is>
      </c>
      <c r="G222" t="n">
        <v>234</v>
      </c>
      <c r="H222" t="inlineStr">
        <is>
          <t>Y</t>
        </is>
      </c>
      <c r="I222">
        <f>HYPERLINK("https://admin.shopify.com/store/ge-beauty-cosmeticos/customers/7762615697728","abrir")</f>
        <v/>
      </c>
      <c r="J222">
        <f>HYPERLINK("https://www.gebeauty.com.br/products/primer-liso-intacto?ref=review","review")</f>
        <v/>
      </c>
      <c r="K222" t="inlineStr">
        <is>
          <t>HOLDOUT</t>
        </is>
      </c>
    </row>
    <row r="223">
      <c r="A223" t="inlineStr">
        <is>
          <t>Leticia</t>
        </is>
      </c>
      <c r="B223" t="inlineStr">
        <is>
          <t>+5551981718170</t>
        </is>
      </c>
      <c r="C223" t="inlineStr">
        <is>
          <t>Advocate</t>
        </is>
      </c>
      <c r="D223" t="inlineStr">
        <is>
          <t>Primer Liso</t>
        </is>
      </c>
      <c r="E223" t="n">
        <v>2</v>
      </c>
      <c r="F223" t="inlineStr">
        <is>
          <t>2026-01-11</t>
        </is>
      </c>
      <c r="G223" t="n">
        <v>174</v>
      </c>
      <c r="H223" t="inlineStr">
        <is>
          <t>Y</t>
        </is>
      </c>
      <c r="I223">
        <f>HYPERLINK("https://admin.shopify.com/store/ge-beauty-cosmeticos/customers/9859120726336","abrir")</f>
        <v/>
      </c>
      <c r="J223">
        <f>HYPERLINK("https://www.gebeauty.com.br/products/primer-liso-intacto?ref=review","review")</f>
        <v/>
      </c>
      <c r="K223" t="inlineStr">
        <is>
          <t>SEND</t>
        </is>
      </c>
    </row>
    <row r="224">
      <c r="A224" t="inlineStr">
        <is>
          <t>Ludimila</t>
        </is>
      </c>
      <c r="B224" t="inlineStr">
        <is>
          <t>+5575991086060</t>
        </is>
      </c>
      <c r="C224" t="inlineStr">
        <is>
          <t>Advocate</t>
        </is>
      </c>
      <c r="D224" t="inlineStr">
        <is>
          <t>Primer Liso</t>
        </is>
      </c>
      <c r="E224" t="n">
        <v>2</v>
      </c>
      <c r="F224" t="inlineStr">
        <is>
          <t>2026-02-02</t>
        </is>
      </c>
      <c r="G224" t="n">
        <v>152</v>
      </c>
      <c r="H224" t="inlineStr">
        <is>
          <t>Y</t>
        </is>
      </c>
      <c r="I224">
        <f>HYPERLINK("https://admin.shopify.com/store/ge-beauty-cosmeticos/customers/9485733921088","abrir")</f>
        <v/>
      </c>
      <c r="J224">
        <f>HYPERLINK("https://www.gebeauty.com.br/products/primer-liso-intacto?ref=review","review")</f>
        <v/>
      </c>
      <c r="K224" t="inlineStr">
        <is>
          <t>SEND</t>
        </is>
      </c>
    </row>
    <row r="225">
      <c r="A225" t="inlineStr">
        <is>
          <t>Luiza</t>
        </is>
      </c>
      <c r="B225" t="inlineStr">
        <is>
          <t>+5571994188128</t>
        </is>
      </c>
      <c r="C225" t="inlineStr">
        <is>
          <t>Advocate</t>
        </is>
      </c>
      <c r="D225" t="inlineStr">
        <is>
          <t>Primer Liso</t>
        </is>
      </c>
      <c r="E225" t="n">
        <v>2</v>
      </c>
      <c r="F225" t="inlineStr">
        <is>
          <t>2025-11-16</t>
        </is>
      </c>
      <c r="G225" t="n">
        <v>230</v>
      </c>
      <c r="H225" t="inlineStr">
        <is>
          <t>Y</t>
        </is>
      </c>
      <c r="I225">
        <f>HYPERLINK("https://admin.shopify.com/store/ge-beauty-cosmeticos/customers/8961382711616","abrir")</f>
        <v/>
      </c>
      <c r="J225">
        <f>HYPERLINK("https://www.gebeauty.com.br/products/primer-liso-intacto?ref=review","review")</f>
        <v/>
      </c>
      <c r="K225" t="inlineStr">
        <is>
          <t>HOLDOUT</t>
        </is>
      </c>
    </row>
    <row r="226">
      <c r="A226" t="inlineStr">
        <is>
          <t>Mariana</t>
        </is>
      </c>
      <c r="B226" t="inlineStr">
        <is>
          <t>+5522992061298</t>
        </is>
      </c>
      <c r="C226" t="inlineStr">
        <is>
          <t>Advocate</t>
        </is>
      </c>
      <c r="D226" t="inlineStr">
        <is>
          <t>Primer Liso</t>
        </is>
      </c>
      <c r="E226" t="n">
        <v>2</v>
      </c>
      <c r="F226" t="inlineStr">
        <is>
          <t>2025-11-27</t>
        </is>
      </c>
      <c r="G226" t="n">
        <v>219</v>
      </c>
      <c r="H226" t="inlineStr">
        <is>
          <t>Y</t>
        </is>
      </c>
      <c r="I226">
        <f>HYPERLINK("https://admin.shopify.com/store/ge-beauty-cosmeticos/customers/9844076544320","abrir")</f>
        <v/>
      </c>
      <c r="J226">
        <f>HYPERLINK("https://www.gebeauty.com.br/products/primer-liso-intacto?ref=review","review")</f>
        <v/>
      </c>
      <c r="K226" t="inlineStr">
        <is>
          <t>SEND</t>
        </is>
      </c>
    </row>
    <row r="227">
      <c r="A227" t="inlineStr">
        <is>
          <t>Ana Flavia</t>
        </is>
      </c>
      <c r="B227" t="inlineStr">
        <is>
          <t>+5511989305338</t>
        </is>
      </c>
      <c r="C227" t="inlineStr">
        <is>
          <t>Advocate</t>
        </is>
      </c>
      <c r="D227" t="inlineStr">
        <is>
          <t>Primer Liso</t>
        </is>
      </c>
      <c r="E227" t="n">
        <v>2</v>
      </c>
      <c r="F227" t="inlineStr">
        <is>
          <t>2026-01-22</t>
        </is>
      </c>
      <c r="G227" t="n">
        <v>163</v>
      </c>
      <c r="H227" t="inlineStr">
        <is>
          <t>Y</t>
        </is>
      </c>
      <c r="I227">
        <f>HYPERLINK("https://admin.shopify.com/store/ge-beauty-cosmeticos/customers/9890318647616","abrir")</f>
        <v/>
      </c>
      <c r="J227">
        <f>HYPERLINK("https://www.gebeauty.com.br/products/primer-liso-intacto?ref=review","review")</f>
        <v/>
      </c>
      <c r="K227" t="inlineStr">
        <is>
          <t>SEND</t>
        </is>
      </c>
    </row>
    <row r="228">
      <c r="A228" t="inlineStr">
        <is>
          <t>Monica</t>
        </is>
      </c>
      <c r="B228" t="inlineStr">
        <is>
          <t>+5511994974642</t>
        </is>
      </c>
      <c r="C228" t="inlineStr">
        <is>
          <t>Advocate</t>
        </is>
      </c>
      <c r="D228" t="inlineStr">
        <is>
          <t>Primer Liso</t>
        </is>
      </c>
      <c r="E228" t="n">
        <v>2</v>
      </c>
      <c r="F228" t="inlineStr">
        <is>
          <t>2026-01-27</t>
        </is>
      </c>
      <c r="G228" t="n">
        <v>158</v>
      </c>
      <c r="H228" t="inlineStr">
        <is>
          <t>Y</t>
        </is>
      </c>
      <c r="I228">
        <f>HYPERLINK("https://admin.shopify.com/store/ge-beauty-cosmeticos/customers/9894739607872","abrir")</f>
        <v/>
      </c>
      <c r="J228">
        <f>HYPERLINK("https://www.gebeauty.com.br/products/primer-liso-intacto?ref=review","review")</f>
        <v/>
      </c>
      <c r="K228" t="inlineStr">
        <is>
          <t>SEND</t>
        </is>
      </c>
    </row>
    <row r="229">
      <c r="A229" t="inlineStr">
        <is>
          <t>Aline</t>
        </is>
      </c>
      <c r="B229" t="inlineStr">
        <is>
          <t>+5519992260966</t>
        </is>
      </c>
      <c r="C229" t="inlineStr">
        <is>
          <t>Advocate</t>
        </is>
      </c>
      <c r="D229" t="inlineStr">
        <is>
          <t>Primer Liso</t>
        </is>
      </c>
      <c r="E229" t="n">
        <v>2</v>
      </c>
      <c r="F229" t="inlineStr">
        <is>
          <t>2026-02-24</t>
        </is>
      </c>
      <c r="G229" t="n">
        <v>130</v>
      </c>
      <c r="H229" t="inlineStr">
        <is>
          <t>Y</t>
        </is>
      </c>
      <c r="I229">
        <f>HYPERLINK("https://admin.shopify.com/store/ge-beauty-cosmeticos/customers/7761479696704","abrir")</f>
        <v/>
      </c>
      <c r="J229">
        <f>HYPERLINK("https://www.gebeauty.com.br/products/primer-liso-intacto?ref=review","review")</f>
        <v/>
      </c>
      <c r="K229" t="inlineStr">
        <is>
          <t>SEND</t>
        </is>
      </c>
    </row>
    <row r="230">
      <c r="A230" t="inlineStr">
        <is>
          <t>Marília</t>
        </is>
      </c>
      <c r="B230" t="inlineStr">
        <is>
          <t>+5581981041609</t>
        </is>
      </c>
      <c r="C230" t="inlineStr">
        <is>
          <t>Advocate</t>
        </is>
      </c>
      <c r="D230" t="inlineStr">
        <is>
          <t>Primer Liso</t>
        </is>
      </c>
      <c r="E230" t="n">
        <v>2</v>
      </c>
      <c r="F230" t="inlineStr">
        <is>
          <t>2025-11-27</t>
        </is>
      </c>
      <c r="G230" t="n">
        <v>219</v>
      </c>
      <c r="H230" t="inlineStr">
        <is>
          <t>Y</t>
        </is>
      </c>
      <c r="I230">
        <f>HYPERLINK("https://admin.shopify.com/store/ge-beauty-cosmeticos/customers/9894030377280","abrir")</f>
        <v/>
      </c>
      <c r="J230">
        <f>HYPERLINK("https://www.gebeauty.com.br/products/primer-liso-intacto?ref=review","review")</f>
        <v/>
      </c>
      <c r="K230" t="inlineStr">
        <is>
          <t>HOLDOUT</t>
        </is>
      </c>
    </row>
    <row r="231">
      <c r="A231" t="inlineStr">
        <is>
          <t>Paula</t>
        </is>
      </c>
      <c r="B231" t="inlineStr">
        <is>
          <t>+5548999258787</t>
        </is>
      </c>
      <c r="C231" t="inlineStr">
        <is>
          <t>Advocate</t>
        </is>
      </c>
      <c r="D231" t="inlineStr">
        <is>
          <t>Primer Liso</t>
        </is>
      </c>
      <c r="E231" t="n">
        <v>2</v>
      </c>
      <c r="F231" t="inlineStr">
        <is>
          <t>2025-12-17</t>
        </is>
      </c>
      <c r="G231" t="n">
        <v>199</v>
      </c>
      <c r="H231" t="inlineStr">
        <is>
          <t>Y</t>
        </is>
      </c>
      <c r="I231">
        <f>HYPERLINK("https://admin.shopify.com/store/ge-beauty-cosmeticos/customers/9899533730112","abrir")</f>
        <v/>
      </c>
      <c r="J231">
        <f>HYPERLINK("https://www.gebeauty.com.br/products/primer-liso-intacto?ref=review","review")</f>
        <v/>
      </c>
      <c r="K231" t="inlineStr">
        <is>
          <t>SEND</t>
        </is>
      </c>
    </row>
    <row r="232">
      <c r="A232" t="inlineStr">
        <is>
          <t>Beatriz</t>
        </is>
      </c>
      <c r="B232" t="inlineStr">
        <is>
          <t>+5511993835880</t>
        </is>
      </c>
      <c r="C232" t="inlineStr">
        <is>
          <t>Advocate</t>
        </is>
      </c>
      <c r="D232" t="inlineStr">
        <is>
          <t>Primer Liso</t>
        </is>
      </c>
      <c r="E232" t="n">
        <v>2</v>
      </c>
      <c r="F232" t="inlineStr">
        <is>
          <t>2025-11-28</t>
        </is>
      </c>
      <c r="G232" t="n">
        <v>218</v>
      </c>
      <c r="H232" t="inlineStr">
        <is>
          <t>Y</t>
        </is>
      </c>
      <c r="I232">
        <f>HYPERLINK("https://admin.shopify.com/store/ge-beauty-cosmeticos/customers/8963497132352","abrir")</f>
        <v/>
      </c>
      <c r="J232">
        <f>HYPERLINK("https://www.gebeauty.com.br/products/primer-liso-intacto?ref=review","review")</f>
        <v/>
      </c>
      <c r="K232" t="inlineStr">
        <is>
          <t>SEND</t>
        </is>
      </c>
    </row>
    <row r="233">
      <c r="A233" t="inlineStr">
        <is>
          <t>Ana Paula</t>
        </is>
      </c>
      <c r="B233" t="inlineStr">
        <is>
          <t>+5511971780867</t>
        </is>
      </c>
      <c r="C233" t="inlineStr">
        <is>
          <t>Advocate</t>
        </is>
      </c>
      <c r="D233" t="inlineStr">
        <is>
          <t>Primer Liso</t>
        </is>
      </c>
      <c r="E233" t="n">
        <v>2</v>
      </c>
      <c r="F233" t="inlineStr">
        <is>
          <t>2026-06-02</t>
        </is>
      </c>
      <c r="G233" t="n">
        <v>32</v>
      </c>
      <c r="H233" t="inlineStr">
        <is>
          <t>Y</t>
        </is>
      </c>
      <c r="I233">
        <f>HYPERLINK("https://admin.shopify.com/store/ge-beauty-cosmeticos/customers/9749594145088","abrir")</f>
        <v/>
      </c>
      <c r="J233">
        <f>HYPERLINK("https://www.gebeauty.com.br/products/primer-liso-intacto?ref=review","review")</f>
        <v/>
      </c>
      <c r="K233" t="inlineStr">
        <is>
          <t>SEND</t>
        </is>
      </c>
    </row>
    <row r="234">
      <c r="A234" t="inlineStr">
        <is>
          <t>Mariana</t>
        </is>
      </c>
      <c r="B234" t="inlineStr">
        <is>
          <t>+553188841089</t>
        </is>
      </c>
      <c r="C234" t="inlineStr">
        <is>
          <t>Advocate</t>
        </is>
      </c>
      <c r="D234" t="inlineStr">
        <is>
          <t>Primer Liso</t>
        </is>
      </c>
      <c r="E234" t="n">
        <v>2</v>
      </c>
      <c r="F234" t="inlineStr">
        <is>
          <t>2026-05-21</t>
        </is>
      </c>
      <c r="G234" t="n">
        <v>44</v>
      </c>
      <c r="H234" t="inlineStr">
        <is>
          <t>Y</t>
        </is>
      </c>
      <c r="I234">
        <f>HYPERLINK("https://admin.shopify.com/store/ge-beauty-cosmeticos/customers/9746200133952","abrir")</f>
        <v/>
      </c>
      <c r="J234">
        <f>HYPERLINK("https://www.gebeauty.com.br/products/primer-liso-intacto?ref=review","review")</f>
        <v/>
      </c>
      <c r="K234" t="inlineStr">
        <is>
          <t>HOLDOUT</t>
        </is>
      </c>
    </row>
    <row r="235">
      <c r="A235" t="inlineStr">
        <is>
          <t>Priscilla</t>
        </is>
      </c>
      <c r="B235" t="inlineStr">
        <is>
          <t>+5586998250474</t>
        </is>
      </c>
      <c r="C235" t="inlineStr">
        <is>
          <t>Advocate</t>
        </is>
      </c>
      <c r="D235" t="inlineStr">
        <is>
          <t>Primer Liso</t>
        </is>
      </c>
      <c r="E235" t="n">
        <v>3</v>
      </c>
      <c r="F235" t="inlineStr">
        <is>
          <t>2026-06-25</t>
        </is>
      </c>
      <c r="G235" t="n">
        <v>9</v>
      </c>
      <c r="H235" t="inlineStr">
        <is>
          <t>Y</t>
        </is>
      </c>
      <c r="I235">
        <f>HYPERLINK("https://admin.shopify.com/store/ge-beauty-cosmeticos/customers/9469425254720","abrir")</f>
        <v/>
      </c>
      <c r="J235">
        <f>HYPERLINK("https://www.gebeauty.com.br/products/primer-liso-intacto?ref=review","review")</f>
        <v/>
      </c>
      <c r="K235" t="inlineStr">
        <is>
          <t>SEND</t>
        </is>
      </c>
    </row>
    <row r="236">
      <c r="A236" t="inlineStr">
        <is>
          <t>Luiza</t>
        </is>
      </c>
      <c r="B236" t="inlineStr">
        <is>
          <t>+5521998052291</t>
        </is>
      </c>
      <c r="C236" t="inlineStr">
        <is>
          <t>Advocate</t>
        </is>
      </c>
      <c r="D236" t="inlineStr">
        <is>
          <t>Primer Liso</t>
        </is>
      </c>
      <c r="E236" t="n">
        <v>2</v>
      </c>
      <c r="F236" t="inlineStr">
        <is>
          <t>2026-04-26</t>
        </is>
      </c>
      <c r="G236" t="n">
        <v>69</v>
      </c>
      <c r="H236" t="inlineStr">
        <is>
          <t>Y</t>
        </is>
      </c>
      <c r="I236">
        <f>HYPERLINK("https://admin.shopify.com/store/ge-beauty-cosmeticos/customers/9979986510144","abrir")</f>
        <v/>
      </c>
      <c r="J236">
        <f>HYPERLINK("https://www.gebeauty.com.br/products/primer-liso-intacto?ref=review","review")</f>
        <v/>
      </c>
      <c r="K236" t="inlineStr">
        <is>
          <t>SEND</t>
        </is>
      </c>
    </row>
    <row r="237">
      <c r="A237" t="inlineStr">
        <is>
          <t>Ana</t>
        </is>
      </c>
      <c r="B237" t="inlineStr">
        <is>
          <t>+5551980631000</t>
        </is>
      </c>
      <c r="C237" t="inlineStr">
        <is>
          <t>Advocate</t>
        </is>
      </c>
      <c r="D237" t="inlineStr">
        <is>
          <t>Primer Liso</t>
        </is>
      </c>
      <c r="E237" t="n">
        <v>2</v>
      </c>
      <c r="F237" t="inlineStr">
        <is>
          <t>2025-12-29</t>
        </is>
      </c>
      <c r="G237" t="n">
        <v>187</v>
      </c>
      <c r="H237" t="inlineStr">
        <is>
          <t>Y</t>
        </is>
      </c>
      <c r="I237">
        <f>HYPERLINK("https://admin.shopify.com/store/ge-beauty-cosmeticos/customers/7761093820736","abrir")</f>
        <v/>
      </c>
      <c r="J237">
        <f>HYPERLINK("https://www.gebeauty.com.br/products/primer-liso-intacto?ref=review","review")</f>
        <v/>
      </c>
      <c r="K237" t="inlineStr">
        <is>
          <t>SEND</t>
        </is>
      </c>
    </row>
    <row r="238">
      <c r="A238" t="inlineStr">
        <is>
          <t>Melinna</t>
        </is>
      </c>
      <c r="B238" t="inlineStr">
        <is>
          <t>+5534984441911</t>
        </is>
      </c>
      <c r="C238" t="inlineStr">
        <is>
          <t>Advocate</t>
        </is>
      </c>
      <c r="D238" t="inlineStr">
        <is>
          <t>Primer Liso</t>
        </is>
      </c>
      <c r="E238" t="n">
        <v>2</v>
      </c>
      <c r="F238" t="inlineStr">
        <is>
          <t>2026-01-30</t>
        </is>
      </c>
      <c r="G238" t="n">
        <v>155</v>
      </c>
      <c r="H238" t="inlineStr">
        <is>
          <t>Y</t>
        </is>
      </c>
      <c r="I238">
        <f>HYPERLINK("https://admin.shopify.com/store/ge-beauty-cosmeticos/customers/10031520284992","abrir")</f>
        <v/>
      </c>
      <c r="J238">
        <f>HYPERLINK("https://www.gebeauty.com.br/products/primer-liso-intacto?ref=review","review")</f>
        <v/>
      </c>
      <c r="K238" t="inlineStr">
        <is>
          <t>HOLDOUT</t>
        </is>
      </c>
    </row>
    <row r="239">
      <c r="A239" t="inlineStr">
        <is>
          <t>Sofia</t>
        </is>
      </c>
      <c r="B239" t="inlineStr">
        <is>
          <t>+5511989593768</t>
        </is>
      </c>
      <c r="C239" t="inlineStr">
        <is>
          <t>Advocate</t>
        </is>
      </c>
      <c r="D239" t="inlineStr">
        <is>
          <t>Primer Liso</t>
        </is>
      </c>
      <c r="E239" t="n">
        <v>2</v>
      </c>
      <c r="F239" t="inlineStr">
        <is>
          <t>2026-01-19</t>
        </is>
      </c>
      <c r="G239" t="n">
        <v>166</v>
      </c>
      <c r="H239" t="inlineStr">
        <is>
          <t>Y</t>
        </is>
      </c>
      <c r="I239">
        <f>HYPERLINK("https://admin.shopify.com/store/ge-beauty-cosmeticos/customers/7762508841280","abrir")</f>
        <v/>
      </c>
      <c r="J239">
        <f>HYPERLINK("https://www.gebeauty.com.br/products/primer-liso-intacto?ref=review","review")</f>
        <v/>
      </c>
      <c r="K239" t="inlineStr">
        <is>
          <t>SEND</t>
        </is>
      </c>
    </row>
    <row r="240">
      <c r="A240" t="inlineStr">
        <is>
          <t>James</t>
        </is>
      </c>
      <c r="B240" t="inlineStr">
        <is>
          <t>+5547991111047</t>
        </is>
      </c>
      <c r="C240" t="inlineStr">
        <is>
          <t>Advocate</t>
        </is>
      </c>
      <c r="D240" t="inlineStr">
        <is>
          <t>Primer Liso</t>
        </is>
      </c>
      <c r="E240" t="n">
        <v>2</v>
      </c>
      <c r="F240" t="inlineStr">
        <is>
          <t>2026-05-25</t>
        </is>
      </c>
      <c r="G240" t="n">
        <v>40</v>
      </c>
      <c r="H240" t="inlineStr">
        <is>
          <t>Y</t>
        </is>
      </c>
      <c r="I240">
        <f>HYPERLINK("https://admin.shopify.com/store/ge-beauty-cosmeticos/customers/10079771722048","abrir")</f>
        <v/>
      </c>
      <c r="J240">
        <f>HYPERLINK("https://www.gebeauty.com.br/products/primer-liso-intacto?ref=review","review")</f>
        <v/>
      </c>
      <c r="K240" t="inlineStr">
        <is>
          <t>SEND</t>
        </is>
      </c>
    </row>
    <row r="241">
      <c r="A241" t="inlineStr">
        <is>
          <t>Adriana</t>
        </is>
      </c>
      <c r="B241" t="inlineStr">
        <is>
          <t>+5515996220112</t>
        </is>
      </c>
      <c r="C241" t="inlineStr">
        <is>
          <t>Advocate</t>
        </is>
      </c>
      <c r="D241" t="inlineStr">
        <is>
          <t>Primer Liso</t>
        </is>
      </c>
      <c r="E241" t="n">
        <v>4</v>
      </c>
      <c r="F241" t="inlineStr">
        <is>
          <t>2026-05-31</t>
        </is>
      </c>
      <c r="G241" t="n">
        <v>34</v>
      </c>
      <c r="H241" t="inlineStr">
        <is>
          <t>Y</t>
        </is>
      </c>
      <c r="I241">
        <f>HYPERLINK("https://admin.shopify.com/store/ge-beauty-cosmeticos/customers/10082905391424","abrir")</f>
        <v/>
      </c>
      <c r="J241">
        <f>HYPERLINK("https://www.gebeauty.com.br/products/primer-liso-intacto?ref=review","review")</f>
        <v/>
      </c>
      <c r="K241" t="inlineStr">
        <is>
          <t>SEND</t>
        </is>
      </c>
    </row>
    <row r="242">
      <c r="A242" t="inlineStr">
        <is>
          <t>Carmen</t>
        </is>
      </c>
      <c r="B242" t="inlineStr">
        <is>
          <t>+5521998133111</t>
        </is>
      </c>
      <c r="C242" t="inlineStr">
        <is>
          <t>Advocate</t>
        </is>
      </c>
      <c r="D242" t="inlineStr">
        <is>
          <t>Primer Liso</t>
        </is>
      </c>
      <c r="E242" t="n">
        <v>2</v>
      </c>
      <c r="F242" t="inlineStr">
        <is>
          <t>2026-01-30</t>
        </is>
      </c>
      <c r="G242" t="n">
        <v>155</v>
      </c>
      <c r="H242" t="inlineStr">
        <is>
          <t>N</t>
        </is>
      </c>
      <c r="I242">
        <f>HYPERLINK("https://admin.shopify.com/store/ge-beauty-cosmeticos/customers/9015709958464","abrir")</f>
        <v/>
      </c>
      <c r="J242">
        <f>HYPERLINK("https://www.gebeauty.com.br/products/primer-liso-intacto?ref=review","review")</f>
        <v/>
      </c>
      <c r="K242" t="inlineStr">
        <is>
          <t>SEND</t>
        </is>
      </c>
    </row>
    <row r="243">
      <c r="A243" t="inlineStr">
        <is>
          <t>Priscila</t>
        </is>
      </c>
      <c r="B243" t="inlineStr">
        <is>
          <t>+5551999235104</t>
        </is>
      </c>
      <c r="C243" t="inlineStr">
        <is>
          <t>Advocate</t>
        </is>
      </c>
      <c r="D243" t="inlineStr">
        <is>
          <t>Primer Liso</t>
        </is>
      </c>
      <c r="E243" t="n">
        <v>2</v>
      </c>
      <c r="F243" t="inlineStr">
        <is>
          <t>2026-07-01</t>
        </is>
      </c>
      <c r="G243" t="n">
        <v>3</v>
      </c>
      <c r="H243" t="inlineStr">
        <is>
          <t>Y</t>
        </is>
      </c>
      <c r="I243">
        <f>HYPERLINK("https://admin.shopify.com/store/ge-beauty-cosmeticos/customers/7762355814720","abrir")</f>
        <v/>
      </c>
      <c r="J243">
        <f>HYPERLINK("https://www.gebeauty.com.br/products/primer-liso-intacto?ref=review","review")</f>
        <v/>
      </c>
      <c r="K243" t="inlineStr">
        <is>
          <t>SEND</t>
        </is>
      </c>
    </row>
    <row r="244">
      <c r="A244" t="inlineStr">
        <is>
          <t>Ana</t>
        </is>
      </c>
      <c r="B244" t="inlineStr">
        <is>
          <t>+556199514509</t>
        </is>
      </c>
      <c r="C244" t="inlineStr">
        <is>
          <t>Advocate</t>
        </is>
      </c>
      <c r="D244" t="inlineStr">
        <is>
          <t>Primer Liso</t>
        </is>
      </c>
      <c r="E244" t="n">
        <v>3</v>
      </c>
      <c r="F244" t="inlineStr">
        <is>
          <t>2026-05-25</t>
        </is>
      </c>
      <c r="G244" t="n">
        <v>40</v>
      </c>
      <c r="H244" t="inlineStr">
        <is>
          <t>Y</t>
        </is>
      </c>
      <c r="I244">
        <f>HYPERLINK("https://admin.shopify.com/store/ge-beauty-cosmeticos/customers/10172736471360","abrir")</f>
        <v/>
      </c>
      <c r="J244">
        <f>HYPERLINK("https://www.gebeauty.com.br/products/primer-liso-intacto?ref=review","review")</f>
        <v/>
      </c>
      <c r="K244" t="inlineStr">
        <is>
          <t>SEND</t>
        </is>
      </c>
    </row>
    <row r="245">
      <c r="A245" t="inlineStr">
        <is>
          <t>Dascale</t>
        </is>
      </c>
      <c r="B245" t="inlineStr">
        <is>
          <t>+5541991833633</t>
        </is>
      </c>
      <c r="C245" t="inlineStr">
        <is>
          <t>Advocate</t>
        </is>
      </c>
      <c r="D245" t="inlineStr">
        <is>
          <t>Primer Liso</t>
        </is>
      </c>
      <c r="E245" t="n">
        <v>2</v>
      </c>
      <c r="F245" t="inlineStr">
        <is>
          <t>2026-06-18</t>
        </is>
      </c>
      <c r="G245" t="n">
        <v>16</v>
      </c>
      <c r="H245" t="inlineStr">
        <is>
          <t>Y</t>
        </is>
      </c>
      <c r="I245">
        <f>HYPERLINK("https://admin.shopify.com/store/ge-beauty-cosmeticos/customers/7759151038784","abrir")</f>
        <v/>
      </c>
      <c r="J245">
        <f>HYPERLINK("https://www.gebeauty.com.br/products/primer-liso-intacto?ref=review","review")</f>
        <v/>
      </c>
      <c r="K245" t="inlineStr">
        <is>
          <t>SEND</t>
        </is>
      </c>
    </row>
    <row r="246">
      <c r="A246" t="inlineStr">
        <is>
          <t>Carla</t>
        </is>
      </c>
      <c r="B246" t="inlineStr">
        <is>
          <t>+5511998181820</t>
        </is>
      </c>
      <c r="C246" t="inlineStr">
        <is>
          <t>Advocate</t>
        </is>
      </c>
      <c r="D246" t="inlineStr">
        <is>
          <t>Primer Liso</t>
        </is>
      </c>
      <c r="E246" t="n">
        <v>2</v>
      </c>
      <c r="F246" t="inlineStr">
        <is>
          <t>2026-03-05</t>
        </is>
      </c>
      <c r="G246" t="n">
        <v>121</v>
      </c>
      <c r="H246" t="inlineStr">
        <is>
          <t>Y</t>
        </is>
      </c>
      <c r="I246">
        <f>HYPERLINK("https://admin.shopify.com/store/ge-beauty-cosmeticos/customers/10083498623296","abrir")</f>
        <v/>
      </c>
      <c r="J246">
        <f>HYPERLINK("https://www.gebeauty.com.br/products/primer-liso-intacto?ref=review","review")</f>
        <v/>
      </c>
      <c r="K246" t="inlineStr">
        <is>
          <t>SEND</t>
        </is>
      </c>
    </row>
    <row r="247">
      <c r="A247" t="inlineStr">
        <is>
          <t>Sofir</t>
        </is>
      </c>
      <c r="B247" t="inlineStr">
        <is>
          <t>+5581999813497</t>
        </is>
      </c>
      <c r="C247" t="inlineStr">
        <is>
          <t>Advocate</t>
        </is>
      </c>
      <c r="D247" t="inlineStr">
        <is>
          <t>Primer Liso</t>
        </is>
      </c>
      <c r="E247" t="n">
        <v>2</v>
      </c>
      <c r="F247" t="inlineStr">
        <is>
          <t>2026-05-19</t>
        </is>
      </c>
      <c r="G247" t="n">
        <v>46</v>
      </c>
      <c r="H247" t="inlineStr">
        <is>
          <t>Y</t>
        </is>
      </c>
      <c r="I247">
        <f>HYPERLINK("https://admin.shopify.com/store/ge-beauty-cosmeticos/customers/9752086741312","abrir")</f>
        <v/>
      </c>
      <c r="J247">
        <f>HYPERLINK("https://www.gebeauty.com.br/products/primer-liso-intacto?ref=review","review")</f>
        <v/>
      </c>
      <c r="K247" t="inlineStr">
        <is>
          <t>SEND</t>
        </is>
      </c>
    </row>
    <row r="248">
      <c r="A248" t="inlineStr">
        <is>
          <t>Julia</t>
        </is>
      </c>
      <c r="B248" t="inlineStr">
        <is>
          <t>+5571991464704</t>
        </is>
      </c>
      <c r="C248" t="inlineStr">
        <is>
          <t>Advocate</t>
        </is>
      </c>
      <c r="D248" t="inlineStr">
        <is>
          <t>Primer Liso</t>
        </is>
      </c>
      <c r="E248" t="n">
        <v>3</v>
      </c>
      <c r="F248" t="inlineStr">
        <is>
          <t>2026-06-22</t>
        </is>
      </c>
      <c r="G248" t="n">
        <v>12</v>
      </c>
      <c r="H248" t="inlineStr">
        <is>
          <t>Y</t>
        </is>
      </c>
      <c r="I248">
        <f>HYPERLINK("https://admin.shopify.com/store/ge-beauty-cosmeticos/customers/9484894404928","abrir")</f>
        <v/>
      </c>
      <c r="J248">
        <f>HYPERLINK("https://www.gebeauty.com.br/products/primer-liso-intacto?ref=review","review")</f>
        <v/>
      </c>
      <c r="K248" t="inlineStr">
        <is>
          <t>HOLDOUT</t>
        </is>
      </c>
    </row>
    <row r="249">
      <c r="A249" t="inlineStr">
        <is>
          <t>Lilian</t>
        </is>
      </c>
      <c r="B249" t="inlineStr">
        <is>
          <t>+5511964640004</t>
        </is>
      </c>
      <c r="C249" t="inlineStr">
        <is>
          <t>Advocate</t>
        </is>
      </c>
      <c r="D249" t="inlineStr">
        <is>
          <t>Primer Liso</t>
        </is>
      </c>
      <c r="E249" t="n">
        <v>2</v>
      </c>
      <c r="F249" t="inlineStr">
        <is>
          <t>2026-03-30</t>
        </is>
      </c>
      <c r="G249" t="n">
        <v>96</v>
      </c>
      <c r="H249" t="inlineStr">
        <is>
          <t>Y</t>
        </is>
      </c>
      <c r="I249">
        <f>HYPERLINK("https://admin.shopify.com/store/ge-beauty-cosmeticos/customers/9324956746048","abrir")</f>
        <v/>
      </c>
      <c r="J249">
        <f>HYPERLINK("https://www.gebeauty.com.br/products/primer-liso-intacto?ref=review","review")</f>
        <v/>
      </c>
      <c r="K249" t="inlineStr">
        <is>
          <t>SEND</t>
        </is>
      </c>
    </row>
    <row r="250">
      <c r="A250" t="inlineStr">
        <is>
          <t>Roberta</t>
        </is>
      </c>
      <c r="B250" t="inlineStr">
        <is>
          <t>+5551981861379</t>
        </is>
      </c>
      <c r="C250" t="inlineStr">
        <is>
          <t>Advocate</t>
        </is>
      </c>
      <c r="D250" t="inlineStr">
        <is>
          <t>Primer Liso</t>
        </is>
      </c>
      <c r="E250" t="n">
        <v>2</v>
      </c>
      <c r="F250" t="inlineStr">
        <is>
          <t>2026-06-28</t>
        </is>
      </c>
      <c r="G250" t="n">
        <v>6</v>
      </c>
      <c r="H250" t="inlineStr">
        <is>
          <t>Y</t>
        </is>
      </c>
      <c r="I250">
        <f>HYPERLINK("https://admin.shopify.com/store/ge-beauty-cosmeticos/customers/8253790224704","abrir")</f>
        <v/>
      </c>
      <c r="J250">
        <f>HYPERLINK("https://www.gebeauty.com.br/products/primer-liso-intacto?ref=review","review")</f>
        <v/>
      </c>
      <c r="K250" t="inlineStr">
        <is>
          <t>SEND</t>
        </is>
      </c>
    </row>
    <row r="251">
      <c r="A251" t="inlineStr">
        <is>
          <t>Renata</t>
        </is>
      </c>
      <c r="B251" t="inlineStr">
        <is>
          <t>+5519996678163</t>
        </is>
      </c>
      <c r="C251" t="inlineStr">
        <is>
          <t>Advocate</t>
        </is>
      </c>
      <c r="D251" t="inlineStr">
        <is>
          <t>Primer Liso</t>
        </is>
      </c>
      <c r="E251" t="n">
        <v>2</v>
      </c>
      <c r="F251" t="inlineStr">
        <is>
          <t>2026-07-01</t>
        </is>
      </c>
      <c r="G251" t="n">
        <v>3</v>
      </c>
      <c r="H251" t="inlineStr">
        <is>
          <t>Y</t>
        </is>
      </c>
      <c r="I251">
        <f>HYPERLINK("https://admin.shopify.com/store/ge-beauty-cosmeticos/customers/10245281775936","abrir")</f>
        <v/>
      </c>
      <c r="J251">
        <f>HYPERLINK("https://www.gebeauty.com.br/products/primer-liso-intacto?ref=review","review")</f>
        <v/>
      </c>
      <c r="K251" t="inlineStr">
        <is>
          <t>SEND</t>
        </is>
      </c>
    </row>
    <row r="252">
      <c r="A252" t="inlineStr">
        <is>
          <t>Larissa</t>
        </is>
      </c>
      <c r="B252" t="inlineStr">
        <is>
          <t>+5532988012927</t>
        </is>
      </c>
      <c r="C252" t="inlineStr">
        <is>
          <t>Advocate</t>
        </is>
      </c>
      <c r="D252" t="inlineStr">
        <is>
          <t>Primer Liso</t>
        </is>
      </c>
      <c r="E252" t="n">
        <v>2</v>
      </c>
      <c r="F252" t="inlineStr">
        <is>
          <t>2026-03-30</t>
        </is>
      </c>
      <c r="G252" t="n">
        <v>96</v>
      </c>
      <c r="H252" t="inlineStr">
        <is>
          <t>Y</t>
        </is>
      </c>
      <c r="I252">
        <f>HYPERLINK("https://admin.shopify.com/store/ge-beauty-cosmeticos/customers/10257530356032","abrir")</f>
        <v/>
      </c>
      <c r="J252">
        <f>HYPERLINK("https://www.gebeauty.com.br/products/primer-liso-intacto?ref=review","review")</f>
        <v/>
      </c>
      <c r="K252" t="inlineStr">
        <is>
          <t>SEND</t>
        </is>
      </c>
    </row>
    <row r="253">
      <c r="A253" t="inlineStr">
        <is>
          <t>Mariana</t>
        </is>
      </c>
      <c r="B253" t="inlineStr">
        <is>
          <t>+5511911477770</t>
        </is>
      </c>
      <c r="C253" t="inlineStr">
        <is>
          <t>Advocate</t>
        </is>
      </c>
      <c r="D253" t="inlineStr">
        <is>
          <t>Primer Liso</t>
        </is>
      </c>
      <c r="E253" t="n">
        <v>2</v>
      </c>
      <c r="F253" t="inlineStr">
        <is>
          <t>2026-04-08</t>
        </is>
      </c>
      <c r="G253" t="n">
        <v>87</v>
      </c>
      <c r="H253" t="inlineStr">
        <is>
          <t>Y</t>
        </is>
      </c>
      <c r="I253">
        <f>HYPERLINK("https://admin.shopify.com/store/ge-beauty-cosmeticos/customers/9024169902400","abrir")</f>
        <v/>
      </c>
      <c r="J253">
        <f>HYPERLINK("https://www.gebeauty.com.br/products/primer-liso-intacto?ref=review","review")</f>
        <v/>
      </c>
      <c r="K253" t="inlineStr">
        <is>
          <t>SEND</t>
        </is>
      </c>
    </row>
    <row r="254">
      <c r="A254" t="inlineStr">
        <is>
          <t>Carolina</t>
        </is>
      </c>
      <c r="B254" t="inlineStr">
        <is>
          <t>+5511963653133</t>
        </is>
      </c>
      <c r="C254" t="inlineStr">
        <is>
          <t>Advocate</t>
        </is>
      </c>
      <c r="D254" t="inlineStr">
        <is>
          <t>Primer Liso</t>
        </is>
      </c>
      <c r="E254" t="n">
        <v>2</v>
      </c>
      <c r="F254" t="inlineStr">
        <is>
          <t>2026-04-23</t>
        </is>
      </c>
      <c r="G254" t="n">
        <v>72</v>
      </c>
      <c r="H254" t="inlineStr">
        <is>
          <t>Y</t>
        </is>
      </c>
      <c r="I254">
        <f>HYPERLINK("https://admin.shopify.com/store/ge-beauty-cosmeticos/customers/10072759304512","abrir")</f>
        <v/>
      </c>
      <c r="J254">
        <f>HYPERLINK("https://www.gebeauty.com.br/products/primer-liso-intacto?ref=review","review")</f>
        <v/>
      </c>
      <c r="K254" t="inlineStr">
        <is>
          <t>SEND</t>
        </is>
      </c>
    </row>
    <row r="255">
      <c r="A255" t="inlineStr">
        <is>
          <t>Elizabeth</t>
        </is>
      </c>
      <c r="B255" t="inlineStr">
        <is>
          <t>+5511963427777</t>
        </is>
      </c>
      <c r="C255" t="inlineStr">
        <is>
          <t>Advocate</t>
        </is>
      </c>
      <c r="D255" t="inlineStr">
        <is>
          <t>Primer Liso</t>
        </is>
      </c>
      <c r="E255" t="n">
        <v>2</v>
      </c>
      <c r="F255" t="inlineStr">
        <is>
          <t>2026-06-26</t>
        </is>
      </c>
      <c r="G255" t="n">
        <v>8</v>
      </c>
      <c r="H255" t="inlineStr">
        <is>
          <t>Y</t>
        </is>
      </c>
      <c r="I255">
        <f>HYPERLINK("https://admin.shopify.com/store/ge-beauty-cosmeticos/customers/10484973273408","abrir")</f>
        <v/>
      </c>
      <c r="J255">
        <f>HYPERLINK("https://www.gebeauty.com.br/products/primer-liso-intacto?ref=review","review")</f>
        <v/>
      </c>
      <c r="K255" t="inlineStr">
        <is>
          <t>SEND</t>
        </is>
      </c>
    </row>
    <row r="256">
      <c r="A256" t="inlineStr">
        <is>
          <t>Caline</t>
        </is>
      </c>
      <c r="B256" t="inlineStr">
        <is>
          <t>+5511985005610</t>
        </is>
      </c>
      <c r="C256" t="inlineStr">
        <is>
          <t>Advocate</t>
        </is>
      </c>
      <c r="D256" t="inlineStr">
        <is>
          <t>Primer Liso</t>
        </is>
      </c>
      <c r="E256" t="n">
        <v>2</v>
      </c>
      <c r="F256" t="inlineStr">
        <is>
          <t>2026-06-15</t>
        </is>
      </c>
      <c r="G256" t="n">
        <v>19</v>
      </c>
      <c r="H256" t="inlineStr">
        <is>
          <t>Y</t>
        </is>
      </c>
      <c r="I256">
        <f>HYPERLINK("https://admin.shopify.com/store/ge-beauty-cosmeticos/customers/10025363439936","abrir")</f>
        <v/>
      </c>
      <c r="J256">
        <f>HYPERLINK("https://www.gebeauty.com.br/products/primer-liso-intacto?ref=review","review")</f>
        <v/>
      </c>
      <c r="K256" t="inlineStr">
        <is>
          <t>SEND</t>
        </is>
      </c>
    </row>
    <row r="257">
      <c r="A257" t="inlineStr">
        <is>
          <t>Luana</t>
        </is>
      </c>
      <c r="B257" t="inlineStr">
        <is>
          <t>+5534991648986</t>
        </is>
      </c>
      <c r="C257" t="inlineStr">
        <is>
          <t>Advocate</t>
        </is>
      </c>
      <c r="D257" t="inlineStr">
        <is>
          <t>Primer Liso</t>
        </is>
      </c>
      <c r="E257" t="n">
        <v>2</v>
      </c>
      <c r="F257" t="inlineStr">
        <is>
          <t>2026-05-27</t>
        </is>
      </c>
      <c r="G257" t="n">
        <v>38</v>
      </c>
      <c r="H257" t="inlineStr">
        <is>
          <t>Y</t>
        </is>
      </c>
      <c r="I257">
        <f>HYPERLINK("https://admin.shopify.com/store/ge-beauty-cosmeticos/customers/10648388043072","abrir")</f>
        <v/>
      </c>
      <c r="J257">
        <f>HYPERLINK("https://www.gebeauty.com.br/products/primer-liso-intacto?ref=review","review")</f>
        <v/>
      </c>
      <c r="K257" t="inlineStr">
        <is>
          <t>SEND</t>
        </is>
      </c>
    </row>
    <row r="258">
      <c r="A258" t="inlineStr">
        <is>
          <t>Adriana</t>
        </is>
      </c>
      <c r="B258" t="inlineStr">
        <is>
          <t>+5581992703955</t>
        </is>
      </c>
      <c r="C258" t="inlineStr">
        <is>
          <t>Advocate</t>
        </is>
      </c>
      <c r="D258" t="inlineStr">
        <is>
          <t>Primer Liso</t>
        </is>
      </c>
      <c r="E258" t="n">
        <v>2</v>
      </c>
      <c r="F258" t="inlineStr">
        <is>
          <t>2026-05-10</t>
        </is>
      </c>
      <c r="G258" t="n">
        <v>55</v>
      </c>
      <c r="H258" t="inlineStr">
        <is>
          <t>Y</t>
        </is>
      </c>
      <c r="I258">
        <f>HYPERLINK("https://admin.shopify.com/store/ge-beauty-cosmeticos/customers/9486066417984","abrir")</f>
        <v/>
      </c>
      <c r="J258">
        <f>HYPERLINK("https://www.gebeauty.com.br/products/primer-liso-intacto?ref=review","review")</f>
        <v/>
      </c>
      <c r="K258" t="inlineStr">
        <is>
          <t>SEND</t>
        </is>
      </c>
    </row>
    <row r="259">
      <c r="A259" t="inlineStr">
        <is>
          <t>Alessandra</t>
        </is>
      </c>
      <c r="B259" t="inlineStr">
        <is>
          <t>+5514981813943</t>
        </is>
      </c>
      <c r="C259" t="inlineStr">
        <is>
          <t>Advocate</t>
        </is>
      </c>
      <c r="D259" t="inlineStr">
        <is>
          <t>Primer Liso</t>
        </is>
      </c>
      <c r="E259" t="n">
        <v>2</v>
      </c>
      <c r="F259" t="inlineStr">
        <is>
          <t>2026-06-15</t>
        </is>
      </c>
      <c r="G259" t="n">
        <v>19</v>
      </c>
      <c r="H259" t="inlineStr">
        <is>
          <t>Y</t>
        </is>
      </c>
      <c r="I259">
        <f>HYPERLINK("https://admin.shopify.com/store/ge-beauty-cosmeticos/customers/7761108009280","abrir")</f>
        <v/>
      </c>
      <c r="J259">
        <f>HYPERLINK("https://www.gebeauty.com.br/products/primer-liso-intacto?ref=review","review")</f>
        <v/>
      </c>
      <c r="K259" t="inlineStr">
        <is>
          <t>SEND</t>
        </is>
      </c>
    </row>
    <row r="260">
      <c r="A260" t="inlineStr">
        <is>
          <t>Juliana</t>
        </is>
      </c>
      <c r="B260" t="inlineStr">
        <is>
          <t>+5521979026059</t>
        </is>
      </c>
      <c r="C260" t="inlineStr">
        <is>
          <t>Advocate</t>
        </is>
      </c>
      <c r="D260" t="inlineStr">
        <is>
          <t>Primer Liso</t>
        </is>
      </c>
      <c r="E260" t="n">
        <v>2</v>
      </c>
      <c r="F260" t="inlineStr">
        <is>
          <t>2026-07-01</t>
        </is>
      </c>
      <c r="G260" t="n">
        <v>3</v>
      </c>
      <c r="H260" t="inlineStr">
        <is>
          <t>Y</t>
        </is>
      </c>
      <c r="I260">
        <f>HYPERLINK("https://admin.shopify.com/store/ge-beauty-cosmeticos/customers/10919537246528","abrir")</f>
        <v/>
      </c>
      <c r="J260">
        <f>HYPERLINK("https://www.gebeauty.com.br/products/primer-liso-intacto?ref=review","review")</f>
        <v/>
      </c>
      <c r="K260" t="inlineStr">
        <is>
          <t>SEND</t>
        </is>
      </c>
    </row>
    <row r="261">
      <c r="A261" t="inlineStr">
        <is>
          <t>Lilia</t>
        </is>
      </c>
      <c r="B261" t="inlineStr">
        <is>
          <t>+5585987922645</t>
        </is>
      </c>
      <c r="C261" t="inlineStr">
        <is>
          <t>Advocate</t>
        </is>
      </c>
      <c r="D261" t="inlineStr">
        <is>
          <t>Primer Liso</t>
        </is>
      </c>
      <c r="E261" t="n">
        <v>2</v>
      </c>
      <c r="F261" t="inlineStr">
        <is>
          <t>2026-06-23</t>
        </is>
      </c>
      <c r="G261" t="n">
        <v>11</v>
      </c>
      <c r="H261" t="inlineStr">
        <is>
          <t>Y</t>
        </is>
      </c>
      <c r="I261">
        <f>HYPERLINK("https://admin.shopify.com/store/ge-beauty-cosmeticos/customers/9022776934720","abrir")</f>
        <v/>
      </c>
      <c r="J261">
        <f>HYPERLINK("https://www.gebeauty.com.br/products/primer-liso-intacto?ref=review","review")</f>
        <v/>
      </c>
      <c r="K261" t="inlineStr">
        <is>
          <t>SEND</t>
        </is>
      </c>
    </row>
    <row r="262">
      <c r="A262" t="inlineStr">
        <is>
          <t>Catarina</t>
        </is>
      </c>
      <c r="B262" t="inlineStr">
        <is>
          <t>+5581994059094</t>
        </is>
      </c>
      <c r="C262" t="inlineStr">
        <is>
          <t>Advocate</t>
        </is>
      </c>
      <c r="D262" t="inlineStr">
        <is>
          <t>Primer Liso</t>
        </is>
      </c>
      <c r="E262" t="n">
        <v>2</v>
      </c>
      <c r="F262" t="inlineStr">
        <is>
          <t>2026-07-02</t>
        </is>
      </c>
      <c r="G262" t="n">
        <v>2</v>
      </c>
      <c r="H262" t="inlineStr">
        <is>
          <t>Y</t>
        </is>
      </c>
      <c r="I262">
        <f>HYPERLINK("https://admin.shopify.com/store/ge-beauty-cosmeticos/customers/7760585752896","abrir")</f>
        <v/>
      </c>
      <c r="J262">
        <f>HYPERLINK("https://www.gebeauty.com.br/products/primer-liso-intacto?ref=review","review")</f>
        <v/>
      </c>
      <c r="K262" t="inlineStr">
        <is>
          <t>SEND</t>
        </is>
      </c>
    </row>
    <row r="263">
      <c r="A263" t="inlineStr">
        <is>
          <t>Alécia</t>
        </is>
      </c>
      <c r="B263" t="inlineStr">
        <is>
          <t>+5511987353384</t>
        </is>
      </c>
      <c r="C263" t="inlineStr">
        <is>
          <t>Advocate</t>
        </is>
      </c>
      <c r="D263" t="inlineStr">
        <is>
          <t>Primer Liso</t>
        </is>
      </c>
      <c r="E263" t="n">
        <v>2</v>
      </c>
      <c r="F263" t="inlineStr">
        <is>
          <t>2024-12-26</t>
        </is>
      </c>
      <c r="G263" t="n">
        <v>555</v>
      </c>
      <c r="H263" t="inlineStr">
        <is>
          <t>Y</t>
        </is>
      </c>
      <c r="I263">
        <f>HYPERLINK("https://admin.shopify.com/store/ge-beauty-cosmeticos/customers/8935014695232","abrir")</f>
        <v/>
      </c>
      <c r="J263">
        <f>HYPERLINK("https://www.gebeauty.com.br/products/primer-liso-intacto?ref=review","review")</f>
        <v/>
      </c>
      <c r="K263" t="inlineStr">
        <is>
          <t>SEND</t>
        </is>
      </c>
    </row>
    <row r="264">
      <c r="A264" t="inlineStr">
        <is>
          <t>Monique</t>
        </is>
      </c>
      <c r="B264" t="inlineStr">
        <is>
          <t>+5521981240242</t>
        </is>
      </c>
      <c r="C264" t="inlineStr">
        <is>
          <t>Advocate</t>
        </is>
      </c>
      <c r="D264" t="inlineStr">
        <is>
          <t>Primer Liso</t>
        </is>
      </c>
      <c r="E264" t="n">
        <v>2</v>
      </c>
      <c r="F264" t="inlineStr">
        <is>
          <t>2024-12-30</t>
        </is>
      </c>
      <c r="G264" t="n">
        <v>551</v>
      </c>
      <c r="H264" t="inlineStr">
        <is>
          <t>Y</t>
        </is>
      </c>
      <c r="I264">
        <f>HYPERLINK("https://admin.shopify.com/store/ge-beauty-cosmeticos/customers/7762059493696","abrir")</f>
        <v/>
      </c>
      <c r="J264">
        <f>HYPERLINK("https://www.gebeauty.com.br/products/primer-liso-intacto?ref=review","review")</f>
        <v/>
      </c>
      <c r="K264" t="inlineStr">
        <is>
          <t>SEND</t>
        </is>
      </c>
    </row>
    <row r="265">
      <c r="A265" t="inlineStr">
        <is>
          <t>Carla</t>
        </is>
      </c>
      <c r="B265" t="inlineStr">
        <is>
          <t>+5583981135502</t>
        </is>
      </c>
      <c r="C265" t="inlineStr">
        <is>
          <t>Advocate</t>
        </is>
      </c>
      <c r="D265" t="inlineStr">
        <is>
          <t>Primer Liso</t>
        </is>
      </c>
      <c r="E265" t="n">
        <v>2</v>
      </c>
      <c r="F265" t="inlineStr">
        <is>
          <t>2024-12-15</t>
        </is>
      </c>
      <c r="G265" t="n">
        <v>566</v>
      </c>
      <c r="H265" t="inlineStr">
        <is>
          <t>Y</t>
        </is>
      </c>
      <c r="I265">
        <f>HYPERLINK("https://admin.shopify.com/store/ge-beauty-cosmeticos/customers/7761903649088","abrir")</f>
        <v/>
      </c>
      <c r="J265">
        <f>HYPERLINK("https://www.gebeauty.com.br/products/primer-liso-intacto?ref=review","review")</f>
        <v/>
      </c>
      <c r="K265" t="inlineStr">
        <is>
          <t>SEND</t>
        </is>
      </c>
    </row>
    <row r="266">
      <c r="A266" t="inlineStr">
        <is>
          <t>Maria Fernanda</t>
        </is>
      </c>
      <c r="B266" t="inlineStr">
        <is>
          <t>+5521988759888</t>
        </is>
      </c>
      <c r="C266" t="inlineStr">
        <is>
          <t>Advocate</t>
        </is>
      </c>
      <c r="D266" t="inlineStr">
        <is>
          <t>Primer Liso</t>
        </is>
      </c>
      <c r="E266" t="n">
        <v>2</v>
      </c>
      <c r="F266" t="inlineStr">
        <is>
          <t>2025-01-05</t>
        </is>
      </c>
      <c r="G266" t="n">
        <v>545</v>
      </c>
      <c r="H266" t="inlineStr">
        <is>
          <t>Y</t>
        </is>
      </c>
      <c r="I266">
        <f>HYPERLINK("https://admin.shopify.com/store/ge-beauty-cosmeticos/customers/8717595607360","abrir")</f>
        <v/>
      </c>
      <c r="J266">
        <f>HYPERLINK("https://www.gebeauty.com.br/products/primer-liso-intacto?ref=review","review")</f>
        <v/>
      </c>
      <c r="K266" t="inlineStr">
        <is>
          <t>SEND</t>
        </is>
      </c>
    </row>
    <row r="267">
      <c r="A267" t="inlineStr">
        <is>
          <t>Tatiana</t>
        </is>
      </c>
      <c r="B267" t="inlineStr">
        <is>
          <t>+5511982611200</t>
        </is>
      </c>
      <c r="C267" t="inlineStr">
        <is>
          <t>Advocate</t>
        </is>
      </c>
      <c r="D267" t="inlineStr">
        <is>
          <t>Primer Liso</t>
        </is>
      </c>
      <c r="E267" t="n">
        <v>2</v>
      </c>
      <c r="F267" t="inlineStr">
        <is>
          <t>2024-12-22</t>
        </is>
      </c>
      <c r="G267" t="n">
        <v>559</v>
      </c>
      <c r="H267" t="inlineStr">
        <is>
          <t>Y</t>
        </is>
      </c>
      <c r="I267">
        <f>HYPERLINK("https://admin.shopify.com/store/ge-beauty-cosmeticos/customers/8479180849472","abrir")</f>
        <v/>
      </c>
      <c r="J267">
        <f>HYPERLINK("https://www.gebeauty.com.br/products/primer-liso-intacto?ref=review","review")</f>
        <v/>
      </c>
      <c r="K267" t="inlineStr">
        <is>
          <t>SEND</t>
        </is>
      </c>
    </row>
    <row r="268">
      <c r="A268" t="inlineStr">
        <is>
          <t>Giovanna</t>
        </is>
      </c>
      <c r="B268" t="inlineStr">
        <is>
          <t>+5511963630673</t>
        </is>
      </c>
      <c r="C268" t="inlineStr">
        <is>
          <t>Advocate</t>
        </is>
      </c>
      <c r="D268" t="inlineStr">
        <is>
          <t>Primer Liso</t>
        </is>
      </c>
      <c r="E268" t="n">
        <v>2</v>
      </c>
      <c r="F268" t="inlineStr">
        <is>
          <t>2024-12-30</t>
        </is>
      </c>
      <c r="G268" t="n">
        <v>551</v>
      </c>
      <c r="H268" t="inlineStr">
        <is>
          <t>Y</t>
        </is>
      </c>
      <c r="I268">
        <f>HYPERLINK("https://admin.shopify.com/store/ge-beauty-cosmeticos/customers/8702282858816","abrir")</f>
        <v/>
      </c>
      <c r="J268">
        <f>HYPERLINK("https://www.gebeauty.com.br/products/primer-liso-intacto?ref=review","review")</f>
        <v/>
      </c>
      <c r="K268" t="inlineStr">
        <is>
          <t>SEND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Phone</t>
        </is>
      </c>
      <c r="C1" t="inlineStr">
        <is>
          <t>Segment</t>
        </is>
      </c>
      <c r="D1" t="inlineStr">
        <is>
          <t>Product</t>
        </is>
      </c>
      <c r="E1" t="inlineStr">
        <is>
          <t>Times Bought</t>
        </is>
      </c>
      <c r="F1" t="inlineStr">
        <is>
          <t>Last Purchase</t>
        </is>
      </c>
      <c r="G1" t="inlineStr">
        <is>
          <t>Days Since</t>
        </is>
      </c>
      <c r="H1" t="inlineStr">
        <is>
          <t>Review Eligible</t>
        </is>
      </c>
      <c r="I1" t="inlineStr">
        <is>
          <t>Customer Page</t>
        </is>
      </c>
      <c r="J1" t="inlineStr">
        <is>
          <t>Review Link</t>
        </is>
      </c>
      <c r="K1" t="inlineStr">
        <is>
          <t>Holdout</t>
        </is>
      </c>
    </row>
    <row r="2">
      <c r="A2" t="inlineStr">
        <is>
          <t>Jozi</t>
        </is>
      </c>
      <c r="B2" t="inlineStr">
        <is>
          <t>+5511964223720</t>
        </is>
      </c>
      <c r="C2" t="inlineStr">
        <is>
          <t>Refill</t>
        </is>
      </c>
      <c r="D2" t="inlineStr">
        <is>
          <t>Primer Liso</t>
        </is>
      </c>
      <c r="E2" t="n">
        <v>1</v>
      </c>
      <c r="F2" t="inlineStr">
        <is>
          <t>2025-11-30</t>
        </is>
      </c>
      <c r="G2" t="n">
        <v>216</v>
      </c>
      <c r="H2" t="inlineStr">
        <is>
          <t>Y</t>
        </is>
      </c>
      <c r="I2">
        <f>HYPERLINK("https://admin.shopify.com/store/ge-beauty-cosmeticos/customers/7760241033536","abrir")</f>
        <v/>
      </c>
      <c r="J2">
        <f>HYPERLINK("https://www.gebeauty.com.br/products/primer-liso-intacto?ref=review","review")</f>
        <v/>
      </c>
      <c r="K2" t="inlineStr">
        <is>
          <t>SEND</t>
        </is>
      </c>
    </row>
    <row r="3">
      <c r="A3" t="inlineStr">
        <is>
          <t>Luciana</t>
        </is>
      </c>
      <c r="B3" t="inlineStr">
        <is>
          <t>+5521983340662</t>
        </is>
      </c>
      <c r="C3" t="inlineStr">
        <is>
          <t>Refill</t>
        </is>
      </c>
      <c r="D3" t="inlineStr">
        <is>
          <t>Primer Liso</t>
        </is>
      </c>
      <c r="E3" t="n">
        <v>1</v>
      </c>
      <c r="F3" t="inlineStr">
        <is>
          <t>2025-09-30</t>
        </is>
      </c>
      <c r="G3" t="n">
        <v>277</v>
      </c>
      <c r="H3" t="inlineStr">
        <is>
          <t>Y</t>
        </is>
      </c>
      <c r="I3">
        <f>HYPERLINK("https://admin.shopify.com/store/ge-beauty-cosmeticos/customers/8616080408896","abrir")</f>
        <v/>
      </c>
      <c r="J3">
        <f>HYPERLINK("https://www.gebeauty.com.br/products/primer-liso-intacto?ref=review","review")</f>
        <v/>
      </c>
      <c r="K3" t="inlineStr">
        <is>
          <t>SEND</t>
        </is>
      </c>
    </row>
    <row r="4">
      <c r="A4" t="inlineStr">
        <is>
          <t>Laura</t>
        </is>
      </c>
      <c r="B4" t="inlineStr">
        <is>
          <t>+5511976060402</t>
        </is>
      </c>
      <c r="C4" t="inlineStr">
        <is>
          <t>Refill</t>
        </is>
      </c>
      <c r="D4" t="inlineStr">
        <is>
          <t>Primer Liso</t>
        </is>
      </c>
      <c r="E4" t="n">
        <v>1</v>
      </c>
      <c r="F4" t="inlineStr">
        <is>
          <t>2025-09-27</t>
        </is>
      </c>
      <c r="G4" t="n">
        <v>280</v>
      </c>
      <c r="H4" t="inlineStr">
        <is>
          <t>Y</t>
        </is>
      </c>
      <c r="I4">
        <f>HYPERLINK("https://admin.shopify.com/store/ge-beauty-cosmeticos/customers/7762069487936","abrir")</f>
        <v/>
      </c>
      <c r="J4">
        <f>HYPERLINK("https://www.gebeauty.com.br/products/primer-liso-intacto?ref=review","review")</f>
        <v/>
      </c>
      <c r="K4" t="inlineStr">
        <is>
          <t>SEND</t>
        </is>
      </c>
    </row>
    <row r="5">
      <c r="A5" t="inlineStr">
        <is>
          <t>Vania</t>
        </is>
      </c>
      <c r="B5" t="inlineStr">
        <is>
          <t>+551150734481</t>
        </is>
      </c>
      <c r="C5" t="inlineStr">
        <is>
          <t>Refill</t>
        </is>
      </c>
      <c r="D5" t="inlineStr">
        <is>
          <t>Primer Liso</t>
        </is>
      </c>
      <c r="E5" t="n">
        <v>1</v>
      </c>
      <c r="F5" t="inlineStr">
        <is>
          <t>2026-02-11</t>
        </is>
      </c>
      <c r="G5" t="n">
        <v>143</v>
      </c>
      <c r="H5" t="inlineStr">
        <is>
          <t>Y</t>
        </is>
      </c>
      <c r="I5">
        <f>HYPERLINK("https://admin.shopify.com/store/ge-beauty-cosmeticos/customers/9083808481600","abrir")</f>
        <v/>
      </c>
      <c r="J5">
        <f>HYPERLINK("https://www.gebeauty.com.br/products/primer-liso-intacto?ref=review","review")</f>
        <v/>
      </c>
      <c r="K5" t="inlineStr">
        <is>
          <t>SEND</t>
        </is>
      </c>
    </row>
    <row r="6">
      <c r="A6" t="inlineStr">
        <is>
          <t>Alessandra</t>
        </is>
      </c>
      <c r="B6" t="inlineStr">
        <is>
          <t>+5511982498309</t>
        </is>
      </c>
      <c r="C6" t="inlineStr">
        <is>
          <t>Refill</t>
        </is>
      </c>
      <c r="D6" t="inlineStr">
        <is>
          <t>Primer Liso</t>
        </is>
      </c>
      <c r="E6" t="n">
        <v>1</v>
      </c>
      <c r="F6" t="inlineStr">
        <is>
          <t>2025-08-18</t>
        </is>
      </c>
      <c r="G6" t="n">
        <v>320</v>
      </c>
      <c r="H6" t="inlineStr">
        <is>
          <t>Y</t>
        </is>
      </c>
      <c r="I6">
        <f>HYPERLINK("https://admin.shopify.com/store/ge-beauty-cosmeticos/customers/7759750562112","abrir")</f>
        <v/>
      </c>
      <c r="J6">
        <f>HYPERLINK("https://www.gebeauty.com.br/products/primer-liso-intacto?ref=review","review")</f>
        <v/>
      </c>
      <c r="K6" t="inlineStr">
        <is>
          <t>HOLDOUT</t>
        </is>
      </c>
    </row>
    <row r="7">
      <c r="A7" t="inlineStr">
        <is>
          <t>Altenfelder</t>
        </is>
      </c>
      <c r="B7" t="inlineStr">
        <is>
          <t>+5511982899943</t>
        </is>
      </c>
      <c r="C7" t="inlineStr">
        <is>
          <t>Refill</t>
        </is>
      </c>
      <c r="D7" t="inlineStr">
        <is>
          <t>Primer Liso</t>
        </is>
      </c>
      <c r="E7" t="n">
        <v>1</v>
      </c>
      <c r="F7" t="inlineStr">
        <is>
          <t>2025-08-11</t>
        </is>
      </c>
      <c r="G7" t="n">
        <v>327</v>
      </c>
      <c r="H7" t="inlineStr">
        <is>
          <t>Y</t>
        </is>
      </c>
      <c r="I7">
        <f>HYPERLINK("https://admin.shopify.com/store/ge-beauty-cosmeticos/customers/7759710617920","abrir")</f>
        <v/>
      </c>
      <c r="J7">
        <f>HYPERLINK("https://www.gebeauty.com.br/products/primer-liso-intacto?ref=review","review")</f>
        <v/>
      </c>
      <c r="K7" t="inlineStr">
        <is>
          <t>HOLDOUT</t>
        </is>
      </c>
    </row>
    <row r="8">
      <c r="A8" t="inlineStr">
        <is>
          <t>Edilaine</t>
        </is>
      </c>
      <c r="B8" t="inlineStr">
        <is>
          <t>+5511995899539</t>
        </is>
      </c>
      <c r="C8" t="inlineStr">
        <is>
          <t>Refill</t>
        </is>
      </c>
      <c r="D8" t="inlineStr">
        <is>
          <t>Primer Liso</t>
        </is>
      </c>
      <c r="E8" t="n">
        <v>1</v>
      </c>
      <c r="F8" t="inlineStr">
        <is>
          <t>2025-11-27</t>
        </is>
      </c>
      <c r="G8" t="n">
        <v>219</v>
      </c>
      <c r="H8" t="inlineStr">
        <is>
          <t>Y</t>
        </is>
      </c>
      <c r="I8">
        <f>HYPERLINK("https://admin.shopify.com/store/ge-beauty-cosmeticos/customers/7762668650816","abrir")</f>
        <v/>
      </c>
      <c r="J8">
        <f>HYPERLINK("https://www.gebeauty.com.br/products/primer-liso-intacto?ref=review","review")</f>
        <v/>
      </c>
      <c r="K8" t="inlineStr">
        <is>
          <t>SEND</t>
        </is>
      </c>
    </row>
    <row r="9">
      <c r="A9" t="inlineStr">
        <is>
          <t>Patricia</t>
        </is>
      </c>
      <c r="B9" t="inlineStr">
        <is>
          <t>+5581991145811</t>
        </is>
      </c>
      <c r="C9" t="inlineStr">
        <is>
          <t>Refill</t>
        </is>
      </c>
      <c r="D9" t="inlineStr">
        <is>
          <t>Primer Liso</t>
        </is>
      </c>
      <c r="E9" t="n">
        <v>1</v>
      </c>
      <c r="F9" t="inlineStr">
        <is>
          <t>2025-11-04</t>
        </is>
      </c>
      <c r="G9" t="n">
        <v>242</v>
      </c>
      <c r="H9" t="inlineStr">
        <is>
          <t>Y</t>
        </is>
      </c>
      <c r="I9">
        <f>HYPERLINK("https://admin.shopify.com/store/ge-beauty-cosmeticos/customers/7761950769472","abrir")</f>
        <v/>
      </c>
      <c r="J9">
        <f>HYPERLINK("https://www.gebeauty.com.br/products/primer-liso-intacto?ref=review","review")</f>
        <v/>
      </c>
      <c r="K9" t="inlineStr">
        <is>
          <t>SEND</t>
        </is>
      </c>
    </row>
    <row r="10">
      <c r="A10" t="inlineStr">
        <is>
          <t>Taísa</t>
        </is>
      </c>
      <c r="B10" t="inlineStr">
        <is>
          <t>+5511972840606</t>
        </is>
      </c>
      <c r="C10" t="inlineStr">
        <is>
          <t>Refill</t>
        </is>
      </c>
      <c r="D10" t="inlineStr">
        <is>
          <t>Primer Liso</t>
        </is>
      </c>
      <c r="E10" t="n">
        <v>1</v>
      </c>
      <c r="F10" t="inlineStr">
        <is>
          <t>2025-10-23</t>
        </is>
      </c>
      <c r="G10" t="n">
        <v>254</v>
      </c>
      <c r="H10" t="inlineStr">
        <is>
          <t>Y</t>
        </is>
      </c>
      <c r="I10">
        <f>HYPERLINK("https://admin.shopify.com/store/ge-beauty-cosmeticos/customers/9151442878784","abrir")</f>
        <v/>
      </c>
      <c r="J10">
        <f>HYPERLINK("https://www.gebeauty.com.br/products/primer-liso-intacto?ref=review","review")</f>
        <v/>
      </c>
      <c r="K10" t="inlineStr">
        <is>
          <t>SEND</t>
        </is>
      </c>
    </row>
    <row r="11">
      <c r="A11" t="inlineStr">
        <is>
          <t>Silvia</t>
        </is>
      </c>
      <c r="B11" t="inlineStr">
        <is>
          <t>+5511996266778</t>
        </is>
      </c>
      <c r="C11" t="inlineStr">
        <is>
          <t>Refill</t>
        </is>
      </c>
      <c r="D11" t="inlineStr">
        <is>
          <t>Primer Liso</t>
        </is>
      </c>
      <c r="E11" t="n">
        <v>1</v>
      </c>
      <c r="F11" t="inlineStr">
        <is>
          <t>2025-07-31</t>
        </is>
      </c>
      <c r="G11" t="n">
        <v>338</v>
      </c>
      <c r="H11" t="inlineStr">
        <is>
          <t>Y</t>
        </is>
      </c>
      <c r="I11">
        <f>HYPERLINK("https://admin.shopify.com/store/ge-beauty-cosmeticos/customers/7761526260032","abrir")</f>
        <v/>
      </c>
      <c r="J11">
        <f>HYPERLINK("https://www.gebeauty.com.br/products/primer-liso-intacto?ref=review","review")</f>
        <v/>
      </c>
      <c r="K11" t="inlineStr">
        <is>
          <t>HOLDOUT</t>
        </is>
      </c>
    </row>
    <row r="12">
      <c r="A12" t="inlineStr">
        <is>
          <t>Maria</t>
        </is>
      </c>
      <c r="B12" t="inlineStr">
        <is>
          <t>+5581998170005</t>
        </is>
      </c>
      <c r="C12" t="inlineStr">
        <is>
          <t>Refill</t>
        </is>
      </c>
      <c r="D12" t="inlineStr">
        <is>
          <t>Primer Liso</t>
        </is>
      </c>
      <c r="E12" t="n">
        <v>1</v>
      </c>
      <c r="F12" t="inlineStr">
        <is>
          <t>2025-12-19</t>
        </is>
      </c>
      <c r="G12" t="n">
        <v>197</v>
      </c>
      <c r="H12" t="inlineStr">
        <is>
          <t>Y</t>
        </is>
      </c>
      <c r="I12">
        <f>HYPERLINK("https://admin.shopify.com/store/ge-beauty-cosmeticos/customers/9209855115584","abrir")</f>
        <v/>
      </c>
      <c r="J12">
        <f>HYPERLINK("https://www.gebeauty.com.br/products/primer-liso-intacto?ref=review","review")</f>
        <v/>
      </c>
      <c r="K12" t="inlineStr">
        <is>
          <t>SEND</t>
        </is>
      </c>
    </row>
    <row r="13">
      <c r="A13" t="inlineStr">
        <is>
          <t>Teresa</t>
        </is>
      </c>
      <c r="B13" t="inlineStr">
        <is>
          <t>+5511981759573</t>
        </is>
      </c>
      <c r="C13" t="inlineStr">
        <is>
          <t>Refill</t>
        </is>
      </c>
      <c r="D13" t="inlineStr">
        <is>
          <t>Primer Liso</t>
        </is>
      </c>
      <c r="E13" t="n">
        <v>1</v>
      </c>
      <c r="F13" t="inlineStr">
        <is>
          <t>2025-11-10</t>
        </is>
      </c>
      <c r="G13" t="n">
        <v>236</v>
      </c>
      <c r="H13" t="inlineStr">
        <is>
          <t>Y</t>
        </is>
      </c>
      <c r="I13">
        <f>HYPERLINK("https://admin.shopify.com/store/ge-beauty-cosmeticos/customers/7761445847360","abrir")</f>
        <v/>
      </c>
      <c r="J13">
        <f>HYPERLINK("https://www.gebeauty.com.br/products/primer-liso-intacto?ref=review","review")</f>
        <v/>
      </c>
      <c r="K13" t="inlineStr">
        <is>
          <t>SEND</t>
        </is>
      </c>
    </row>
    <row r="14">
      <c r="A14" t="inlineStr">
        <is>
          <t>Anne</t>
        </is>
      </c>
      <c r="B14" t="inlineStr">
        <is>
          <t>+5521998271220</t>
        </is>
      </c>
      <c r="C14" t="inlineStr">
        <is>
          <t>Refill</t>
        </is>
      </c>
      <c r="D14" t="inlineStr">
        <is>
          <t>Primer Liso</t>
        </is>
      </c>
      <c r="E14" t="n">
        <v>1</v>
      </c>
      <c r="F14" t="inlineStr">
        <is>
          <t>2025-09-30</t>
        </is>
      </c>
      <c r="G14" t="n">
        <v>277</v>
      </c>
      <c r="H14" t="inlineStr">
        <is>
          <t>Y</t>
        </is>
      </c>
      <c r="I14">
        <f>HYPERLINK("https://admin.shopify.com/store/ge-beauty-cosmeticos/customers/7760235364672","abrir")</f>
        <v/>
      </c>
      <c r="J14">
        <f>HYPERLINK("https://www.gebeauty.com.br/products/primer-liso-intacto?ref=review","review")</f>
        <v/>
      </c>
      <c r="K14" t="inlineStr">
        <is>
          <t>SEND</t>
        </is>
      </c>
    </row>
    <row r="15">
      <c r="A15" t="inlineStr">
        <is>
          <t>Ana</t>
        </is>
      </c>
      <c r="B15" t="inlineStr">
        <is>
          <t>+5561984200175</t>
        </is>
      </c>
      <c r="C15" t="inlineStr">
        <is>
          <t>Refill</t>
        </is>
      </c>
      <c r="D15" t="inlineStr">
        <is>
          <t>Primer Liso</t>
        </is>
      </c>
      <c r="E15" t="n">
        <v>1</v>
      </c>
      <c r="F15" t="inlineStr">
        <is>
          <t>2026-02-13</t>
        </is>
      </c>
      <c r="G15" t="n">
        <v>141</v>
      </c>
      <c r="H15" t="inlineStr">
        <is>
          <t>Y</t>
        </is>
      </c>
      <c r="I15">
        <f>HYPERLINK("https://admin.shopify.com/store/ge-beauty-cosmeticos/customers/7762045829440","abrir")</f>
        <v/>
      </c>
      <c r="J15">
        <f>HYPERLINK("https://www.gebeauty.com.br/products/primer-liso-intacto?ref=review","review")</f>
        <v/>
      </c>
      <c r="K15" t="inlineStr">
        <is>
          <t>SEND</t>
        </is>
      </c>
    </row>
    <row r="16">
      <c r="A16" t="inlineStr">
        <is>
          <t>Grazielle</t>
        </is>
      </c>
      <c r="B16" t="inlineStr">
        <is>
          <t>+5564999280808</t>
        </is>
      </c>
      <c r="C16" t="inlineStr">
        <is>
          <t>Refill</t>
        </is>
      </c>
      <c r="D16" t="inlineStr">
        <is>
          <t>Primer Liso</t>
        </is>
      </c>
      <c r="E16" t="n">
        <v>1</v>
      </c>
      <c r="F16" t="inlineStr">
        <is>
          <t>2025-09-17</t>
        </is>
      </c>
      <c r="G16" t="n">
        <v>290</v>
      </c>
      <c r="H16" t="inlineStr">
        <is>
          <t>Y</t>
        </is>
      </c>
      <c r="I16">
        <f>HYPERLINK("https://admin.shopify.com/store/ge-beauty-cosmeticos/customers/9284097376576","abrir")</f>
        <v/>
      </c>
      <c r="J16">
        <f>HYPERLINK("https://www.gebeauty.com.br/products/primer-liso-intacto?ref=review","review")</f>
        <v/>
      </c>
      <c r="K16" t="inlineStr">
        <is>
          <t>SEND</t>
        </is>
      </c>
    </row>
    <row r="17">
      <c r="A17" t="inlineStr">
        <is>
          <t>Karina</t>
        </is>
      </c>
      <c r="B17" t="inlineStr">
        <is>
          <t>+5511945246730</t>
        </is>
      </c>
      <c r="C17" t="inlineStr">
        <is>
          <t>Refill</t>
        </is>
      </c>
      <c r="D17" t="inlineStr">
        <is>
          <t>Primer Liso</t>
        </is>
      </c>
      <c r="E17" t="n">
        <v>1</v>
      </c>
      <c r="F17" t="inlineStr">
        <is>
          <t>2025-09-27</t>
        </is>
      </c>
      <c r="G17" t="n">
        <v>280</v>
      </c>
      <c r="H17" t="inlineStr">
        <is>
          <t>Y</t>
        </is>
      </c>
      <c r="I17">
        <f>HYPERLINK("https://admin.shopify.com/store/ge-beauty-cosmeticos/customers/7759855157568","abrir")</f>
        <v/>
      </c>
      <c r="J17">
        <f>HYPERLINK("https://www.gebeauty.com.br/products/primer-liso-intacto?ref=review","review")</f>
        <v/>
      </c>
      <c r="K17" t="inlineStr">
        <is>
          <t>SEND</t>
        </is>
      </c>
    </row>
    <row r="18">
      <c r="A18" t="inlineStr">
        <is>
          <t>Milena</t>
        </is>
      </c>
      <c r="B18" t="inlineStr">
        <is>
          <t>+5583996471810</t>
        </is>
      </c>
      <c r="C18" t="inlineStr">
        <is>
          <t>Refill</t>
        </is>
      </c>
      <c r="D18" t="inlineStr">
        <is>
          <t>Primer Liso</t>
        </is>
      </c>
      <c r="E18" t="n">
        <v>1</v>
      </c>
      <c r="F18" t="inlineStr">
        <is>
          <t>2025-11-29</t>
        </is>
      </c>
      <c r="G18" t="n">
        <v>217</v>
      </c>
      <c r="H18" t="inlineStr">
        <is>
          <t>Y</t>
        </is>
      </c>
      <c r="I18">
        <f>HYPERLINK("https://admin.shopify.com/store/ge-beauty-cosmeticos/customers/8838049792320","abrir")</f>
        <v/>
      </c>
      <c r="J18">
        <f>HYPERLINK("https://www.gebeauty.com.br/products/primer-liso-intacto?ref=review","review")</f>
        <v/>
      </c>
      <c r="K18" t="inlineStr">
        <is>
          <t>SEND</t>
        </is>
      </c>
    </row>
    <row r="19">
      <c r="A19" t="inlineStr">
        <is>
          <t>Raniely</t>
        </is>
      </c>
      <c r="B19" t="inlineStr">
        <is>
          <t>+5527996864781</t>
        </is>
      </c>
      <c r="C19" t="inlineStr">
        <is>
          <t>Refill</t>
        </is>
      </c>
      <c r="D19" t="inlineStr">
        <is>
          <t>Primer Liso</t>
        </is>
      </c>
      <c r="E19" t="n">
        <v>1</v>
      </c>
      <c r="F19" t="inlineStr">
        <is>
          <t>2025-10-06</t>
        </is>
      </c>
      <c r="G19" t="n">
        <v>271</v>
      </c>
      <c r="H19" t="inlineStr">
        <is>
          <t>Y</t>
        </is>
      </c>
      <c r="I19">
        <f>HYPERLINK("https://admin.shopify.com/store/ge-beauty-cosmeticos/customers/8240385622336","abrir")</f>
        <v/>
      </c>
      <c r="J19">
        <f>HYPERLINK("https://www.gebeauty.com.br/products/primer-liso-intacto?ref=review","review")</f>
        <v/>
      </c>
      <c r="K19" t="inlineStr">
        <is>
          <t>SEND</t>
        </is>
      </c>
    </row>
    <row r="20">
      <c r="A20" t="inlineStr">
        <is>
          <t>Adrielle</t>
        </is>
      </c>
      <c r="B20" t="inlineStr">
        <is>
          <t>+5584999946808</t>
        </is>
      </c>
      <c r="C20" t="inlineStr">
        <is>
          <t>Refill</t>
        </is>
      </c>
      <c r="D20" t="inlineStr">
        <is>
          <t>Primer Liso</t>
        </is>
      </c>
      <c r="E20" t="n">
        <v>1</v>
      </c>
      <c r="F20" t="inlineStr">
        <is>
          <t>2025-11-17</t>
        </is>
      </c>
      <c r="G20" t="n">
        <v>229</v>
      </c>
      <c r="H20" t="inlineStr">
        <is>
          <t>Y</t>
        </is>
      </c>
      <c r="I20">
        <f>HYPERLINK("https://admin.shopify.com/store/ge-beauty-cosmeticos/customers/7761816617280","abrir")</f>
        <v/>
      </c>
      <c r="J20">
        <f>HYPERLINK("https://www.gebeauty.com.br/products/primer-liso-intacto?ref=review","review")</f>
        <v/>
      </c>
      <c r="K20" t="inlineStr">
        <is>
          <t>HOLDOUT</t>
        </is>
      </c>
    </row>
    <row r="21">
      <c r="A21" t="inlineStr">
        <is>
          <t>Leticia</t>
        </is>
      </c>
      <c r="B21" t="inlineStr">
        <is>
          <t>+5586999880166</t>
        </is>
      </c>
      <c r="C21" t="inlineStr">
        <is>
          <t>Refill</t>
        </is>
      </c>
      <c r="D21" t="inlineStr">
        <is>
          <t>Primer Liso</t>
        </is>
      </c>
      <c r="E21" t="n">
        <v>1</v>
      </c>
      <c r="F21" t="inlineStr">
        <is>
          <t>2025-09-23</t>
        </is>
      </c>
      <c r="G21" t="n">
        <v>284</v>
      </c>
      <c r="H21" t="inlineStr">
        <is>
          <t>Y</t>
        </is>
      </c>
      <c r="I21">
        <f>HYPERLINK("https://admin.shopify.com/store/ge-beauty-cosmeticos/customers/9392538779968","abrir")</f>
        <v/>
      </c>
      <c r="J21">
        <f>HYPERLINK("https://www.gebeauty.com.br/products/primer-liso-intacto?ref=review","review")</f>
        <v/>
      </c>
      <c r="K21" t="inlineStr">
        <is>
          <t>SEND</t>
        </is>
      </c>
    </row>
    <row r="22">
      <c r="A22" t="inlineStr">
        <is>
          <t>Marina</t>
        </is>
      </c>
      <c r="B22" t="inlineStr">
        <is>
          <t>+5581995245000</t>
        </is>
      </c>
      <c r="C22" t="inlineStr">
        <is>
          <t>Refill</t>
        </is>
      </c>
      <c r="D22" t="inlineStr">
        <is>
          <t>Primer Liso</t>
        </is>
      </c>
      <c r="E22" t="n">
        <v>1</v>
      </c>
      <c r="F22" t="inlineStr">
        <is>
          <t>2025-10-22</t>
        </is>
      </c>
      <c r="G22" t="n">
        <v>255</v>
      </c>
      <c r="H22" t="inlineStr">
        <is>
          <t>Y</t>
        </is>
      </c>
      <c r="I22">
        <f>HYPERLINK("https://admin.shopify.com/store/ge-beauty-cosmeticos/customers/8927103844672","abrir")</f>
        <v/>
      </c>
      <c r="J22">
        <f>HYPERLINK("https://www.gebeauty.com.br/products/primer-liso-intacto?ref=review","review")</f>
        <v/>
      </c>
      <c r="K22" t="inlineStr">
        <is>
          <t>SEND</t>
        </is>
      </c>
    </row>
    <row r="23">
      <c r="A23" t="inlineStr">
        <is>
          <t>Maria</t>
        </is>
      </c>
      <c r="B23" t="inlineStr">
        <is>
          <t>+5519981816519</t>
        </is>
      </c>
      <c r="C23" t="inlineStr">
        <is>
          <t>Refill</t>
        </is>
      </c>
      <c r="D23" t="inlineStr">
        <is>
          <t>Primer Liso</t>
        </is>
      </c>
      <c r="E23" t="n">
        <v>1</v>
      </c>
      <c r="F23" t="inlineStr">
        <is>
          <t>2025-11-17</t>
        </is>
      </c>
      <c r="G23" t="n">
        <v>229</v>
      </c>
      <c r="H23" t="inlineStr">
        <is>
          <t>Y</t>
        </is>
      </c>
      <c r="I23">
        <f>HYPERLINK("https://admin.shopify.com/store/ge-beauty-cosmeticos/customers/7761473995072","abrir")</f>
        <v/>
      </c>
      <c r="J23">
        <f>HYPERLINK("https://www.gebeauty.com.br/products/primer-liso-intacto?ref=review","review")</f>
        <v/>
      </c>
      <c r="K23" t="inlineStr">
        <is>
          <t>SEND</t>
        </is>
      </c>
    </row>
    <row r="24">
      <c r="A24" t="inlineStr">
        <is>
          <t>Bruna</t>
        </is>
      </c>
      <c r="B24" t="inlineStr">
        <is>
          <t>+5581996604841</t>
        </is>
      </c>
      <c r="C24" t="inlineStr">
        <is>
          <t>Refill</t>
        </is>
      </c>
      <c r="D24" t="inlineStr">
        <is>
          <t>Primer Liso</t>
        </is>
      </c>
      <c r="E24" t="n">
        <v>1</v>
      </c>
      <c r="F24" t="inlineStr">
        <is>
          <t>2025-09-21</t>
        </is>
      </c>
      <c r="G24" t="n">
        <v>286</v>
      </c>
      <c r="H24" t="inlineStr">
        <is>
          <t>Y</t>
        </is>
      </c>
      <c r="I24">
        <f>HYPERLINK("https://admin.shopify.com/store/ge-beauty-cosmeticos/customers/7761022583104","abrir")</f>
        <v/>
      </c>
      <c r="J24">
        <f>HYPERLINK("https://www.gebeauty.com.br/products/primer-liso-intacto?ref=review","review")</f>
        <v/>
      </c>
      <c r="K24" t="inlineStr">
        <is>
          <t>SEND</t>
        </is>
      </c>
    </row>
    <row r="25">
      <c r="A25" t="inlineStr">
        <is>
          <t>Elis</t>
        </is>
      </c>
      <c r="B25" t="inlineStr">
        <is>
          <t>+5516474694849</t>
        </is>
      </c>
      <c r="C25" t="inlineStr">
        <is>
          <t>Refill</t>
        </is>
      </c>
      <c r="D25" t="inlineStr">
        <is>
          <t>Primer Liso</t>
        </is>
      </c>
      <c r="E25" t="n">
        <v>1</v>
      </c>
      <c r="F25" t="inlineStr">
        <is>
          <t>2025-08-13</t>
        </is>
      </c>
      <c r="G25" t="n">
        <v>325</v>
      </c>
      <c r="H25" t="inlineStr">
        <is>
          <t>Y</t>
        </is>
      </c>
      <c r="I25">
        <f>HYPERLINK("https://admin.shopify.com/store/ge-beauty-cosmeticos/customers/9414491373888","abrir")</f>
        <v/>
      </c>
      <c r="J25">
        <f>HYPERLINK("https://www.gebeauty.com.br/products/primer-liso-intacto?ref=review","review")</f>
        <v/>
      </c>
      <c r="K25" t="inlineStr">
        <is>
          <t>SEND</t>
        </is>
      </c>
    </row>
    <row r="26">
      <c r="A26" t="inlineStr">
        <is>
          <t>Fabiana</t>
        </is>
      </c>
      <c r="B26" t="inlineStr">
        <is>
          <t>+5517991358387</t>
        </is>
      </c>
      <c r="C26" t="inlineStr">
        <is>
          <t>Refill</t>
        </is>
      </c>
      <c r="D26" t="inlineStr">
        <is>
          <t>Primer Liso</t>
        </is>
      </c>
      <c r="E26" t="n">
        <v>1</v>
      </c>
      <c r="F26" t="inlineStr">
        <is>
          <t>2025-11-29</t>
        </is>
      </c>
      <c r="G26" t="n">
        <v>217</v>
      </c>
      <c r="H26" t="inlineStr">
        <is>
          <t>Y</t>
        </is>
      </c>
      <c r="I26">
        <f>HYPERLINK("https://admin.shopify.com/store/ge-beauty-cosmeticos/customers/9008939368768","abrir")</f>
        <v/>
      </c>
      <c r="J26">
        <f>HYPERLINK("https://www.gebeauty.com.br/products/primer-liso-intacto?ref=review","review")</f>
        <v/>
      </c>
      <c r="K26" t="inlineStr">
        <is>
          <t>SEND</t>
        </is>
      </c>
    </row>
    <row r="27">
      <c r="A27" t="inlineStr">
        <is>
          <t>Michelle</t>
        </is>
      </c>
      <c r="B27" t="inlineStr">
        <is>
          <t>+5547988815109</t>
        </is>
      </c>
      <c r="C27" t="inlineStr">
        <is>
          <t>Refill</t>
        </is>
      </c>
      <c r="D27" t="inlineStr">
        <is>
          <t>Primer Liso</t>
        </is>
      </c>
      <c r="E27" t="n">
        <v>1</v>
      </c>
      <c r="F27" t="inlineStr">
        <is>
          <t>2025-12-28</t>
        </is>
      </c>
      <c r="G27" t="n">
        <v>188</v>
      </c>
      <c r="H27" t="inlineStr">
        <is>
          <t>Y</t>
        </is>
      </c>
      <c r="I27">
        <f>HYPERLINK("https://admin.shopify.com/store/ge-beauty-cosmeticos/customers/9419947770176","abrir")</f>
        <v/>
      </c>
      <c r="J27">
        <f>HYPERLINK("https://www.gebeauty.com.br/products/primer-liso-intacto?ref=review","review")</f>
        <v/>
      </c>
      <c r="K27" t="inlineStr">
        <is>
          <t>SEND</t>
        </is>
      </c>
    </row>
    <row r="28">
      <c r="A28" t="inlineStr">
        <is>
          <t>Josilene</t>
        </is>
      </c>
      <c r="B28" t="inlineStr">
        <is>
          <t>+5511991067221</t>
        </is>
      </c>
      <c r="C28" t="inlineStr">
        <is>
          <t>Refill</t>
        </is>
      </c>
      <c r="D28" t="inlineStr">
        <is>
          <t>Primer Liso</t>
        </is>
      </c>
      <c r="E28" t="n">
        <v>1</v>
      </c>
      <c r="F28" t="inlineStr">
        <is>
          <t>2026-02-02</t>
        </is>
      </c>
      <c r="G28" t="n">
        <v>152</v>
      </c>
      <c r="H28" t="inlineStr">
        <is>
          <t>Y</t>
        </is>
      </c>
      <c r="I28">
        <f>HYPERLINK("https://admin.shopify.com/store/ge-beauty-cosmeticos/customers/8652115640640","abrir")</f>
        <v/>
      </c>
      <c r="J28">
        <f>HYPERLINK("https://www.gebeauty.com.br/products/primer-liso-intacto?ref=review","review")</f>
        <v/>
      </c>
      <c r="K28" t="inlineStr">
        <is>
          <t>SEND</t>
        </is>
      </c>
    </row>
    <row r="29">
      <c r="A29" t="inlineStr">
        <is>
          <t>Greice</t>
        </is>
      </c>
      <c r="B29" t="inlineStr">
        <is>
          <t>+5585996294222</t>
        </is>
      </c>
      <c r="C29" t="inlineStr">
        <is>
          <t>Refill</t>
        </is>
      </c>
      <c r="D29" t="inlineStr">
        <is>
          <t>Primer Liso</t>
        </is>
      </c>
      <c r="E29" t="n">
        <v>1</v>
      </c>
      <c r="F29" t="inlineStr">
        <is>
          <t>2025-10-01</t>
        </is>
      </c>
      <c r="G29" t="n">
        <v>276</v>
      </c>
      <c r="H29" t="inlineStr">
        <is>
          <t>N</t>
        </is>
      </c>
      <c r="I29">
        <f>HYPERLINK("https://admin.shopify.com/store/ge-beauty-cosmeticos/customers/9080328094016","abrir")</f>
        <v/>
      </c>
      <c r="J29">
        <f>HYPERLINK("https://www.gebeauty.com.br/products/primer-liso-intacto?ref=review","review")</f>
        <v/>
      </c>
      <c r="K29" t="inlineStr">
        <is>
          <t>HOLDOUT</t>
        </is>
      </c>
    </row>
    <row r="30">
      <c r="A30" t="inlineStr">
        <is>
          <t>Sara</t>
        </is>
      </c>
      <c r="B30" t="inlineStr">
        <is>
          <t>+5531987099859</t>
        </is>
      </c>
      <c r="C30" t="inlineStr">
        <is>
          <t>Refill</t>
        </is>
      </c>
      <c r="D30" t="inlineStr">
        <is>
          <t>Primer Liso</t>
        </is>
      </c>
      <c r="E30" t="n">
        <v>1</v>
      </c>
      <c r="F30" t="inlineStr">
        <is>
          <t>2025-11-23</t>
        </is>
      </c>
      <c r="G30" t="n">
        <v>223</v>
      </c>
      <c r="H30" t="inlineStr">
        <is>
          <t>Y</t>
        </is>
      </c>
      <c r="I30">
        <f>HYPERLINK("https://admin.shopify.com/store/ge-beauty-cosmeticos/customers/8114686624064","abrir")</f>
        <v/>
      </c>
      <c r="J30">
        <f>HYPERLINK("https://www.gebeauty.com.br/products/primer-liso-intacto?ref=review","review")</f>
        <v/>
      </c>
      <c r="K30" t="inlineStr">
        <is>
          <t>SEND</t>
        </is>
      </c>
    </row>
    <row r="31">
      <c r="A31" t="inlineStr">
        <is>
          <t>Fabiano</t>
        </is>
      </c>
      <c r="B31" t="inlineStr">
        <is>
          <t>+5531995211607</t>
        </is>
      </c>
      <c r="C31" t="inlineStr">
        <is>
          <t>Refill</t>
        </is>
      </c>
      <c r="D31" t="inlineStr">
        <is>
          <t>Primer Liso</t>
        </is>
      </c>
      <c r="E31" t="n">
        <v>1</v>
      </c>
      <c r="F31" t="inlineStr">
        <is>
          <t>2025-07-24</t>
        </is>
      </c>
      <c r="G31" t="n">
        <v>345</v>
      </c>
      <c r="H31" t="inlineStr">
        <is>
          <t>Y</t>
        </is>
      </c>
      <c r="I31">
        <f>HYPERLINK("https://admin.shopify.com/store/ge-beauty-cosmeticos/customers/9478937641280","abrir")</f>
        <v/>
      </c>
      <c r="J31">
        <f>HYPERLINK("https://www.gebeauty.com.br/products/primer-liso-intacto?ref=review","review")</f>
        <v/>
      </c>
      <c r="K31" t="inlineStr">
        <is>
          <t>SEND</t>
        </is>
      </c>
    </row>
    <row r="32">
      <c r="A32" t="inlineStr">
        <is>
          <t>Andrea</t>
        </is>
      </c>
      <c r="B32" t="inlineStr">
        <is>
          <t>+5584994186895</t>
        </is>
      </c>
      <c r="C32" t="inlineStr">
        <is>
          <t>Refill</t>
        </is>
      </c>
      <c r="D32" t="inlineStr">
        <is>
          <t>Primer Liso</t>
        </is>
      </c>
      <c r="E32" t="n">
        <v>1</v>
      </c>
      <c r="F32" t="inlineStr">
        <is>
          <t>2025-07-24</t>
        </is>
      </c>
      <c r="G32" t="n">
        <v>345</v>
      </c>
      <c r="H32" t="inlineStr">
        <is>
          <t>Y</t>
        </is>
      </c>
      <c r="I32">
        <f>HYPERLINK("https://admin.shopify.com/store/ge-beauty-cosmeticos/customers/7762460246336","abrir")</f>
        <v/>
      </c>
      <c r="J32">
        <f>HYPERLINK("https://www.gebeauty.com.br/products/primer-liso-intacto?ref=review","review")</f>
        <v/>
      </c>
      <c r="K32" t="inlineStr">
        <is>
          <t>SEND</t>
        </is>
      </c>
    </row>
    <row r="33">
      <c r="A33" t="inlineStr">
        <is>
          <t>Mariana</t>
        </is>
      </c>
      <c r="B33" t="inlineStr">
        <is>
          <t>+5514996563345</t>
        </is>
      </c>
      <c r="C33" t="inlineStr">
        <is>
          <t>Refill</t>
        </is>
      </c>
      <c r="D33" t="inlineStr">
        <is>
          <t>Primer Liso</t>
        </is>
      </c>
      <c r="E33" t="n">
        <v>1</v>
      </c>
      <c r="F33" t="inlineStr">
        <is>
          <t>2025-11-20</t>
        </is>
      </c>
      <c r="G33" t="n">
        <v>226</v>
      </c>
      <c r="H33" t="inlineStr">
        <is>
          <t>Y</t>
        </is>
      </c>
      <c r="I33">
        <f>HYPERLINK("https://admin.shopify.com/store/ge-beauty-cosmeticos/customers/7762462048576","abrir")</f>
        <v/>
      </c>
      <c r="J33">
        <f>HYPERLINK("https://www.gebeauty.com.br/products/primer-liso-intacto?ref=review","review")</f>
        <v/>
      </c>
      <c r="K33" t="inlineStr">
        <is>
          <t>SEND</t>
        </is>
      </c>
    </row>
    <row r="34">
      <c r="A34" t="inlineStr">
        <is>
          <t>Thais</t>
        </is>
      </c>
      <c r="B34" t="inlineStr">
        <is>
          <t>+5521998133723</t>
        </is>
      </c>
      <c r="C34" t="inlineStr">
        <is>
          <t>Refill</t>
        </is>
      </c>
      <c r="D34" t="inlineStr">
        <is>
          <t>Primer Liso</t>
        </is>
      </c>
      <c r="E34" t="n">
        <v>1</v>
      </c>
      <c r="F34" t="inlineStr">
        <is>
          <t>2025-07-24</t>
        </is>
      </c>
      <c r="G34" t="n">
        <v>345</v>
      </c>
      <c r="H34" t="inlineStr">
        <is>
          <t>Y</t>
        </is>
      </c>
      <c r="I34">
        <f>HYPERLINK("https://admin.shopify.com/store/ge-beauty-cosmeticos/customers/9480053686592","abrir")</f>
        <v/>
      </c>
      <c r="J34">
        <f>HYPERLINK("https://www.gebeauty.com.br/products/primer-liso-intacto?ref=review","review")</f>
        <v/>
      </c>
      <c r="K34" t="inlineStr">
        <is>
          <t>SEND</t>
        </is>
      </c>
    </row>
    <row r="35">
      <c r="A35" t="inlineStr">
        <is>
          <t>Gabriela</t>
        </is>
      </c>
      <c r="B35" t="inlineStr">
        <is>
          <t>+5581992977448</t>
        </is>
      </c>
      <c r="C35" t="inlineStr">
        <is>
          <t>Refill</t>
        </is>
      </c>
      <c r="D35" t="inlineStr">
        <is>
          <t>Primer Liso</t>
        </is>
      </c>
      <c r="E35" t="n">
        <v>1</v>
      </c>
      <c r="F35" t="inlineStr">
        <is>
          <t>2025-07-24</t>
        </is>
      </c>
      <c r="G35" t="n">
        <v>345</v>
      </c>
      <c r="H35" t="inlineStr">
        <is>
          <t>Y</t>
        </is>
      </c>
      <c r="I35">
        <f>HYPERLINK("https://admin.shopify.com/store/ge-beauty-cosmeticos/customers/9480090550592","abrir")</f>
        <v/>
      </c>
      <c r="J35">
        <f>HYPERLINK("https://www.gebeauty.com.br/products/primer-liso-intacto?ref=review","review")</f>
        <v/>
      </c>
      <c r="K35" t="inlineStr">
        <is>
          <t>SEND</t>
        </is>
      </c>
    </row>
    <row r="36">
      <c r="A36" t="inlineStr">
        <is>
          <t>Isabela</t>
        </is>
      </c>
      <c r="B36" t="inlineStr">
        <is>
          <t>+5517996511345</t>
        </is>
      </c>
      <c r="C36" t="inlineStr">
        <is>
          <t>Refill</t>
        </is>
      </c>
      <c r="D36" t="inlineStr">
        <is>
          <t>Primer Liso</t>
        </is>
      </c>
      <c r="E36" t="n">
        <v>1</v>
      </c>
      <c r="F36" t="inlineStr">
        <is>
          <t>2025-07-24</t>
        </is>
      </c>
      <c r="G36" t="n">
        <v>345</v>
      </c>
      <c r="H36" t="inlineStr">
        <is>
          <t>Y</t>
        </is>
      </c>
      <c r="I36">
        <f>HYPERLINK("https://admin.shopify.com/store/ge-beauty-cosmeticos/customers/9480267465024","abrir")</f>
        <v/>
      </c>
      <c r="J36">
        <f>HYPERLINK("https://www.gebeauty.com.br/products/primer-liso-intacto?ref=review","review")</f>
        <v/>
      </c>
      <c r="K36" t="inlineStr">
        <is>
          <t>SEND</t>
        </is>
      </c>
    </row>
    <row r="37">
      <c r="A37" t="inlineStr">
        <is>
          <t>Vivianne</t>
        </is>
      </c>
      <c r="B37" t="inlineStr">
        <is>
          <t>+5581991475237</t>
        </is>
      </c>
      <c r="C37" t="inlineStr">
        <is>
          <t>Refill</t>
        </is>
      </c>
      <c r="D37" t="inlineStr">
        <is>
          <t>Primer Liso</t>
        </is>
      </c>
      <c r="E37" t="n">
        <v>1</v>
      </c>
      <c r="F37" t="inlineStr">
        <is>
          <t>2025-07-24</t>
        </is>
      </c>
      <c r="G37" t="n">
        <v>345</v>
      </c>
      <c r="H37" t="inlineStr">
        <is>
          <t>Y</t>
        </is>
      </c>
      <c r="I37">
        <f>HYPERLINK("https://admin.shopify.com/store/ge-beauty-cosmeticos/customers/9480340504896","abrir")</f>
        <v/>
      </c>
      <c r="J37">
        <f>HYPERLINK("https://www.gebeauty.com.br/products/primer-liso-intacto?ref=review","review")</f>
        <v/>
      </c>
      <c r="K37" t="inlineStr">
        <is>
          <t>SEND</t>
        </is>
      </c>
    </row>
    <row r="38">
      <c r="A38" t="inlineStr">
        <is>
          <t>Mariana</t>
        </is>
      </c>
      <c r="B38" t="inlineStr">
        <is>
          <t>+5548999989077</t>
        </is>
      </c>
      <c r="C38" t="inlineStr">
        <is>
          <t>Refill</t>
        </is>
      </c>
      <c r="D38" t="inlineStr">
        <is>
          <t>Primer Liso</t>
        </is>
      </c>
      <c r="E38" t="n">
        <v>1</v>
      </c>
      <c r="F38" t="inlineStr">
        <is>
          <t>2025-07-24</t>
        </is>
      </c>
      <c r="G38" t="n">
        <v>345</v>
      </c>
      <c r="H38" t="inlineStr">
        <is>
          <t>Y</t>
        </is>
      </c>
      <c r="I38">
        <f>HYPERLINK("https://admin.shopify.com/store/ge-beauty-cosmeticos/customers/9475847061824","abrir")</f>
        <v/>
      </c>
      <c r="J38">
        <f>HYPERLINK("https://www.gebeauty.com.br/products/primer-liso-intacto?ref=review","review")</f>
        <v/>
      </c>
      <c r="K38" t="inlineStr">
        <is>
          <t>SEND</t>
        </is>
      </c>
    </row>
    <row r="39">
      <c r="A39" t="inlineStr">
        <is>
          <t>Alyssandra</t>
        </is>
      </c>
      <c r="B39" t="inlineStr">
        <is>
          <t>+5583996001242</t>
        </is>
      </c>
      <c r="C39" t="inlineStr">
        <is>
          <t>Refill</t>
        </is>
      </c>
      <c r="D39" t="inlineStr">
        <is>
          <t>Primer Liso</t>
        </is>
      </c>
      <c r="E39" t="n">
        <v>1</v>
      </c>
      <c r="F39" t="inlineStr">
        <is>
          <t>2025-07-24</t>
        </is>
      </c>
      <c r="G39" t="n">
        <v>345</v>
      </c>
      <c r="H39" t="inlineStr">
        <is>
          <t>Y</t>
        </is>
      </c>
      <c r="I39">
        <f>HYPERLINK("https://admin.shopify.com/store/ge-beauty-cosmeticos/customers/9470825300288","abrir")</f>
        <v/>
      </c>
      <c r="J39">
        <f>HYPERLINK("https://www.gebeauty.com.br/products/primer-liso-intacto?ref=review","review")</f>
        <v/>
      </c>
      <c r="K39" t="inlineStr">
        <is>
          <t>HOLDOUT</t>
        </is>
      </c>
    </row>
    <row r="40">
      <c r="A40" t="inlineStr">
        <is>
          <t>Marcella</t>
        </is>
      </c>
      <c r="B40" t="inlineStr">
        <is>
          <t>+5591991818370</t>
        </is>
      </c>
      <c r="C40" t="inlineStr">
        <is>
          <t>Refill</t>
        </is>
      </c>
      <c r="D40" t="inlineStr">
        <is>
          <t>Primer Liso</t>
        </is>
      </c>
      <c r="E40" t="n">
        <v>1</v>
      </c>
      <c r="F40" t="inlineStr">
        <is>
          <t>2025-07-24</t>
        </is>
      </c>
      <c r="G40" t="n">
        <v>345</v>
      </c>
      <c r="H40" t="inlineStr">
        <is>
          <t>Y</t>
        </is>
      </c>
      <c r="I40">
        <f>HYPERLINK("https://admin.shopify.com/store/ge-beauty-cosmeticos/customers/9468335915328","abrir")</f>
        <v/>
      </c>
      <c r="J40">
        <f>HYPERLINK("https://www.gebeauty.com.br/products/primer-liso-intacto?ref=review","review")</f>
        <v/>
      </c>
      <c r="K40" t="inlineStr">
        <is>
          <t>SEND</t>
        </is>
      </c>
    </row>
    <row r="41">
      <c r="A41" t="inlineStr">
        <is>
          <t>Fernanda</t>
        </is>
      </c>
      <c r="B41" t="inlineStr">
        <is>
          <t>+5511992938327</t>
        </is>
      </c>
      <c r="C41" t="inlineStr">
        <is>
          <t>Refill</t>
        </is>
      </c>
      <c r="D41" t="inlineStr">
        <is>
          <t>Primer Liso</t>
        </is>
      </c>
      <c r="E41" t="n">
        <v>1</v>
      </c>
      <c r="F41" t="inlineStr">
        <is>
          <t>2025-07-25</t>
        </is>
      </c>
      <c r="G41" t="n">
        <v>344</v>
      </c>
      <c r="H41" t="inlineStr">
        <is>
          <t>Y</t>
        </is>
      </c>
      <c r="I41">
        <f>HYPERLINK("https://admin.shopify.com/store/ge-beauty-cosmeticos/customers/9480903491904","abrir")</f>
        <v/>
      </c>
      <c r="J41">
        <f>HYPERLINK("https://www.gebeauty.com.br/products/primer-liso-intacto?ref=review","review")</f>
        <v/>
      </c>
      <c r="K41" t="inlineStr">
        <is>
          <t>SEND</t>
        </is>
      </c>
    </row>
    <row r="42">
      <c r="A42" t="inlineStr">
        <is>
          <t>Taís</t>
        </is>
      </c>
      <c r="B42" t="inlineStr">
        <is>
          <t>+5547991245055</t>
        </is>
      </c>
      <c r="C42" t="inlineStr">
        <is>
          <t>Refill</t>
        </is>
      </c>
      <c r="D42" t="inlineStr">
        <is>
          <t>Primer Liso</t>
        </is>
      </c>
      <c r="E42" t="n">
        <v>1</v>
      </c>
      <c r="F42" t="inlineStr">
        <is>
          <t>2025-07-25</t>
        </is>
      </c>
      <c r="G42" t="n">
        <v>344</v>
      </c>
      <c r="H42" t="inlineStr">
        <is>
          <t>Y</t>
        </is>
      </c>
      <c r="I42">
        <f>HYPERLINK("https://admin.shopify.com/store/ge-beauty-cosmeticos/customers/9481527820608","abrir")</f>
        <v/>
      </c>
      <c r="J42">
        <f>HYPERLINK("https://www.gebeauty.com.br/products/primer-liso-intacto?ref=review","review")</f>
        <v/>
      </c>
      <c r="K42" t="inlineStr">
        <is>
          <t>SEND</t>
        </is>
      </c>
    </row>
    <row r="43">
      <c r="A43" t="inlineStr">
        <is>
          <t>Luana</t>
        </is>
      </c>
      <c r="B43" t="inlineStr">
        <is>
          <t>+5521968371791</t>
        </is>
      </c>
      <c r="C43" t="inlineStr">
        <is>
          <t>Refill</t>
        </is>
      </c>
      <c r="D43" t="inlineStr">
        <is>
          <t>Primer Liso</t>
        </is>
      </c>
      <c r="E43" t="n">
        <v>1</v>
      </c>
      <c r="F43" t="inlineStr">
        <is>
          <t>2025-07-25</t>
        </is>
      </c>
      <c r="G43" t="n">
        <v>344</v>
      </c>
      <c r="H43" t="inlineStr">
        <is>
          <t>Y</t>
        </is>
      </c>
      <c r="I43">
        <f>HYPERLINK("https://admin.shopify.com/store/ge-beauty-cosmeticos/customers/9481679176000","abrir")</f>
        <v/>
      </c>
      <c r="J43">
        <f>HYPERLINK("https://www.gebeauty.com.br/products/primer-liso-intacto?ref=review","review")</f>
        <v/>
      </c>
      <c r="K43" t="inlineStr">
        <is>
          <t>SEND</t>
        </is>
      </c>
    </row>
    <row r="44">
      <c r="A44" t="inlineStr">
        <is>
          <t>Fernanda</t>
        </is>
      </c>
      <c r="B44" t="inlineStr">
        <is>
          <t>+5581992525429</t>
        </is>
      </c>
      <c r="C44" t="inlineStr">
        <is>
          <t>Refill</t>
        </is>
      </c>
      <c r="D44" t="inlineStr">
        <is>
          <t>Primer Liso</t>
        </is>
      </c>
      <c r="E44" t="n">
        <v>1</v>
      </c>
      <c r="F44" t="inlineStr">
        <is>
          <t>2025-07-25</t>
        </is>
      </c>
      <c r="G44" t="n">
        <v>344</v>
      </c>
      <c r="H44" t="inlineStr">
        <is>
          <t>Y</t>
        </is>
      </c>
      <c r="I44">
        <f>HYPERLINK("https://admin.shopify.com/store/ge-beauty-cosmeticos/customers/9482447126848","abrir")</f>
        <v/>
      </c>
      <c r="J44">
        <f>HYPERLINK("https://www.gebeauty.com.br/products/primer-liso-intacto?ref=review","review")</f>
        <v/>
      </c>
      <c r="K44" t="inlineStr">
        <is>
          <t>HOLDOUT</t>
        </is>
      </c>
    </row>
    <row r="45">
      <c r="A45" t="inlineStr">
        <is>
          <t>Carolina</t>
        </is>
      </c>
      <c r="B45" t="inlineStr">
        <is>
          <t>+5532984334733</t>
        </is>
      </c>
      <c r="C45" t="inlineStr">
        <is>
          <t>Refill</t>
        </is>
      </c>
      <c r="D45" t="inlineStr">
        <is>
          <t>Primer Liso</t>
        </is>
      </c>
      <c r="E45" t="n">
        <v>1</v>
      </c>
      <c r="F45" t="inlineStr">
        <is>
          <t>2025-07-25</t>
        </is>
      </c>
      <c r="G45" t="n">
        <v>344</v>
      </c>
      <c r="H45" t="inlineStr">
        <is>
          <t>Y</t>
        </is>
      </c>
      <c r="I45">
        <f>HYPERLINK("https://admin.shopify.com/store/ge-beauty-cosmeticos/customers/9482545267008","abrir")</f>
        <v/>
      </c>
      <c r="J45">
        <f>HYPERLINK("https://www.gebeauty.com.br/products/primer-liso-intacto?ref=review","review")</f>
        <v/>
      </c>
      <c r="K45" t="inlineStr">
        <is>
          <t>SEND</t>
        </is>
      </c>
    </row>
    <row r="46">
      <c r="A46" t="inlineStr">
        <is>
          <t>Luiza</t>
        </is>
      </c>
      <c r="B46" t="inlineStr">
        <is>
          <t>+5548996012223</t>
        </is>
      </c>
      <c r="C46" t="inlineStr">
        <is>
          <t>Refill</t>
        </is>
      </c>
      <c r="D46" t="inlineStr">
        <is>
          <t>Primer Liso</t>
        </is>
      </c>
      <c r="E46" t="n">
        <v>1</v>
      </c>
      <c r="F46" t="inlineStr">
        <is>
          <t>2025-07-25</t>
        </is>
      </c>
      <c r="G46" t="n">
        <v>344</v>
      </c>
      <c r="H46" t="inlineStr">
        <is>
          <t>Y</t>
        </is>
      </c>
      <c r="I46">
        <f>HYPERLINK("https://admin.shopify.com/store/ge-beauty-cosmeticos/customers/9472048267584","abrir")</f>
        <v/>
      </c>
      <c r="J46">
        <f>HYPERLINK("https://www.gebeauty.com.br/products/primer-liso-intacto?ref=review","review")</f>
        <v/>
      </c>
      <c r="K46" t="inlineStr">
        <is>
          <t>SEND</t>
        </is>
      </c>
    </row>
    <row r="47">
      <c r="A47" t="inlineStr">
        <is>
          <t>Ariane</t>
        </is>
      </c>
      <c r="B47" t="inlineStr">
        <is>
          <t>+5511975624829</t>
        </is>
      </c>
      <c r="C47" t="inlineStr">
        <is>
          <t>Refill</t>
        </is>
      </c>
      <c r="D47" t="inlineStr">
        <is>
          <t>Primer Liso</t>
        </is>
      </c>
      <c r="E47" t="n">
        <v>1</v>
      </c>
      <c r="F47" t="inlineStr">
        <is>
          <t>2025-07-25</t>
        </is>
      </c>
      <c r="G47" t="n">
        <v>344</v>
      </c>
      <c r="H47" t="inlineStr">
        <is>
          <t>Y</t>
        </is>
      </c>
      <c r="I47">
        <f>HYPERLINK("https://admin.shopify.com/store/ge-beauty-cosmeticos/customers/9484082839872","abrir")</f>
        <v/>
      </c>
      <c r="J47">
        <f>HYPERLINK("https://www.gebeauty.com.br/products/primer-liso-intacto?ref=review","review")</f>
        <v/>
      </c>
      <c r="K47" t="inlineStr">
        <is>
          <t>SEND</t>
        </is>
      </c>
    </row>
    <row r="48">
      <c r="A48" t="inlineStr">
        <is>
          <t>Nathalia</t>
        </is>
      </c>
      <c r="B48" t="inlineStr">
        <is>
          <t>+5584999104861</t>
        </is>
      </c>
      <c r="C48" t="inlineStr">
        <is>
          <t>Refill</t>
        </is>
      </c>
      <c r="D48" t="inlineStr">
        <is>
          <t>Primer Liso</t>
        </is>
      </c>
      <c r="E48" t="n">
        <v>1</v>
      </c>
      <c r="F48" t="inlineStr">
        <is>
          <t>2025-07-25</t>
        </is>
      </c>
      <c r="G48" t="n">
        <v>344</v>
      </c>
      <c r="H48" t="inlineStr">
        <is>
          <t>Y</t>
        </is>
      </c>
      <c r="I48">
        <f>HYPERLINK("https://admin.shopify.com/store/ge-beauty-cosmeticos/customers/9486455210304","abrir")</f>
        <v/>
      </c>
      <c r="J48">
        <f>HYPERLINK("https://www.gebeauty.com.br/products/primer-liso-intacto?ref=review","review")</f>
        <v/>
      </c>
      <c r="K48" t="inlineStr">
        <is>
          <t>SEND</t>
        </is>
      </c>
    </row>
    <row r="49">
      <c r="A49" t="inlineStr">
        <is>
          <t>Laura</t>
        </is>
      </c>
      <c r="B49" t="inlineStr">
        <is>
          <t>+5581999763277</t>
        </is>
      </c>
      <c r="C49" t="inlineStr">
        <is>
          <t>Refill</t>
        </is>
      </c>
      <c r="D49" t="inlineStr">
        <is>
          <t>Primer Liso</t>
        </is>
      </c>
      <c r="E49" t="n">
        <v>1</v>
      </c>
      <c r="F49" t="inlineStr">
        <is>
          <t>2025-07-25</t>
        </is>
      </c>
      <c r="G49" t="n">
        <v>344</v>
      </c>
      <c r="H49" t="inlineStr">
        <is>
          <t>Y</t>
        </is>
      </c>
      <c r="I49">
        <f>HYPERLINK("https://admin.shopify.com/store/ge-beauty-cosmeticos/customers/9296887284032","abrir")</f>
        <v/>
      </c>
      <c r="J49">
        <f>HYPERLINK("https://www.gebeauty.com.br/products/primer-liso-intacto?ref=review","review")</f>
        <v/>
      </c>
      <c r="K49" t="inlineStr">
        <is>
          <t>SEND</t>
        </is>
      </c>
    </row>
    <row r="50">
      <c r="A50" t="inlineStr">
        <is>
          <t>Renata</t>
        </is>
      </c>
      <c r="B50" t="inlineStr">
        <is>
          <t>+5516997017710</t>
        </is>
      </c>
      <c r="C50" t="inlineStr">
        <is>
          <t>Refill</t>
        </is>
      </c>
      <c r="D50" t="inlineStr">
        <is>
          <t>Primer Liso</t>
        </is>
      </c>
      <c r="E50" t="n">
        <v>1</v>
      </c>
      <c r="F50" t="inlineStr">
        <is>
          <t>2025-07-25</t>
        </is>
      </c>
      <c r="G50" t="n">
        <v>344</v>
      </c>
      <c r="H50" t="inlineStr">
        <is>
          <t>Y</t>
        </is>
      </c>
      <c r="I50">
        <f>HYPERLINK("https://admin.shopify.com/store/ge-beauty-cosmeticos/customers/9486177927488","abrir")</f>
        <v/>
      </c>
      <c r="J50">
        <f>HYPERLINK("https://www.gebeauty.com.br/products/primer-liso-intacto?ref=review","review")</f>
        <v/>
      </c>
      <c r="K50" t="inlineStr">
        <is>
          <t>SEND</t>
        </is>
      </c>
    </row>
    <row r="51">
      <c r="A51" t="inlineStr">
        <is>
          <t>Helena</t>
        </is>
      </c>
      <c r="B51" t="inlineStr">
        <is>
          <t>+5511987718003</t>
        </is>
      </c>
      <c r="C51" t="inlineStr">
        <is>
          <t>Refill</t>
        </is>
      </c>
      <c r="D51" t="inlineStr">
        <is>
          <t>Primer Liso</t>
        </is>
      </c>
      <c r="E51" t="n">
        <v>1</v>
      </c>
      <c r="F51" t="inlineStr">
        <is>
          <t>2025-07-25</t>
        </is>
      </c>
      <c r="G51" t="n">
        <v>344</v>
      </c>
      <c r="H51" t="inlineStr">
        <is>
          <t>Y</t>
        </is>
      </c>
      <c r="I51">
        <f>HYPERLINK("https://admin.shopify.com/store/ge-beauty-cosmeticos/customers/7761137238336","abrir")</f>
        <v/>
      </c>
      <c r="J51">
        <f>HYPERLINK("https://www.gebeauty.com.br/products/primer-liso-intacto?ref=review","review")</f>
        <v/>
      </c>
      <c r="K51" t="inlineStr">
        <is>
          <t>SEND</t>
        </is>
      </c>
    </row>
    <row r="52">
      <c r="A52" t="inlineStr">
        <is>
          <t>Daniela</t>
        </is>
      </c>
      <c r="B52" t="inlineStr">
        <is>
          <t>+5521986012509</t>
        </is>
      </c>
      <c r="C52" t="inlineStr">
        <is>
          <t>Refill</t>
        </is>
      </c>
      <c r="D52" t="inlineStr">
        <is>
          <t>Primer Liso</t>
        </is>
      </c>
      <c r="E52" t="n">
        <v>1</v>
      </c>
      <c r="F52" t="inlineStr">
        <is>
          <t>2025-07-25</t>
        </is>
      </c>
      <c r="G52" t="n">
        <v>344</v>
      </c>
      <c r="H52" t="inlineStr">
        <is>
          <t>Y</t>
        </is>
      </c>
      <c r="I52">
        <f>HYPERLINK("https://admin.shopify.com/store/ge-beauty-cosmeticos/customers/9486564229440","abrir")</f>
        <v/>
      </c>
      <c r="J52">
        <f>HYPERLINK("https://www.gebeauty.com.br/products/primer-liso-intacto?ref=review","review")</f>
        <v/>
      </c>
      <c r="K52" t="inlineStr">
        <is>
          <t>SEND</t>
        </is>
      </c>
    </row>
    <row r="53">
      <c r="A53" t="inlineStr">
        <is>
          <t>Camila</t>
        </is>
      </c>
      <c r="B53" t="inlineStr">
        <is>
          <t>+5532999958318</t>
        </is>
      </c>
      <c r="C53" t="inlineStr">
        <is>
          <t>Refill</t>
        </is>
      </c>
      <c r="D53" t="inlineStr">
        <is>
          <t>Primer Liso</t>
        </is>
      </c>
      <c r="E53" t="n">
        <v>1</v>
      </c>
      <c r="F53" t="inlineStr">
        <is>
          <t>2025-07-26</t>
        </is>
      </c>
      <c r="G53" t="n">
        <v>343</v>
      </c>
      <c r="H53" t="inlineStr">
        <is>
          <t>Y</t>
        </is>
      </c>
      <c r="I53">
        <f>HYPERLINK("https://admin.shopify.com/store/ge-beauty-cosmeticos/customers/9487260877120","abrir")</f>
        <v/>
      </c>
      <c r="J53">
        <f>HYPERLINK("https://www.gebeauty.com.br/products/primer-liso-intacto?ref=review","review")</f>
        <v/>
      </c>
      <c r="K53" t="inlineStr">
        <is>
          <t>SEND</t>
        </is>
      </c>
    </row>
    <row r="54">
      <c r="A54" t="inlineStr">
        <is>
          <t>Mônica</t>
        </is>
      </c>
      <c r="B54" t="inlineStr">
        <is>
          <t>+5521995591386</t>
        </is>
      </c>
      <c r="C54" t="inlineStr">
        <is>
          <t>Refill</t>
        </is>
      </c>
      <c r="D54" t="inlineStr">
        <is>
          <t>Primer Liso</t>
        </is>
      </c>
      <c r="E54" t="n">
        <v>1</v>
      </c>
      <c r="F54" t="inlineStr">
        <is>
          <t>2025-07-26</t>
        </is>
      </c>
      <c r="G54" t="n">
        <v>343</v>
      </c>
      <c r="H54" t="inlineStr">
        <is>
          <t>Y</t>
        </is>
      </c>
      <c r="I54">
        <f>HYPERLINK("https://admin.shopify.com/store/ge-beauty-cosmeticos/customers/8331333173568","abrir")</f>
        <v/>
      </c>
      <c r="J54">
        <f>HYPERLINK("https://www.gebeauty.com.br/products/primer-liso-intacto?ref=review","review")</f>
        <v/>
      </c>
      <c r="K54" t="inlineStr">
        <is>
          <t>SEND</t>
        </is>
      </c>
    </row>
    <row r="55">
      <c r="A55" t="inlineStr">
        <is>
          <t>Andrea</t>
        </is>
      </c>
      <c r="B55" t="inlineStr">
        <is>
          <t>+5511995757398</t>
        </is>
      </c>
      <c r="C55" t="inlineStr">
        <is>
          <t>Refill</t>
        </is>
      </c>
      <c r="D55" t="inlineStr">
        <is>
          <t>Primer Liso</t>
        </is>
      </c>
      <c r="E55" t="n">
        <v>1</v>
      </c>
      <c r="F55" t="inlineStr">
        <is>
          <t>2025-07-26</t>
        </is>
      </c>
      <c r="G55" t="n">
        <v>343</v>
      </c>
      <c r="H55" t="inlineStr">
        <is>
          <t>Y</t>
        </is>
      </c>
      <c r="I55">
        <f>HYPERLINK("https://admin.shopify.com/store/ge-beauty-cosmeticos/customers/9487867642176","abrir")</f>
        <v/>
      </c>
      <c r="J55">
        <f>HYPERLINK("https://www.gebeauty.com.br/products/primer-liso-intacto?ref=review","review")</f>
        <v/>
      </c>
      <c r="K55" t="inlineStr">
        <is>
          <t>SEND</t>
        </is>
      </c>
    </row>
    <row r="56">
      <c r="A56" t="inlineStr">
        <is>
          <t>Priscila</t>
        </is>
      </c>
      <c r="B56" t="inlineStr">
        <is>
          <t>+5511981911616</t>
        </is>
      </c>
      <c r="C56" t="inlineStr">
        <is>
          <t>Refill</t>
        </is>
      </c>
      <c r="D56" t="inlineStr">
        <is>
          <t>Primer Liso</t>
        </is>
      </c>
      <c r="E56" t="n">
        <v>1</v>
      </c>
      <c r="F56" t="inlineStr">
        <is>
          <t>2025-07-26</t>
        </is>
      </c>
      <c r="G56" t="n">
        <v>343</v>
      </c>
      <c r="H56" t="inlineStr">
        <is>
          <t>Y</t>
        </is>
      </c>
      <c r="I56">
        <f>HYPERLINK("https://admin.shopify.com/store/ge-beauty-cosmeticos/customers/9418410099008","abrir")</f>
        <v/>
      </c>
      <c r="J56">
        <f>HYPERLINK("https://www.gebeauty.com.br/products/primer-liso-intacto?ref=review","review")</f>
        <v/>
      </c>
      <c r="K56" t="inlineStr">
        <is>
          <t>SEND</t>
        </is>
      </c>
    </row>
    <row r="57">
      <c r="A57" t="inlineStr">
        <is>
          <t>Ana</t>
        </is>
      </c>
      <c r="B57" t="inlineStr">
        <is>
          <t>+5541992051005</t>
        </is>
      </c>
      <c r="C57" t="inlineStr">
        <is>
          <t>Refill</t>
        </is>
      </c>
      <c r="D57" t="inlineStr">
        <is>
          <t>Primer Liso</t>
        </is>
      </c>
      <c r="E57" t="n">
        <v>1</v>
      </c>
      <c r="F57" t="inlineStr">
        <is>
          <t>2025-07-26</t>
        </is>
      </c>
      <c r="G57" t="n">
        <v>343</v>
      </c>
      <c r="H57" t="inlineStr">
        <is>
          <t>Y</t>
        </is>
      </c>
      <c r="I57">
        <f>HYPERLINK("https://admin.shopify.com/store/ge-beauty-cosmeticos/customers/9487970566464","abrir")</f>
        <v/>
      </c>
      <c r="J57">
        <f>HYPERLINK("https://www.gebeauty.com.br/products/primer-liso-intacto?ref=review","review")</f>
        <v/>
      </c>
      <c r="K57" t="inlineStr">
        <is>
          <t>HOLDOUT</t>
        </is>
      </c>
    </row>
    <row r="58">
      <c r="A58" t="inlineStr">
        <is>
          <t>Georgia</t>
        </is>
      </c>
      <c r="B58" t="inlineStr">
        <is>
          <t>+5571992569141</t>
        </is>
      </c>
      <c r="C58" t="inlineStr">
        <is>
          <t>Refill</t>
        </is>
      </c>
      <c r="D58" t="inlineStr">
        <is>
          <t>Primer Liso</t>
        </is>
      </c>
      <c r="E58" t="n">
        <v>1</v>
      </c>
      <c r="F58" t="inlineStr">
        <is>
          <t>2025-07-26</t>
        </is>
      </c>
      <c r="G58" t="n">
        <v>343</v>
      </c>
      <c r="H58" t="inlineStr">
        <is>
          <t>Y</t>
        </is>
      </c>
      <c r="I58">
        <f>HYPERLINK("https://admin.shopify.com/store/ge-beauty-cosmeticos/customers/9488149676352","abrir")</f>
        <v/>
      </c>
      <c r="J58">
        <f>HYPERLINK("https://www.gebeauty.com.br/products/primer-liso-intacto?ref=review","review")</f>
        <v/>
      </c>
      <c r="K58" t="inlineStr">
        <is>
          <t>SEND</t>
        </is>
      </c>
    </row>
    <row r="59">
      <c r="A59" t="inlineStr">
        <is>
          <t>Josiane</t>
        </is>
      </c>
      <c r="B59" t="inlineStr">
        <is>
          <t>+5573991946019</t>
        </is>
      </c>
      <c r="C59" t="inlineStr">
        <is>
          <t>Refill</t>
        </is>
      </c>
      <c r="D59" t="inlineStr">
        <is>
          <t>Primer Liso</t>
        </is>
      </c>
      <c r="E59" t="n">
        <v>1</v>
      </c>
      <c r="F59" t="inlineStr">
        <is>
          <t>2025-07-26</t>
        </is>
      </c>
      <c r="G59" t="n">
        <v>343</v>
      </c>
      <c r="H59" t="inlineStr">
        <is>
          <t>Y</t>
        </is>
      </c>
      <c r="I59">
        <f>HYPERLINK("https://admin.shopify.com/store/ge-beauty-cosmeticos/customers/9488207708480","abrir")</f>
        <v/>
      </c>
      <c r="J59">
        <f>HYPERLINK("https://www.gebeauty.com.br/products/primer-liso-intacto?ref=review","review")</f>
        <v/>
      </c>
      <c r="K59" t="inlineStr">
        <is>
          <t>SEND</t>
        </is>
      </c>
    </row>
    <row r="60">
      <c r="A60" t="inlineStr">
        <is>
          <t>Isabela</t>
        </is>
      </c>
      <c r="B60" t="inlineStr">
        <is>
          <t>+5511981238484</t>
        </is>
      </c>
      <c r="C60" t="inlineStr">
        <is>
          <t>Refill</t>
        </is>
      </c>
      <c r="D60" t="inlineStr">
        <is>
          <t>Primer Liso</t>
        </is>
      </c>
      <c r="E60" t="n">
        <v>1</v>
      </c>
      <c r="F60" t="inlineStr">
        <is>
          <t>2025-07-26</t>
        </is>
      </c>
      <c r="G60" t="n">
        <v>343</v>
      </c>
      <c r="H60" t="inlineStr">
        <is>
          <t>Y</t>
        </is>
      </c>
      <c r="I60">
        <f>HYPERLINK("https://admin.shopify.com/store/ge-beauty-cosmeticos/customers/7759938453824","abrir")</f>
        <v/>
      </c>
      <c r="J60">
        <f>HYPERLINK("https://www.gebeauty.com.br/products/primer-liso-intacto?ref=review","review")</f>
        <v/>
      </c>
      <c r="K60" t="inlineStr">
        <is>
          <t>SEND</t>
        </is>
      </c>
    </row>
    <row r="61">
      <c r="A61" t="inlineStr">
        <is>
          <t>Chantal</t>
        </is>
      </c>
      <c r="B61" t="inlineStr">
        <is>
          <t>+5511963739633</t>
        </is>
      </c>
      <c r="C61" t="inlineStr">
        <is>
          <t>Refill</t>
        </is>
      </c>
      <c r="D61" t="inlineStr">
        <is>
          <t>Primer Liso</t>
        </is>
      </c>
      <c r="E61" t="n">
        <v>1</v>
      </c>
      <c r="F61" t="inlineStr">
        <is>
          <t>2025-07-26</t>
        </is>
      </c>
      <c r="G61" t="n">
        <v>343</v>
      </c>
      <c r="H61" t="inlineStr">
        <is>
          <t>Y</t>
        </is>
      </c>
      <c r="I61">
        <f>HYPERLINK("https://admin.shopify.com/store/ge-beauty-cosmeticos/customers/8878060831040","abrir")</f>
        <v/>
      </c>
      <c r="J61">
        <f>HYPERLINK("https://www.gebeauty.com.br/products/primer-liso-intacto?ref=review","review")</f>
        <v/>
      </c>
      <c r="K61" t="inlineStr">
        <is>
          <t>SEND</t>
        </is>
      </c>
    </row>
    <row r="62">
      <c r="A62" t="inlineStr">
        <is>
          <t>Fernanda</t>
        </is>
      </c>
      <c r="B62" t="inlineStr">
        <is>
          <t>+5551994182257</t>
        </is>
      </c>
      <c r="C62" t="inlineStr">
        <is>
          <t>Refill</t>
        </is>
      </c>
      <c r="D62" t="inlineStr">
        <is>
          <t>Primer Liso</t>
        </is>
      </c>
      <c r="E62" t="n">
        <v>1</v>
      </c>
      <c r="F62" t="inlineStr">
        <is>
          <t>2025-07-26</t>
        </is>
      </c>
      <c r="G62" t="n">
        <v>343</v>
      </c>
      <c r="H62" t="inlineStr">
        <is>
          <t>Y</t>
        </is>
      </c>
      <c r="I62">
        <f>HYPERLINK("https://admin.shopify.com/store/ge-beauty-cosmeticos/customers/9488361881920","abrir")</f>
        <v/>
      </c>
      <c r="J62">
        <f>HYPERLINK("https://www.gebeauty.com.br/products/primer-liso-intacto?ref=review","review")</f>
        <v/>
      </c>
      <c r="K62" t="inlineStr">
        <is>
          <t>SEND</t>
        </is>
      </c>
    </row>
    <row r="63">
      <c r="A63" t="inlineStr">
        <is>
          <t>Patrícia</t>
        </is>
      </c>
      <c r="B63" t="inlineStr">
        <is>
          <t>+5521999458877</t>
        </is>
      </c>
      <c r="C63" t="inlineStr">
        <is>
          <t>Refill</t>
        </is>
      </c>
      <c r="D63" t="inlineStr">
        <is>
          <t>Primer Liso</t>
        </is>
      </c>
      <c r="E63" t="n">
        <v>1</v>
      </c>
      <c r="F63" t="inlineStr">
        <is>
          <t>2025-07-26</t>
        </is>
      </c>
      <c r="G63" t="n">
        <v>343</v>
      </c>
      <c r="H63" t="inlineStr">
        <is>
          <t>Y</t>
        </is>
      </c>
      <c r="I63">
        <f>HYPERLINK("https://admin.shopify.com/store/ge-beauty-cosmeticos/customers/9488613212480","abrir")</f>
        <v/>
      </c>
      <c r="J63">
        <f>HYPERLINK("https://www.gebeauty.com.br/products/primer-liso-intacto?ref=review","review")</f>
        <v/>
      </c>
      <c r="K63" t="inlineStr">
        <is>
          <t>SEND</t>
        </is>
      </c>
    </row>
    <row r="64">
      <c r="A64" t="inlineStr">
        <is>
          <t>Mariana</t>
        </is>
      </c>
      <c r="B64" t="inlineStr">
        <is>
          <t>+5531984952655</t>
        </is>
      </c>
      <c r="C64" t="inlineStr">
        <is>
          <t>Refill</t>
        </is>
      </c>
      <c r="D64" t="inlineStr">
        <is>
          <t>Primer Liso</t>
        </is>
      </c>
      <c r="E64" t="n">
        <v>1</v>
      </c>
      <c r="F64" t="inlineStr">
        <is>
          <t>2025-07-26</t>
        </is>
      </c>
      <c r="G64" t="n">
        <v>343</v>
      </c>
      <c r="H64" t="inlineStr">
        <is>
          <t>Y</t>
        </is>
      </c>
      <c r="I64">
        <f>HYPERLINK("https://admin.shopify.com/store/ge-beauty-cosmeticos/customers/9488654729536","abrir")</f>
        <v/>
      </c>
      <c r="J64">
        <f>HYPERLINK("https://www.gebeauty.com.br/products/primer-liso-intacto?ref=review","review")</f>
        <v/>
      </c>
      <c r="K64" t="inlineStr">
        <is>
          <t>HOLDOUT</t>
        </is>
      </c>
    </row>
    <row r="65">
      <c r="A65" t="inlineStr">
        <is>
          <t>Larissa</t>
        </is>
      </c>
      <c r="B65" t="inlineStr">
        <is>
          <t>+5585988965246</t>
        </is>
      </c>
      <c r="C65" t="inlineStr">
        <is>
          <t>Refill</t>
        </is>
      </c>
      <c r="D65" t="inlineStr">
        <is>
          <t>Primer Liso</t>
        </is>
      </c>
      <c r="E65" t="n">
        <v>1</v>
      </c>
      <c r="F65" t="inlineStr">
        <is>
          <t>2025-07-26</t>
        </is>
      </c>
      <c r="G65" t="n">
        <v>343</v>
      </c>
      <c r="H65" t="inlineStr">
        <is>
          <t>Y</t>
        </is>
      </c>
      <c r="I65">
        <f>HYPERLINK("https://admin.shopify.com/store/ge-beauty-cosmeticos/customers/9488713875776","abrir")</f>
        <v/>
      </c>
      <c r="J65">
        <f>HYPERLINK("https://www.gebeauty.com.br/products/primer-liso-intacto?ref=review","review")</f>
        <v/>
      </c>
      <c r="K65" t="inlineStr">
        <is>
          <t>SEND</t>
        </is>
      </c>
    </row>
    <row r="66">
      <c r="A66" t="inlineStr">
        <is>
          <t>Alice</t>
        </is>
      </c>
      <c r="B66" t="inlineStr">
        <is>
          <t>+5553999367106</t>
        </is>
      </c>
      <c r="C66" t="inlineStr">
        <is>
          <t>Refill</t>
        </is>
      </c>
      <c r="D66" t="inlineStr">
        <is>
          <t>Primer Liso</t>
        </is>
      </c>
      <c r="E66" t="n">
        <v>1</v>
      </c>
      <c r="F66" t="inlineStr">
        <is>
          <t>2025-07-27</t>
        </is>
      </c>
      <c r="G66" t="n">
        <v>342</v>
      </c>
      <c r="H66" t="inlineStr">
        <is>
          <t>Y</t>
        </is>
      </c>
      <c r="I66">
        <f>HYPERLINK("https://admin.shopify.com/store/ge-beauty-cosmeticos/customers/9489543790912","abrir")</f>
        <v/>
      </c>
      <c r="J66">
        <f>HYPERLINK("https://www.gebeauty.com.br/products/primer-liso-intacto?ref=review","review")</f>
        <v/>
      </c>
      <c r="K66" t="inlineStr">
        <is>
          <t>SEND</t>
        </is>
      </c>
    </row>
    <row r="67">
      <c r="A67" t="inlineStr">
        <is>
          <t>Caroline</t>
        </is>
      </c>
      <c r="B67" t="inlineStr">
        <is>
          <t>+5527992337997</t>
        </is>
      </c>
      <c r="C67" t="inlineStr">
        <is>
          <t>Refill</t>
        </is>
      </c>
      <c r="D67" t="inlineStr">
        <is>
          <t>Primer Liso</t>
        </is>
      </c>
      <c r="E67" t="n">
        <v>1</v>
      </c>
      <c r="F67" t="inlineStr">
        <is>
          <t>2025-07-27</t>
        </is>
      </c>
      <c r="G67" t="n">
        <v>342</v>
      </c>
      <c r="H67" t="inlineStr">
        <is>
          <t>Y</t>
        </is>
      </c>
      <c r="I67">
        <f>HYPERLINK("https://admin.shopify.com/store/ge-beauty-cosmeticos/customers/9047263969600","abrir")</f>
        <v/>
      </c>
      <c r="J67">
        <f>HYPERLINK("https://www.gebeauty.com.br/products/primer-liso-intacto?ref=review","review")</f>
        <v/>
      </c>
      <c r="K67" t="inlineStr">
        <is>
          <t>SEND</t>
        </is>
      </c>
    </row>
    <row r="68">
      <c r="A68" t="inlineStr">
        <is>
          <t>Natalia</t>
        </is>
      </c>
      <c r="B68" t="inlineStr">
        <is>
          <t>+5561981176527</t>
        </is>
      </c>
      <c r="C68" t="inlineStr">
        <is>
          <t>Refill</t>
        </is>
      </c>
      <c r="D68" t="inlineStr">
        <is>
          <t>Primer Liso</t>
        </is>
      </c>
      <c r="E68" t="n">
        <v>1</v>
      </c>
      <c r="F68" t="inlineStr">
        <is>
          <t>2025-07-27</t>
        </is>
      </c>
      <c r="G68" t="n">
        <v>342</v>
      </c>
      <c r="H68" t="inlineStr">
        <is>
          <t>Y</t>
        </is>
      </c>
      <c r="I68">
        <f>HYPERLINK("https://admin.shopify.com/store/ge-beauty-cosmeticos/customers/9489629413696","abrir")</f>
        <v/>
      </c>
      <c r="J68">
        <f>HYPERLINK("https://www.gebeauty.com.br/products/primer-liso-intacto?ref=review","review")</f>
        <v/>
      </c>
      <c r="K68" t="inlineStr">
        <is>
          <t>SEND</t>
        </is>
      </c>
    </row>
    <row r="69">
      <c r="A69" t="inlineStr">
        <is>
          <t>Inae</t>
        </is>
      </c>
      <c r="B69" t="inlineStr">
        <is>
          <t>+5511947670340</t>
        </is>
      </c>
      <c r="C69" t="inlineStr">
        <is>
          <t>Refill</t>
        </is>
      </c>
      <c r="D69" t="inlineStr">
        <is>
          <t>Primer Liso</t>
        </is>
      </c>
      <c r="E69" t="n">
        <v>1</v>
      </c>
      <c r="F69" t="inlineStr">
        <is>
          <t>2025-07-27</t>
        </is>
      </c>
      <c r="G69" t="n">
        <v>342</v>
      </c>
      <c r="H69" t="inlineStr">
        <is>
          <t>Y</t>
        </is>
      </c>
      <c r="I69">
        <f>HYPERLINK("https://admin.shopify.com/store/ge-beauty-cosmeticos/customers/9489629741376","abrir")</f>
        <v/>
      </c>
      <c r="J69">
        <f>HYPERLINK("https://www.gebeauty.com.br/products/primer-liso-intacto?ref=review","review")</f>
        <v/>
      </c>
      <c r="K69" t="inlineStr">
        <is>
          <t>SEND</t>
        </is>
      </c>
    </row>
    <row r="70">
      <c r="A70" t="inlineStr">
        <is>
          <t>Soheyla</t>
        </is>
      </c>
      <c r="B70" t="inlineStr">
        <is>
          <t>+5516993818989</t>
        </is>
      </c>
      <c r="C70" t="inlineStr">
        <is>
          <t>Refill</t>
        </is>
      </c>
      <c r="D70" t="inlineStr">
        <is>
          <t>Primer Liso</t>
        </is>
      </c>
      <c r="E70" t="n">
        <v>1</v>
      </c>
      <c r="F70" t="inlineStr">
        <is>
          <t>2025-07-27</t>
        </is>
      </c>
      <c r="G70" t="n">
        <v>342</v>
      </c>
      <c r="H70" t="inlineStr">
        <is>
          <t>Y</t>
        </is>
      </c>
      <c r="I70">
        <f>HYPERLINK("https://admin.shopify.com/store/ge-beauty-cosmeticos/customers/9486441152832","abrir")</f>
        <v/>
      </c>
      <c r="J70">
        <f>HYPERLINK("https://www.gebeauty.com.br/products/primer-liso-intacto?ref=review","review")</f>
        <v/>
      </c>
      <c r="K70" t="inlineStr">
        <is>
          <t>HOLDOUT</t>
        </is>
      </c>
    </row>
    <row r="71">
      <c r="A71" t="inlineStr">
        <is>
          <t>Silvana</t>
        </is>
      </c>
      <c r="B71" t="inlineStr">
        <is>
          <t>+5548998289378</t>
        </is>
      </c>
      <c r="C71" t="inlineStr">
        <is>
          <t>Refill</t>
        </is>
      </c>
      <c r="D71" t="inlineStr">
        <is>
          <t>Primer Liso</t>
        </is>
      </c>
      <c r="E71" t="n">
        <v>1</v>
      </c>
      <c r="F71" t="inlineStr">
        <is>
          <t>2025-07-27</t>
        </is>
      </c>
      <c r="G71" t="n">
        <v>342</v>
      </c>
      <c r="H71" t="inlineStr">
        <is>
          <t>Y</t>
        </is>
      </c>
      <c r="I71">
        <f>HYPERLINK("https://admin.shopify.com/store/ge-beauty-cosmeticos/customers/7759533179200","abrir")</f>
        <v/>
      </c>
      <c r="J71">
        <f>HYPERLINK("https://www.gebeauty.com.br/products/primer-liso-intacto?ref=review","review")</f>
        <v/>
      </c>
      <c r="K71" t="inlineStr">
        <is>
          <t>SEND</t>
        </is>
      </c>
    </row>
    <row r="72">
      <c r="A72" t="inlineStr">
        <is>
          <t>Camila</t>
        </is>
      </c>
      <c r="B72" t="inlineStr">
        <is>
          <t>+5582996096161</t>
        </is>
      </c>
      <c r="C72" t="inlineStr">
        <is>
          <t>Refill</t>
        </is>
      </c>
      <c r="D72" t="inlineStr">
        <is>
          <t>Primer Liso</t>
        </is>
      </c>
      <c r="E72" t="n">
        <v>1</v>
      </c>
      <c r="F72" t="inlineStr">
        <is>
          <t>2025-07-27</t>
        </is>
      </c>
      <c r="G72" t="n">
        <v>342</v>
      </c>
      <c r="H72" t="inlineStr">
        <is>
          <t>Y</t>
        </is>
      </c>
      <c r="I72">
        <f>HYPERLINK("https://admin.shopify.com/store/ge-beauty-cosmeticos/customers/9489934647616","abrir")</f>
        <v/>
      </c>
      <c r="J72">
        <f>HYPERLINK("https://www.gebeauty.com.br/products/primer-liso-intacto?ref=review","review")</f>
        <v/>
      </c>
      <c r="K72" t="inlineStr">
        <is>
          <t>SEND</t>
        </is>
      </c>
    </row>
    <row r="73">
      <c r="A73" t="inlineStr">
        <is>
          <t>Marconi</t>
        </is>
      </c>
      <c r="B73" t="inlineStr">
        <is>
          <t>+5511994555291</t>
        </is>
      </c>
      <c r="C73" t="inlineStr">
        <is>
          <t>Refill</t>
        </is>
      </c>
      <c r="D73" t="inlineStr">
        <is>
          <t>Primer Liso</t>
        </is>
      </c>
      <c r="E73" t="n">
        <v>1</v>
      </c>
      <c r="F73" t="inlineStr">
        <is>
          <t>2025-07-27</t>
        </is>
      </c>
      <c r="G73" t="n">
        <v>342</v>
      </c>
      <c r="H73" t="inlineStr">
        <is>
          <t>Y</t>
        </is>
      </c>
      <c r="I73">
        <f>HYPERLINK("https://admin.shopify.com/store/ge-beauty-cosmeticos/customers/9489997660480","abrir")</f>
        <v/>
      </c>
      <c r="J73">
        <f>HYPERLINK("https://www.gebeauty.com.br/products/primer-liso-intacto?ref=review","review")</f>
        <v/>
      </c>
      <c r="K73" t="inlineStr">
        <is>
          <t>SEND</t>
        </is>
      </c>
    </row>
    <row r="74">
      <c r="A74" t="inlineStr">
        <is>
          <t>Ana</t>
        </is>
      </c>
      <c r="B74" t="inlineStr">
        <is>
          <t>+5516996483997</t>
        </is>
      </c>
      <c r="C74" t="inlineStr">
        <is>
          <t>Refill</t>
        </is>
      </c>
      <c r="D74" t="inlineStr">
        <is>
          <t>Primer Liso</t>
        </is>
      </c>
      <c r="E74" t="n">
        <v>1</v>
      </c>
      <c r="F74" t="inlineStr">
        <is>
          <t>2025-07-27</t>
        </is>
      </c>
      <c r="G74" t="n">
        <v>342</v>
      </c>
      <c r="H74" t="inlineStr">
        <is>
          <t>Y</t>
        </is>
      </c>
      <c r="I74">
        <f>HYPERLINK("https://admin.shopify.com/store/ge-beauty-cosmeticos/customers/9039505359168","abrir")</f>
        <v/>
      </c>
      <c r="J74">
        <f>HYPERLINK("https://www.gebeauty.com.br/products/primer-liso-intacto?ref=review","review")</f>
        <v/>
      </c>
      <c r="K74" t="inlineStr">
        <is>
          <t>SEND</t>
        </is>
      </c>
    </row>
    <row r="75">
      <c r="A75" t="inlineStr">
        <is>
          <t>Eliege</t>
        </is>
      </c>
      <c r="B75" t="inlineStr">
        <is>
          <t>+5554991004208</t>
        </is>
      </c>
      <c r="C75" t="inlineStr">
        <is>
          <t>Refill</t>
        </is>
      </c>
      <c r="D75" t="inlineStr">
        <is>
          <t>Primer Liso</t>
        </is>
      </c>
      <c r="E75" t="n">
        <v>1</v>
      </c>
      <c r="F75" t="inlineStr">
        <is>
          <t>2025-07-27</t>
        </is>
      </c>
      <c r="G75" t="n">
        <v>342</v>
      </c>
      <c r="H75" t="inlineStr">
        <is>
          <t>Y</t>
        </is>
      </c>
      <c r="I75">
        <f>HYPERLINK("https://admin.shopify.com/store/ge-beauty-cosmeticos/customers/9476407525696","abrir")</f>
        <v/>
      </c>
      <c r="J75">
        <f>HYPERLINK("https://www.gebeauty.com.br/products/primer-liso-intacto?ref=review","review")</f>
        <v/>
      </c>
      <c r="K75" t="inlineStr">
        <is>
          <t>SEND</t>
        </is>
      </c>
    </row>
    <row r="76">
      <c r="A76" t="inlineStr">
        <is>
          <t>Camila</t>
        </is>
      </c>
      <c r="B76" t="inlineStr">
        <is>
          <t>+5547999954776</t>
        </is>
      </c>
      <c r="C76" t="inlineStr">
        <is>
          <t>Refill</t>
        </is>
      </c>
      <c r="D76" t="inlineStr">
        <is>
          <t>Primer Liso</t>
        </is>
      </c>
      <c r="E76" t="n">
        <v>1</v>
      </c>
      <c r="F76" t="inlineStr">
        <is>
          <t>2025-07-27</t>
        </is>
      </c>
      <c r="G76" t="n">
        <v>342</v>
      </c>
      <c r="H76" t="inlineStr">
        <is>
          <t>Y</t>
        </is>
      </c>
      <c r="I76">
        <f>HYPERLINK("https://admin.shopify.com/store/ge-beauty-cosmeticos/customers/9490305548608","abrir")</f>
        <v/>
      </c>
      <c r="J76">
        <f>HYPERLINK("https://www.gebeauty.com.br/products/primer-liso-intacto?ref=review","review")</f>
        <v/>
      </c>
      <c r="K76" t="inlineStr">
        <is>
          <t>SEND</t>
        </is>
      </c>
    </row>
    <row r="77">
      <c r="A77" t="inlineStr">
        <is>
          <t>Karine</t>
        </is>
      </c>
      <c r="B77" t="inlineStr">
        <is>
          <t>+5584988850058</t>
        </is>
      </c>
      <c r="C77" t="inlineStr">
        <is>
          <t>Refill</t>
        </is>
      </c>
      <c r="D77" t="inlineStr">
        <is>
          <t>Primer Liso</t>
        </is>
      </c>
      <c r="E77" t="n">
        <v>1</v>
      </c>
      <c r="F77" t="inlineStr">
        <is>
          <t>2025-07-27</t>
        </is>
      </c>
      <c r="G77" t="n">
        <v>342</v>
      </c>
      <c r="H77" t="inlineStr">
        <is>
          <t>Y</t>
        </is>
      </c>
      <c r="I77">
        <f>HYPERLINK("https://admin.shopify.com/store/ge-beauty-cosmeticos/customers/9490573361472","abrir")</f>
        <v/>
      </c>
      <c r="J77">
        <f>HYPERLINK("https://www.gebeauty.com.br/products/primer-liso-intacto?ref=review","review")</f>
        <v/>
      </c>
      <c r="K77" t="inlineStr">
        <is>
          <t>SEND</t>
        </is>
      </c>
    </row>
    <row r="78">
      <c r="A78" t="inlineStr">
        <is>
          <t>Andressa</t>
        </is>
      </c>
      <c r="B78" t="inlineStr">
        <is>
          <t>+5511999022175</t>
        </is>
      </c>
      <c r="C78" t="inlineStr">
        <is>
          <t>Refill</t>
        </is>
      </c>
      <c r="D78" t="inlineStr">
        <is>
          <t>Primer Liso</t>
        </is>
      </c>
      <c r="E78" t="n">
        <v>1</v>
      </c>
      <c r="F78" t="inlineStr">
        <is>
          <t>2025-07-28</t>
        </is>
      </c>
      <c r="G78" t="n">
        <v>341</v>
      </c>
      <c r="H78" t="inlineStr">
        <is>
          <t>Y</t>
        </is>
      </c>
      <c r="I78">
        <f>HYPERLINK("https://admin.shopify.com/store/ge-beauty-cosmeticos/customers/8498929434944","abrir")</f>
        <v/>
      </c>
      <c r="J78">
        <f>HYPERLINK("https://www.gebeauty.com.br/products/primer-liso-intacto?ref=review","review")</f>
        <v/>
      </c>
      <c r="K78" t="inlineStr">
        <is>
          <t>SEND</t>
        </is>
      </c>
    </row>
    <row r="79">
      <c r="A79" t="inlineStr">
        <is>
          <t>Natália</t>
        </is>
      </c>
      <c r="B79" t="inlineStr">
        <is>
          <t>+5521969213596</t>
        </is>
      </c>
      <c r="C79" t="inlineStr">
        <is>
          <t>Refill</t>
        </is>
      </c>
      <c r="D79" t="inlineStr">
        <is>
          <t>Primer Liso</t>
        </is>
      </c>
      <c r="E79" t="n">
        <v>1</v>
      </c>
      <c r="F79" t="inlineStr">
        <is>
          <t>2025-07-28</t>
        </is>
      </c>
      <c r="G79" t="n">
        <v>341</v>
      </c>
      <c r="H79" t="inlineStr">
        <is>
          <t>Y</t>
        </is>
      </c>
      <c r="I79">
        <f>HYPERLINK("https://admin.shopify.com/store/ge-beauty-cosmeticos/customers/7761384309056","abrir")</f>
        <v/>
      </c>
      <c r="J79">
        <f>HYPERLINK("https://www.gebeauty.com.br/products/primer-liso-intacto?ref=review","review")</f>
        <v/>
      </c>
      <c r="K79" t="inlineStr">
        <is>
          <t>SEND</t>
        </is>
      </c>
    </row>
    <row r="80">
      <c r="A80" t="inlineStr">
        <is>
          <t>Thais</t>
        </is>
      </c>
      <c r="B80" t="inlineStr">
        <is>
          <t>+5581996574582</t>
        </is>
      </c>
      <c r="C80" t="inlineStr">
        <is>
          <t>Refill</t>
        </is>
      </c>
      <c r="D80" t="inlineStr">
        <is>
          <t>Primer Liso</t>
        </is>
      </c>
      <c r="E80" t="n">
        <v>1</v>
      </c>
      <c r="F80" t="inlineStr">
        <is>
          <t>2025-07-28</t>
        </is>
      </c>
      <c r="G80" t="n">
        <v>341</v>
      </c>
      <c r="H80" t="inlineStr">
        <is>
          <t>Y</t>
        </is>
      </c>
      <c r="I80">
        <f>HYPERLINK("https://admin.shopify.com/store/ge-beauty-cosmeticos/customers/9491518652736","abrir")</f>
        <v/>
      </c>
      <c r="J80">
        <f>HYPERLINK("https://www.gebeauty.com.br/products/primer-liso-intacto?ref=review","review")</f>
        <v/>
      </c>
      <c r="K80" t="inlineStr">
        <is>
          <t>SEND</t>
        </is>
      </c>
    </row>
    <row r="81">
      <c r="A81" t="inlineStr">
        <is>
          <t>Paula</t>
        </is>
      </c>
      <c r="B81" t="inlineStr">
        <is>
          <t>+5583996041240</t>
        </is>
      </c>
      <c r="C81" t="inlineStr">
        <is>
          <t>Refill</t>
        </is>
      </c>
      <c r="D81" t="inlineStr">
        <is>
          <t>Primer Liso</t>
        </is>
      </c>
      <c r="E81" t="n">
        <v>1</v>
      </c>
      <c r="F81" t="inlineStr">
        <is>
          <t>2025-07-28</t>
        </is>
      </c>
      <c r="G81" t="n">
        <v>341</v>
      </c>
      <c r="H81" t="inlineStr">
        <is>
          <t>Y</t>
        </is>
      </c>
      <c r="I81">
        <f>HYPERLINK("https://admin.shopify.com/store/ge-beauty-cosmeticos/customers/9491665944896","abrir")</f>
        <v/>
      </c>
      <c r="J81">
        <f>HYPERLINK("https://www.gebeauty.com.br/products/primer-liso-intacto?ref=review","review")</f>
        <v/>
      </c>
      <c r="K81" t="inlineStr">
        <is>
          <t>SEND</t>
        </is>
      </c>
    </row>
    <row r="82">
      <c r="A82" t="inlineStr">
        <is>
          <t>Andrea</t>
        </is>
      </c>
      <c r="B82" t="inlineStr">
        <is>
          <t>+5511986826696</t>
        </is>
      </c>
      <c r="C82" t="inlineStr">
        <is>
          <t>Refill</t>
        </is>
      </c>
      <c r="D82" t="inlineStr">
        <is>
          <t>Primer Liso</t>
        </is>
      </c>
      <c r="E82" t="n">
        <v>1</v>
      </c>
      <c r="F82" t="inlineStr">
        <is>
          <t>2025-07-28</t>
        </is>
      </c>
      <c r="G82" t="n">
        <v>341</v>
      </c>
      <c r="H82" t="inlineStr">
        <is>
          <t>Y</t>
        </is>
      </c>
      <c r="I82">
        <f>HYPERLINK("https://admin.shopify.com/store/ge-beauty-cosmeticos/customers/9491864748352","abrir")</f>
        <v/>
      </c>
      <c r="J82">
        <f>HYPERLINK("https://www.gebeauty.com.br/products/primer-liso-intacto?ref=review","review")</f>
        <v/>
      </c>
      <c r="K82" t="inlineStr">
        <is>
          <t>SEND</t>
        </is>
      </c>
    </row>
    <row r="83">
      <c r="A83" t="inlineStr">
        <is>
          <t>Elen</t>
        </is>
      </c>
      <c r="B83" t="inlineStr">
        <is>
          <t>+5512981282588</t>
        </is>
      </c>
      <c r="C83" t="inlineStr">
        <is>
          <t>Refill</t>
        </is>
      </c>
      <c r="D83" t="inlineStr">
        <is>
          <t>Primer Liso</t>
        </is>
      </c>
      <c r="E83" t="n">
        <v>1</v>
      </c>
      <c r="F83" t="inlineStr">
        <is>
          <t>2025-07-28</t>
        </is>
      </c>
      <c r="G83" t="n">
        <v>341</v>
      </c>
      <c r="H83" t="inlineStr">
        <is>
          <t>Y</t>
        </is>
      </c>
      <c r="I83">
        <f>HYPERLINK("https://admin.shopify.com/store/ge-beauty-cosmeticos/customers/7760894918976","abrir")</f>
        <v/>
      </c>
      <c r="J83">
        <f>HYPERLINK("https://www.gebeauty.com.br/products/primer-liso-intacto?ref=review","review")</f>
        <v/>
      </c>
      <c r="K83" t="inlineStr">
        <is>
          <t>SEND</t>
        </is>
      </c>
    </row>
    <row r="84">
      <c r="A84" t="inlineStr">
        <is>
          <t>Melissa</t>
        </is>
      </c>
      <c r="B84" t="inlineStr">
        <is>
          <t>+5521992036565</t>
        </is>
      </c>
      <c r="C84" t="inlineStr">
        <is>
          <t>Refill</t>
        </is>
      </c>
      <c r="D84" t="inlineStr">
        <is>
          <t>Primer Liso</t>
        </is>
      </c>
      <c r="E84" t="n">
        <v>1</v>
      </c>
      <c r="F84" t="inlineStr">
        <is>
          <t>2025-07-28</t>
        </is>
      </c>
      <c r="G84" t="n">
        <v>341</v>
      </c>
      <c r="H84" t="inlineStr">
        <is>
          <t>Y</t>
        </is>
      </c>
      <c r="I84">
        <f>HYPERLINK("https://admin.shopify.com/store/ge-beauty-cosmeticos/customers/9492039500096","abrir")</f>
        <v/>
      </c>
      <c r="J84">
        <f>HYPERLINK("https://www.gebeauty.com.br/products/primer-liso-intacto?ref=review","review")</f>
        <v/>
      </c>
      <c r="K84" t="inlineStr">
        <is>
          <t>SEND</t>
        </is>
      </c>
    </row>
    <row r="85">
      <c r="A85" t="inlineStr">
        <is>
          <t>Eliane</t>
        </is>
      </c>
      <c r="B85" t="inlineStr">
        <is>
          <t>+5521988398783</t>
        </is>
      </c>
      <c r="C85" t="inlineStr">
        <is>
          <t>Refill</t>
        </is>
      </c>
      <c r="D85" t="inlineStr">
        <is>
          <t>Primer Liso</t>
        </is>
      </c>
      <c r="E85" t="n">
        <v>1</v>
      </c>
      <c r="F85" t="inlineStr">
        <is>
          <t>2025-07-28</t>
        </is>
      </c>
      <c r="G85" t="n">
        <v>341</v>
      </c>
      <c r="H85" t="inlineStr">
        <is>
          <t>Y</t>
        </is>
      </c>
      <c r="I85">
        <f>HYPERLINK("https://admin.shopify.com/store/ge-beauty-cosmeticos/customers/9492207305024","abrir")</f>
        <v/>
      </c>
      <c r="J85">
        <f>HYPERLINK("https://www.gebeauty.com.br/products/primer-liso-intacto?ref=review","review")</f>
        <v/>
      </c>
      <c r="K85" t="inlineStr">
        <is>
          <t>SEND</t>
        </is>
      </c>
    </row>
    <row r="86">
      <c r="A86" t="inlineStr">
        <is>
          <t>Gustavo</t>
        </is>
      </c>
      <c r="B86" t="inlineStr">
        <is>
          <t>+5531992815206</t>
        </is>
      </c>
      <c r="C86" t="inlineStr">
        <is>
          <t>Refill</t>
        </is>
      </c>
      <c r="D86" t="inlineStr">
        <is>
          <t>Primer Liso</t>
        </is>
      </c>
      <c r="E86" t="n">
        <v>1</v>
      </c>
      <c r="F86" t="inlineStr">
        <is>
          <t>2025-07-28</t>
        </is>
      </c>
      <c r="G86" t="n">
        <v>341</v>
      </c>
      <c r="H86" t="inlineStr">
        <is>
          <t>Y</t>
        </is>
      </c>
      <c r="I86">
        <f>HYPERLINK("https://admin.shopify.com/store/ge-beauty-cosmeticos/customers/9492242727232","abrir")</f>
        <v/>
      </c>
      <c r="J86">
        <f>HYPERLINK("https://www.gebeauty.com.br/products/primer-liso-intacto?ref=review","review")</f>
        <v/>
      </c>
      <c r="K86" t="inlineStr">
        <is>
          <t>SEND</t>
        </is>
      </c>
    </row>
    <row r="87">
      <c r="A87" t="inlineStr">
        <is>
          <t>Tiago</t>
        </is>
      </c>
      <c r="B87" t="inlineStr">
        <is>
          <t>+5549998299899</t>
        </is>
      </c>
      <c r="C87" t="inlineStr">
        <is>
          <t>Refill</t>
        </is>
      </c>
      <c r="D87" t="inlineStr">
        <is>
          <t>Primer Liso</t>
        </is>
      </c>
      <c r="E87" t="n">
        <v>1</v>
      </c>
      <c r="F87" t="inlineStr">
        <is>
          <t>2025-07-29</t>
        </is>
      </c>
      <c r="G87" t="n">
        <v>340</v>
      </c>
      <c r="H87" t="inlineStr">
        <is>
          <t>Y</t>
        </is>
      </c>
      <c r="I87">
        <f>HYPERLINK("https://admin.shopify.com/store/ge-beauty-cosmeticos/customers/9485982433600","abrir")</f>
        <v/>
      </c>
      <c r="J87">
        <f>HYPERLINK("https://www.gebeauty.com.br/products/primer-liso-intacto?ref=review","review")</f>
        <v/>
      </c>
      <c r="K87" t="inlineStr">
        <is>
          <t>SEND</t>
        </is>
      </c>
    </row>
    <row r="88">
      <c r="A88" t="inlineStr">
        <is>
          <t>Ana</t>
        </is>
      </c>
      <c r="B88" t="inlineStr">
        <is>
          <t>+5554999392844</t>
        </is>
      </c>
      <c r="C88" t="inlineStr">
        <is>
          <t>Refill</t>
        </is>
      </c>
      <c r="D88" t="inlineStr">
        <is>
          <t>Primer Liso</t>
        </is>
      </c>
      <c r="E88" t="n">
        <v>1</v>
      </c>
      <c r="F88" t="inlineStr">
        <is>
          <t>2025-07-29</t>
        </is>
      </c>
      <c r="G88" t="n">
        <v>340</v>
      </c>
      <c r="H88" t="inlineStr">
        <is>
          <t>Y</t>
        </is>
      </c>
      <c r="I88">
        <f>HYPERLINK("https://admin.shopify.com/store/ge-beauty-cosmeticos/customers/9493362049344","abrir")</f>
        <v/>
      </c>
      <c r="J88">
        <f>HYPERLINK("https://www.gebeauty.com.br/products/primer-liso-intacto?ref=review","review")</f>
        <v/>
      </c>
      <c r="K88" t="inlineStr">
        <is>
          <t>SEND</t>
        </is>
      </c>
    </row>
    <row r="89">
      <c r="A89" t="inlineStr">
        <is>
          <t>Natália</t>
        </is>
      </c>
      <c r="B89" t="inlineStr">
        <is>
          <t>+5527981199550</t>
        </is>
      </c>
      <c r="C89" t="inlineStr">
        <is>
          <t>Refill</t>
        </is>
      </c>
      <c r="D89" t="inlineStr">
        <is>
          <t>Primer Liso</t>
        </is>
      </c>
      <c r="E89" t="n">
        <v>1</v>
      </c>
      <c r="F89" t="inlineStr">
        <is>
          <t>2025-07-29</t>
        </is>
      </c>
      <c r="G89" t="n">
        <v>340</v>
      </c>
      <c r="H89" t="inlineStr">
        <is>
          <t>Y</t>
        </is>
      </c>
      <c r="I89">
        <f>HYPERLINK("https://admin.shopify.com/store/ge-beauty-cosmeticos/customers/9493435580736","abrir")</f>
        <v/>
      </c>
      <c r="J89">
        <f>HYPERLINK("https://www.gebeauty.com.br/products/primer-liso-intacto?ref=review","review")</f>
        <v/>
      </c>
      <c r="K89" t="inlineStr">
        <is>
          <t>HOLDOUT</t>
        </is>
      </c>
    </row>
    <row r="90">
      <c r="A90" t="inlineStr">
        <is>
          <t>Micheli</t>
        </is>
      </c>
      <c r="B90" t="inlineStr">
        <is>
          <t>+5541999125244</t>
        </is>
      </c>
      <c r="C90" t="inlineStr">
        <is>
          <t>Refill</t>
        </is>
      </c>
      <c r="D90" t="inlineStr">
        <is>
          <t>Primer Liso</t>
        </is>
      </c>
      <c r="E90" t="n">
        <v>1</v>
      </c>
      <c r="F90" t="inlineStr">
        <is>
          <t>2025-07-29</t>
        </is>
      </c>
      <c r="G90" t="n">
        <v>340</v>
      </c>
      <c r="H90" t="inlineStr">
        <is>
          <t>Y</t>
        </is>
      </c>
      <c r="I90">
        <f>HYPERLINK("https://admin.shopify.com/store/ge-beauty-cosmeticos/customers/9493939224896","abrir")</f>
        <v/>
      </c>
      <c r="J90">
        <f>HYPERLINK("https://www.gebeauty.com.br/products/primer-liso-intacto?ref=review","review")</f>
        <v/>
      </c>
      <c r="K90" t="inlineStr">
        <is>
          <t>SEND</t>
        </is>
      </c>
    </row>
    <row r="91">
      <c r="A91" t="inlineStr">
        <is>
          <t>Paula</t>
        </is>
      </c>
      <c r="B91" t="inlineStr">
        <is>
          <t>+552121962217</t>
        </is>
      </c>
      <c r="C91" t="inlineStr">
        <is>
          <t>Refill</t>
        </is>
      </c>
      <c r="D91" t="inlineStr">
        <is>
          <t>Primer Liso</t>
        </is>
      </c>
      <c r="E91" t="n">
        <v>1</v>
      </c>
      <c r="F91" t="inlineStr">
        <is>
          <t>2025-07-29</t>
        </is>
      </c>
      <c r="G91" t="n">
        <v>340</v>
      </c>
      <c r="H91" t="inlineStr">
        <is>
          <t>Y</t>
        </is>
      </c>
      <c r="I91">
        <f>HYPERLINK("https://admin.shopify.com/store/ge-beauty-cosmeticos/customers/9486512292160","abrir")</f>
        <v/>
      </c>
      <c r="J91">
        <f>HYPERLINK("https://www.gebeauty.com.br/products/primer-liso-intacto?ref=review","review")</f>
        <v/>
      </c>
      <c r="K91" t="inlineStr">
        <is>
          <t>SEND</t>
        </is>
      </c>
    </row>
    <row r="92">
      <c r="A92" t="inlineStr">
        <is>
          <t>Gabrielle</t>
        </is>
      </c>
      <c r="B92" t="inlineStr">
        <is>
          <t>+5511941650011</t>
        </is>
      </c>
      <c r="C92" t="inlineStr">
        <is>
          <t>Refill</t>
        </is>
      </c>
      <c r="D92" t="inlineStr">
        <is>
          <t>Primer Liso</t>
        </is>
      </c>
      <c r="E92" t="n">
        <v>1</v>
      </c>
      <c r="F92" t="inlineStr">
        <is>
          <t>2025-07-29</t>
        </is>
      </c>
      <c r="G92" t="n">
        <v>340</v>
      </c>
      <c r="H92" t="inlineStr">
        <is>
          <t>Y</t>
        </is>
      </c>
      <c r="I92">
        <f>HYPERLINK("https://admin.shopify.com/store/ge-beauty-cosmeticos/customers/9494425305408","abrir")</f>
        <v/>
      </c>
      <c r="J92">
        <f>HYPERLINK("https://www.gebeauty.com.br/products/primer-liso-intacto?ref=review","review")</f>
        <v/>
      </c>
      <c r="K92" t="inlineStr">
        <is>
          <t>SEND</t>
        </is>
      </c>
    </row>
    <row r="93">
      <c r="A93" t="inlineStr">
        <is>
          <t>Julia</t>
        </is>
      </c>
      <c r="B93" t="inlineStr">
        <is>
          <t>+5511957858610</t>
        </is>
      </c>
      <c r="C93" t="inlineStr">
        <is>
          <t>Refill</t>
        </is>
      </c>
      <c r="D93" t="inlineStr">
        <is>
          <t>Primer Liso</t>
        </is>
      </c>
      <c r="E93" t="n">
        <v>1</v>
      </c>
      <c r="F93" t="inlineStr">
        <is>
          <t>2025-07-29</t>
        </is>
      </c>
      <c r="G93" t="n">
        <v>340</v>
      </c>
      <c r="H93" t="inlineStr">
        <is>
          <t>Y</t>
        </is>
      </c>
      <c r="I93">
        <f>HYPERLINK("https://admin.shopify.com/store/ge-beauty-cosmeticos/customers/9494449160512","abrir")</f>
        <v/>
      </c>
      <c r="J93">
        <f>HYPERLINK("https://www.gebeauty.com.br/products/primer-liso-intacto?ref=review","review")</f>
        <v/>
      </c>
      <c r="K93" t="inlineStr">
        <is>
          <t>SEND</t>
        </is>
      </c>
    </row>
    <row r="94">
      <c r="A94" t="inlineStr">
        <is>
          <t>Luciana</t>
        </is>
      </c>
      <c r="B94" t="inlineStr">
        <is>
          <t>+5511977860976</t>
        </is>
      </c>
      <c r="C94" t="inlineStr">
        <is>
          <t>Refill</t>
        </is>
      </c>
      <c r="D94" t="inlineStr">
        <is>
          <t>Primer Liso</t>
        </is>
      </c>
      <c r="E94" t="n">
        <v>1</v>
      </c>
      <c r="F94" t="inlineStr">
        <is>
          <t>2025-07-30</t>
        </is>
      </c>
      <c r="G94" t="n">
        <v>339</v>
      </c>
      <c r="H94" t="inlineStr">
        <is>
          <t>Y</t>
        </is>
      </c>
      <c r="I94">
        <f>HYPERLINK("https://admin.shopify.com/store/ge-beauty-cosmeticos/customers/9479027097920","abrir")</f>
        <v/>
      </c>
      <c r="J94">
        <f>HYPERLINK("https://www.gebeauty.com.br/products/primer-liso-intacto?ref=review","review")</f>
        <v/>
      </c>
      <c r="K94" t="inlineStr">
        <is>
          <t>SEND</t>
        </is>
      </c>
    </row>
    <row r="95">
      <c r="A95" t="inlineStr">
        <is>
          <t>Taiana</t>
        </is>
      </c>
      <c r="B95" t="inlineStr">
        <is>
          <t>+5527999699193</t>
        </is>
      </c>
      <c r="C95" t="inlineStr">
        <is>
          <t>Refill</t>
        </is>
      </c>
      <c r="D95" t="inlineStr">
        <is>
          <t>Primer Liso</t>
        </is>
      </c>
      <c r="E95" t="n">
        <v>1</v>
      </c>
      <c r="F95" t="inlineStr">
        <is>
          <t>2025-07-30</t>
        </is>
      </c>
      <c r="G95" t="n">
        <v>339</v>
      </c>
      <c r="H95" t="inlineStr">
        <is>
          <t>Y</t>
        </is>
      </c>
      <c r="I95">
        <f>HYPERLINK("https://admin.shopify.com/store/ge-beauty-cosmeticos/customers/9486542274880","abrir")</f>
        <v/>
      </c>
      <c r="J95">
        <f>HYPERLINK("https://www.gebeauty.com.br/products/primer-liso-intacto?ref=review","review")</f>
        <v/>
      </c>
      <c r="K95" t="inlineStr">
        <is>
          <t>SEND</t>
        </is>
      </c>
    </row>
    <row r="96">
      <c r="A96" t="inlineStr">
        <is>
          <t>Erika</t>
        </is>
      </c>
      <c r="B96" t="inlineStr">
        <is>
          <t>+5521981045562</t>
        </is>
      </c>
      <c r="C96" t="inlineStr">
        <is>
          <t>Refill</t>
        </is>
      </c>
      <c r="D96" t="inlineStr">
        <is>
          <t>Primer Liso</t>
        </is>
      </c>
      <c r="E96" t="n">
        <v>1</v>
      </c>
      <c r="F96" t="inlineStr">
        <is>
          <t>2025-07-30</t>
        </is>
      </c>
      <c r="G96" t="n">
        <v>339</v>
      </c>
      <c r="H96" t="inlineStr">
        <is>
          <t>Y</t>
        </is>
      </c>
      <c r="I96">
        <f>HYPERLINK("https://admin.shopify.com/store/ge-beauty-cosmeticos/customers/9496737251648","abrir")</f>
        <v/>
      </c>
      <c r="J96">
        <f>HYPERLINK("https://www.gebeauty.com.br/products/primer-liso-intacto?ref=review","review")</f>
        <v/>
      </c>
      <c r="K96" t="inlineStr">
        <is>
          <t>SEND</t>
        </is>
      </c>
    </row>
    <row r="97">
      <c r="A97" t="inlineStr">
        <is>
          <t>Iasmin</t>
        </is>
      </c>
      <c r="B97" t="inlineStr">
        <is>
          <t>+5584999605542</t>
        </is>
      </c>
      <c r="C97" t="inlineStr">
        <is>
          <t>Refill</t>
        </is>
      </c>
      <c r="D97" t="inlineStr">
        <is>
          <t>Primer Liso</t>
        </is>
      </c>
      <c r="E97" t="n">
        <v>1</v>
      </c>
      <c r="F97" t="inlineStr">
        <is>
          <t>2025-07-30</t>
        </is>
      </c>
      <c r="G97" t="n">
        <v>339</v>
      </c>
      <c r="H97" t="inlineStr">
        <is>
          <t>Y</t>
        </is>
      </c>
      <c r="I97">
        <f>HYPERLINK("https://admin.shopify.com/store/ge-beauty-cosmeticos/customers/9496785518912","abrir")</f>
        <v/>
      </c>
      <c r="J97">
        <f>HYPERLINK("https://www.gebeauty.com.br/products/primer-liso-intacto?ref=review","review")</f>
        <v/>
      </c>
      <c r="K97" t="inlineStr">
        <is>
          <t>SEND</t>
        </is>
      </c>
    </row>
    <row r="98">
      <c r="A98" t="inlineStr">
        <is>
          <t>Ana</t>
        </is>
      </c>
      <c r="B98" t="inlineStr">
        <is>
          <t>+5511981537742</t>
        </is>
      </c>
      <c r="C98" t="inlineStr">
        <is>
          <t>Refill</t>
        </is>
      </c>
      <c r="D98" t="inlineStr">
        <is>
          <t>Primer Liso</t>
        </is>
      </c>
      <c r="E98" t="n">
        <v>1</v>
      </c>
      <c r="F98" t="inlineStr">
        <is>
          <t>2025-07-30</t>
        </is>
      </c>
      <c r="G98" t="n">
        <v>339</v>
      </c>
      <c r="H98" t="inlineStr">
        <is>
          <t>Y</t>
        </is>
      </c>
      <c r="I98">
        <f>HYPERLINK("https://admin.shopify.com/store/ge-beauty-cosmeticos/customers/7760098853184","abrir")</f>
        <v/>
      </c>
      <c r="J98">
        <f>HYPERLINK("https://www.gebeauty.com.br/products/primer-liso-intacto?ref=review","review")</f>
        <v/>
      </c>
      <c r="K98" t="inlineStr">
        <is>
          <t>SEND</t>
        </is>
      </c>
    </row>
    <row r="99">
      <c r="A99" t="inlineStr">
        <is>
          <t>Nicole</t>
        </is>
      </c>
      <c r="B99" t="inlineStr">
        <is>
          <t>+5585996339296</t>
        </is>
      </c>
      <c r="C99" t="inlineStr">
        <is>
          <t>Refill</t>
        </is>
      </c>
      <c r="D99" t="inlineStr">
        <is>
          <t>Primer Liso</t>
        </is>
      </c>
      <c r="E99" t="n">
        <v>1</v>
      </c>
      <c r="F99" t="inlineStr">
        <is>
          <t>2025-07-30</t>
        </is>
      </c>
      <c r="G99" t="n">
        <v>339</v>
      </c>
      <c r="H99" t="inlineStr">
        <is>
          <t>Y</t>
        </is>
      </c>
      <c r="I99">
        <f>HYPERLINK("https://admin.shopify.com/store/ge-beauty-cosmeticos/customers/9497094881600","abrir")</f>
        <v/>
      </c>
      <c r="J99">
        <f>HYPERLINK("https://www.gebeauty.com.br/products/primer-liso-intacto?ref=review","review")</f>
        <v/>
      </c>
      <c r="K99" t="inlineStr">
        <is>
          <t>SEND</t>
        </is>
      </c>
    </row>
    <row r="100">
      <c r="A100" t="inlineStr">
        <is>
          <t>Renata</t>
        </is>
      </c>
      <c r="B100" t="inlineStr">
        <is>
          <t>+5521998551270</t>
        </is>
      </c>
      <c r="C100" t="inlineStr">
        <is>
          <t>Refill</t>
        </is>
      </c>
      <c r="D100" t="inlineStr">
        <is>
          <t>Primer Liso</t>
        </is>
      </c>
      <c r="E100" t="n">
        <v>1</v>
      </c>
      <c r="F100" t="inlineStr">
        <is>
          <t>2025-07-30</t>
        </is>
      </c>
      <c r="G100" t="n">
        <v>339</v>
      </c>
      <c r="H100" t="inlineStr">
        <is>
          <t>Y</t>
        </is>
      </c>
      <c r="I100">
        <f>HYPERLINK("https://admin.shopify.com/store/ge-beauty-cosmeticos/customers/9494174925120","abrir")</f>
        <v/>
      </c>
      <c r="J100">
        <f>HYPERLINK("https://www.gebeauty.com.br/products/primer-liso-intacto?ref=review","review")</f>
        <v/>
      </c>
      <c r="K100" t="inlineStr">
        <is>
          <t>SEND</t>
        </is>
      </c>
    </row>
    <row r="101">
      <c r="A101" t="inlineStr">
        <is>
          <t>Sandra</t>
        </is>
      </c>
      <c r="B101" t="inlineStr">
        <is>
          <t>+5573991511216</t>
        </is>
      </c>
      <c r="C101" t="inlineStr">
        <is>
          <t>Refill</t>
        </is>
      </c>
      <c r="D101" t="inlineStr">
        <is>
          <t>Primer Liso</t>
        </is>
      </c>
      <c r="E101" t="n">
        <v>1</v>
      </c>
      <c r="F101" t="inlineStr">
        <is>
          <t>2025-07-30</t>
        </is>
      </c>
      <c r="G101" t="n">
        <v>339</v>
      </c>
      <c r="H101" t="inlineStr">
        <is>
          <t>Y</t>
        </is>
      </c>
      <c r="I101">
        <f>HYPERLINK("https://admin.shopify.com/store/ge-beauty-cosmeticos/customers/9497503138112","abrir")</f>
        <v/>
      </c>
      <c r="J101">
        <f>HYPERLINK("https://www.gebeauty.com.br/products/primer-liso-intacto?ref=review","review")</f>
        <v/>
      </c>
      <c r="K101" t="inlineStr">
        <is>
          <t>SEND</t>
        </is>
      </c>
    </row>
    <row r="102">
      <c r="A102" t="inlineStr">
        <is>
          <t>Laline</t>
        </is>
      </c>
      <c r="B102" t="inlineStr">
        <is>
          <t>+5586999832037</t>
        </is>
      </c>
      <c r="C102" t="inlineStr">
        <is>
          <t>Refill</t>
        </is>
      </c>
      <c r="D102" t="inlineStr">
        <is>
          <t>Primer Liso</t>
        </is>
      </c>
      <c r="E102" t="n">
        <v>1</v>
      </c>
      <c r="F102" t="inlineStr">
        <is>
          <t>2025-07-30</t>
        </is>
      </c>
      <c r="G102" t="n">
        <v>339</v>
      </c>
      <c r="H102" t="inlineStr">
        <is>
          <t>Y</t>
        </is>
      </c>
      <c r="I102">
        <f>HYPERLINK("https://admin.shopify.com/store/ge-beauty-cosmeticos/customers/9497823576384","abrir")</f>
        <v/>
      </c>
      <c r="J102">
        <f>HYPERLINK("https://www.gebeauty.com.br/products/primer-liso-intacto?ref=review","review")</f>
        <v/>
      </c>
      <c r="K102" t="inlineStr">
        <is>
          <t>SEND</t>
        </is>
      </c>
    </row>
    <row r="103">
      <c r="A103" t="inlineStr">
        <is>
          <t>Val</t>
        </is>
      </c>
      <c r="B103" t="inlineStr">
        <is>
          <t>+5571991377977</t>
        </is>
      </c>
      <c r="C103" t="inlineStr">
        <is>
          <t>Refill</t>
        </is>
      </c>
      <c r="D103" t="inlineStr">
        <is>
          <t>Primer Liso</t>
        </is>
      </c>
      <c r="E103" t="n">
        <v>1</v>
      </c>
      <c r="F103" t="inlineStr">
        <is>
          <t>2025-07-30</t>
        </is>
      </c>
      <c r="G103" t="n">
        <v>339</v>
      </c>
      <c r="H103" t="inlineStr">
        <is>
          <t>Y</t>
        </is>
      </c>
      <c r="I103">
        <f>HYPERLINK("https://admin.shopify.com/store/ge-beauty-cosmeticos/customers/9485790970176","abrir")</f>
        <v/>
      </c>
      <c r="J103">
        <f>HYPERLINK("https://www.gebeauty.com.br/products/primer-liso-intacto?ref=review","review")</f>
        <v/>
      </c>
      <c r="K103" t="inlineStr">
        <is>
          <t>SEND</t>
        </is>
      </c>
    </row>
    <row r="104">
      <c r="A104" t="inlineStr">
        <is>
          <t>Maria</t>
        </is>
      </c>
      <c r="B104" t="inlineStr">
        <is>
          <t>+5581994521983</t>
        </is>
      </c>
      <c r="C104" t="inlineStr">
        <is>
          <t>Refill</t>
        </is>
      </c>
      <c r="D104" t="inlineStr">
        <is>
          <t>Primer Liso</t>
        </is>
      </c>
      <c r="E104" t="n">
        <v>1</v>
      </c>
      <c r="F104" t="inlineStr">
        <is>
          <t>2025-07-30</t>
        </is>
      </c>
      <c r="G104" t="n">
        <v>339</v>
      </c>
      <c r="H104" t="inlineStr">
        <is>
          <t>Y</t>
        </is>
      </c>
      <c r="I104">
        <f>HYPERLINK("https://admin.shopify.com/store/ge-beauty-cosmeticos/customers/9498032996672","abrir")</f>
        <v/>
      </c>
      <c r="J104">
        <f>HYPERLINK("https://www.gebeauty.com.br/products/primer-liso-intacto?ref=review","review")</f>
        <v/>
      </c>
      <c r="K104" t="inlineStr">
        <is>
          <t>SEND</t>
        </is>
      </c>
    </row>
    <row r="105">
      <c r="A105" t="inlineStr">
        <is>
          <t>Clarossa</t>
        </is>
      </c>
      <c r="B105" t="inlineStr">
        <is>
          <t>+5585999840166</t>
        </is>
      </c>
      <c r="C105" t="inlineStr">
        <is>
          <t>Refill</t>
        </is>
      </c>
      <c r="D105" t="inlineStr">
        <is>
          <t>Primer Liso</t>
        </is>
      </c>
      <c r="E105" t="n">
        <v>1</v>
      </c>
      <c r="F105" t="inlineStr">
        <is>
          <t>2025-07-30</t>
        </is>
      </c>
      <c r="G105" t="n">
        <v>339</v>
      </c>
      <c r="H105" t="inlineStr">
        <is>
          <t>Y</t>
        </is>
      </c>
      <c r="I105">
        <f>HYPERLINK("https://admin.shopify.com/store/ge-beauty-cosmeticos/customers/9498059342144","abrir")</f>
        <v/>
      </c>
      <c r="J105">
        <f>HYPERLINK("https://www.gebeauty.com.br/products/primer-liso-intacto?ref=review","review")</f>
        <v/>
      </c>
      <c r="K105" t="inlineStr">
        <is>
          <t>SEND</t>
        </is>
      </c>
    </row>
    <row r="106">
      <c r="A106" t="inlineStr">
        <is>
          <t>Vanessa</t>
        </is>
      </c>
      <c r="B106" t="inlineStr">
        <is>
          <t>+5598983237523</t>
        </is>
      </c>
      <c r="C106" t="inlineStr">
        <is>
          <t>Refill</t>
        </is>
      </c>
      <c r="D106" t="inlineStr">
        <is>
          <t>Primer Liso</t>
        </is>
      </c>
      <c r="E106" t="n">
        <v>1</v>
      </c>
      <c r="F106" t="inlineStr">
        <is>
          <t>2025-07-30</t>
        </is>
      </c>
      <c r="G106" t="n">
        <v>339</v>
      </c>
      <c r="H106" t="inlineStr">
        <is>
          <t>Y</t>
        </is>
      </c>
      <c r="I106">
        <f>HYPERLINK("https://admin.shopify.com/store/ge-beauty-cosmeticos/customers/9494174171456","abrir")</f>
        <v/>
      </c>
      <c r="J106">
        <f>HYPERLINK("https://www.gebeauty.com.br/products/primer-liso-intacto?ref=review","review")</f>
        <v/>
      </c>
      <c r="K106" t="inlineStr">
        <is>
          <t>SEND</t>
        </is>
      </c>
    </row>
    <row r="107">
      <c r="A107" t="inlineStr">
        <is>
          <t>Almerinda</t>
        </is>
      </c>
      <c r="B107" t="inlineStr">
        <is>
          <t>+5579999280602</t>
        </is>
      </c>
      <c r="C107" t="inlineStr">
        <is>
          <t>Refill</t>
        </is>
      </c>
      <c r="D107" t="inlineStr">
        <is>
          <t>Primer Liso</t>
        </is>
      </c>
      <c r="E107" t="n">
        <v>1</v>
      </c>
      <c r="F107" t="inlineStr">
        <is>
          <t>2025-07-30</t>
        </is>
      </c>
      <c r="G107" t="n">
        <v>339</v>
      </c>
      <c r="H107" t="inlineStr">
        <is>
          <t>Y</t>
        </is>
      </c>
      <c r="I107">
        <f>HYPERLINK("https://admin.shopify.com/store/ge-beauty-cosmeticos/customers/9486201749824","abrir")</f>
        <v/>
      </c>
      <c r="J107">
        <f>HYPERLINK("https://www.gebeauty.com.br/products/primer-liso-intacto?ref=review","review")</f>
        <v/>
      </c>
      <c r="K107" t="inlineStr">
        <is>
          <t>SEND</t>
        </is>
      </c>
    </row>
    <row r="108">
      <c r="A108" t="inlineStr">
        <is>
          <t>Juliana</t>
        </is>
      </c>
      <c r="B108" t="inlineStr">
        <is>
          <t>+5511981739951</t>
        </is>
      </c>
      <c r="C108" t="inlineStr">
        <is>
          <t>Refill</t>
        </is>
      </c>
      <c r="D108" t="inlineStr">
        <is>
          <t>Primer Liso</t>
        </is>
      </c>
      <c r="E108" t="n">
        <v>1</v>
      </c>
      <c r="F108" t="inlineStr">
        <is>
          <t>2025-07-31</t>
        </is>
      </c>
      <c r="G108" t="n">
        <v>338</v>
      </c>
      <c r="H108" t="inlineStr">
        <is>
          <t>Y</t>
        </is>
      </c>
      <c r="I108">
        <f>HYPERLINK("https://admin.shopify.com/store/ge-beauty-cosmeticos/customers/9485576569152","abrir")</f>
        <v/>
      </c>
      <c r="J108">
        <f>HYPERLINK("https://www.gebeauty.com.br/products/primer-liso-intacto?ref=review","review")</f>
        <v/>
      </c>
      <c r="K108" t="inlineStr">
        <is>
          <t>SEND</t>
        </is>
      </c>
    </row>
    <row r="109">
      <c r="A109" t="inlineStr">
        <is>
          <t>Mariana</t>
        </is>
      </c>
      <c r="B109" t="inlineStr">
        <is>
          <t>+5581981360610</t>
        </is>
      </c>
      <c r="C109" t="inlineStr">
        <is>
          <t>Refill</t>
        </is>
      </c>
      <c r="D109" t="inlineStr">
        <is>
          <t>Primer Liso</t>
        </is>
      </c>
      <c r="E109" t="n">
        <v>1</v>
      </c>
      <c r="F109" t="inlineStr">
        <is>
          <t>2025-07-31</t>
        </is>
      </c>
      <c r="G109" t="n">
        <v>338</v>
      </c>
      <c r="H109" t="inlineStr">
        <is>
          <t>Y</t>
        </is>
      </c>
      <c r="I109">
        <f>HYPERLINK("https://admin.shopify.com/store/ge-beauty-cosmeticos/customers/9499126726976","abrir")</f>
        <v/>
      </c>
      <c r="J109">
        <f>HYPERLINK("https://www.gebeauty.com.br/products/primer-liso-intacto?ref=review","review")</f>
        <v/>
      </c>
      <c r="K109" t="inlineStr">
        <is>
          <t>SEND</t>
        </is>
      </c>
    </row>
    <row r="110">
      <c r="A110" t="inlineStr">
        <is>
          <t>Evelyn</t>
        </is>
      </c>
      <c r="B110" t="inlineStr">
        <is>
          <t>+5511966481476</t>
        </is>
      </c>
      <c r="C110" t="inlineStr">
        <is>
          <t>Refill</t>
        </is>
      </c>
      <c r="D110" t="inlineStr">
        <is>
          <t>Primer Liso</t>
        </is>
      </c>
      <c r="E110" t="n">
        <v>1</v>
      </c>
      <c r="F110" t="inlineStr">
        <is>
          <t>2025-07-31</t>
        </is>
      </c>
      <c r="G110" t="n">
        <v>338</v>
      </c>
      <c r="H110" t="inlineStr">
        <is>
          <t>Y</t>
        </is>
      </c>
      <c r="I110">
        <f>HYPERLINK("https://admin.shopify.com/store/ge-beauty-cosmeticos/customers/9499125317952","abrir")</f>
        <v/>
      </c>
      <c r="J110">
        <f>HYPERLINK("https://www.gebeauty.com.br/products/primer-liso-intacto?ref=review","review")</f>
        <v/>
      </c>
      <c r="K110" t="inlineStr">
        <is>
          <t>SEND</t>
        </is>
      </c>
    </row>
    <row r="111">
      <c r="A111" t="inlineStr">
        <is>
          <t>Thais</t>
        </is>
      </c>
      <c r="B111" t="inlineStr">
        <is>
          <t>+5511999715951</t>
        </is>
      </c>
      <c r="C111" t="inlineStr">
        <is>
          <t>Refill</t>
        </is>
      </c>
      <c r="D111" t="inlineStr">
        <is>
          <t>Primer Liso</t>
        </is>
      </c>
      <c r="E111" t="n">
        <v>1</v>
      </c>
      <c r="F111" t="inlineStr">
        <is>
          <t>2025-07-31</t>
        </is>
      </c>
      <c r="G111" t="n">
        <v>338</v>
      </c>
      <c r="H111" t="inlineStr">
        <is>
          <t>Y</t>
        </is>
      </c>
      <c r="I111">
        <f>HYPERLINK("https://admin.shopify.com/store/ge-beauty-cosmeticos/customers/9500481323328","abrir")</f>
        <v/>
      </c>
      <c r="J111">
        <f>HYPERLINK("https://www.gebeauty.com.br/products/primer-liso-intacto?ref=review","review")</f>
        <v/>
      </c>
      <c r="K111" t="inlineStr">
        <is>
          <t>SEND</t>
        </is>
      </c>
    </row>
    <row r="112">
      <c r="A112" t="inlineStr">
        <is>
          <t>Dayana</t>
        </is>
      </c>
      <c r="B112" t="inlineStr">
        <is>
          <t>+5585986685995</t>
        </is>
      </c>
      <c r="C112" t="inlineStr">
        <is>
          <t>Refill</t>
        </is>
      </c>
      <c r="D112" t="inlineStr">
        <is>
          <t>Primer Liso</t>
        </is>
      </c>
      <c r="E112" t="n">
        <v>1</v>
      </c>
      <c r="F112" t="inlineStr">
        <is>
          <t>2025-07-31</t>
        </is>
      </c>
      <c r="G112" t="n">
        <v>338</v>
      </c>
      <c r="H112" t="inlineStr">
        <is>
          <t>Y</t>
        </is>
      </c>
      <c r="I112">
        <f>HYPERLINK("https://admin.shopify.com/store/ge-beauty-cosmeticos/customers/8657188585792","abrir")</f>
        <v/>
      </c>
      <c r="J112">
        <f>HYPERLINK("https://www.gebeauty.com.br/products/primer-liso-intacto?ref=review","review")</f>
        <v/>
      </c>
      <c r="K112" t="inlineStr">
        <is>
          <t>SEND</t>
        </is>
      </c>
    </row>
    <row r="113">
      <c r="A113" t="inlineStr">
        <is>
          <t>Eduarda</t>
        </is>
      </c>
      <c r="B113" t="inlineStr">
        <is>
          <t>+5524988446778</t>
        </is>
      </c>
      <c r="C113" t="inlineStr">
        <is>
          <t>Refill</t>
        </is>
      </c>
      <c r="D113" t="inlineStr">
        <is>
          <t>Primer Liso</t>
        </is>
      </c>
      <c r="E113" t="n">
        <v>1</v>
      </c>
      <c r="F113" t="inlineStr">
        <is>
          <t>2025-07-31</t>
        </is>
      </c>
      <c r="G113" t="n">
        <v>338</v>
      </c>
      <c r="H113" t="inlineStr">
        <is>
          <t>Y</t>
        </is>
      </c>
      <c r="I113">
        <f>HYPERLINK("https://admin.shopify.com/store/ge-beauty-cosmeticos/customers/9500543484224","abrir")</f>
        <v/>
      </c>
      <c r="J113">
        <f>HYPERLINK("https://www.gebeauty.com.br/products/primer-liso-intacto?ref=review","review")</f>
        <v/>
      </c>
      <c r="K113" t="inlineStr">
        <is>
          <t>SEND</t>
        </is>
      </c>
    </row>
    <row r="114">
      <c r="A114" t="inlineStr">
        <is>
          <t>Bruna</t>
        </is>
      </c>
      <c r="B114" t="inlineStr">
        <is>
          <t>+5511994742180</t>
        </is>
      </c>
      <c r="C114" t="inlineStr">
        <is>
          <t>Refill</t>
        </is>
      </c>
      <c r="D114" t="inlineStr">
        <is>
          <t>Primer Liso</t>
        </is>
      </c>
      <c r="E114" t="n">
        <v>1</v>
      </c>
      <c r="F114" t="inlineStr">
        <is>
          <t>2025-08-01</t>
        </is>
      </c>
      <c r="G114" t="n">
        <v>337</v>
      </c>
      <c r="H114" t="inlineStr">
        <is>
          <t>Y</t>
        </is>
      </c>
      <c r="I114">
        <f>HYPERLINK("https://admin.shopify.com/store/ge-beauty-cosmeticos/customers/9501511188800","abrir")</f>
        <v/>
      </c>
      <c r="J114">
        <f>HYPERLINK("https://www.gebeauty.com.br/products/primer-liso-intacto?ref=review","review")</f>
        <v/>
      </c>
      <c r="K114" t="inlineStr">
        <is>
          <t>SEND</t>
        </is>
      </c>
    </row>
    <row r="115">
      <c r="A115" t="inlineStr">
        <is>
          <t>Luciana</t>
        </is>
      </c>
      <c r="B115" t="inlineStr">
        <is>
          <t>+5541999803938</t>
        </is>
      </c>
      <c r="C115" t="inlineStr">
        <is>
          <t>Refill</t>
        </is>
      </c>
      <c r="D115" t="inlineStr">
        <is>
          <t>Primer Liso</t>
        </is>
      </c>
      <c r="E115" t="n">
        <v>1</v>
      </c>
      <c r="F115" t="inlineStr">
        <is>
          <t>2025-08-01</t>
        </is>
      </c>
      <c r="G115" t="n">
        <v>337</v>
      </c>
      <c r="H115" t="inlineStr">
        <is>
          <t>Y</t>
        </is>
      </c>
      <c r="I115">
        <f>HYPERLINK("https://admin.shopify.com/store/ge-beauty-cosmeticos/customers/9501773234496","abrir")</f>
        <v/>
      </c>
      <c r="J115">
        <f>HYPERLINK("https://www.gebeauty.com.br/products/primer-liso-intacto?ref=review","review")</f>
        <v/>
      </c>
      <c r="K115" t="inlineStr">
        <is>
          <t>SEND</t>
        </is>
      </c>
    </row>
    <row r="116">
      <c r="A116" t="inlineStr">
        <is>
          <t>Mayra</t>
        </is>
      </c>
      <c r="B116" t="inlineStr">
        <is>
          <t>+5511994477002</t>
        </is>
      </c>
      <c r="C116" t="inlineStr">
        <is>
          <t>Refill</t>
        </is>
      </c>
      <c r="D116" t="inlineStr">
        <is>
          <t>Primer Liso</t>
        </is>
      </c>
      <c r="E116" t="n">
        <v>1</v>
      </c>
      <c r="F116" t="inlineStr">
        <is>
          <t>2025-08-01</t>
        </is>
      </c>
      <c r="G116" t="n">
        <v>337</v>
      </c>
      <c r="H116" t="inlineStr">
        <is>
          <t>Y</t>
        </is>
      </c>
      <c r="I116">
        <f>HYPERLINK("https://admin.shopify.com/store/ge-beauty-cosmeticos/customers/9485120405824","abrir")</f>
        <v/>
      </c>
      <c r="J116">
        <f>HYPERLINK("https://www.gebeauty.com.br/products/primer-liso-intacto?ref=review","review")</f>
        <v/>
      </c>
      <c r="K116" t="inlineStr">
        <is>
          <t>SEND</t>
        </is>
      </c>
    </row>
    <row r="117">
      <c r="A117" t="inlineStr">
        <is>
          <t>Marília</t>
        </is>
      </c>
      <c r="B117" t="inlineStr">
        <is>
          <t>+5582996551908</t>
        </is>
      </c>
      <c r="C117" t="inlineStr">
        <is>
          <t>Refill</t>
        </is>
      </c>
      <c r="D117" t="inlineStr">
        <is>
          <t>Primer Liso</t>
        </is>
      </c>
      <c r="E117" t="n">
        <v>1</v>
      </c>
      <c r="F117" t="inlineStr">
        <is>
          <t>2025-08-01</t>
        </is>
      </c>
      <c r="G117" t="n">
        <v>337</v>
      </c>
      <c r="H117" t="inlineStr">
        <is>
          <t>Y</t>
        </is>
      </c>
      <c r="I117">
        <f>HYPERLINK("https://admin.shopify.com/store/ge-beauty-cosmeticos/customers/8788321894720","abrir")</f>
        <v/>
      </c>
      <c r="J117">
        <f>HYPERLINK("https://www.gebeauty.com.br/products/primer-liso-intacto?ref=review","review")</f>
        <v/>
      </c>
      <c r="K117" t="inlineStr">
        <is>
          <t>SEND</t>
        </is>
      </c>
    </row>
    <row r="118">
      <c r="A118" t="inlineStr">
        <is>
          <t>Kelly</t>
        </is>
      </c>
      <c r="B118" t="inlineStr">
        <is>
          <t>+5581996919617</t>
        </is>
      </c>
      <c r="C118" t="inlineStr">
        <is>
          <t>Refill</t>
        </is>
      </c>
      <c r="D118" t="inlineStr">
        <is>
          <t>Primer Liso</t>
        </is>
      </c>
      <c r="E118" t="n">
        <v>1</v>
      </c>
      <c r="F118" t="inlineStr">
        <is>
          <t>2025-08-01</t>
        </is>
      </c>
      <c r="G118" t="n">
        <v>337</v>
      </c>
      <c r="H118" t="inlineStr">
        <is>
          <t>Y</t>
        </is>
      </c>
      <c r="I118">
        <f>HYPERLINK("https://admin.shopify.com/store/ge-beauty-cosmeticos/customers/9502307549504","abrir")</f>
        <v/>
      </c>
      <c r="J118">
        <f>HYPERLINK("https://www.gebeauty.com.br/products/primer-liso-intacto?ref=review","review")</f>
        <v/>
      </c>
      <c r="K118" t="inlineStr">
        <is>
          <t>SEND</t>
        </is>
      </c>
    </row>
    <row r="119">
      <c r="A119" t="inlineStr">
        <is>
          <t>Bruna</t>
        </is>
      </c>
      <c r="B119" t="inlineStr">
        <is>
          <t>+5535999204903</t>
        </is>
      </c>
      <c r="C119" t="inlineStr">
        <is>
          <t>Refill</t>
        </is>
      </c>
      <c r="D119" t="inlineStr">
        <is>
          <t>Primer Liso</t>
        </is>
      </c>
      <c r="E119" t="n">
        <v>1</v>
      </c>
      <c r="F119" t="inlineStr">
        <is>
          <t>2025-08-02</t>
        </is>
      </c>
      <c r="G119" t="n">
        <v>336</v>
      </c>
      <c r="H119" t="inlineStr">
        <is>
          <t>Y</t>
        </is>
      </c>
      <c r="I119">
        <f>HYPERLINK("https://admin.shopify.com/store/ge-beauty-cosmeticos/customers/9502542659904","abrir")</f>
        <v/>
      </c>
      <c r="J119">
        <f>HYPERLINK("https://www.gebeauty.com.br/products/primer-liso-intacto?ref=review","review")</f>
        <v/>
      </c>
      <c r="K119" t="inlineStr">
        <is>
          <t>SEND</t>
        </is>
      </c>
    </row>
    <row r="120">
      <c r="A120" t="inlineStr">
        <is>
          <t>Tatiana</t>
        </is>
      </c>
      <c r="B120" t="inlineStr">
        <is>
          <t>+5511975345032</t>
        </is>
      </c>
      <c r="C120" t="inlineStr">
        <is>
          <t>Refill</t>
        </is>
      </c>
      <c r="D120" t="inlineStr">
        <is>
          <t>Primer Liso</t>
        </is>
      </c>
      <c r="E120" t="n">
        <v>1</v>
      </c>
      <c r="F120" t="inlineStr">
        <is>
          <t>2025-08-02</t>
        </is>
      </c>
      <c r="G120" t="n">
        <v>336</v>
      </c>
      <c r="H120" t="inlineStr">
        <is>
          <t>Y</t>
        </is>
      </c>
      <c r="I120">
        <f>HYPERLINK("https://admin.shopify.com/store/ge-beauty-cosmeticos/customers/9486577041728","abrir")</f>
        <v/>
      </c>
      <c r="J120">
        <f>HYPERLINK("https://www.gebeauty.com.br/products/primer-liso-intacto?ref=review","review")</f>
        <v/>
      </c>
      <c r="K120" t="inlineStr">
        <is>
          <t>SEND</t>
        </is>
      </c>
    </row>
    <row r="121">
      <c r="A121" t="inlineStr">
        <is>
          <t>Jessica</t>
        </is>
      </c>
      <c r="B121" t="inlineStr">
        <is>
          <t>+5511984987073</t>
        </is>
      </c>
      <c r="C121" t="inlineStr">
        <is>
          <t>Refill</t>
        </is>
      </c>
      <c r="D121" t="inlineStr">
        <is>
          <t>Primer Liso</t>
        </is>
      </c>
      <c r="E121" t="n">
        <v>1</v>
      </c>
      <c r="F121" t="inlineStr">
        <is>
          <t>2025-08-02</t>
        </is>
      </c>
      <c r="G121" t="n">
        <v>336</v>
      </c>
      <c r="H121" t="inlineStr">
        <is>
          <t>Y</t>
        </is>
      </c>
      <c r="I121">
        <f>HYPERLINK("https://admin.shopify.com/store/ge-beauty-cosmeticos/customers/9486647230784","abrir")</f>
        <v/>
      </c>
      <c r="J121">
        <f>HYPERLINK("https://www.gebeauty.com.br/products/primer-liso-intacto?ref=review","review")</f>
        <v/>
      </c>
      <c r="K121" t="inlineStr">
        <is>
          <t>SEND</t>
        </is>
      </c>
    </row>
    <row r="122">
      <c r="A122" t="inlineStr">
        <is>
          <t>Luciana</t>
        </is>
      </c>
      <c r="B122" t="inlineStr">
        <is>
          <t>+5551984944769</t>
        </is>
      </c>
      <c r="C122" t="inlineStr">
        <is>
          <t>Refill</t>
        </is>
      </c>
      <c r="D122" t="inlineStr">
        <is>
          <t>Primer Liso</t>
        </is>
      </c>
      <c r="E122" t="n">
        <v>1</v>
      </c>
      <c r="F122" t="inlineStr">
        <is>
          <t>2025-08-02</t>
        </is>
      </c>
      <c r="G122" t="n">
        <v>336</v>
      </c>
      <c r="H122" t="inlineStr">
        <is>
          <t>Y</t>
        </is>
      </c>
      <c r="I122">
        <f>HYPERLINK("https://admin.shopify.com/store/ge-beauty-cosmeticos/customers/9485808042304","abrir")</f>
        <v/>
      </c>
      <c r="J122">
        <f>HYPERLINK("https://www.gebeauty.com.br/products/primer-liso-intacto?ref=review","review")</f>
        <v/>
      </c>
      <c r="K122" t="inlineStr">
        <is>
          <t>SEND</t>
        </is>
      </c>
    </row>
    <row r="123">
      <c r="A123" t="inlineStr">
        <is>
          <t>Maria Beatriz</t>
        </is>
      </c>
      <c r="B123" t="inlineStr">
        <is>
          <t>+5511989643720</t>
        </is>
      </c>
      <c r="C123" t="inlineStr">
        <is>
          <t>Refill</t>
        </is>
      </c>
      <c r="D123" t="inlineStr">
        <is>
          <t>Primer Liso</t>
        </is>
      </c>
      <c r="E123" t="n">
        <v>1</v>
      </c>
      <c r="F123" t="inlineStr">
        <is>
          <t>2025-08-02</t>
        </is>
      </c>
      <c r="G123" t="n">
        <v>336</v>
      </c>
      <c r="H123" t="inlineStr">
        <is>
          <t>Y</t>
        </is>
      </c>
      <c r="I123">
        <f>HYPERLINK("https://admin.shopify.com/store/ge-beauty-cosmeticos/customers/8407420993856","abrir")</f>
        <v/>
      </c>
      <c r="J123">
        <f>HYPERLINK("https://www.gebeauty.com.br/products/primer-liso-intacto?ref=review","review")</f>
        <v/>
      </c>
      <c r="K123" t="inlineStr">
        <is>
          <t>SEND</t>
        </is>
      </c>
    </row>
    <row r="124">
      <c r="A124" t="inlineStr">
        <is>
          <t>Danielle</t>
        </is>
      </c>
      <c r="B124" t="inlineStr">
        <is>
          <t>+5511989398435</t>
        </is>
      </c>
      <c r="C124" t="inlineStr">
        <is>
          <t>Refill</t>
        </is>
      </c>
      <c r="D124" t="inlineStr">
        <is>
          <t>Primer Liso</t>
        </is>
      </c>
      <c r="E124" t="n">
        <v>1</v>
      </c>
      <c r="F124" t="inlineStr">
        <is>
          <t>2025-08-02</t>
        </is>
      </c>
      <c r="G124" t="n">
        <v>336</v>
      </c>
      <c r="H124" t="inlineStr">
        <is>
          <t>Y</t>
        </is>
      </c>
      <c r="I124">
        <f>HYPERLINK("https://admin.shopify.com/store/ge-beauty-cosmeticos/customers/9503722930496","abrir")</f>
        <v/>
      </c>
      <c r="J124">
        <f>HYPERLINK("https://www.gebeauty.com.br/products/primer-liso-intacto?ref=review","review")</f>
        <v/>
      </c>
      <c r="K124" t="inlineStr">
        <is>
          <t>SEND</t>
        </is>
      </c>
    </row>
    <row r="125">
      <c r="A125" t="inlineStr">
        <is>
          <t>Maria Eduarda</t>
        </is>
      </c>
      <c r="B125" t="inlineStr">
        <is>
          <t>+5562981388083</t>
        </is>
      </c>
      <c r="C125" t="inlineStr">
        <is>
          <t>Refill</t>
        </is>
      </c>
      <c r="D125" t="inlineStr">
        <is>
          <t>Primer Liso</t>
        </is>
      </c>
      <c r="E125" t="n">
        <v>1</v>
      </c>
      <c r="F125" t="inlineStr">
        <is>
          <t>2025-08-02</t>
        </is>
      </c>
      <c r="G125" t="n">
        <v>336</v>
      </c>
      <c r="H125" t="inlineStr">
        <is>
          <t>Y</t>
        </is>
      </c>
      <c r="I125">
        <f>HYPERLINK("https://admin.shopify.com/store/ge-beauty-cosmeticos/customers/9502314627392","abrir")</f>
        <v/>
      </c>
      <c r="J125">
        <f>HYPERLINK("https://www.gebeauty.com.br/products/primer-liso-intacto?ref=review","review")</f>
        <v/>
      </c>
      <c r="K125" t="inlineStr">
        <is>
          <t>SEND</t>
        </is>
      </c>
    </row>
    <row r="126">
      <c r="A126" t="inlineStr">
        <is>
          <t>Gabriella</t>
        </is>
      </c>
      <c r="B126" t="inlineStr">
        <is>
          <t>+5584988380790</t>
        </is>
      </c>
      <c r="C126" t="inlineStr">
        <is>
          <t>Refill</t>
        </is>
      </c>
      <c r="D126" t="inlineStr">
        <is>
          <t>Primer Liso</t>
        </is>
      </c>
      <c r="E126" t="n">
        <v>1</v>
      </c>
      <c r="F126" t="inlineStr">
        <is>
          <t>2025-08-02</t>
        </is>
      </c>
      <c r="G126" t="n">
        <v>336</v>
      </c>
      <c r="H126" t="inlineStr">
        <is>
          <t>Y</t>
        </is>
      </c>
      <c r="I126">
        <f>HYPERLINK("https://admin.shopify.com/store/ge-beauty-cosmeticos/customers/9503967183168","abrir")</f>
        <v/>
      </c>
      <c r="J126">
        <f>HYPERLINK("https://www.gebeauty.com.br/products/primer-liso-intacto?ref=review","review")</f>
        <v/>
      </c>
      <c r="K126" t="inlineStr">
        <is>
          <t>SEND</t>
        </is>
      </c>
    </row>
    <row r="127">
      <c r="A127" t="inlineStr">
        <is>
          <t>Solange</t>
        </is>
      </c>
      <c r="B127" t="inlineStr">
        <is>
          <t>+5511982935649</t>
        </is>
      </c>
      <c r="C127" t="inlineStr">
        <is>
          <t>Refill</t>
        </is>
      </c>
      <c r="D127" t="inlineStr">
        <is>
          <t>Primer Liso</t>
        </is>
      </c>
      <c r="E127" t="n">
        <v>1</v>
      </c>
      <c r="F127" t="inlineStr">
        <is>
          <t>2025-08-02</t>
        </is>
      </c>
      <c r="G127" t="n">
        <v>336</v>
      </c>
      <c r="H127" t="inlineStr">
        <is>
          <t>Y</t>
        </is>
      </c>
      <c r="I127">
        <f>HYPERLINK("https://admin.shopify.com/store/ge-beauty-cosmeticos/customers/9504040943936","abrir")</f>
        <v/>
      </c>
      <c r="J127">
        <f>HYPERLINK("https://www.gebeauty.com.br/products/primer-liso-intacto?ref=review","review")</f>
        <v/>
      </c>
      <c r="K127" t="inlineStr">
        <is>
          <t>HOLDOUT</t>
        </is>
      </c>
    </row>
    <row r="128">
      <c r="A128" t="inlineStr">
        <is>
          <t>Fabiane</t>
        </is>
      </c>
      <c r="B128" t="inlineStr">
        <is>
          <t>+5511983635643</t>
        </is>
      </c>
      <c r="C128" t="inlineStr">
        <is>
          <t>Refill</t>
        </is>
      </c>
      <c r="D128" t="inlineStr">
        <is>
          <t>Primer Liso</t>
        </is>
      </c>
      <c r="E128" t="n">
        <v>1</v>
      </c>
      <c r="F128" t="inlineStr">
        <is>
          <t>2025-08-02</t>
        </is>
      </c>
      <c r="G128" t="n">
        <v>336</v>
      </c>
      <c r="H128" t="inlineStr">
        <is>
          <t>Y</t>
        </is>
      </c>
      <c r="I128">
        <f>HYPERLINK("https://admin.shopify.com/store/ge-beauty-cosmeticos/customers/9504042385728","abrir")</f>
        <v/>
      </c>
      <c r="J128">
        <f>HYPERLINK("https://www.gebeauty.com.br/products/primer-liso-intacto?ref=review","review")</f>
        <v/>
      </c>
      <c r="K128" t="inlineStr">
        <is>
          <t>SEND</t>
        </is>
      </c>
    </row>
    <row r="129">
      <c r="A129" t="inlineStr">
        <is>
          <t>Leila</t>
        </is>
      </c>
      <c r="B129" t="inlineStr">
        <is>
          <t>+5581998054833</t>
        </is>
      </c>
      <c r="C129" t="inlineStr">
        <is>
          <t>Refill</t>
        </is>
      </c>
      <c r="D129" t="inlineStr">
        <is>
          <t>Primer Liso</t>
        </is>
      </c>
      <c r="E129" t="n">
        <v>1</v>
      </c>
      <c r="F129" t="inlineStr">
        <is>
          <t>2025-08-02</t>
        </is>
      </c>
      <c r="G129" t="n">
        <v>336</v>
      </c>
      <c r="H129" t="inlineStr">
        <is>
          <t>Y</t>
        </is>
      </c>
      <c r="I129">
        <f>HYPERLINK("https://admin.shopify.com/store/ge-beauty-cosmeticos/customers/9504183845184","abrir")</f>
        <v/>
      </c>
      <c r="J129">
        <f>HYPERLINK("https://www.gebeauty.com.br/products/primer-liso-intacto?ref=review","review")</f>
        <v/>
      </c>
      <c r="K129" t="inlineStr">
        <is>
          <t>SEND</t>
        </is>
      </c>
    </row>
    <row r="130">
      <c r="A130" t="inlineStr">
        <is>
          <t>Ana Carolina</t>
        </is>
      </c>
      <c r="B130" t="inlineStr">
        <is>
          <t>+5516997958989</t>
        </is>
      </c>
      <c r="C130" t="inlineStr">
        <is>
          <t>Refill</t>
        </is>
      </c>
      <c r="D130" t="inlineStr">
        <is>
          <t>Primer Liso</t>
        </is>
      </c>
      <c r="E130" t="n">
        <v>1</v>
      </c>
      <c r="F130" t="inlineStr">
        <is>
          <t>2025-08-02</t>
        </is>
      </c>
      <c r="G130" t="n">
        <v>336</v>
      </c>
      <c r="H130" t="inlineStr">
        <is>
          <t>Y</t>
        </is>
      </c>
      <c r="I130">
        <f>HYPERLINK("https://admin.shopify.com/store/ge-beauty-cosmeticos/customers/8498493718848","abrir")</f>
        <v/>
      </c>
      <c r="J130">
        <f>HYPERLINK("https://www.gebeauty.com.br/products/primer-liso-intacto?ref=review","review")</f>
        <v/>
      </c>
      <c r="K130" t="inlineStr">
        <is>
          <t>SEND</t>
        </is>
      </c>
    </row>
    <row r="131">
      <c r="A131" t="inlineStr">
        <is>
          <t>Isabella</t>
        </is>
      </c>
      <c r="B131" t="inlineStr">
        <is>
          <t>+5545999621394</t>
        </is>
      </c>
      <c r="C131" t="inlineStr">
        <is>
          <t>Refill</t>
        </is>
      </c>
      <c r="D131" t="inlineStr">
        <is>
          <t>Primer Liso</t>
        </is>
      </c>
      <c r="E131" t="n">
        <v>1</v>
      </c>
      <c r="F131" t="inlineStr">
        <is>
          <t>2025-08-03</t>
        </is>
      </c>
      <c r="G131" t="n">
        <v>335</v>
      </c>
      <c r="H131" t="inlineStr">
        <is>
          <t>Y</t>
        </is>
      </c>
      <c r="I131">
        <f>HYPERLINK("https://admin.shopify.com/store/ge-beauty-cosmeticos/customers/9505090830656","abrir")</f>
        <v/>
      </c>
      <c r="J131">
        <f>HYPERLINK("https://www.gebeauty.com.br/products/primer-liso-intacto?ref=review","review")</f>
        <v/>
      </c>
      <c r="K131" t="inlineStr">
        <is>
          <t>SEND</t>
        </is>
      </c>
    </row>
    <row r="132">
      <c r="A132" t="inlineStr">
        <is>
          <t>Maria</t>
        </is>
      </c>
      <c r="B132" t="inlineStr">
        <is>
          <t>+5581987660296</t>
        </is>
      </c>
      <c r="C132" t="inlineStr">
        <is>
          <t>Refill</t>
        </is>
      </c>
      <c r="D132" t="inlineStr">
        <is>
          <t>Primer Liso</t>
        </is>
      </c>
      <c r="E132" t="n">
        <v>1</v>
      </c>
      <c r="F132" t="inlineStr">
        <is>
          <t>2025-08-03</t>
        </is>
      </c>
      <c r="G132" t="n">
        <v>335</v>
      </c>
      <c r="H132" t="inlineStr">
        <is>
          <t>Y</t>
        </is>
      </c>
      <c r="I132">
        <f>HYPERLINK("https://admin.shopify.com/store/ge-beauty-cosmeticos/customers/9505297498432","abrir")</f>
        <v/>
      </c>
      <c r="J132">
        <f>HYPERLINK("https://www.gebeauty.com.br/products/primer-liso-intacto?ref=review","review")</f>
        <v/>
      </c>
      <c r="K132" t="inlineStr">
        <is>
          <t>SEND</t>
        </is>
      </c>
    </row>
    <row r="133">
      <c r="A133" t="inlineStr">
        <is>
          <t>Camila</t>
        </is>
      </c>
      <c r="B133" t="inlineStr">
        <is>
          <t>+5527992571334</t>
        </is>
      </c>
      <c r="C133" t="inlineStr">
        <is>
          <t>Refill</t>
        </is>
      </c>
      <c r="D133" t="inlineStr">
        <is>
          <t>Primer Liso</t>
        </is>
      </c>
      <c r="E133" t="n">
        <v>1</v>
      </c>
      <c r="F133" t="inlineStr">
        <is>
          <t>2025-08-03</t>
        </is>
      </c>
      <c r="G133" t="n">
        <v>335</v>
      </c>
      <c r="H133" t="inlineStr">
        <is>
          <t>Y</t>
        </is>
      </c>
      <c r="I133">
        <f>HYPERLINK("https://admin.shopify.com/store/ge-beauty-cosmeticos/customers/9485685588288","abrir")</f>
        <v/>
      </c>
      <c r="J133">
        <f>HYPERLINK("https://www.gebeauty.com.br/products/primer-liso-intacto?ref=review","review")</f>
        <v/>
      </c>
      <c r="K133" t="inlineStr">
        <is>
          <t>SEND</t>
        </is>
      </c>
    </row>
    <row r="134">
      <c r="A134" t="inlineStr">
        <is>
          <t>Ana</t>
        </is>
      </c>
      <c r="B134" t="inlineStr">
        <is>
          <t>+5511942151738</t>
        </is>
      </c>
      <c r="C134" t="inlineStr">
        <is>
          <t>Refill</t>
        </is>
      </c>
      <c r="D134" t="inlineStr">
        <is>
          <t>Primer Liso</t>
        </is>
      </c>
      <c r="E134" t="n">
        <v>1</v>
      </c>
      <c r="F134" t="inlineStr">
        <is>
          <t>2025-08-03</t>
        </is>
      </c>
      <c r="G134" t="n">
        <v>335</v>
      </c>
      <c r="H134" t="inlineStr">
        <is>
          <t>Y</t>
        </is>
      </c>
      <c r="I134">
        <f>HYPERLINK("https://admin.shopify.com/store/ge-beauty-cosmeticos/customers/7759753937216","abrir")</f>
        <v/>
      </c>
      <c r="J134">
        <f>HYPERLINK("https://www.gebeauty.com.br/products/primer-liso-intacto?ref=review","review")</f>
        <v/>
      </c>
      <c r="K134" t="inlineStr">
        <is>
          <t>SEND</t>
        </is>
      </c>
    </row>
    <row r="135">
      <c r="A135" t="inlineStr">
        <is>
          <t>Maria</t>
        </is>
      </c>
      <c r="B135" t="inlineStr">
        <is>
          <t>+5521984781203</t>
        </is>
      </c>
      <c r="C135" t="inlineStr">
        <is>
          <t>Refill</t>
        </is>
      </c>
      <c r="D135" t="inlineStr">
        <is>
          <t>Primer Liso</t>
        </is>
      </c>
      <c r="E135" t="n">
        <v>1</v>
      </c>
      <c r="F135" t="inlineStr">
        <is>
          <t>2025-08-03</t>
        </is>
      </c>
      <c r="G135" t="n">
        <v>335</v>
      </c>
      <c r="H135" t="inlineStr">
        <is>
          <t>Y</t>
        </is>
      </c>
      <c r="I135">
        <f>HYPERLINK("https://admin.shopify.com/store/ge-beauty-cosmeticos/customers/9506125447488","abrir")</f>
        <v/>
      </c>
      <c r="J135">
        <f>HYPERLINK("https://www.gebeauty.com.br/products/primer-liso-intacto?ref=review","review")</f>
        <v/>
      </c>
      <c r="K135" t="inlineStr">
        <is>
          <t>SEND</t>
        </is>
      </c>
    </row>
    <row r="136">
      <c r="A136" t="inlineStr">
        <is>
          <t>Viviane</t>
        </is>
      </c>
      <c r="B136" t="inlineStr">
        <is>
          <t>+5535998160901</t>
        </is>
      </c>
      <c r="C136" t="inlineStr">
        <is>
          <t>Refill</t>
        </is>
      </c>
      <c r="D136" t="inlineStr">
        <is>
          <t>Primer Liso</t>
        </is>
      </c>
      <c r="E136" t="n">
        <v>1</v>
      </c>
      <c r="F136" t="inlineStr">
        <is>
          <t>2025-08-03</t>
        </is>
      </c>
      <c r="G136" t="n">
        <v>335</v>
      </c>
      <c r="H136" t="inlineStr">
        <is>
          <t>Y</t>
        </is>
      </c>
      <c r="I136">
        <f>HYPERLINK("https://admin.shopify.com/store/ge-beauty-cosmeticos/customers/9506340569408","abrir")</f>
        <v/>
      </c>
      <c r="J136">
        <f>HYPERLINK("https://www.gebeauty.com.br/products/primer-liso-intacto?ref=review","review")</f>
        <v/>
      </c>
      <c r="K136" t="inlineStr">
        <is>
          <t>SEND</t>
        </is>
      </c>
    </row>
    <row r="137">
      <c r="A137" t="inlineStr">
        <is>
          <t>Vívian</t>
        </is>
      </c>
      <c r="B137" t="inlineStr">
        <is>
          <t>+5534999974565</t>
        </is>
      </c>
      <c r="C137" t="inlineStr">
        <is>
          <t>Refill</t>
        </is>
      </c>
      <c r="D137" t="inlineStr">
        <is>
          <t>Primer Liso</t>
        </is>
      </c>
      <c r="E137" t="n">
        <v>1</v>
      </c>
      <c r="F137" t="inlineStr">
        <is>
          <t>2025-08-03</t>
        </is>
      </c>
      <c r="G137" t="n">
        <v>335</v>
      </c>
      <c r="H137" t="inlineStr">
        <is>
          <t>Y</t>
        </is>
      </c>
      <c r="I137">
        <f>HYPERLINK("https://admin.shopify.com/store/ge-beauty-cosmeticos/customers/9506677293376","abrir")</f>
        <v/>
      </c>
      <c r="J137">
        <f>HYPERLINK("https://www.gebeauty.com.br/products/primer-liso-intacto?ref=review","review")</f>
        <v/>
      </c>
      <c r="K137" t="inlineStr">
        <is>
          <t>SEND</t>
        </is>
      </c>
    </row>
    <row r="138">
      <c r="A138" t="inlineStr">
        <is>
          <t>Jaqueline</t>
        </is>
      </c>
      <c r="B138" t="inlineStr">
        <is>
          <t>+5511969102675</t>
        </is>
      </c>
      <c r="C138" t="inlineStr">
        <is>
          <t>Refill</t>
        </is>
      </c>
      <c r="D138" t="inlineStr">
        <is>
          <t>Primer Liso</t>
        </is>
      </c>
      <c r="E138" t="n">
        <v>1</v>
      </c>
      <c r="F138" t="inlineStr">
        <is>
          <t>2025-08-04</t>
        </is>
      </c>
      <c r="G138" t="n">
        <v>334</v>
      </c>
      <c r="H138" t="inlineStr">
        <is>
          <t>Y</t>
        </is>
      </c>
      <c r="I138">
        <f>HYPERLINK("https://admin.shopify.com/store/ge-beauty-cosmeticos/customers/9506749088064","abrir")</f>
        <v/>
      </c>
      <c r="J138">
        <f>HYPERLINK("https://www.gebeauty.com.br/products/primer-liso-intacto?ref=review","review")</f>
        <v/>
      </c>
      <c r="K138" t="inlineStr">
        <is>
          <t>SEND</t>
        </is>
      </c>
    </row>
    <row r="139">
      <c r="A139" t="inlineStr">
        <is>
          <t>Maria Luiza</t>
        </is>
      </c>
      <c r="B139" t="inlineStr">
        <is>
          <t>+5517997921956</t>
        </is>
      </c>
      <c r="C139" t="inlineStr">
        <is>
          <t>Refill</t>
        </is>
      </c>
      <c r="D139" t="inlineStr">
        <is>
          <t>Primer Liso</t>
        </is>
      </c>
      <c r="E139" t="n">
        <v>1</v>
      </c>
      <c r="F139" t="inlineStr">
        <is>
          <t>2025-08-04</t>
        </is>
      </c>
      <c r="G139" t="n">
        <v>334</v>
      </c>
      <c r="H139" t="inlineStr">
        <is>
          <t>Y</t>
        </is>
      </c>
      <c r="I139">
        <f>HYPERLINK("https://admin.shopify.com/store/ge-beauty-cosmeticos/customers/9507612852544","abrir")</f>
        <v/>
      </c>
      <c r="J139">
        <f>HYPERLINK("https://www.gebeauty.com.br/products/primer-liso-intacto?ref=review","review")</f>
        <v/>
      </c>
      <c r="K139" t="inlineStr">
        <is>
          <t>SEND</t>
        </is>
      </c>
    </row>
    <row r="140">
      <c r="A140" t="inlineStr">
        <is>
          <t>Patrícia</t>
        </is>
      </c>
      <c r="B140" t="inlineStr">
        <is>
          <t>+5571981362646</t>
        </is>
      </c>
      <c r="C140" t="inlineStr">
        <is>
          <t>Refill</t>
        </is>
      </c>
      <c r="D140" t="inlineStr">
        <is>
          <t>Primer Liso</t>
        </is>
      </c>
      <c r="E140" t="n">
        <v>1</v>
      </c>
      <c r="F140" t="inlineStr">
        <is>
          <t>2025-08-04</t>
        </is>
      </c>
      <c r="G140" t="n">
        <v>334</v>
      </c>
      <c r="H140" t="inlineStr">
        <is>
          <t>Y</t>
        </is>
      </c>
      <c r="I140">
        <f>HYPERLINK("https://admin.shopify.com/store/ge-beauty-cosmeticos/customers/9485281886528","abrir")</f>
        <v/>
      </c>
      <c r="J140">
        <f>HYPERLINK("https://www.gebeauty.com.br/products/primer-liso-intacto?ref=review","review")</f>
        <v/>
      </c>
      <c r="K140" t="inlineStr">
        <is>
          <t>SEND</t>
        </is>
      </c>
    </row>
    <row r="141">
      <c r="A141" t="inlineStr">
        <is>
          <t>Daniele</t>
        </is>
      </c>
      <c r="B141" t="inlineStr">
        <is>
          <t>+5511947398280</t>
        </is>
      </c>
      <c r="C141" t="inlineStr">
        <is>
          <t>Refill</t>
        </is>
      </c>
      <c r="D141" t="inlineStr">
        <is>
          <t>Primer Liso</t>
        </is>
      </c>
      <c r="E141" t="n">
        <v>1</v>
      </c>
      <c r="F141" t="inlineStr">
        <is>
          <t>2025-08-04</t>
        </is>
      </c>
      <c r="G141" t="n">
        <v>334</v>
      </c>
      <c r="H141" t="inlineStr">
        <is>
          <t>Y</t>
        </is>
      </c>
      <c r="I141">
        <f>HYPERLINK("https://admin.shopify.com/store/ge-beauty-cosmeticos/customers/9507755950400","abrir")</f>
        <v/>
      </c>
      <c r="J141">
        <f>HYPERLINK("https://www.gebeauty.com.br/products/primer-liso-intacto?ref=review","review")</f>
        <v/>
      </c>
      <c r="K141" t="inlineStr">
        <is>
          <t>SEND</t>
        </is>
      </c>
    </row>
    <row r="142">
      <c r="A142" t="inlineStr">
        <is>
          <t>Lya</t>
        </is>
      </c>
      <c r="B142" t="inlineStr">
        <is>
          <t>+5548999689164</t>
        </is>
      </c>
      <c r="C142" t="inlineStr">
        <is>
          <t>Refill</t>
        </is>
      </c>
      <c r="D142" t="inlineStr">
        <is>
          <t>Primer Liso</t>
        </is>
      </c>
      <c r="E142" t="n">
        <v>1</v>
      </c>
      <c r="F142" t="inlineStr">
        <is>
          <t>2025-08-04</t>
        </is>
      </c>
      <c r="G142" t="n">
        <v>334</v>
      </c>
      <c r="H142" t="inlineStr">
        <is>
          <t>Y</t>
        </is>
      </c>
      <c r="I142">
        <f>HYPERLINK("https://admin.shopify.com/store/ge-beauty-cosmeticos/customers/9432454267200","abrir")</f>
        <v/>
      </c>
      <c r="J142">
        <f>HYPERLINK("https://www.gebeauty.com.br/products/primer-liso-intacto?ref=review","review")</f>
        <v/>
      </c>
      <c r="K142" t="inlineStr">
        <is>
          <t>SEND</t>
        </is>
      </c>
    </row>
    <row r="143">
      <c r="A143" t="inlineStr">
        <is>
          <t>Juliana</t>
        </is>
      </c>
      <c r="B143" t="inlineStr">
        <is>
          <t>+5585982365245</t>
        </is>
      </c>
      <c r="C143" t="inlineStr">
        <is>
          <t>Refill</t>
        </is>
      </c>
      <c r="D143" t="inlineStr">
        <is>
          <t>Primer Liso</t>
        </is>
      </c>
      <c r="E143" t="n">
        <v>1</v>
      </c>
      <c r="F143" t="inlineStr">
        <is>
          <t>2025-08-04</t>
        </is>
      </c>
      <c r="G143" t="n">
        <v>334</v>
      </c>
      <c r="H143" t="inlineStr">
        <is>
          <t>Y</t>
        </is>
      </c>
      <c r="I143">
        <f>HYPERLINK("https://admin.shopify.com/store/ge-beauty-cosmeticos/customers/9507884400960","abrir")</f>
        <v/>
      </c>
      <c r="J143">
        <f>HYPERLINK("https://www.gebeauty.com.br/products/primer-liso-intacto?ref=review","review")</f>
        <v/>
      </c>
      <c r="K143" t="inlineStr">
        <is>
          <t>SEND</t>
        </is>
      </c>
    </row>
    <row r="144">
      <c r="A144" t="inlineStr">
        <is>
          <t>Karine</t>
        </is>
      </c>
      <c r="B144" t="inlineStr">
        <is>
          <t>+5534999197981</t>
        </is>
      </c>
      <c r="C144" t="inlineStr">
        <is>
          <t>Refill</t>
        </is>
      </c>
      <c r="D144" t="inlineStr">
        <is>
          <t>Primer Liso</t>
        </is>
      </c>
      <c r="E144" t="n">
        <v>1</v>
      </c>
      <c r="F144" t="inlineStr">
        <is>
          <t>2025-08-04</t>
        </is>
      </c>
      <c r="G144" t="n">
        <v>334</v>
      </c>
      <c r="H144" t="inlineStr">
        <is>
          <t>Y</t>
        </is>
      </c>
      <c r="I144">
        <f>HYPERLINK("https://admin.shopify.com/store/ge-beauty-cosmeticos/customers/9501633904960","abrir")</f>
        <v/>
      </c>
      <c r="J144">
        <f>HYPERLINK("https://www.gebeauty.com.br/products/primer-liso-intacto?ref=review","review")</f>
        <v/>
      </c>
      <c r="K144" t="inlineStr">
        <is>
          <t>SEND</t>
        </is>
      </c>
    </row>
    <row r="145">
      <c r="A145" t="inlineStr">
        <is>
          <t>Pedro</t>
        </is>
      </c>
      <c r="B145" t="inlineStr">
        <is>
          <t>+5511983267174</t>
        </is>
      </c>
      <c r="C145" t="inlineStr">
        <is>
          <t>Refill</t>
        </is>
      </c>
      <c r="D145" t="inlineStr">
        <is>
          <t>Primer Liso</t>
        </is>
      </c>
      <c r="E145" t="n">
        <v>1</v>
      </c>
      <c r="F145" t="inlineStr">
        <is>
          <t>2025-08-04</t>
        </is>
      </c>
      <c r="G145" t="n">
        <v>334</v>
      </c>
      <c r="H145" t="inlineStr">
        <is>
          <t>Y</t>
        </is>
      </c>
      <c r="I145">
        <f>HYPERLINK("https://admin.shopify.com/store/ge-beauty-cosmeticos/customers/7760855630144","abrir")</f>
        <v/>
      </c>
      <c r="J145">
        <f>HYPERLINK("https://www.gebeauty.com.br/products/primer-liso-intacto?ref=review","review")</f>
        <v/>
      </c>
      <c r="K145" t="inlineStr">
        <is>
          <t>SEND</t>
        </is>
      </c>
    </row>
    <row r="146">
      <c r="A146" t="inlineStr">
        <is>
          <t>Sílvia</t>
        </is>
      </c>
      <c r="B146" t="inlineStr">
        <is>
          <t>+5571988427674</t>
        </is>
      </c>
      <c r="C146" t="inlineStr">
        <is>
          <t>Refill</t>
        </is>
      </c>
      <c r="D146" t="inlineStr">
        <is>
          <t>Primer Liso</t>
        </is>
      </c>
      <c r="E146" t="n">
        <v>1</v>
      </c>
      <c r="F146" t="inlineStr">
        <is>
          <t>2025-08-04</t>
        </is>
      </c>
      <c r="G146" t="n">
        <v>334</v>
      </c>
      <c r="H146" t="inlineStr">
        <is>
          <t>Y</t>
        </is>
      </c>
      <c r="I146">
        <f>HYPERLINK("https://admin.shopify.com/store/ge-beauty-cosmeticos/customers/9508100899136","abrir")</f>
        <v/>
      </c>
      <c r="J146">
        <f>HYPERLINK("https://www.gebeauty.com.br/products/primer-liso-intacto?ref=review","review")</f>
        <v/>
      </c>
      <c r="K146" t="inlineStr">
        <is>
          <t>SEND</t>
        </is>
      </c>
    </row>
    <row r="147">
      <c r="A147" t="inlineStr">
        <is>
          <t>Luciana</t>
        </is>
      </c>
      <c r="B147" t="inlineStr">
        <is>
          <t>+5511999539811</t>
        </is>
      </c>
      <c r="C147" t="inlineStr">
        <is>
          <t>Refill</t>
        </is>
      </c>
      <c r="D147" t="inlineStr">
        <is>
          <t>Primer Liso</t>
        </is>
      </c>
      <c r="E147" t="n">
        <v>1</v>
      </c>
      <c r="F147" t="inlineStr">
        <is>
          <t>2025-08-04</t>
        </is>
      </c>
      <c r="G147" t="n">
        <v>334</v>
      </c>
      <c r="H147" t="inlineStr">
        <is>
          <t>Y</t>
        </is>
      </c>
      <c r="I147">
        <f>HYPERLINK("https://admin.shopify.com/store/ge-beauty-cosmeticos/customers/9508617224512","abrir")</f>
        <v/>
      </c>
      <c r="J147">
        <f>HYPERLINK("https://www.gebeauty.com.br/products/primer-liso-intacto?ref=review","review")</f>
        <v/>
      </c>
      <c r="K147" t="inlineStr">
        <is>
          <t>SEND</t>
        </is>
      </c>
    </row>
    <row r="148">
      <c r="A148" t="inlineStr">
        <is>
          <t>Julia</t>
        </is>
      </c>
      <c r="B148" t="inlineStr">
        <is>
          <t>+5511985567183</t>
        </is>
      </c>
      <c r="C148" t="inlineStr">
        <is>
          <t>Refill</t>
        </is>
      </c>
      <c r="D148" t="inlineStr">
        <is>
          <t>Primer Liso</t>
        </is>
      </c>
      <c r="E148" t="n">
        <v>1</v>
      </c>
      <c r="F148" t="inlineStr">
        <is>
          <t>2025-08-05</t>
        </is>
      </c>
      <c r="G148" t="n">
        <v>333</v>
      </c>
      <c r="H148" t="inlineStr">
        <is>
          <t>Y</t>
        </is>
      </c>
      <c r="I148">
        <f>HYPERLINK("https://admin.shopify.com/store/ge-beauty-cosmeticos/customers/7761858527552","abrir")</f>
        <v/>
      </c>
      <c r="J148">
        <f>HYPERLINK("https://www.gebeauty.com.br/products/primer-liso-intacto?ref=review","review")</f>
        <v/>
      </c>
      <c r="K148" t="inlineStr">
        <is>
          <t>SEND</t>
        </is>
      </c>
    </row>
    <row r="149">
      <c r="A149" t="inlineStr">
        <is>
          <t>Marília</t>
        </is>
      </c>
      <c r="B149" t="inlineStr">
        <is>
          <t>+5581986767258</t>
        </is>
      </c>
      <c r="C149" t="inlineStr">
        <is>
          <t>Refill</t>
        </is>
      </c>
      <c r="D149" t="inlineStr">
        <is>
          <t>Primer Liso</t>
        </is>
      </c>
      <c r="E149" t="n">
        <v>1</v>
      </c>
      <c r="F149" t="inlineStr">
        <is>
          <t>2025-08-05</t>
        </is>
      </c>
      <c r="G149" t="n">
        <v>333</v>
      </c>
      <c r="H149" t="inlineStr">
        <is>
          <t>Y</t>
        </is>
      </c>
      <c r="I149">
        <f>HYPERLINK("https://admin.shopify.com/store/ge-beauty-cosmeticos/customers/9509754798400","abrir")</f>
        <v/>
      </c>
      <c r="J149">
        <f>HYPERLINK("https://www.gebeauty.com.br/products/primer-liso-intacto?ref=review","review")</f>
        <v/>
      </c>
      <c r="K149" t="inlineStr">
        <is>
          <t>SEND</t>
        </is>
      </c>
    </row>
    <row r="150">
      <c r="A150" t="inlineStr">
        <is>
          <t>Aquila</t>
        </is>
      </c>
      <c r="B150" t="inlineStr">
        <is>
          <t>+5563984412072</t>
        </is>
      </c>
      <c r="C150" t="inlineStr">
        <is>
          <t>Refill</t>
        </is>
      </c>
      <c r="D150" t="inlineStr">
        <is>
          <t>Primer Liso</t>
        </is>
      </c>
      <c r="E150" t="n">
        <v>1</v>
      </c>
      <c r="F150" t="inlineStr">
        <is>
          <t>2025-08-05</t>
        </is>
      </c>
      <c r="G150" t="n">
        <v>333</v>
      </c>
      <c r="H150" t="inlineStr">
        <is>
          <t>Y</t>
        </is>
      </c>
      <c r="I150">
        <f>HYPERLINK("https://admin.shopify.com/store/ge-beauty-cosmeticos/customers/9509910151488","abrir")</f>
        <v/>
      </c>
      <c r="J150">
        <f>HYPERLINK("https://www.gebeauty.com.br/products/primer-liso-intacto?ref=review","review")</f>
        <v/>
      </c>
      <c r="K150" t="inlineStr">
        <is>
          <t>SEND</t>
        </is>
      </c>
    </row>
    <row r="151">
      <c r="A151" t="inlineStr">
        <is>
          <t>Manuela</t>
        </is>
      </c>
      <c r="B151" t="inlineStr">
        <is>
          <t>+5581999490767</t>
        </is>
      </c>
      <c r="C151" t="inlineStr">
        <is>
          <t>Refill</t>
        </is>
      </c>
      <c r="D151" t="inlineStr">
        <is>
          <t>Primer Liso</t>
        </is>
      </c>
      <c r="E151" t="n">
        <v>1</v>
      </c>
      <c r="F151" t="inlineStr">
        <is>
          <t>2025-08-05</t>
        </is>
      </c>
      <c r="G151" t="n">
        <v>333</v>
      </c>
      <c r="H151" t="inlineStr">
        <is>
          <t>Y</t>
        </is>
      </c>
      <c r="I151">
        <f>HYPERLINK("https://admin.shopify.com/store/ge-beauty-cosmeticos/customers/9467260305728","abrir")</f>
        <v/>
      </c>
      <c r="J151">
        <f>HYPERLINK("https://www.gebeauty.com.br/products/primer-liso-intacto?ref=review","review")</f>
        <v/>
      </c>
      <c r="K151" t="inlineStr">
        <is>
          <t>SEND</t>
        </is>
      </c>
    </row>
    <row r="152">
      <c r="A152" t="inlineStr">
        <is>
          <t>Victoria</t>
        </is>
      </c>
      <c r="B152" t="inlineStr">
        <is>
          <t>+5521979226161</t>
        </is>
      </c>
      <c r="C152" t="inlineStr">
        <is>
          <t>Refill</t>
        </is>
      </c>
      <c r="D152" t="inlineStr">
        <is>
          <t>Primer Liso</t>
        </is>
      </c>
      <c r="E152" t="n">
        <v>1</v>
      </c>
      <c r="F152" t="inlineStr">
        <is>
          <t>2025-08-05</t>
        </is>
      </c>
      <c r="G152" t="n">
        <v>333</v>
      </c>
      <c r="H152" t="inlineStr">
        <is>
          <t>Y</t>
        </is>
      </c>
      <c r="I152">
        <f>HYPERLINK("https://admin.shopify.com/store/ge-beauty-cosmeticos/customers/9510013141312","abrir")</f>
        <v/>
      </c>
      <c r="J152">
        <f>HYPERLINK("https://www.gebeauty.com.br/products/primer-liso-intacto?ref=review","review")</f>
        <v/>
      </c>
      <c r="K152" t="inlineStr">
        <is>
          <t>SEND</t>
        </is>
      </c>
    </row>
    <row r="153">
      <c r="A153" t="inlineStr">
        <is>
          <t>Manoel</t>
        </is>
      </c>
      <c r="B153" t="inlineStr">
        <is>
          <t>+5575999506134</t>
        </is>
      </c>
      <c r="C153" t="inlineStr">
        <is>
          <t>Refill</t>
        </is>
      </c>
      <c r="D153" t="inlineStr">
        <is>
          <t>Primer Liso</t>
        </is>
      </c>
      <c r="E153" t="n">
        <v>1</v>
      </c>
      <c r="F153" t="inlineStr">
        <is>
          <t>2025-08-05</t>
        </is>
      </c>
      <c r="G153" t="n">
        <v>333</v>
      </c>
      <c r="H153" t="inlineStr">
        <is>
          <t>Y</t>
        </is>
      </c>
      <c r="I153">
        <f>HYPERLINK("https://admin.shopify.com/store/ge-beauty-cosmeticos/customers/9510118162752","abrir")</f>
        <v/>
      </c>
      <c r="J153">
        <f>HYPERLINK("https://www.gebeauty.com.br/products/primer-liso-intacto?ref=review","review")</f>
        <v/>
      </c>
      <c r="K153" t="inlineStr">
        <is>
          <t>SEND</t>
        </is>
      </c>
    </row>
    <row r="154">
      <c r="A154" t="inlineStr">
        <is>
          <t>Mariana</t>
        </is>
      </c>
      <c r="B154" t="inlineStr">
        <is>
          <t>+5511998971245</t>
        </is>
      </c>
      <c r="C154" t="inlineStr">
        <is>
          <t>Refill</t>
        </is>
      </c>
      <c r="D154" t="inlineStr">
        <is>
          <t>Primer Liso</t>
        </is>
      </c>
      <c r="E154" t="n">
        <v>1</v>
      </c>
      <c r="F154" t="inlineStr">
        <is>
          <t>2025-08-05</t>
        </is>
      </c>
      <c r="G154" t="n">
        <v>333</v>
      </c>
      <c r="H154" t="inlineStr">
        <is>
          <t>Y</t>
        </is>
      </c>
      <c r="I154">
        <f>HYPERLINK("https://admin.shopify.com/store/ge-beauty-cosmeticos/customers/9510066127168","abrir")</f>
        <v/>
      </c>
      <c r="J154">
        <f>HYPERLINK("https://www.gebeauty.com.br/products/primer-liso-intacto?ref=review","review")</f>
        <v/>
      </c>
      <c r="K154" t="inlineStr">
        <is>
          <t>SEND</t>
        </is>
      </c>
    </row>
    <row r="155">
      <c r="A155" t="inlineStr">
        <is>
          <t>Letícia</t>
        </is>
      </c>
      <c r="B155" t="inlineStr">
        <is>
          <t>+5535999732011</t>
        </is>
      </c>
      <c r="C155" t="inlineStr">
        <is>
          <t>Refill</t>
        </is>
      </c>
      <c r="D155" t="inlineStr">
        <is>
          <t>Primer Liso</t>
        </is>
      </c>
      <c r="E155" t="n">
        <v>1</v>
      </c>
      <c r="F155" t="inlineStr">
        <is>
          <t>2025-08-05</t>
        </is>
      </c>
      <c r="G155" t="n">
        <v>333</v>
      </c>
      <c r="H155" t="inlineStr">
        <is>
          <t>Y</t>
        </is>
      </c>
      <c r="I155">
        <f>HYPERLINK("https://admin.shopify.com/store/ge-beauty-cosmeticos/customers/9510439027008","abrir")</f>
        <v/>
      </c>
      <c r="J155">
        <f>HYPERLINK("https://www.gebeauty.com.br/products/primer-liso-intacto?ref=review","review")</f>
        <v/>
      </c>
      <c r="K155" t="inlineStr">
        <is>
          <t>SEND</t>
        </is>
      </c>
    </row>
    <row r="156">
      <c r="A156" t="inlineStr">
        <is>
          <t>Renata</t>
        </is>
      </c>
      <c r="B156" t="inlineStr">
        <is>
          <t>+5592981139246</t>
        </is>
      </c>
      <c r="C156" t="inlineStr">
        <is>
          <t>Refill</t>
        </is>
      </c>
      <c r="D156" t="inlineStr">
        <is>
          <t>Primer Liso</t>
        </is>
      </c>
      <c r="E156" t="n">
        <v>1</v>
      </c>
      <c r="F156" t="inlineStr">
        <is>
          <t>2025-08-05</t>
        </is>
      </c>
      <c r="G156" t="n">
        <v>333</v>
      </c>
      <c r="H156" t="inlineStr">
        <is>
          <t>Y</t>
        </is>
      </c>
      <c r="I156">
        <f>HYPERLINK("https://admin.shopify.com/store/ge-beauty-cosmeticos/customers/9510841909568","abrir")</f>
        <v/>
      </c>
      <c r="J156">
        <f>HYPERLINK("https://www.gebeauty.com.br/products/primer-liso-intacto?ref=review","review")</f>
        <v/>
      </c>
      <c r="K156" t="inlineStr">
        <is>
          <t>SEND</t>
        </is>
      </c>
    </row>
    <row r="157">
      <c r="A157" t="inlineStr">
        <is>
          <t>Luisa</t>
        </is>
      </c>
      <c r="B157" t="inlineStr">
        <is>
          <t>+5519991656152</t>
        </is>
      </c>
      <c r="C157" t="inlineStr">
        <is>
          <t>Refill</t>
        </is>
      </c>
      <c r="D157" t="inlineStr">
        <is>
          <t>Primer Liso</t>
        </is>
      </c>
      <c r="E157" t="n">
        <v>1</v>
      </c>
      <c r="F157" t="inlineStr">
        <is>
          <t>2025-08-06</t>
        </is>
      </c>
      <c r="G157" t="n">
        <v>332</v>
      </c>
      <c r="H157" t="inlineStr">
        <is>
          <t>Y</t>
        </is>
      </c>
      <c r="I157">
        <f>HYPERLINK("https://admin.shopify.com/store/ge-beauty-cosmeticos/customers/9511149306176","abrir")</f>
        <v/>
      </c>
      <c r="J157">
        <f>HYPERLINK("https://www.gebeauty.com.br/products/primer-liso-intacto?ref=review","review")</f>
        <v/>
      </c>
      <c r="K157" t="inlineStr">
        <is>
          <t>SEND</t>
        </is>
      </c>
    </row>
    <row r="158">
      <c r="A158" t="inlineStr">
        <is>
          <t>Bruna</t>
        </is>
      </c>
      <c r="B158" t="inlineStr">
        <is>
          <t>+5541999481541</t>
        </is>
      </c>
      <c r="C158" t="inlineStr">
        <is>
          <t>Refill</t>
        </is>
      </c>
      <c r="D158" t="inlineStr">
        <is>
          <t>Primer Liso</t>
        </is>
      </c>
      <c r="E158" t="n">
        <v>1</v>
      </c>
      <c r="F158" t="inlineStr">
        <is>
          <t>2025-08-06</t>
        </is>
      </c>
      <c r="G158" t="n">
        <v>332</v>
      </c>
      <c r="H158" t="inlineStr">
        <is>
          <t>Y</t>
        </is>
      </c>
      <c r="I158">
        <f>HYPERLINK("https://admin.shopify.com/store/ge-beauty-cosmeticos/customers/7761993859392","abrir")</f>
        <v/>
      </c>
      <c r="J158">
        <f>HYPERLINK("https://www.gebeauty.com.br/products/primer-liso-intacto?ref=review","review")</f>
        <v/>
      </c>
      <c r="K158" t="inlineStr">
        <is>
          <t>SEND</t>
        </is>
      </c>
    </row>
    <row r="159">
      <c r="A159" t="inlineStr">
        <is>
          <t>Jessica</t>
        </is>
      </c>
      <c r="B159" t="inlineStr">
        <is>
          <t>+5511971364575</t>
        </is>
      </c>
      <c r="C159" t="inlineStr">
        <is>
          <t>Refill</t>
        </is>
      </c>
      <c r="D159" t="inlineStr">
        <is>
          <t>Primer Liso</t>
        </is>
      </c>
      <c r="E159" t="n">
        <v>1</v>
      </c>
      <c r="F159" t="inlineStr">
        <is>
          <t>2025-09-17</t>
        </is>
      </c>
      <c r="G159" t="n">
        <v>290</v>
      </c>
      <c r="H159" t="inlineStr">
        <is>
          <t>Y</t>
        </is>
      </c>
      <c r="I159">
        <f>HYPERLINK("https://admin.shopify.com/store/ge-beauty-cosmeticos/customers/8780313788736","abrir")</f>
        <v/>
      </c>
      <c r="J159">
        <f>HYPERLINK("https://www.gebeauty.com.br/products/primer-liso-intacto?ref=review","review")</f>
        <v/>
      </c>
      <c r="K159" t="inlineStr">
        <is>
          <t>SEND</t>
        </is>
      </c>
    </row>
    <row r="160">
      <c r="A160" t="inlineStr">
        <is>
          <t>Adriana</t>
        </is>
      </c>
      <c r="B160" t="inlineStr">
        <is>
          <t>+5511996125400</t>
        </is>
      </c>
      <c r="C160" t="inlineStr">
        <is>
          <t>Refill</t>
        </is>
      </c>
      <c r="D160" t="inlineStr">
        <is>
          <t>Primer Liso</t>
        </is>
      </c>
      <c r="E160" t="n">
        <v>1</v>
      </c>
      <c r="F160" t="inlineStr">
        <is>
          <t>2025-08-06</t>
        </is>
      </c>
      <c r="G160" t="n">
        <v>332</v>
      </c>
      <c r="H160" t="inlineStr">
        <is>
          <t>Y</t>
        </is>
      </c>
      <c r="I160">
        <f>HYPERLINK("https://admin.shopify.com/store/ge-beauty-cosmeticos/customers/9041904140608","abrir")</f>
        <v/>
      </c>
      <c r="J160">
        <f>HYPERLINK("https://www.gebeauty.com.br/products/primer-liso-intacto?ref=review","review")</f>
        <v/>
      </c>
      <c r="K160" t="inlineStr">
        <is>
          <t>SEND</t>
        </is>
      </c>
    </row>
    <row r="161">
      <c r="A161" t="inlineStr">
        <is>
          <t>Flora</t>
        </is>
      </c>
      <c r="B161" t="inlineStr">
        <is>
          <t>+5585997868567</t>
        </is>
      </c>
      <c r="C161" t="inlineStr">
        <is>
          <t>Refill</t>
        </is>
      </c>
      <c r="D161" t="inlineStr">
        <is>
          <t>Primer Liso</t>
        </is>
      </c>
      <c r="E161" t="n">
        <v>1</v>
      </c>
      <c r="F161" t="inlineStr">
        <is>
          <t>2025-08-06</t>
        </is>
      </c>
      <c r="G161" t="n">
        <v>332</v>
      </c>
      <c r="H161" t="inlineStr">
        <is>
          <t>Y</t>
        </is>
      </c>
      <c r="I161">
        <f>HYPERLINK("https://admin.shopify.com/store/ge-beauty-cosmeticos/customers/9512020443456","abrir")</f>
        <v/>
      </c>
      <c r="J161">
        <f>HYPERLINK("https://www.gebeauty.com.br/products/primer-liso-intacto?ref=review","review")</f>
        <v/>
      </c>
      <c r="K161" t="inlineStr">
        <is>
          <t>SEND</t>
        </is>
      </c>
    </row>
    <row r="162">
      <c r="A162" t="inlineStr">
        <is>
          <t>Eliana</t>
        </is>
      </c>
      <c r="B162" t="inlineStr">
        <is>
          <t>+5519981110066</t>
        </is>
      </c>
      <c r="C162" t="inlineStr">
        <is>
          <t>Refill</t>
        </is>
      </c>
      <c r="D162" t="inlineStr">
        <is>
          <t>Primer Liso</t>
        </is>
      </c>
      <c r="E162" t="n">
        <v>1</v>
      </c>
      <c r="F162" t="inlineStr">
        <is>
          <t>2025-08-06</t>
        </is>
      </c>
      <c r="G162" t="n">
        <v>332</v>
      </c>
      <c r="H162" t="inlineStr">
        <is>
          <t>Y</t>
        </is>
      </c>
      <c r="I162">
        <f>HYPERLINK("https://admin.shopify.com/store/ge-beauty-cosmeticos/customers/9512043446592","abrir")</f>
        <v/>
      </c>
      <c r="J162">
        <f>HYPERLINK("https://www.gebeauty.com.br/products/primer-liso-intacto?ref=review","review")</f>
        <v/>
      </c>
      <c r="K162" t="inlineStr">
        <is>
          <t>SEND</t>
        </is>
      </c>
    </row>
    <row r="163">
      <c r="A163" t="inlineStr">
        <is>
          <t>Izabelle</t>
        </is>
      </c>
      <c r="B163" t="inlineStr">
        <is>
          <t>+5583999332643</t>
        </is>
      </c>
      <c r="C163" t="inlineStr">
        <is>
          <t>Refill</t>
        </is>
      </c>
      <c r="D163" t="inlineStr">
        <is>
          <t>Primer Liso</t>
        </is>
      </c>
      <c r="E163" t="n">
        <v>1</v>
      </c>
      <c r="F163" t="inlineStr">
        <is>
          <t>2025-08-06</t>
        </is>
      </c>
      <c r="G163" t="n">
        <v>332</v>
      </c>
      <c r="H163" t="inlineStr">
        <is>
          <t>Y</t>
        </is>
      </c>
      <c r="I163">
        <f>HYPERLINK("https://admin.shopify.com/store/ge-beauty-cosmeticos/customers/9512096301376","abrir")</f>
        <v/>
      </c>
      <c r="J163">
        <f>HYPERLINK("https://www.gebeauty.com.br/products/primer-liso-intacto?ref=review","review")</f>
        <v/>
      </c>
      <c r="K163" t="inlineStr">
        <is>
          <t>SEND</t>
        </is>
      </c>
    </row>
    <row r="164">
      <c r="A164" t="inlineStr">
        <is>
          <t>Flavia</t>
        </is>
      </c>
      <c r="B164" t="inlineStr">
        <is>
          <t>+5511981196035</t>
        </is>
      </c>
      <c r="C164" t="inlineStr">
        <is>
          <t>Refill</t>
        </is>
      </c>
      <c r="D164" t="inlineStr">
        <is>
          <t>Primer Liso</t>
        </is>
      </c>
      <c r="E164" t="n">
        <v>1</v>
      </c>
      <c r="F164" t="inlineStr">
        <is>
          <t>2025-08-06</t>
        </is>
      </c>
      <c r="G164" t="n">
        <v>332</v>
      </c>
      <c r="H164" t="inlineStr">
        <is>
          <t>Y</t>
        </is>
      </c>
      <c r="I164">
        <f>HYPERLINK("https://admin.shopify.com/store/ge-beauty-cosmeticos/customers/7759323103552","abrir")</f>
        <v/>
      </c>
      <c r="J164">
        <f>HYPERLINK("https://www.gebeauty.com.br/products/primer-liso-intacto?ref=review","review")</f>
        <v/>
      </c>
      <c r="K164" t="inlineStr">
        <is>
          <t>SEND</t>
        </is>
      </c>
    </row>
    <row r="165">
      <c r="A165" t="inlineStr">
        <is>
          <t>Angelica</t>
        </is>
      </c>
      <c r="B165" t="inlineStr">
        <is>
          <t>+5562996792377</t>
        </is>
      </c>
      <c r="C165" t="inlineStr">
        <is>
          <t>Refill</t>
        </is>
      </c>
      <c r="D165" t="inlineStr">
        <is>
          <t>Primer Liso</t>
        </is>
      </c>
      <c r="E165" t="n">
        <v>1</v>
      </c>
      <c r="F165" t="inlineStr">
        <is>
          <t>2025-08-06</t>
        </is>
      </c>
      <c r="G165" t="n">
        <v>332</v>
      </c>
      <c r="H165" t="inlineStr">
        <is>
          <t>Y</t>
        </is>
      </c>
      <c r="I165">
        <f>HYPERLINK("https://admin.shopify.com/store/ge-beauty-cosmeticos/customers/9512275542336","abrir")</f>
        <v/>
      </c>
      <c r="J165">
        <f>HYPERLINK("https://www.gebeauty.com.br/products/primer-liso-intacto?ref=review","review")</f>
        <v/>
      </c>
      <c r="K165" t="inlineStr">
        <is>
          <t>SEND</t>
        </is>
      </c>
    </row>
    <row r="166">
      <c r="A166" t="inlineStr">
        <is>
          <t>Gabriela</t>
        </is>
      </c>
      <c r="B166" t="inlineStr">
        <is>
          <t>+5545999022227</t>
        </is>
      </c>
      <c r="C166" t="inlineStr">
        <is>
          <t>Refill</t>
        </is>
      </c>
      <c r="D166" t="inlineStr">
        <is>
          <t>Primer Liso</t>
        </is>
      </c>
      <c r="E166" t="n">
        <v>1</v>
      </c>
      <c r="F166" t="inlineStr">
        <is>
          <t>2025-08-06</t>
        </is>
      </c>
      <c r="G166" t="n">
        <v>332</v>
      </c>
      <c r="H166" t="inlineStr">
        <is>
          <t>Y</t>
        </is>
      </c>
      <c r="I166">
        <f>HYPERLINK("https://admin.shopify.com/store/ge-beauty-cosmeticos/customers/9188225089856","abrir")</f>
        <v/>
      </c>
      <c r="J166">
        <f>HYPERLINK("https://www.gebeauty.com.br/products/primer-liso-intacto?ref=review","review")</f>
        <v/>
      </c>
      <c r="K166" t="inlineStr">
        <is>
          <t>SEND</t>
        </is>
      </c>
    </row>
    <row r="167">
      <c r="A167" t="inlineStr">
        <is>
          <t>Carmen</t>
        </is>
      </c>
      <c r="B167" t="inlineStr">
        <is>
          <t>+5592988060112</t>
        </is>
      </c>
      <c r="C167" t="inlineStr">
        <is>
          <t>Refill</t>
        </is>
      </c>
      <c r="D167" t="inlineStr">
        <is>
          <t>Primer Liso</t>
        </is>
      </c>
      <c r="E167" t="n">
        <v>1</v>
      </c>
      <c r="F167" t="inlineStr">
        <is>
          <t>2025-08-06</t>
        </is>
      </c>
      <c r="G167" t="n">
        <v>332</v>
      </c>
      <c r="H167" t="inlineStr">
        <is>
          <t>Y</t>
        </is>
      </c>
      <c r="I167">
        <f>HYPERLINK("https://admin.shopify.com/store/ge-beauty-cosmeticos/customers/9512422113600","abrir")</f>
        <v/>
      </c>
      <c r="J167">
        <f>HYPERLINK("https://www.gebeauty.com.br/products/primer-liso-intacto?ref=review","review")</f>
        <v/>
      </c>
      <c r="K167" t="inlineStr">
        <is>
          <t>HOLDOUT</t>
        </is>
      </c>
    </row>
    <row r="168">
      <c r="A168" t="inlineStr">
        <is>
          <t>Debora</t>
        </is>
      </c>
      <c r="B168" t="inlineStr">
        <is>
          <t>+5547999289661</t>
        </is>
      </c>
      <c r="C168" t="inlineStr">
        <is>
          <t>Refill</t>
        </is>
      </c>
      <c r="D168" t="inlineStr">
        <is>
          <t>Primer Liso</t>
        </is>
      </c>
      <c r="E168" t="n">
        <v>1</v>
      </c>
      <c r="F168" t="inlineStr">
        <is>
          <t>2025-08-06</t>
        </is>
      </c>
      <c r="G168" t="n">
        <v>332</v>
      </c>
      <c r="H168" t="inlineStr">
        <is>
          <t>Y</t>
        </is>
      </c>
      <c r="I168">
        <f>HYPERLINK("https://admin.shopify.com/store/ge-beauty-cosmeticos/customers/9512526643520","abrir")</f>
        <v/>
      </c>
      <c r="J168">
        <f>HYPERLINK("https://www.gebeauty.com.br/products/primer-liso-intacto?ref=review","review")</f>
        <v/>
      </c>
      <c r="K168" t="inlineStr">
        <is>
          <t>SEND</t>
        </is>
      </c>
    </row>
    <row r="169">
      <c r="A169" t="inlineStr">
        <is>
          <t>Marcella</t>
        </is>
      </c>
      <c r="B169" t="inlineStr">
        <is>
          <t>+5579999865644</t>
        </is>
      </c>
      <c r="C169" t="inlineStr">
        <is>
          <t>Refill</t>
        </is>
      </c>
      <c r="D169" t="inlineStr">
        <is>
          <t>Primer Liso</t>
        </is>
      </c>
      <c r="E169" t="n">
        <v>1</v>
      </c>
      <c r="F169" t="inlineStr">
        <is>
          <t>2025-08-06</t>
        </is>
      </c>
      <c r="G169" t="n">
        <v>332</v>
      </c>
      <c r="H169" t="inlineStr">
        <is>
          <t>Y</t>
        </is>
      </c>
      <c r="I169">
        <f>HYPERLINK("https://admin.shopify.com/store/ge-beauty-cosmeticos/customers/7760462381376","abrir")</f>
        <v/>
      </c>
      <c r="J169">
        <f>HYPERLINK("https://www.gebeauty.com.br/products/primer-liso-intacto?ref=review","review")</f>
        <v/>
      </c>
      <c r="K169" t="inlineStr">
        <is>
          <t>SEND</t>
        </is>
      </c>
    </row>
    <row r="170">
      <c r="A170" t="inlineStr">
        <is>
          <t>Fernanda</t>
        </is>
      </c>
      <c r="B170" t="inlineStr">
        <is>
          <t>+5511999596564</t>
        </is>
      </c>
      <c r="C170" t="inlineStr">
        <is>
          <t>Refill</t>
        </is>
      </c>
      <c r="D170" t="inlineStr">
        <is>
          <t>Primer Liso</t>
        </is>
      </c>
      <c r="E170" t="n">
        <v>1</v>
      </c>
      <c r="F170" t="inlineStr">
        <is>
          <t>2025-08-06</t>
        </is>
      </c>
      <c r="G170" t="n">
        <v>332</v>
      </c>
      <c r="H170" t="inlineStr">
        <is>
          <t>Y</t>
        </is>
      </c>
      <c r="I170">
        <f>HYPERLINK("https://admin.shopify.com/store/ge-beauty-cosmeticos/customers/7762356633920","abrir")</f>
        <v/>
      </c>
      <c r="J170">
        <f>HYPERLINK("https://www.gebeauty.com.br/products/primer-liso-intacto?ref=review","review")</f>
        <v/>
      </c>
      <c r="K170" t="inlineStr">
        <is>
          <t>SEND</t>
        </is>
      </c>
    </row>
    <row r="171">
      <c r="A171" t="inlineStr">
        <is>
          <t>Daniela</t>
        </is>
      </c>
      <c r="B171" t="inlineStr">
        <is>
          <t>+5521981339328</t>
        </is>
      </c>
      <c r="C171" t="inlineStr">
        <is>
          <t>Refill</t>
        </is>
      </c>
      <c r="D171" t="inlineStr">
        <is>
          <t>Primer Liso</t>
        </is>
      </c>
      <c r="E171" t="n">
        <v>1</v>
      </c>
      <c r="F171" t="inlineStr">
        <is>
          <t>2025-08-06</t>
        </is>
      </c>
      <c r="G171" t="n">
        <v>332</v>
      </c>
      <c r="H171" t="inlineStr">
        <is>
          <t>Y</t>
        </is>
      </c>
      <c r="I171">
        <f>HYPERLINK("https://admin.shopify.com/store/ge-beauty-cosmeticos/customers/8747303502144","abrir")</f>
        <v/>
      </c>
      <c r="J171">
        <f>HYPERLINK("https://www.gebeauty.com.br/products/primer-liso-intacto?ref=review","review")</f>
        <v/>
      </c>
      <c r="K171" t="inlineStr">
        <is>
          <t>SEND</t>
        </is>
      </c>
    </row>
    <row r="172">
      <c r="A172" t="inlineStr">
        <is>
          <t>Virginia</t>
        </is>
      </c>
      <c r="B172" t="inlineStr">
        <is>
          <t>+5531997117744</t>
        </is>
      </c>
      <c r="C172" t="inlineStr">
        <is>
          <t>Refill</t>
        </is>
      </c>
      <c r="D172" t="inlineStr">
        <is>
          <t>Primer Liso</t>
        </is>
      </c>
      <c r="E172" t="n">
        <v>1</v>
      </c>
      <c r="F172" t="inlineStr">
        <is>
          <t>2025-08-06</t>
        </is>
      </c>
      <c r="G172" t="n">
        <v>332</v>
      </c>
      <c r="H172" t="inlineStr">
        <is>
          <t>Y</t>
        </is>
      </c>
      <c r="I172">
        <f>HYPERLINK("https://admin.shopify.com/store/ge-beauty-cosmeticos/customers/9512956887360","abrir")</f>
        <v/>
      </c>
      <c r="J172">
        <f>HYPERLINK("https://www.gebeauty.com.br/products/primer-liso-intacto?ref=review","review")</f>
        <v/>
      </c>
      <c r="K172" t="inlineStr">
        <is>
          <t>SEND</t>
        </is>
      </c>
    </row>
    <row r="173">
      <c r="A173" t="inlineStr">
        <is>
          <t>Laura</t>
        </is>
      </c>
      <c r="B173" t="inlineStr">
        <is>
          <t>+5591991789882</t>
        </is>
      </c>
      <c r="C173" t="inlineStr">
        <is>
          <t>Refill</t>
        </is>
      </c>
      <c r="D173" t="inlineStr">
        <is>
          <t>Primer Liso</t>
        </is>
      </c>
      <c r="E173" t="n">
        <v>1</v>
      </c>
      <c r="F173" t="inlineStr">
        <is>
          <t>2025-08-07</t>
        </is>
      </c>
      <c r="G173" t="n">
        <v>331</v>
      </c>
      <c r="H173" t="inlineStr">
        <is>
          <t>Y</t>
        </is>
      </c>
      <c r="I173">
        <f>HYPERLINK("https://admin.shopify.com/store/ge-beauty-cosmeticos/customers/9513077866816","abrir")</f>
        <v/>
      </c>
      <c r="J173">
        <f>HYPERLINK("https://www.gebeauty.com.br/products/primer-liso-intacto?ref=review","review")</f>
        <v/>
      </c>
      <c r="K173" t="inlineStr">
        <is>
          <t>SEND</t>
        </is>
      </c>
    </row>
    <row r="174">
      <c r="A174" t="inlineStr">
        <is>
          <t>Carolina</t>
        </is>
      </c>
      <c r="B174" t="inlineStr">
        <is>
          <t>+5511976681677</t>
        </is>
      </c>
      <c r="C174" t="inlineStr">
        <is>
          <t>Refill</t>
        </is>
      </c>
      <c r="D174" t="inlineStr">
        <is>
          <t>Primer Liso</t>
        </is>
      </c>
      <c r="E174" t="n">
        <v>1</v>
      </c>
      <c r="F174" t="inlineStr">
        <is>
          <t>2025-08-07</t>
        </is>
      </c>
      <c r="G174" t="n">
        <v>331</v>
      </c>
      <c r="H174" t="inlineStr">
        <is>
          <t>Y</t>
        </is>
      </c>
      <c r="I174">
        <f>HYPERLINK("https://admin.shopify.com/store/ge-beauty-cosmeticos/customers/9440906740032","abrir")</f>
        <v/>
      </c>
      <c r="J174">
        <f>HYPERLINK("https://www.gebeauty.com.br/products/primer-liso-intacto?ref=review","review")</f>
        <v/>
      </c>
      <c r="K174" t="inlineStr">
        <is>
          <t>SEND</t>
        </is>
      </c>
    </row>
    <row r="175">
      <c r="A175" t="inlineStr">
        <is>
          <t>Luiza</t>
        </is>
      </c>
      <c r="B175" t="inlineStr">
        <is>
          <t>+5551996693933</t>
        </is>
      </c>
      <c r="C175" t="inlineStr">
        <is>
          <t>Refill</t>
        </is>
      </c>
      <c r="D175" t="inlineStr">
        <is>
          <t>Primer Liso</t>
        </is>
      </c>
      <c r="E175" t="n">
        <v>1</v>
      </c>
      <c r="F175" t="inlineStr">
        <is>
          <t>2025-08-07</t>
        </is>
      </c>
      <c r="G175" t="n">
        <v>331</v>
      </c>
      <c r="H175" t="inlineStr">
        <is>
          <t>Y</t>
        </is>
      </c>
      <c r="I175">
        <f>HYPERLINK("https://admin.shopify.com/store/ge-beauty-cosmeticos/customers/9484992020800","abrir")</f>
        <v/>
      </c>
      <c r="J175">
        <f>HYPERLINK("https://www.gebeauty.com.br/products/primer-liso-intacto?ref=review","review")</f>
        <v/>
      </c>
      <c r="K175" t="inlineStr">
        <is>
          <t>SEND</t>
        </is>
      </c>
    </row>
    <row r="176">
      <c r="A176" t="inlineStr">
        <is>
          <t>Natália</t>
        </is>
      </c>
      <c r="B176" t="inlineStr">
        <is>
          <t>+5585996060365</t>
        </is>
      </c>
      <c r="C176" t="inlineStr">
        <is>
          <t>Refill</t>
        </is>
      </c>
      <c r="D176" t="inlineStr">
        <is>
          <t>Primer Liso</t>
        </is>
      </c>
      <c r="E176" t="n">
        <v>1</v>
      </c>
      <c r="F176" t="inlineStr">
        <is>
          <t>2025-08-07</t>
        </is>
      </c>
      <c r="G176" t="n">
        <v>331</v>
      </c>
      <c r="H176" t="inlineStr">
        <is>
          <t>Y</t>
        </is>
      </c>
      <c r="I176">
        <f>HYPERLINK("https://admin.shopify.com/store/ge-beauty-cosmeticos/customers/9514392092992","abrir")</f>
        <v/>
      </c>
      <c r="J176">
        <f>HYPERLINK("https://www.gebeauty.com.br/products/primer-liso-intacto?ref=review","review")</f>
        <v/>
      </c>
      <c r="K176" t="inlineStr">
        <is>
          <t>SEND</t>
        </is>
      </c>
    </row>
    <row r="177">
      <c r="A177" t="inlineStr">
        <is>
          <t>Jaqueline</t>
        </is>
      </c>
      <c r="B177" t="inlineStr">
        <is>
          <t>+5548999640564</t>
        </is>
      </c>
      <c r="C177" t="inlineStr">
        <is>
          <t>Refill</t>
        </is>
      </c>
      <c r="D177" t="inlineStr">
        <is>
          <t>Primer Liso</t>
        </is>
      </c>
      <c r="E177" t="n">
        <v>1</v>
      </c>
      <c r="F177" t="inlineStr">
        <is>
          <t>2025-08-07</t>
        </is>
      </c>
      <c r="G177" t="n">
        <v>331</v>
      </c>
      <c r="H177" t="inlineStr">
        <is>
          <t>Y</t>
        </is>
      </c>
      <c r="I177">
        <f>HYPERLINK("https://admin.shopify.com/store/ge-beauty-cosmeticos/customers/9054725964096","abrir")</f>
        <v/>
      </c>
      <c r="J177">
        <f>HYPERLINK("https://www.gebeauty.com.br/products/primer-liso-intacto?ref=review","review")</f>
        <v/>
      </c>
      <c r="K177" t="inlineStr">
        <is>
          <t>HOLDOUT</t>
        </is>
      </c>
    </row>
    <row r="178">
      <c r="A178" t="inlineStr">
        <is>
          <t>Fernanda</t>
        </is>
      </c>
      <c r="B178" t="inlineStr">
        <is>
          <t>+5511992951562</t>
        </is>
      </c>
      <c r="C178" t="inlineStr">
        <is>
          <t>Refill</t>
        </is>
      </c>
      <c r="D178" t="inlineStr">
        <is>
          <t>Primer Liso</t>
        </is>
      </c>
      <c r="E178" t="n">
        <v>1</v>
      </c>
      <c r="F178" t="inlineStr">
        <is>
          <t>2025-08-07</t>
        </is>
      </c>
      <c r="G178" t="n">
        <v>331</v>
      </c>
      <c r="H178" t="inlineStr">
        <is>
          <t>Y</t>
        </is>
      </c>
      <c r="I178">
        <f>HYPERLINK("https://admin.shopify.com/store/ge-beauty-cosmeticos/customers/7760493019456","abrir")</f>
        <v/>
      </c>
      <c r="J178">
        <f>HYPERLINK("https://www.gebeauty.com.br/products/primer-liso-intacto?ref=review","review")</f>
        <v/>
      </c>
      <c r="K178" t="inlineStr">
        <is>
          <t>SEND</t>
        </is>
      </c>
    </row>
    <row r="179">
      <c r="A179" t="inlineStr">
        <is>
          <t>Rebeca</t>
        </is>
      </c>
      <c r="B179" t="inlineStr">
        <is>
          <t>+5511993535021</t>
        </is>
      </c>
      <c r="C179" t="inlineStr">
        <is>
          <t>Refill</t>
        </is>
      </c>
      <c r="D179" t="inlineStr">
        <is>
          <t>Primer Liso</t>
        </is>
      </c>
      <c r="E179" t="n">
        <v>1</v>
      </c>
      <c r="F179" t="inlineStr">
        <is>
          <t>2025-08-08</t>
        </is>
      </c>
      <c r="G179" t="n">
        <v>330</v>
      </c>
      <c r="H179" t="inlineStr">
        <is>
          <t>Y</t>
        </is>
      </c>
      <c r="I179">
        <f>HYPERLINK("https://admin.shopify.com/store/ge-beauty-cosmeticos/customers/9515338105152","abrir")</f>
        <v/>
      </c>
      <c r="J179">
        <f>HYPERLINK("https://www.gebeauty.com.br/products/primer-liso-intacto?ref=review","review")</f>
        <v/>
      </c>
      <c r="K179" t="inlineStr">
        <is>
          <t>SEND</t>
        </is>
      </c>
    </row>
    <row r="180">
      <c r="A180" t="inlineStr">
        <is>
          <t>Marina</t>
        </is>
      </c>
      <c r="B180" t="inlineStr">
        <is>
          <t>+5522998145528</t>
        </is>
      </c>
      <c r="C180" t="inlineStr">
        <is>
          <t>Refill</t>
        </is>
      </c>
      <c r="D180" t="inlineStr">
        <is>
          <t>Primer Liso</t>
        </is>
      </c>
      <c r="E180" t="n">
        <v>1</v>
      </c>
      <c r="F180" t="inlineStr">
        <is>
          <t>2025-08-08</t>
        </is>
      </c>
      <c r="G180" t="n">
        <v>330</v>
      </c>
      <c r="H180" t="inlineStr">
        <is>
          <t>Y</t>
        </is>
      </c>
      <c r="I180">
        <f>HYPERLINK("https://admin.shopify.com/store/ge-beauty-cosmeticos/customers/9515878875456","abrir")</f>
        <v/>
      </c>
      <c r="J180">
        <f>HYPERLINK("https://www.gebeauty.com.br/products/primer-liso-intacto?ref=review","review")</f>
        <v/>
      </c>
      <c r="K180" t="inlineStr">
        <is>
          <t>SEND</t>
        </is>
      </c>
    </row>
    <row r="181">
      <c r="A181" t="inlineStr">
        <is>
          <t>Maria</t>
        </is>
      </c>
      <c r="B181" t="inlineStr">
        <is>
          <t>+5537988334152</t>
        </is>
      </c>
      <c r="C181" t="inlineStr">
        <is>
          <t>Refill</t>
        </is>
      </c>
      <c r="D181" t="inlineStr">
        <is>
          <t>Primer Liso</t>
        </is>
      </c>
      <c r="E181" t="n">
        <v>1</v>
      </c>
      <c r="F181" t="inlineStr">
        <is>
          <t>2025-08-08</t>
        </is>
      </c>
      <c r="G181" t="n">
        <v>330</v>
      </c>
      <c r="H181" t="inlineStr">
        <is>
          <t>Y</t>
        </is>
      </c>
      <c r="I181">
        <f>HYPERLINK("https://admin.shopify.com/store/ge-beauty-cosmeticos/customers/9311311855936","abrir")</f>
        <v/>
      </c>
      <c r="J181">
        <f>HYPERLINK("https://www.gebeauty.com.br/products/primer-liso-intacto?ref=review","review")</f>
        <v/>
      </c>
      <c r="K181" t="inlineStr">
        <is>
          <t>SEND</t>
        </is>
      </c>
    </row>
    <row r="182">
      <c r="A182" t="inlineStr">
        <is>
          <t>Ana</t>
        </is>
      </c>
      <c r="B182" t="inlineStr">
        <is>
          <t>+5511975510201</t>
        </is>
      </c>
      <c r="C182" t="inlineStr">
        <is>
          <t>Refill</t>
        </is>
      </c>
      <c r="D182" t="inlineStr">
        <is>
          <t>Primer Liso</t>
        </is>
      </c>
      <c r="E182" t="n">
        <v>1</v>
      </c>
      <c r="F182" t="inlineStr">
        <is>
          <t>2025-08-08</t>
        </is>
      </c>
      <c r="G182" t="n">
        <v>330</v>
      </c>
      <c r="H182" t="inlineStr">
        <is>
          <t>Y</t>
        </is>
      </c>
      <c r="I182">
        <f>HYPERLINK("https://admin.shopify.com/store/ge-beauty-cosmeticos/customers/8350775607616","abrir")</f>
        <v/>
      </c>
      <c r="J182">
        <f>HYPERLINK("https://www.gebeauty.com.br/products/primer-liso-intacto?ref=review","review")</f>
        <v/>
      </c>
      <c r="K182" t="inlineStr">
        <is>
          <t>SEND</t>
        </is>
      </c>
    </row>
    <row r="183">
      <c r="A183" t="inlineStr">
        <is>
          <t>Suellen</t>
        </is>
      </c>
      <c r="B183" t="inlineStr">
        <is>
          <t>+5548991115375</t>
        </is>
      </c>
      <c r="C183" t="inlineStr">
        <is>
          <t>Refill</t>
        </is>
      </c>
      <c r="D183" t="inlineStr">
        <is>
          <t>Primer Liso</t>
        </is>
      </c>
      <c r="E183" t="n">
        <v>1</v>
      </c>
      <c r="F183" t="inlineStr">
        <is>
          <t>2025-08-08</t>
        </is>
      </c>
      <c r="G183" t="n">
        <v>330</v>
      </c>
      <c r="H183" t="inlineStr">
        <is>
          <t>Y</t>
        </is>
      </c>
      <c r="I183">
        <f>HYPERLINK("https://admin.shopify.com/store/ge-beauty-cosmeticos/customers/9516024136000","abrir")</f>
        <v/>
      </c>
      <c r="J183">
        <f>HYPERLINK("https://www.gebeauty.com.br/products/primer-liso-intacto?ref=review","review")</f>
        <v/>
      </c>
      <c r="K183" t="inlineStr">
        <is>
          <t>SEND</t>
        </is>
      </c>
    </row>
    <row r="184">
      <c r="A184" t="inlineStr">
        <is>
          <t>Juliana</t>
        </is>
      </c>
      <c r="B184" t="inlineStr">
        <is>
          <t>+5551981962787</t>
        </is>
      </c>
      <c r="C184" t="inlineStr">
        <is>
          <t>Refill</t>
        </is>
      </c>
      <c r="D184" t="inlineStr">
        <is>
          <t>Primer Liso</t>
        </is>
      </c>
      <c r="E184" t="n">
        <v>1</v>
      </c>
      <c r="F184" t="inlineStr">
        <is>
          <t>2025-08-08</t>
        </is>
      </c>
      <c r="G184" t="n">
        <v>330</v>
      </c>
      <c r="H184" t="inlineStr">
        <is>
          <t>Y</t>
        </is>
      </c>
      <c r="I184">
        <f>HYPERLINK("https://admin.shopify.com/store/ge-beauty-cosmeticos/customers/9516720456000","abrir")</f>
        <v/>
      </c>
      <c r="J184">
        <f>HYPERLINK("https://www.gebeauty.com.br/products/primer-liso-intacto?ref=review","review")</f>
        <v/>
      </c>
      <c r="K184" t="inlineStr">
        <is>
          <t>SEND</t>
        </is>
      </c>
    </row>
    <row r="185">
      <c r="A185" t="inlineStr">
        <is>
          <t>Carolina</t>
        </is>
      </c>
      <c r="B185" t="inlineStr">
        <is>
          <t>+5511985788768</t>
        </is>
      </c>
      <c r="C185" t="inlineStr">
        <is>
          <t>Refill</t>
        </is>
      </c>
      <c r="D185" t="inlineStr">
        <is>
          <t>Primer Liso</t>
        </is>
      </c>
      <c r="E185" t="n">
        <v>1</v>
      </c>
      <c r="F185" t="inlineStr">
        <is>
          <t>2025-08-08</t>
        </is>
      </c>
      <c r="G185" t="n">
        <v>330</v>
      </c>
      <c r="H185" t="inlineStr">
        <is>
          <t>Y</t>
        </is>
      </c>
      <c r="I185">
        <f>HYPERLINK("https://admin.shopify.com/store/ge-beauty-cosmeticos/customers/9486152237376","abrir")</f>
        <v/>
      </c>
      <c r="J185">
        <f>HYPERLINK("https://www.gebeauty.com.br/products/primer-liso-intacto?ref=review","review")</f>
        <v/>
      </c>
      <c r="K185" t="inlineStr">
        <is>
          <t>SEND</t>
        </is>
      </c>
    </row>
    <row r="186">
      <c r="A186" t="inlineStr">
        <is>
          <t>Julia</t>
        </is>
      </c>
      <c r="B186" t="inlineStr">
        <is>
          <t>+5551992602260</t>
        </is>
      </c>
      <c r="C186" t="inlineStr">
        <is>
          <t>Refill</t>
        </is>
      </c>
      <c r="D186" t="inlineStr">
        <is>
          <t>Primer Liso</t>
        </is>
      </c>
      <c r="E186" t="n">
        <v>1</v>
      </c>
      <c r="F186" t="inlineStr">
        <is>
          <t>2025-08-09</t>
        </is>
      </c>
      <c r="G186" t="n">
        <v>329</v>
      </c>
      <c r="H186" t="inlineStr">
        <is>
          <t>Y</t>
        </is>
      </c>
      <c r="I186">
        <f>HYPERLINK("https://admin.shopify.com/store/ge-beauty-cosmeticos/customers/9519574581568","abrir")</f>
        <v/>
      </c>
      <c r="J186">
        <f>HYPERLINK("https://www.gebeauty.com.br/products/primer-liso-intacto?ref=review","review")</f>
        <v/>
      </c>
      <c r="K186" t="inlineStr">
        <is>
          <t>HOLDOUT</t>
        </is>
      </c>
    </row>
    <row r="187">
      <c r="A187" t="inlineStr">
        <is>
          <t>Eugênia</t>
        </is>
      </c>
      <c r="B187" t="inlineStr">
        <is>
          <t>+5516997616757</t>
        </is>
      </c>
      <c r="C187" t="inlineStr">
        <is>
          <t>Refill</t>
        </is>
      </c>
      <c r="D187" t="inlineStr">
        <is>
          <t>Primer Liso</t>
        </is>
      </c>
      <c r="E187" t="n">
        <v>1</v>
      </c>
      <c r="F187" t="inlineStr">
        <is>
          <t>2025-08-09</t>
        </is>
      </c>
      <c r="G187" t="n">
        <v>329</v>
      </c>
      <c r="H187" t="inlineStr">
        <is>
          <t>Y</t>
        </is>
      </c>
      <c r="I187">
        <f>HYPERLINK("https://admin.shopify.com/store/ge-beauty-cosmeticos/customers/9520058990912","abrir")</f>
        <v/>
      </c>
      <c r="J187">
        <f>HYPERLINK("https://www.gebeauty.com.br/products/primer-liso-intacto?ref=review","review")</f>
        <v/>
      </c>
      <c r="K187" t="inlineStr">
        <is>
          <t>SEND</t>
        </is>
      </c>
    </row>
    <row r="188">
      <c r="A188" t="inlineStr">
        <is>
          <t>Cecília</t>
        </is>
      </c>
      <c r="B188" t="inlineStr">
        <is>
          <t>+5512996099125</t>
        </is>
      </c>
      <c r="C188" t="inlineStr">
        <is>
          <t>Refill</t>
        </is>
      </c>
      <c r="D188" t="inlineStr">
        <is>
          <t>Primer Liso</t>
        </is>
      </c>
      <c r="E188" t="n">
        <v>1</v>
      </c>
      <c r="F188" t="inlineStr">
        <is>
          <t>2025-08-09</t>
        </is>
      </c>
      <c r="G188" t="n">
        <v>329</v>
      </c>
      <c r="H188" t="inlineStr">
        <is>
          <t>Y</t>
        </is>
      </c>
      <c r="I188">
        <f>HYPERLINK("https://admin.shopify.com/store/ge-beauty-cosmeticos/customers/9520098246976","abrir")</f>
        <v/>
      </c>
      <c r="J188">
        <f>HYPERLINK("https://www.gebeauty.com.br/products/primer-liso-intacto?ref=review","review")</f>
        <v/>
      </c>
      <c r="K188" t="inlineStr">
        <is>
          <t>SEND</t>
        </is>
      </c>
    </row>
    <row r="189">
      <c r="A189" t="inlineStr">
        <is>
          <t>Mariana</t>
        </is>
      </c>
      <c r="B189" t="inlineStr">
        <is>
          <t>+5583988281985</t>
        </is>
      </c>
      <c r="C189" t="inlineStr">
        <is>
          <t>Refill</t>
        </is>
      </c>
      <c r="D189" t="inlineStr">
        <is>
          <t>Primer Liso</t>
        </is>
      </c>
      <c r="E189" t="n">
        <v>1</v>
      </c>
      <c r="F189" t="inlineStr">
        <is>
          <t>2025-08-09</t>
        </is>
      </c>
      <c r="G189" t="n">
        <v>329</v>
      </c>
      <c r="H189" t="inlineStr">
        <is>
          <t>Y</t>
        </is>
      </c>
      <c r="I189">
        <f>HYPERLINK("https://admin.shopify.com/store/ge-beauty-cosmeticos/customers/9520183181632","abrir")</f>
        <v/>
      </c>
      <c r="J189">
        <f>HYPERLINK("https://www.gebeauty.com.br/products/primer-liso-intacto?ref=review","review")</f>
        <v/>
      </c>
      <c r="K189" t="inlineStr">
        <is>
          <t>SEND</t>
        </is>
      </c>
    </row>
    <row r="190">
      <c r="A190" t="inlineStr">
        <is>
          <t>Cariza</t>
        </is>
      </c>
      <c r="B190" t="inlineStr">
        <is>
          <t>+5585987539767</t>
        </is>
      </c>
      <c r="C190" t="inlineStr">
        <is>
          <t>Refill</t>
        </is>
      </c>
      <c r="D190" t="inlineStr">
        <is>
          <t>Primer Liso</t>
        </is>
      </c>
      <c r="E190" t="n">
        <v>1</v>
      </c>
      <c r="F190" t="inlineStr">
        <is>
          <t>2025-08-09</t>
        </is>
      </c>
      <c r="G190" t="n">
        <v>329</v>
      </c>
      <c r="H190" t="inlineStr">
        <is>
          <t>Y</t>
        </is>
      </c>
      <c r="I190">
        <f>HYPERLINK("https://admin.shopify.com/store/ge-beauty-cosmeticos/customers/9520179478848","abrir")</f>
        <v/>
      </c>
      <c r="J190">
        <f>HYPERLINK("https://www.gebeauty.com.br/products/primer-liso-intacto?ref=review","review")</f>
        <v/>
      </c>
      <c r="K190" t="inlineStr">
        <is>
          <t>SEND</t>
        </is>
      </c>
    </row>
    <row r="191">
      <c r="A191" t="inlineStr">
        <is>
          <t>Nancy</t>
        </is>
      </c>
      <c r="B191" t="inlineStr">
        <is>
          <t>+5511941631118</t>
        </is>
      </c>
      <c r="C191" t="inlineStr">
        <is>
          <t>Refill</t>
        </is>
      </c>
      <c r="D191" t="inlineStr">
        <is>
          <t>Primer Liso</t>
        </is>
      </c>
      <c r="E191" t="n">
        <v>1</v>
      </c>
      <c r="F191" t="inlineStr">
        <is>
          <t>2025-08-09</t>
        </is>
      </c>
      <c r="G191" t="n">
        <v>329</v>
      </c>
      <c r="H191" t="inlineStr">
        <is>
          <t>Y</t>
        </is>
      </c>
      <c r="I191">
        <f>HYPERLINK("https://admin.shopify.com/store/ge-beauty-cosmeticos/customers/9520262447424","abrir")</f>
        <v/>
      </c>
      <c r="J191">
        <f>HYPERLINK("https://www.gebeauty.com.br/products/primer-liso-intacto?ref=review","review")</f>
        <v/>
      </c>
      <c r="K191" t="inlineStr">
        <is>
          <t>SEND</t>
        </is>
      </c>
    </row>
    <row r="192">
      <c r="A192" t="inlineStr">
        <is>
          <t>Natalia</t>
        </is>
      </c>
      <c r="B192" t="inlineStr">
        <is>
          <t>+5581995201858</t>
        </is>
      </c>
      <c r="C192" t="inlineStr">
        <is>
          <t>Refill</t>
        </is>
      </c>
      <c r="D192" t="inlineStr">
        <is>
          <t>Primer Liso</t>
        </is>
      </c>
      <c r="E192" t="n">
        <v>1</v>
      </c>
      <c r="F192" t="inlineStr">
        <is>
          <t>2025-08-09</t>
        </is>
      </c>
      <c r="G192" t="n">
        <v>329</v>
      </c>
      <c r="H192" t="inlineStr">
        <is>
          <t>Y</t>
        </is>
      </c>
      <c r="I192">
        <f>HYPERLINK("https://admin.shopify.com/store/ge-beauty-cosmeticos/customers/9520656515392","abrir")</f>
        <v/>
      </c>
      <c r="J192">
        <f>HYPERLINK("https://www.gebeauty.com.br/products/primer-liso-intacto?ref=review","review")</f>
        <v/>
      </c>
      <c r="K192" t="inlineStr">
        <is>
          <t>SEND</t>
        </is>
      </c>
    </row>
    <row r="193">
      <c r="A193" t="inlineStr">
        <is>
          <t>Giovana</t>
        </is>
      </c>
      <c r="B193" t="inlineStr">
        <is>
          <t>+5511952079027</t>
        </is>
      </c>
      <c r="C193" t="inlineStr">
        <is>
          <t>Refill</t>
        </is>
      </c>
      <c r="D193" t="inlineStr">
        <is>
          <t>Primer Liso</t>
        </is>
      </c>
      <c r="E193" t="n">
        <v>1</v>
      </c>
      <c r="F193" t="inlineStr">
        <is>
          <t>2025-08-09</t>
        </is>
      </c>
      <c r="G193" t="n">
        <v>329</v>
      </c>
      <c r="H193" t="inlineStr">
        <is>
          <t>Y</t>
        </is>
      </c>
      <c r="I193">
        <f>HYPERLINK("https://admin.shopify.com/store/ge-beauty-cosmeticos/customers/9520692035904","abrir")</f>
        <v/>
      </c>
      <c r="J193">
        <f>HYPERLINK("https://www.gebeauty.com.br/products/primer-liso-intacto?ref=review","review")</f>
        <v/>
      </c>
      <c r="K193" t="inlineStr">
        <is>
          <t>SEND</t>
        </is>
      </c>
    </row>
    <row r="194">
      <c r="A194" t="inlineStr">
        <is>
          <t>Lúcia</t>
        </is>
      </c>
      <c r="B194" t="inlineStr">
        <is>
          <t>+5581987132992</t>
        </is>
      </c>
      <c r="C194" t="inlineStr">
        <is>
          <t>Refill</t>
        </is>
      </c>
      <c r="D194" t="inlineStr">
        <is>
          <t>Primer Liso</t>
        </is>
      </c>
      <c r="E194" t="n">
        <v>1</v>
      </c>
      <c r="F194" t="inlineStr">
        <is>
          <t>2025-08-09</t>
        </is>
      </c>
      <c r="G194" t="n">
        <v>329</v>
      </c>
      <c r="H194" t="inlineStr">
        <is>
          <t>Y</t>
        </is>
      </c>
      <c r="I194">
        <f>HYPERLINK("https://admin.shopify.com/store/ge-beauty-cosmeticos/customers/9520790634816","abrir")</f>
        <v/>
      </c>
      <c r="J194">
        <f>HYPERLINK("https://www.gebeauty.com.br/products/primer-liso-intacto?ref=review","review")</f>
        <v/>
      </c>
      <c r="K194" t="inlineStr">
        <is>
          <t>SEND</t>
        </is>
      </c>
    </row>
    <row r="195">
      <c r="A195" t="inlineStr">
        <is>
          <t>Ana</t>
        </is>
      </c>
      <c r="B195" t="inlineStr">
        <is>
          <t>+5531981196320</t>
        </is>
      </c>
      <c r="C195" t="inlineStr">
        <is>
          <t>Refill</t>
        </is>
      </c>
      <c r="D195" t="inlineStr">
        <is>
          <t>Primer Liso</t>
        </is>
      </c>
      <c r="E195" t="n">
        <v>1</v>
      </c>
      <c r="F195" t="inlineStr">
        <is>
          <t>2025-08-09</t>
        </is>
      </c>
      <c r="G195" t="n">
        <v>329</v>
      </c>
      <c r="H195" t="inlineStr">
        <is>
          <t>Y</t>
        </is>
      </c>
      <c r="I195">
        <f>HYPERLINK("https://admin.shopify.com/store/ge-beauty-cosmeticos/customers/9486249820480","abrir")</f>
        <v/>
      </c>
      <c r="J195">
        <f>HYPERLINK("https://www.gebeauty.com.br/products/primer-liso-intacto?ref=review","review")</f>
        <v/>
      </c>
      <c r="K195" t="inlineStr">
        <is>
          <t>SEND</t>
        </is>
      </c>
    </row>
    <row r="196">
      <c r="A196" t="inlineStr">
        <is>
          <t>Fernanda</t>
        </is>
      </c>
      <c r="B196" t="inlineStr">
        <is>
          <t>+5519981875280</t>
        </is>
      </c>
      <c r="C196" t="inlineStr">
        <is>
          <t>Refill</t>
        </is>
      </c>
      <c r="D196" t="inlineStr">
        <is>
          <t>Primer Liso</t>
        </is>
      </c>
      <c r="E196" t="n">
        <v>1</v>
      </c>
      <c r="F196" t="inlineStr">
        <is>
          <t>2025-08-10</t>
        </is>
      </c>
      <c r="G196" t="n">
        <v>328</v>
      </c>
      <c r="H196" t="inlineStr">
        <is>
          <t>Y</t>
        </is>
      </c>
      <c r="I196">
        <f>HYPERLINK("https://admin.shopify.com/store/ge-beauty-cosmeticos/customers/9521852711232","abrir")</f>
        <v/>
      </c>
      <c r="J196">
        <f>HYPERLINK("https://www.gebeauty.com.br/products/primer-liso-intacto?ref=review","review")</f>
        <v/>
      </c>
      <c r="K196" t="inlineStr">
        <is>
          <t>SEND</t>
        </is>
      </c>
    </row>
    <row r="197">
      <c r="A197" t="inlineStr">
        <is>
          <t>Millena</t>
        </is>
      </c>
      <c r="B197" t="inlineStr">
        <is>
          <t>+5511944815718</t>
        </is>
      </c>
      <c r="C197" t="inlineStr">
        <is>
          <t>Refill</t>
        </is>
      </c>
      <c r="D197" t="inlineStr">
        <is>
          <t>Primer Liso</t>
        </is>
      </c>
      <c r="E197" t="n">
        <v>1</v>
      </c>
      <c r="F197" t="inlineStr">
        <is>
          <t>2025-08-10</t>
        </is>
      </c>
      <c r="G197" t="n">
        <v>328</v>
      </c>
      <c r="H197" t="inlineStr">
        <is>
          <t>Y</t>
        </is>
      </c>
      <c r="I197">
        <f>HYPERLINK("https://admin.shopify.com/store/ge-beauty-cosmeticos/customers/8786405720384","abrir")</f>
        <v/>
      </c>
      <c r="J197">
        <f>HYPERLINK("https://www.gebeauty.com.br/products/primer-liso-intacto?ref=review","review")</f>
        <v/>
      </c>
      <c r="K197" t="inlineStr">
        <is>
          <t>HOLDOUT</t>
        </is>
      </c>
    </row>
    <row r="198">
      <c r="A198" t="inlineStr">
        <is>
          <t>Andreia</t>
        </is>
      </c>
      <c r="B198" t="inlineStr">
        <is>
          <t>+5548999517116</t>
        </is>
      </c>
      <c r="C198" t="inlineStr">
        <is>
          <t>Refill</t>
        </is>
      </c>
      <c r="D198" t="inlineStr">
        <is>
          <t>Primer Liso</t>
        </is>
      </c>
      <c r="E198" t="n">
        <v>1</v>
      </c>
      <c r="F198" t="inlineStr">
        <is>
          <t>2025-08-10</t>
        </is>
      </c>
      <c r="G198" t="n">
        <v>328</v>
      </c>
      <c r="H198" t="inlineStr">
        <is>
          <t>Y</t>
        </is>
      </c>
      <c r="I198">
        <f>HYPERLINK("https://admin.shopify.com/store/ge-beauty-cosmeticos/customers/9484795183424","abrir")</f>
        <v/>
      </c>
      <c r="J198">
        <f>HYPERLINK("https://www.gebeauty.com.br/products/primer-liso-intacto?ref=review","review")</f>
        <v/>
      </c>
      <c r="K198" t="inlineStr">
        <is>
          <t>HOLDOUT</t>
        </is>
      </c>
    </row>
    <row r="199">
      <c r="A199" t="inlineStr">
        <is>
          <t>Renata</t>
        </is>
      </c>
      <c r="B199" t="inlineStr">
        <is>
          <t>+5581991327337</t>
        </is>
      </c>
      <c r="C199" t="inlineStr">
        <is>
          <t>Refill</t>
        </is>
      </c>
      <c r="D199" t="inlineStr">
        <is>
          <t>Primer Liso</t>
        </is>
      </c>
      <c r="E199" t="n">
        <v>1</v>
      </c>
      <c r="F199" t="inlineStr">
        <is>
          <t>2025-08-10</t>
        </is>
      </c>
      <c r="G199" t="n">
        <v>328</v>
      </c>
      <c r="H199" t="inlineStr">
        <is>
          <t>Y</t>
        </is>
      </c>
      <c r="I199">
        <f>HYPERLINK("https://admin.shopify.com/store/ge-beauty-cosmeticos/customers/9522108891456","abrir")</f>
        <v/>
      </c>
      <c r="J199">
        <f>HYPERLINK("https://www.gebeauty.com.br/products/primer-liso-intacto?ref=review","review")</f>
        <v/>
      </c>
      <c r="K199" t="inlineStr">
        <is>
          <t>HOLDOUT</t>
        </is>
      </c>
    </row>
    <row r="200">
      <c r="A200" t="inlineStr">
        <is>
          <t>Rayanne</t>
        </is>
      </c>
      <c r="B200" t="inlineStr">
        <is>
          <t>+5524992735600</t>
        </is>
      </c>
      <c r="C200" t="inlineStr">
        <is>
          <t>Refill</t>
        </is>
      </c>
      <c r="D200" t="inlineStr">
        <is>
          <t>Primer Liso</t>
        </is>
      </c>
      <c r="E200" t="n">
        <v>1</v>
      </c>
      <c r="F200" t="inlineStr">
        <is>
          <t>2025-08-10</t>
        </is>
      </c>
      <c r="G200" t="n">
        <v>328</v>
      </c>
      <c r="H200" t="inlineStr">
        <is>
          <t>Y</t>
        </is>
      </c>
      <c r="I200">
        <f>HYPERLINK("https://admin.shopify.com/store/ge-beauty-cosmeticos/customers/8678640845120","abrir")</f>
        <v/>
      </c>
      <c r="J200">
        <f>HYPERLINK("https://www.gebeauty.com.br/products/primer-liso-intacto?ref=review","review")</f>
        <v/>
      </c>
      <c r="K200" t="inlineStr">
        <is>
          <t>HOLDOUT</t>
        </is>
      </c>
    </row>
    <row r="201">
      <c r="A201" t="inlineStr">
        <is>
          <t>Aluska</t>
        </is>
      </c>
      <c r="B201" t="inlineStr">
        <is>
          <t>+5584996202410</t>
        </is>
      </c>
      <c r="C201" t="inlineStr">
        <is>
          <t>Refill</t>
        </is>
      </c>
      <c r="D201" t="inlineStr">
        <is>
          <t>Primer Liso</t>
        </is>
      </c>
      <c r="E201" t="n">
        <v>1</v>
      </c>
      <c r="F201" t="inlineStr">
        <is>
          <t>2025-08-10</t>
        </is>
      </c>
      <c r="G201" t="n">
        <v>328</v>
      </c>
      <c r="H201" t="inlineStr">
        <is>
          <t>Y</t>
        </is>
      </c>
      <c r="I201">
        <f>HYPERLINK("https://admin.shopify.com/store/ge-beauty-cosmeticos/customers/9517338984768","abrir")</f>
        <v/>
      </c>
      <c r="J201">
        <f>HYPERLINK("https://www.gebeauty.com.br/products/primer-liso-intacto?ref=review","review")</f>
        <v/>
      </c>
      <c r="K201" t="inlineStr">
        <is>
          <t>SEND</t>
        </is>
      </c>
    </row>
    <row r="202">
      <c r="A202" t="inlineStr">
        <is>
          <t>Mila</t>
        </is>
      </c>
      <c r="B202" t="inlineStr">
        <is>
          <t>+5511993379370</t>
        </is>
      </c>
      <c r="C202" t="inlineStr">
        <is>
          <t>Refill</t>
        </is>
      </c>
      <c r="D202" t="inlineStr">
        <is>
          <t>Primer Liso</t>
        </is>
      </c>
      <c r="E202" t="n">
        <v>1</v>
      </c>
      <c r="F202" t="inlineStr">
        <is>
          <t>2025-08-10</t>
        </is>
      </c>
      <c r="G202" t="n">
        <v>328</v>
      </c>
      <c r="H202" t="inlineStr">
        <is>
          <t>Y</t>
        </is>
      </c>
      <c r="I202">
        <f>HYPERLINK("https://admin.shopify.com/store/ge-beauty-cosmeticos/customers/9523147374912","abrir")</f>
        <v/>
      </c>
      <c r="J202">
        <f>HYPERLINK("https://www.gebeauty.com.br/products/primer-liso-intacto?ref=review","review")</f>
        <v/>
      </c>
      <c r="K202" t="inlineStr">
        <is>
          <t>HOLDOUT</t>
        </is>
      </c>
    </row>
    <row r="203">
      <c r="A203" t="inlineStr">
        <is>
          <t>Renata</t>
        </is>
      </c>
      <c r="B203" t="inlineStr">
        <is>
          <t>+5511993753865</t>
        </is>
      </c>
      <c r="C203" t="inlineStr">
        <is>
          <t>Refill</t>
        </is>
      </c>
      <c r="D203" t="inlineStr">
        <is>
          <t>Primer Liso</t>
        </is>
      </c>
      <c r="E203" t="n">
        <v>1</v>
      </c>
      <c r="F203" t="inlineStr">
        <is>
          <t>2025-08-10</t>
        </is>
      </c>
      <c r="G203" t="n">
        <v>328</v>
      </c>
      <c r="H203" t="inlineStr">
        <is>
          <t>Y</t>
        </is>
      </c>
      <c r="I203">
        <f>HYPERLINK("https://admin.shopify.com/store/ge-beauty-cosmeticos/customers/9523376456000","abrir")</f>
        <v/>
      </c>
      <c r="J203">
        <f>HYPERLINK("https://www.gebeauty.com.br/products/primer-liso-intacto?ref=review","review")</f>
        <v/>
      </c>
      <c r="K203" t="inlineStr">
        <is>
          <t>SEND</t>
        </is>
      </c>
    </row>
    <row r="204">
      <c r="A204" t="inlineStr">
        <is>
          <t>Carla</t>
        </is>
      </c>
      <c r="B204" t="inlineStr">
        <is>
          <t>+5571988525292</t>
        </is>
      </c>
      <c r="C204" t="inlineStr">
        <is>
          <t>Refill</t>
        </is>
      </c>
      <c r="D204" t="inlineStr">
        <is>
          <t>Primer Liso</t>
        </is>
      </c>
      <c r="E204" t="n">
        <v>1</v>
      </c>
      <c r="F204" t="inlineStr">
        <is>
          <t>2025-08-10</t>
        </is>
      </c>
      <c r="G204" t="n">
        <v>328</v>
      </c>
      <c r="H204" t="inlineStr">
        <is>
          <t>Y</t>
        </is>
      </c>
      <c r="I204">
        <f>HYPERLINK("https://admin.shopify.com/store/ge-beauty-cosmeticos/customers/9523463192896","abrir")</f>
        <v/>
      </c>
      <c r="J204">
        <f>HYPERLINK("https://www.gebeauty.com.br/products/primer-liso-intacto?ref=review","review")</f>
        <v/>
      </c>
      <c r="K204" t="inlineStr">
        <is>
          <t>SEND</t>
        </is>
      </c>
    </row>
    <row r="205">
      <c r="A205" t="inlineStr">
        <is>
          <t>Bruno</t>
        </is>
      </c>
      <c r="B205" t="inlineStr">
        <is>
          <t>+5582991379451</t>
        </is>
      </c>
      <c r="C205" t="inlineStr">
        <is>
          <t>Refill</t>
        </is>
      </c>
      <c r="D205" t="inlineStr">
        <is>
          <t>Primer Liso</t>
        </is>
      </c>
      <c r="E205" t="n">
        <v>1</v>
      </c>
      <c r="F205" t="inlineStr">
        <is>
          <t>2025-08-11</t>
        </is>
      </c>
      <c r="G205" t="n">
        <v>327</v>
      </c>
      <c r="H205" t="inlineStr">
        <is>
          <t>Y</t>
        </is>
      </c>
      <c r="I205">
        <f>HYPERLINK("https://admin.shopify.com/store/ge-beauty-cosmeticos/customers/9523500974400","abrir")</f>
        <v/>
      </c>
      <c r="J205">
        <f>HYPERLINK("https://www.gebeauty.com.br/products/primer-liso-intacto?ref=review","review")</f>
        <v/>
      </c>
      <c r="K205" t="inlineStr">
        <is>
          <t>SEND</t>
        </is>
      </c>
    </row>
    <row r="206">
      <c r="A206" t="inlineStr">
        <is>
          <t>Rosangela</t>
        </is>
      </c>
      <c r="B206" t="inlineStr">
        <is>
          <t>+5511991386631</t>
        </is>
      </c>
      <c r="C206" t="inlineStr">
        <is>
          <t>Refill</t>
        </is>
      </c>
      <c r="D206" t="inlineStr">
        <is>
          <t>Primer Liso</t>
        </is>
      </c>
      <c r="E206" t="n">
        <v>1</v>
      </c>
      <c r="F206" t="inlineStr">
        <is>
          <t>2025-08-11</t>
        </is>
      </c>
      <c r="G206" t="n">
        <v>327</v>
      </c>
      <c r="H206" t="inlineStr">
        <is>
          <t>Y</t>
        </is>
      </c>
      <c r="I206">
        <f>HYPERLINK("https://admin.shopify.com/store/ge-beauty-cosmeticos/customers/9523501465920","abrir")</f>
        <v/>
      </c>
      <c r="J206">
        <f>HYPERLINK("https://www.gebeauty.com.br/products/primer-liso-intacto?ref=review","review")</f>
        <v/>
      </c>
      <c r="K206" t="inlineStr">
        <is>
          <t>HOLDOUT</t>
        </is>
      </c>
    </row>
    <row r="207">
      <c r="A207" t="inlineStr">
        <is>
          <t>Hadassa</t>
        </is>
      </c>
      <c r="B207" t="inlineStr">
        <is>
          <t>+5531993805115</t>
        </is>
      </c>
      <c r="C207" t="inlineStr">
        <is>
          <t>Refill</t>
        </is>
      </c>
      <c r="D207" t="inlineStr">
        <is>
          <t>Primer Liso</t>
        </is>
      </c>
      <c r="E207" t="n">
        <v>1</v>
      </c>
      <c r="F207" t="inlineStr">
        <is>
          <t>2025-08-11</t>
        </is>
      </c>
      <c r="G207" t="n">
        <v>327</v>
      </c>
      <c r="H207" t="inlineStr">
        <is>
          <t>Y</t>
        </is>
      </c>
      <c r="I207">
        <f>HYPERLINK("https://admin.shopify.com/store/ge-beauty-cosmeticos/customers/9523634831680","abrir")</f>
        <v/>
      </c>
      <c r="J207">
        <f>HYPERLINK("https://www.gebeauty.com.br/products/primer-liso-intacto?ref=review","review")</f>
        <v/>
      </c>
      <c r="K207" t="inlineStr">
        <is>
          <t>SEND</t>
        </is>
      </c>
    </row>
    <row r="208">
      <c r="A208" t="inlineStr">
        <is>
          <t>Maria</t>
        </is>
      </c>
      <c r="B208" t="inlineStr">
        <is>
          <t>+5579999770977</t>
        </is>
      </c>
      <c r="C208" t="inlineStr">
        <is>
          <t>Refill</t>
        </is>
      </c>
      <c r="D208" t="inlineStr">
        <is>
          <t>Primer Liso</t>
        </is>
      </c>
      <c r="E208" t="n">
        <v>1</v>
      </c>
      <c r="F208" t="inlineStr">
        <is>
          <t>2025-08-11</t>
        </is>
      </c>
      <c r="G208" t="n">
        <v>327</v>
      </c>
      <c r="H208" t="inlineStr">
        <is>
          <t>Y</t>
        </is>
      </c>
      <c r="I208">
        <f>HYPERLINK("https://admin.shopify.com/store/ge-beauty-cosmeticos/customers/9524144341312","abrir")</f>
        <v/>
      </c>
      <c r="J208">
        <f>HYPERLINK("https://www.gebeauty.com.br/products/primer-liso-intacto?ref=review","review")</f>
        <v/>
      </c>
      <c r="K208" t="inlineStr">
        <is>
          <t>SEND</t>
        </is>
      </c>
    </row>
    <row r="209">
      <c r="A209" t="inlineStr">
        <is>
          <t>Kamila</t>
        </is>
      </c>
      <c r="B209" t="inlineStr">
        <is>
          <t>+5511975542952</t>
        </is>
      </c>
      <c r="C209" t="inlineStr">
        <is>
          <t>Refill</t>
        </is>
      </c>
      <c r="D209" t="inlineStr">
        <is>
          <t>Primer Liso</t>
        </is>
      </c>
      <c r="E209" t="n">
        <v>1</v>
      </c>
      <c r="F209" t="inlineStr">
        <is>
          <t>2025-08-11</t>
        </is>
      </c>
      <c r="G209" t="n">
        <v>327</v>
      </c>
      <c r="H209" t="inlineStr">
        <is>
          <t>Y</t>
        </is>
      </c>
      <c r="I209">
        <f>HYPERLINK("https://admin.shopify.com/store/ge-beauty-cosmeticos/customers/9524270432576","abrir")</f>
        <v/>
      </c>
      <c r="J209">
        <f>HYPERLINK("https://www.gebeauty.com.br/products/primer-liso-intacto?ref=review","review")</f>
        <v/>
      </c>
      <c r="K209" t="inlineStr">
        <is>
          <t>SEND</t>
        </is>
      </c>
    </row>
    <row r="210">
      <c r="A210" t="inlineStr">
        <is>
          <t>Vanda</t>
        </is>
      </c>
      <c r="B210" t="inlineStr">
        <is>
          <t>+5511941020960</t>
        </is>
      </c>
      <c r="C210" t="inlineStr">
        <is>
          <t>Refill</t>
        </is>
      </c>
      <c r="D210" t="inlineStr">
        <is>
          <t>Primer Liso</t>
        </is>
      </c>
      <c r="E210" t="n">
        <v>1</v>
      </c>
      <c r="F210" t="inlineStr">
        <is>
          <t>2025-08-11</t>
        </is>
      </c>
      <c r="G210" t="n">
        <v>327</v>
      </c>
      <c r="H210" t="inlineStr">
        <is>
          <t>Y</t>
        </is>
      </c>
      <c r="I210">
        <f>HYPERLINK("https://admin.shopify.com/store/ge-beauty-cosmeticos/customers/9525437825344","abrir")</f>
        <v/>
      </c>
      <c r="J210">
        <f>HYPERLINK("https://www.gebeauty.com.br/products/primer-liso-intacto?ref=review","review")</f>
        <v/>
      </c>
      <c r="K210" t="inlineStr">
        <is>
          <t>SEND</t>
        </is>
      </c>
    </row>
    <row r="211">
      <c r="A211" t="inlineStr">
        <is>
          <t>Ana</t>
        </is>
      </c>
      <c r="B211" t="inlineStr">
        <is>
          <t>+5521979562918</t>
        </is>
      </c>
      <c r="C211" t="inlineStr">
        <is>
          <t>Refill</t>
        </is>
      </c>
      <c r="D211" t="inlineStr">
        <is>
          <t>Primer Liso</t>
        </is>
      </c>
      <c r="E211" t="n">
        <v>1</v>
      </c>
      <c r="F211" t="inlineStr">
        <is>
          <t>2025-08-11</t>
        </is>
      </c>
      <c r="G211" t="n">
        <v>327</v>
      </c>
      <c r="H211" t="inlineStr">
        <is>
          <t>Y</t>
        </is>
      </c>
      <c r="I211">
        <f>HYPERLINK("https://admin.shopify.com/store/ge-beauty-cosmeticos/customers/9153238794560","abrir")</f>
        <v/>
      </c>
      <c r="J211">
        <f>HYPERLINK("https://www.gebeauty.com.br/products/primer-liso-intacto?ref=review","review")</f>
        <v/>
      </c>
      <c r="K211" t="inlineStr">
        <is>
          <t>SEND</t>
        </is>
      </c>
    </row>
    <row r="212">
      <c r="A212" t="inlineStr">
        <is>
          <t>Nathalia</t>
        </is>
      </c>
      <c r="B212" t="inlineStr">
        <is>
          <t>+5562981291504</t>
        </is>
      </c>
      <c r="C212" t="inlineStr">
        <is>
          <t>Refill</t>
        </is>
      </c>
      <c r="D212" t="inlineStr">
        <is>
          <t>Primer Liso</t>
        </is>
      </c>
      <c r="E212" t="n">
        <v>1</v>
      </c>
      <c r="F212" t="inlineStr">
        <is>
          <t>2025-08-11</t>
        </is>
      </c>
      <c r="G212" t="n">
        <v>327</v>
      </c>
      <c r="H212" t="inlineStr">
        <is>
          <t>Y</t>
        </is>
      </c>
      <c r="I212">
        <f>HYPERLINK("https://admin.shopify.com/store/ge-beauty-cosmeticos/customers/9531184316736","abrir")</f>
        <v/>
      </c>
      <c r="J212">
        <f>HYPERLINK("https://www.gebeauty.com.br/products/primer-liso-intacto?ref=review","review")</f>
        <v/>
      </c>
      <c r="K212" t="inlineStr">
        <is>
          <t>SEND</t>
        </is>
      </c>
    </row>
    <row r="213">
      <c r="A213" t="inlineStr">
        <is>
          <t>Vitória</t>
        </is>
      </c>
      <c r="B213" t="inlineStr">
        <is>
          <t>+5532991030625</t>
        </is>
      </c>
      <c r="C213" t="inlineStr">
        <is>
          <t>Refill</t>
        </is>
      </c>
      <c r="D213" t="inlineStr">
        <is>
          <t>Primer Liso</t>
        </is>
      </c>
      <c r="E213" t="n">
        <v>1</v>
      </c>
      <c r="F213" t="inlineStr">
        <is>
          <t>2025-08-11</t>
        </is>
      </c>
      <c r="G213" t="n">
        <v>327</v>
      </c>
      <c r="H213" t="inlineStr">
        <is>
          <t>Y</t>
        </is>
      </c>
      <c r="I213">
        <f>HYPERLINK("https://admin.shopify.com/store/ge-beauty-cosmeticos/customers/9486052557120","abrir")</f>
        <v/>
      </c>
      <c r="J213">
        <f>HYPERLINK("https://www.gebeauty.com.br/products/primer-liso-intacto?ref=review","review")</f>
        <v/>
      </c>
      <c r="K213" t="inlineStr">
        <is>
          <t>SEND</t>
        </is>
      </c>
    </row>
    <row r="214">
      <c r="A214" t="inlineStr">
        <is>
          <t>Maria</t>
        </is>
      </c>
      <c r="B214" t="inlineStr">
        <is>
          <t>+5581992615589</t>
        </is>
      </c>
      <c r="C214" t="inlineStr">
        <is>
          <t>Refill</t>
        </is>
      </c>
      <c r="D214" t="inlineStr">
        <is>
          <t>Primer Liso</t>
        </is>
      </c>
      <c r="E214" t="n">
        <v>1</v>
      </c>
      <c r="F214" t="inlineStr">
        <is>
          <t>2025-08-11</t>
        </is>
      </c>
      <c r="G214" t="n">
        <v>327</v>
      </c>
      <c r="H214" t="inlineStr">
        <is>
          <t>Y</t>
        </is>
      </c>
      <c r="I214">
        <f>HYPERLINK("https://admin.shopify.com/store/ge-beauty-cosmeticos/customers/8621333119296","abrir")</f>
        <v/>
      </c>
      <c r="J214">
        <f>HYPERLINK("https://www.gebeauty.com.br/products/primer-liso-intacto?ref=review","review")</f>
        <v/>
      </c>
      <c r="K214" t="inlineStr">
        <is>
          <t>HOLDOUT</t>
        </is>
      </c>
    </row>
    <row r="215">
      <c r="A215" t="inlineStr">
        <is>
          <t>Jose</t>
        </is>
      </c>
      <c r="B215" t="inlineStr">
        <is>
          <t>+5521997200096</t>
        </is>
      </c>
      <c r="C215" t="inlineStr">
        <is>
          <t>Refill</t>
        </is>
      </c>
      <c r="D215" t="inlineStr">
        <is>
          <t>Primer Liso</t>
        </is>
      </c>
      <c r="E215" t="n">
        <v>1</v>
      </c>
      <c r="F215" t="inlineStr">
        <is>
          <t>2025-08-11</t>
        </is>
      </c>
      <c r="G215" t="n">
        <v>327</v>
      </c>
      <c r="H215" t="inlineStr">
        <is>
          <t>Y</t>
        </is>
      </c>
      <c r="I215">
        <f>HYPERLINK("https://admin.shopify.com/store/ge-beauty-cosmeticos/customers/9531471003968","abrir")</f>
        <v/>
      </c>
      <c r="J215">
        <f>HYPERLINK("https://www.gebeauty.com.br/products/primer-liso-intacto?ref=review","review")</f>
        <v/>
      </c>
      <c r="K215" t="inlineStr">
        <is>
          <t>SEND</t>
        </is>
      </c>
    </row>
    <row r="216">
      <c r="A216" t="inlineStr">
        <is>
          <t>Giovanna</t>
        </is>
      </c>
      <c r="B216" t="inlineStr">
        <is>
          <t>+5511991917887</t>
        </is>
      </c>
      <c r="C216" t="inlineStr">
        <is>
          <t>Refill</t>
        </is>
      </c>
      <c r="D216" t="inlineStr">
        <is>
          <t>Primer Liso</t>
        </is>
      </c>
      <c r="E216" t="n">
        <v>1</v>
      </c>
      <c r="F216" t="inlineStr">
        <is>
          <t>2025-08-12</t>
        </is>
      </c>
      <c r="G216" t="n">
        <v>326</v>
      </c>
      <c r="H216" t="inlineStr">
        <is>
          <t>Y</t>
        </is>
      </c>
      <c r="I216">
        <f>HYPERLINK("https://admin.shopify.com/store/ge-beauty-cosmeticos/customers/9531646378304","abrir")</f>
        <v/>
      </c>
      <c r="J216">
        <f>HYPERLINK("https://www.gebeauty.com.br/products/primer-liso-intacto?ref=review","review")</f>
        <v/>
      </c>
      <c r="K216" t="inlineStr">
        <is>
          <t>SEND</t>
        </is>
      </c>
    </row>
    <row r="217">
      <c r="A217" t="inlineStr">
        <is>
          <t>Camila</t>
        </is>
      </c>
      <c r="B217" t="inlineStr">
        <is>
          <t>+5511985951225</t>
        </is>
      </c>
      <c r="C217" t="inlineStr">
        <is>
          <t>Refill</t>
        </is>
      </c>
      <c r="D217" t="inlineStr">
        <is>
          <t>Primer Liso</t>
        </is>
      </c>
      <c r="E217" t="n">
        <v>1</v>
      </c>
      <c r="F217" t="inlineStr">
        <is>
          <t>2025-08-12</t>
        </is>
      </c>
      <c r="G217" t="n">
        <v>326</v>
      </c>
      <c r="H217" t="inlineStr">
        <is>
          <t>Y</t>
        </is>
      </c>
      <c r="I217">
        <f>HYPERLINK("https://admin.shopify.com/store/ge-beauty-cosmeticos/customers/9531684946240","abrir")</f>
        <v/>
      </c>
      <c r="J217">
        <f>HYPERLINK("https://www.gebeauty.com.br/products/primer-liso-intacto?ref=review","review")</f>
        <v/>
      </c>
      <c r="K217" t="inlineStr">
        <is>
          <t>SEND</t>
        </is>
      </c>
    </row>
    <row r="218">
      <c r="A218" t="inlineStr">
        <is>
          <t>Márcia</t>
        </is>
      </c>
      <c r="B218" t="inlineStr">
        <is>
          <t>+5511946229368</t>
        </is>
      </c>
      <c r="C218" t="inlineStr">
        <is>
          <t>Refill</t>
        </is>
      </c>
      <c r="D218" t="inlineStr">
        <is>
          <t>Primer Liso</t>
        </is>
      </c>
      <c r="E218" t="n">
        <v>1</v>
      </c>
      <c r="F218" t="inlineStr">
        <is>
          <t>2025-08-12</t>
        </is>
      </c>
      <c r="G218" t="n">
        <v>326</v>
      </c>
      <c r="H218" t="inlineStr">
        <is>
          <t>Y</t>
        </is>
      </c>
      <c r="I218">
        <f>HYPERLINK("https://admin.shopify.com/store/ge-beauty-cosmeticos/customers/9531752644928","abrir")</f>
        <v/>
      </c>
      <c r="J218">
        <f>HYPERLINK("https://www.gebeauty.com.br/products/primer-liso-intacto?ref=review","review")</f>
        <v/>
      </c>
      <c r="K218" t="inlineStr">
        <is>
          <t>SEND</t>
        </is>
      </c>
    </row>
    <row r="219">
      <c r="A219" t="inlineStr">
        <is>
          <t>Victoria</t>
        </is>
      </c>
      <c r="B219" t="inlineStr">
        <is>
          <t>+5554999170631</t>
        </is>
      </c>
      <c r="C219" t="inlineStr">
        <is>
          <t>Refill</t>
        </is>
      </c>
      <c r="D219" t="inlineStr">
        <is>
          <t>Primer Liso</t>
        </is>
      </c>
      <c r="E219" t="n">
        <v>1</v>
      </c>
      <c r="F219" t="inlineStr">
        <is>
          <t>2025-08-12</t>
        </is>
      </c>
      <c r="G219" t="n">
        <v>326</v>
      </c>
      <c r="H219" t="inlineStr">
        <is>
          <t>Y</t>
        </is>
      </c>
      <c r="I219">
        <f>HYPERLINK("https://admin.shopify.com/store/ge-beauty-cosmeticos/customers/9532502999360","abrir")</f>
        <v/>
      </c>
      <c r="J219">
        <f>HYPERLINK("https://www.gebeauty.com.br/products/primer-liso-intacto?ref=review","review")</f>
        <v/>
      </c>
      <c r="K219" t="inlineStr">
        <is>
          <t>SEND</t>
        </is>
      </c>
    </row>
    <row r="220">
      <c r="A220" t="inlineStr">
        <is>
          <t>Lahna</t>
        </is>
      </c>
      <c r="B220" t="inlineStr">
        <is>
          <t>+5541992329100</t>
        </is>
      </c>
      <c r="C220" t="inlineStr">
        <is>
          <t>Refill</t>
        </is>
      </c>
      <c r="D220" t="inlineStr">
        <is>
          <t>Primer Liso</t>
        </is>
      </c>
      <c r="E220" t="n">
        <v>1</v>
      </c>
      <c r="F220" t="inlineStr">
        <is>
          <t>2025-08-12</t>
        </is>
      </c>
      <c r="G220" t="n">
        <v>326</v>
      </c>
      <c r="H220" t="inlineStr">
        <is>
          <t>Y</t>
        </is>
      </c>
      <c r="I220">
        <f>HYPERLINK("https://admin.shopify.com/store/ge-beauty-cosmeticos/customers/9532804563264","abrir")</f>
        <v/>
      </c>
      <c r="J220">
        <f>HYPERLINK("https://www.gebeauty.com.br/products/primer-liso-intacto?ref=review","review")</f>
        <v/>
      </c>
      <c r="K220" t="inlineStr">
        <is>
          <t>SEND</t>
        </is>
      </c>
    </row>
    <row r="221">
      <c r="A221" t="inlineStr">
        <is>
          <t>Fernannda</t>
        </is>
      </c>
      <c r="B221" t="inlineStr">
        <is>
          <t>+5511963334000</t>
        </is>
      </c>
      <c r="C221" t="inlineStr">
        <is>
          <t>Refill</t>
        </is>
      </c>
      <c r="D221" t="inlineStr">
        <is>
          <t>Primer Liso</t>
        </is>
      </c>
      <c r="E221" t="n">
        <v>1</v>
      </c>
      <c r="F221" t="inlineStr">
        <is>
          <t>2025-08-12</t>
        </is>
      </c>
      <c r="G221" t="n">
        <v>326</v>
      </c>
      <c r="H221" t="inlineStr">
        <is>
          <t>Y</t>
        </is>
      </c>
      <c r="I221">
        <f>HYPERLINK("https://admin.shopify.com/store/ge-beauty-cosmeticos/customers/9533138239808","abrir")</f>
        <v/>
      </c>
      <c r="J221">
        <f>HYPERLINK("https://www.gebeauty.com.br/products/primer-liso-intacto?ref=review","review")</f>
        <v/>
      </c>
      <c r="K221" t="inlineStr">
        <is>
          <t>SEND</t>
        </is>
      </c>
    </row>
    <row r="222">
      <c r="A222" t="inlineStr">
        <is>
          <t>Maria</t>
        </is>
      </c>
      <c r="B222" t="inlineStr">
        <is>
          <t>+5571991150503</t>
        </is>
      </c>
      <c r="C222" t="inlineStr">
        <is>
          <t>Refill</t>
        </is>
      </c>
      <c r="D222" t="inlineStr">
        <is>
          <t>Primer Liso</t>
        </is>
      </c>
      <c r="E222" t="n">
        <v>1</v>
      </c>
      <c r="F222" t="inlineStr">
        <is>
          <t>2025-08-12</t>
        </is>
      </c>
      <c r="G222" t="n">
        <v>326</v>
      </c>
      <c r="H222" t="inlineStr">
        <is>
          <t>Y</t>
        </is>
      </c>
      <c r="I222">
        <f>HYPERLINK("https://admin.shopify.com/store/ge-beauty-cosmeticos/customers/7761546182976","abrir")</f>
        <v/>
      </c>
      <c r="J222">
        <f>HYPERLINK("https://www.gebeauty.com.br/products/primer-liso-intacto?ref=review","review")</f>
        <v/>
      </c>
      <c r="K222" t="inlineStr">
        <is>
          <t>SEND</t>
        </is>
      </c>
    </row>
    <row r="223">
      <c r="A223" t="inlineStr">
        <is>
          <t>Josilane</t>
        </is>
      </c>
      <c r="B223" t="inlineStr">
        <is>
          <t>+5581997302860</t>
        </is>
      </c>
      <c r="C223" t="inlineStr">
        <is>
          <t>Refill</t>
        </is>
      </c>
      <c r="D223" t="inlineStr">
        <is>
          <t>Primer Liso</t>
        </is>
      </c>
      <c r="E223" t="n">
        <v>1</v>
      </c>
      <c r="F223" t="inlineStr">
        <is>
          <t>2025-08-12</t>
        </is>
      </c>
      <c r="G223" t="n">
        <v>326</v>
      </c>
      <c r="H223" t="inlineStr">
        <is>
          <t>Y</t>
        </is>
      </c>
      <c r="I223">
        <f>HYPERLINK("https://admin.shopify.com/store/ge-beauty-cosmeticos/customers/9533552492864","abrir")</f>
        <v/>
      </c>
      <c r="J223">
        <f>HYPERLINK("https://www.gebeauty.com.br/products/primer-liso-intacto?ref=review","review")</f>
        <v/>
      </c>
      <c r="K223" t="inlineStr">
        <is>
          <t>SEND</t>
        </is>
      </c>
    </row>
    <row r="224">
      <c r="A224" t="inlineStr">
        <is>
          <t>Danielle</t>
        </is>
      </c>
      <c r="B224" t="inlineStr">
        <is>
          <t>+5511962399081</t>
        </is>
      </c>
      <c r="C224" t="inlineStr">
        <is>
          <t>Refill</t>
        </is>
      </c>
      <c r="D224" t="inlineStr">
        <is>
          <t>Primer Liso</t>
        </is>
      </c>
      <c r="E224" t="n">
        <v>1</v>
      </c>
      <c r="F224" t="inlineStr">
        <is>
          <t>2025-08-12</t>
        </is>
      </c>
      <c r="G224" t="n">
        <v>326</v>
      </c>
      <c r="H224" t="inlineStr">
        <is>
          <t>Y</t>
        </is>
      </c>
      <c r="I224">
        <f>HYPERLINK("https://admin.shopify.com/store/ge-beauty-cosmeticos/customers/9532822356288","abrir")</f>
        <v/>
      </c>
      <c r="J224">
        <f>HYPERLINK("https://www.gebeauty.com.br/products/primer-liso-intacto?ref=review","review")</f>
        <v/>
      </c>
      <c r="K224" t="inlineStr">
        <is>
          <t>SEND</t>
        </is>
      </c>
    </row>
    <row r="225">
      <c r="A225" t="inlineStr">
        <is>
          <t>Priscilla</t>
        </is>
      </c>
      <c r="B225" t="inlineStr">
        <is>
          <t>+5571988155384</t>
        </is>
      </c>
      <c r="C225" t="inlineStr">
        <is>
          <t>Refill</t>
        </is>
      </c>
      <c r="D225" t="inlineStr">
        <is>
          <t>Primer Liso</t>
        </is>
      </c>
      <c r="E225" t="n">
        <v>1</v>
      </c>
      <c r="F225" t="inlineStr">
        <is>
          <t>2025-08-13</t>
        </is>
      </c>
      <c r="G225" t="n">
        <v>325</v>
      </c>
      <c r="H225" t="inlineStr">
        <is>
          <t>Y</t>
        </is>
      </c>
      <c r="I225">
        <f>HYPERLINK("https://admin.shopify.com/store/ge-beauty-cosmeticos/customers/9534310056256","abrir")</f>
        <v/>
      </c>
      <c r="J225">
        <f>HYPERLINK("https://www.gebeauty.com.br/products/primer-liso-intacto?ref=review","review")</f>
        <v/>
      </c>
      <c r="K225" t="inlineStr">
        <is>
          <t>SEND</t>
        </is>
      </c>
    </row>
    <row r="226">
      <c r="A226" t="inlineStr">
        <is>
          <t>Marina</t>
        </is>
      </c>
      <c r="B226" t="inlineStr">
        <is>
          <t>+5519982470842</t>
        </is>
      </c>
      <c r="C226" t="inlineStr">
        <is>
          <t>Refill</t>
        </is>
      </c>
      <c r="D226" t="inlineStr">
        <is>
          <t>Primer Liso</t>
        </is>
      </c>
      <c r="E226" t="n">
        <v>1</v>
      </c>
      <c r="F226" t="inlineStr">
        <is>
          <t>2025-08-13</t>
        </is>
      </c>
      <c r="G226" t="n">
        <v>325</v>
      </c>
      <c r="H226" t="inlineStr">
        <is>
          <t>Y</t>
        </is>
      </c>
      <c r="I226">
        <f>HYPERLINK("https://admin.shopify.com/store/ge-beauty-cosmeticos/customers/9536274399552","abrir")</f>
        <v/>
      </c>
      <c r="J226">
        <f>HYPERLINK("https://www.gebeauty.com.br/products/primer-liso-intacto?ref=review","review")</f>
        <v/>
      </c>
      <c r="K226" t="inlineStr">
        <is>
          <t>SEND</t>
        </is>
      </c>
    </row>
    <row r="227">
      <c r="A227" t="inlineStr">
        <is>
          <t>Michelle</t>
        </is>
      </c>
      <c r="B227" t="inlineStr">
        <is>
          <t>+5511995055217</t>
        </is>
      </c>
      <c r="C227" t="inlineStr">
        <is>
          <t>Refill</t>
        </is>
      </c>
      <c r="D227" t="inlineStr">
        <is>
          <t>Primer Liso</t>
        </is>
      </c>
      <c r="E227" t="n">
        <v>1</v>
      </c>
      <c r="F227" t="inlineStr">
        <is>
          <t>2025-08-13</t>
        </is>
      </c>
      <c r="G227" t="n">
        <v>325</v>
      </c>
      <c r="H227" t="inlineStr">
        <is>
          <t>Y</t>
        </is>
      </c>
      <c r="I227">
        <f>HYPERLINK("https://admin.shopify.com/store/ge-beauty-cosmeticos/customers/9536898531648","abrir")</f>
        <v/>
      </c>
      <c r="J227">
        <f>HYPERLINK("https://www.gebeauty.com.br/products/primer-liso-intacto?ref=review","review")</f>
        <v/>
      </c>
      <c r="K227" t="inlineStr">
        <is>
          <t>SEND</t>
        </is>
      </c>
    </row>
    <row r="228">
      <c r="A228" t="inlineStr">
        <is>
          <t>Leandro</t>
        </is>
      </c>
      <c r="B228" t="inlineStr">
        <is>
          <t>+5511999017290</t>
        </is>
      </c>
      <c r="C228" t="inlineStr">
        <is>
          <t>Refill</t>
        </is>
      </c>
      <c r="D228" t="inlineStr">
        <is>
          <t>Primer Liso</t>
        </is>
      </c>
      <c r="E228" t="n">
        <v>1</v>
      </c>
      <c r="F228" t="inlineStr">
        <is>
          <t>2025-08-13</t>
        </is>
      </c>
      <c r="G228" t="n">
        <v>325</v>
      </c>
      <c r="H228" t="inlineStr">
        <is>
          <t>Y</t>
        </is>
      </c>
      <c r="I228">
        <f>HYPERLINK("https://admin.shopify.com/store/ge-beauty-cosmeticos/customers/9537237090624","abrir")</f>
        <v/>
      </c>
      <c r="J228">
        <f>HYPERLINK("https://www.gebeauty.com.br/products/primer-liso-intacto?ref=review","review")</f>
        <v/>
      </c>
      <c r="K228" t="inlineStr">
        <is>
          <t>SEND</t>
        </is>
      </c>
    </row>
    <row r="229">
      <c r="A229" t="inlineStr">
        <is>
          <t>Ana Maria</t>
        </is>
      </c>
      <c r="B229" t="inlineStr">
        <is>
          <t>+5521992037803</t>
        </is>
      </c>
      <c r="C229" t="inlineStr">
        <is>
          <t>Refill</t>
        </is>
      </c>
      <c r="D229" t="inlineStr">
        <is>
          <t>Primer Liso</t>
        </is>
      </c>
      <c r="E229" t="n">
        <v>1</v>
      </c>
      <c r="F229" t="inlineStr">
        <is>
          <t>2025-08-13</t>
        </is>
      </c>
      <c r="G229" t="n">
        <v>325</v>
      </c>
      <c r="H229" t="inlineStr">
        <is>
          <t>Y</t>
        </is>
      </c>
      <c r="I229">
        <f>HYPERLINK("https://admin.shopify.com/store/ge-beauty-cosmeticos/customers/9537472889152","abrir")</f>
        <v/>
      </c>
      <c r="J229">
        <f>HYPERLINK("https://www.gebeauty.com.br/products/primer-liso-intacto?ref=review","review")</f>
        <v/>
      </c>
      <c r="K229" t="inlineStr">
        <is>
          <t>HOLDOUT</t>
        </is>
      </c>
    </row>
    <row r="230">
      <c r="A230" t="inlineStr">
        <is>
          <t>Caroline</t>
        </is>
      </c>
      <c r="B230" t="inlineStr">
        <is>
          <t>+5511993997131</t>
        </is>
      </c>
      <c r="C230" t="inlineStr">
        <is>
          <t>Refill</t>
        </is>
      </c>
      <c r="D230" t="inlineStr">
        <is>
          <t>Primer Liso</t>
        </is>
      </c>
      <c r="E230" t="n">
        <v>1</v>
      </c>
      <c r="F230" t="inlineStr">
        <is>
          <t>2025-08-13</t>
        </is>
      </c>
      <c r="G230" t="n">
        <v>325</v>
      </c>
      <c r="H230" t="inlineStr">
        <is>
          <t>Y</t>
        </is>
      </c>
      <c r="I230">
        <f>HYPERLINK("https://admin.shopify.com/store/ge-beauty-cosmeticos/customers/7762536464704","abrir")</f>
        <v/>
      </c>
      <c r="J230">
        <f>HYPERLINK("https://www.gebeauty.com.br/products/primer-liso-intacto?ref=review","review")</f>
        <v/>
      </c>
      <c r="K230" t="inlineStr">
        <is>
          <t>SEND</t>
        </is>
      </c>
    </row>
    <row r="231">
      <c r="A231" t="inlineStr">
        <is>
          <t>Valeria</t>
        </is>
      </c>
      <c r="B231" t="inlineStr">
        <is>
          <t>+5524988280328</t>
        </is>
      </c>
      <c r="C231" t="inlineStr">
        <is>
          <t>Refill</t>
        </is>
      </c>
      <c r="D231" t="inlineStr">
        <is>
          <t>Primer Liso</t>
        </is>
      </c>
      <c r="E231" t="n">
        <v>1</v>
      </c>
      <c r="F231" t="inlineStr">
        <is>
          <t>2025-08-13</t>
        </is>
      </c>
      <c r="G231" t="n">
        <v>325</v>
      </c>
      <c r="H231" t="inlineStr">
        <is>
          <t>Y</t>
        </is>
      </c>
      <c r="I231">
        <f>HYPERLINK("https://admin.shopify.com/store/ge-beauty-cosmeticos/customers/9537707278656","abrir")</f>
        <v/>
      </c>
      <c r="J231">
        <f>HYPERLINK("https://www.gebeauty.com.br/products/primer-liso-intacto?ref=review","review")</f>
        <v/>
      </c>
      <c r="K231" t="inlineStr">
        <is>
          <t>SEND</t>
        </is>
      </c>
    </row>
    <row r="232">
      <c r="A232" t="inlineStr">
        <is>
          <t>Thais</t>
        </is>
      </c>
      <c r="B232" t="inlineStr">
        <is>
          <t>+5513056846473</t>
        </is>
      </c>
      <c r="C232" t="inlineStr">
        <is>
          <t>Refill</t>
        </is>
      </c>
      <c r="D232" t="inlineStr">
        <is>
          <t>Primer Liso</t>
        </is>
      </c>
      <c r="E232" t="n">
        <v>1</v>
      </c>
      <c r="F232" t="inlineStr">
        <is>
          <t>2025-08-13</t>
        </is>
      </c>
      <c r="G232" t="n">
        <v>325</v>
      </c>
      <c r="H232" t="inlineStr">
        <is>
          <t>Y</t>
        </is>
      </c>
      <c r="I232">
        <f>HYPERLINK("https://admin.shopify.com/store/ge-beauty-cosmeticos/customers/9532955590976","abrir")</f>
        <v/>
      </c>
      <c r="J232">
        <f>HYPERLINK("https://www.gebeauty.com.br/products/primer-liso-intacto?ref=review","review")</f>
        <v/>
      </c>
      <c r="K232" t="inlineStr">
        <is>
          <t>SEND</t>
        </is>
      </c>
    </row>
    <row r="233">
      <c r="A233" t="inlineStr">
        <is>
          <t>Camila</t>
        </is>
      </c>
      <c r="B233" t="inlineStr">
        <is>
          <t>+5511999666925</t>
        </is>
      </c>
      <c r="C233" t="inlineStr">
        <is>
          <t>Refill</t>
        </is>
      </c>
      <c r="D233" t="inlineStr">
        <is>
          <t>Primer Liso</t>
        </is>
      </c>
      <c r="E233" t="n">
        <v>1</v>
      </c>
      <c r="F233" t="inlineStr">
        <is>
          <t>2025-08-13</t>
        </is>
      </c>
      <c r="G233" t="n">
        <v>325</v>
      </c>
      <c r="H233" t="inlineStr">
        <is>
          <t>Y</t>
        </is>
      </c>
      <c r="I233">
        <f>HYPERLINK("https://admin.shopify.com/store/ge-beauty-cosmeticos/customers/9533963698496","abrir")</f>
        <v/>
      </c>
      <c r="J233">
        <f>HYPERLINK("https://www.gebeauty.com.br/products/primer-liso-intacto?ref=review","review")</f>
        <v/>
      </c>
      <c r="K233" t="inlineStr">
        <is>
          <t>HOLDOUT</t>
        </is>
      </c>
    </row>
    <row r="234">
      <c r="A234" t="inlineStr">
        <is>
          <t>Flávia</t>
        </is>
      </c>
      <c r="B234" t="inlineStr">
        <is>
          <t>+5516997174116</t>
        </is>
      </c>
      <c r="C234" t="inlineStr">
        <is>
          <t>Refill</t>
        </is>
      </c>
      <c r="D234" t="inlineStr">
        <is>
          <t>Primer Liso</t>
        </is>
      </c>
      <c r="E234" t="n">
        <v>1</v>
      </c>
      <c r="F234" t="inlineStr">
        <is>
          <t>2025-08-13</t>
        </is>
      </c>
      <c r="G234" t="n">
        <v>325</v>
      </c>
      <c r="H234" t="inlineStr">
        <is>
          <t>Y</t>
        </is>
      </c>
      <c r="I234">
        <f>HYPERLINK("https://admin.shopify.com/store/ge-beauty-cosmeticos/customers/9537895170368","abrir")</f>
        <v/>
      </c>
      <c r="J234">
        <f>HYPERLINK("https://www.gebeauty.com.br/products/primer-liso-intacto?ref=review","review")</f>
        <v/>
      </c>
      <c r="K234" t="inlineStr">
        <is>
          <t>SEND</t>
        </is>
      </c>
    </row>
    <row r="235">
      <c r="A235" t="inlineStr">
        <is>
          <t>Maria</t>
        </is>
      </c>
      <c r="B235" t="inlineStr">
        <is>
          <t>+5511987939111</t>
        </is>
      </c>
      <c r="C235" t="inlineStr">
        <is>
          <t>Refill</t>
        </is>
      </c>
      <c r="D235" t="inlineStr">
        <is>
          <t>Primer Liso</t>
        </is>
      </c>
      <c r="E235" t="n">
        <v>1</v>
      </c>
      <c r="F235" t="inlineStr">
        <is>
          <t>2025-08-13</t>
        </is>
      </c>
      <c r="G235" t="n">
        <v>325</v>
      </c>
      <c r="H235" t="inlineStr">
        <is>
          <t>Y</t>
        </is>
      </c>
      <c r="I235">
        <f>HYPERLINK("https://admin.shopify.com/store/ge-beauty-cosmeticos/customers/9537934360896","abrir")</f>
        <v/>
      </c>
      <c r="J235">
        <f>HYPERLINK("https://www.gebeauty.com.br/products/primer-liso-intacto?ref=review","review")</f>
        <v/>
      </c>
      <c r="K235" t="inlineStr">
        <is>
          <t>SEND</t>
        </is>
      </c>
    </row>
    <row r="236">
      <c r="A236" t="inlineStr">
        <is>
          <t>Carmem</t>
        </is>
      </c>
      <c r="B236" t="inlineStr">
        <is>
          <t>+5511991725664</t>
        </is>
      </c>
      <c r="C236" t="inlineStr">
        <is>
          <t>Refill</t>
        </is>
      </c>
      <c r="D236" t="inlineStr">
        <is>
          <t>Primer Liso</t>
        </is>
      </c>
      <c r="E236" t="n">
        <v>1</v>
      </c>
      <c r="F236" t="inlineStr">
        <is>
          <t>2025-08-13</t>
        </is>
      </c>
      <c r="G236" t="n">
        <v>325</v>
      </c>
      <c r="H236" t="inlineStr">
        <is>
          <t>Y</t>
        </is>
      </c>
      <c r="I236">
        <f>HYPERLINK("https://admin.shopify.com/store/ge-beauty-cosmeticos/customers/9538394849600","abrir")</f>
        <v/>
      </c>
      <c r="J236">
        <f>HYPERLINK("https://www.gebeauty.com.br/products/primer-liso-intacto?ref=review","review")</f>
        <v/>
      </c>
      <c r="K236" t="inlineStr">
        <is>
          <t>SEND</t>
        </is>
      </c>
    </row>
    <row r="237">
      <c r="A237" t="inlineStr">
        <is>
          <t>Ana Julia</t>
        </is>
      </c>
      <c r="B237" t="inlineStr">
        <is>
          <t>+5517996452012</t>
        </is>
      </c>
      <c r="C237" t="inlineStr">
        <is>
          <t>Refill</t>
        </is>
      </c>
      <c r="D237" t="inlineStr">
        <is>
          <t>Primer Liso</t>
        </is>
      </c>
      <c r="E237" t="n">
        <v>1</v>
      </c>
      <c r="F237" t="inlineStr">
        <is>
          <t>2025-08-14</t>
        </is>
      </c>
      <c r="G237" t="n">
        <v>324</v>
      </c>
      <c r="H237" t="inlineStr">
        <is>
          <t>Y</t>
        </is>
      </c>
      <c r="I237">
        <f>HYPERLINK("https://admin.shopify.com/store/ge-beauty-cosmeticos/customers/9539404136768","abrir")</f>
        <v/>
      </c>
      <c r="J237">
        <f>HYPERLINK("https://www.gebeauty.com.br/products/primer-liso-intacto?ref=review","review")</f>
        <v/>
      </c>
      <c r="K237" t="inlineStr">
        <is>
          <t>SEND</t>
        </is>
      </c>
    </row>
    <row r="238">
      <c r="A238" t="inlineStr">
        <is>
          <t>Paula</t>
        </is>
      </c>
      <c r="B238" t="inlineStr">
        <is>
          <t>+5571984470510</t>
        </is>
      </c>
      <c r="C238" t="inlineStr">
        <is>
          <t>Refill</t>
        </is>
      </c>
      <c r="D238" t="inlineStr">
        <is>
          <t>Primer Liso</t>
        </is>
      </c>
      <c r="E238" t="n">
        <v>1</v>
      </c>
      <c r="F238" t="inlineStr">
        <is>
          <t>2025-08-14</t>
        </is>
      </c>
      <c r="G238" t="n">
        <v>324</v>
      </c>
      <c r="H238" t="inlineStr">
        <is>
          <t>Y</t>
        </is>
      </c>
      <c r="I238">
        <f>HYPERLINK("https://admin.shopify.com/store/ge-beauty-cosmeticos/customers/9539802267968","abrir")</f>
        <v/>
      </c>
      <c r="J238">
        <f>HYPERLINK("https://www.gebeauty.com.br/products/primer-liso-intacto?ref=review","review")</f>
        <v/>
      </c>
      <c r="K238" t="inlineStr">
        <is>
          <t>SEND</t>
        </is>
      </c>
    </row>
    <row r="239">
      <c r="A239" t="inlineStr">
        <is>
          <t>Tamara</t>
        </is>
      </c>
      <c r="B239" t="inlineStr">
        <is>
          <t>+5511971418808</t>
        </is>
      </c>
      <c r="C239" t="inlineStr">
        <is>
          <t>Refill</t>
        </is>
      </c>
      <c r="D239" t="inlineStr">
        <is>
          <t>Primer Liso</t>
        </is>
      </c>
      <c r="E239" t="n">
        <v>1</v>
      </c>
      <c r="F239" t="inlineStr">
        <is>
          <t>2025-08-14</t>
        </is>
      </c>
      <c r="G239" t="n">
        <v>324</v>
      </c>
      <c r="H239" t="inlineStr">
        <is>
          <t>Y</t>
        </is>
      </c>
      <c r="I239">
        <f>HYPERLINK("https://admin.shopify.com/store/ge-beauty-cosmeticos/customers/9542117359936","abrir")</f>
        <v/>
      </c>
      <c r="J239">
        <f>HYPERLINK("https://www.gebeauty.com.br/products/primer-liso-intacto?ref=review","review")</f>
        <v/>
      </c>
      <c r="K239" t="inlineStr">
        <is>
          <t>HOLDOUT</t>
        </is>
      </c>
    </row>
    <row r="240">
      <c r="A240" t="inlineStr">
        <is>
          <t>Andre</t>
        </is>
      </c>
      <c r="B240" t="inlineStr">
        <is>
          <t>+5581988171001</t>
        </is>
      </c>
      <c r="C240" t="inlineStr">
        <is>
          <t>Refill</t>
        </is>
      </c>
      <c r="D240" t="inlineStr">
        <is>
          <t>Primer Liso</t>
        </is>
      </c>
      <c r="E240" t="n">
        <v>1</v>
      </c>
      <c r="F240" t="inlineStr">
        <is>
          <t>2025-08-14</t>
        </is>
      </c>
      <c r="G240" t="n">
        <v>324</v>
      </c>
      <c r="H240" t="inlineStr">
        <is>
          <t>Y</t>
        </is>
      </c>
      <c r="I240">
        <f>HYPERLINK("https://admin.shopify.com/store/ge-beauty-cosmeticos/customers/9542654427456","abrir")</f>
        <v/>
      </c>
      <c r="J240">
        <f>HYPERLINK("https://www.gebeauty.com.br/products/primer-liso-intacto?ref=review","review")</f>
        <v/>
      </c>
      <c r="K240" t="inlineStr">
        <is>
          <t>SEND</t>
        </is>
      </c>
    </row>
    <row r="241">
      <c r="A241" t="inlineStr">
        <is>
          <t>Laura</t>
        </is>
      </c>
      <c r="B241" t="inlineStr">
        <is>
          <t>+5515991444605</t>
        </is>
      </c>
      <c r="C241" t="inlineStr">
        <is>
          <t>Refill</t>
        </is>
      </c>
      <c r="D241" t="inlineStr">
        <is>
          <t>Primer Liso</t>
        </is>
      </c>
      <c r="E241" t="n">
        <v>1</v>
      </c>
      <c r="F241" t="inlineStr">
        <is>
          <t>2025-08-14</t>
        </is>
      </c>
      <c r="G241" t="n">
        <v>324</v>
      </c>
      <c r="H241" t="inlineStr">
        <is>
          <t>Y</t>
        </is>
      </c>
      <c r="I241">
        <f>HYPERLINK("https://admin.shopify.com/store/ge-beauty-cosmeticos/customers/9542849069376","abrir")</f>
        <v/>
      </c>
      <c r="J241">
        <f>HYPERLINK("https://www.gebeauty.com.br/products/primer-liso-intacto?ref=review","review")</f>
        <v/>
      </c>
      <c r="K241" t="inlineStr">
        <is>
          <t>SEND</t>
        </is>
      </c>
    </row>
    <row r="242">
      <c r="A242" t="inlineStr">
        <is>
          <t>Tatiana</t>
        </is>
      </c>
      <c r="B242" t="inlineStr">
        <is>
          <t>+5511981875387</t>
        </is>
      </c>
      <c r="C242" t="inlineStr">
        <is>
          <t>Refill</t>
        </is>
      </c>
      <c r="D242" t="inlineStr">
        <is>
          <t>Primer Liso</t>
        </is>
      </c>
      <c r="E242" t="n">
        <v>1</v>
      </c>
      <c r="F242" t="inlineStr">
        <is>
          <t>2025-08-14</t>
        </is>
      </c>
      <c r="G242" t="n">
        <v>324</v>
      </c>
      <c r="H242" t="inlineStr">
        <is>
          <t>Y</t>
        </is>
      </c>
      <c r="I242">
        <f>HYPERLINK("https://admin.shopify.com/store/ge-beauty-cosmeticos/customers/7759676604736","abrir")</f>
        <v/>
      </c>
      <c r="J242">
        <f>HYPERLINK("https://www.gebeauty.com.br/products/primer-liso-intacto?ref=review","review")</f>
        <v/>
      </c>
      <c r="K242" t="inlineStr">
        <is>
          <t>SEND</t>
        </is>
      </c>
    </row>
    <row r="243">
      <c r="A243" t="inlineStr">
        <is>
          <t>Eliza</t>
        </is>
      </c>
      <c r="B243" t="inlineStr">
        <is>
          <t>+5521993097040</t>
        </is>
      </c>
      <c r="C243" t="inlineStr">
        <is>
          <t>Refill</t>
        </is>
      </c>
      <c r="D243" t="inlineStr">
        <is>
          <t>Primer Liso</t>
        </is>
      </c>
      <c r="E243" t="n">
        <v>1</v>
      </c>
      <c r="F243" t="inlineStr">
        <is>
          <t>2025-08-14</t>
        </is>
      </c>
      <c r="G243" t="n">
        <v>324</v>
      </c>
      <c r="H243" t="inlineStr">
        <is>
          <t>Y</t>
        </is>
      </c>
      <c r="I243">
        <f>HYPERLINK("https://admin.shopify.com/store/ge-beauty-cosmeticos/customers/9206162489664","abrir")</f>
        <v/>
      </c>
      <c r="J243">
        <f>HYPERLINK("https://www.gebeauty.com.br/products/primer-liso-intacto?ref=review","review")</f>
        <v/>
      </c>
      <c r="K243" t="inlineStr">
        <is>
          <t>SEND</t>
        </is>
      </c>
    </row>
    <row r="244">
      <c r="A244" t="inlineStr">
        <is>
          <t>Marilia</t>
        </is>
      </c>
      <c r="B244" t="inlineStr">
        <is>
          <t>+5511986752656</t>
        </is>
      </c>
      <c r="C244" t="inlineStr">
        <is>
          <t>Refill</t>
        </is>
      </c>
      <c r="D244" t="inlineStr">
        <is>
          <t>Primer Liso</t>
        </is>
      </c>
      <c r="E244" t="n">
        <v>1</v>
      </c>
      <c r="F244" t="inlineStr">
        <is>
          <t>2025-08-14</t>
        </is>
      </c>
      <c r="G244" t="n">
        <v>324</v>
      </c>
      <c r="H244" t="inlineStr">
        <is>
          <t>Y</t>
        </is>
      </c>
      <c r="I244">
        <f>HYPERLINK("https://admin.shopify.com/store/ge-beauty-cosmeticos/customers/9516185092416","abrir")</f>
        <v/>
      </c>
      <c r="J244">
        <f>HYPERLINK("https://www.gebeauty.com.br/products/primer-liso-intacto?ref=review","review")</f>
        <v/>
      </c>
      <c r="K244" t="inlineStr">
        <is>
          <t>SEND</t>
        </is>
      </c>
    </row>
    <row r="245">
      <c r="A245" t="inlineStr">
        <is>
          <t>Vivian</t>
        </is>
      </c>
      <c r="B245" t="inlineStr">
        <is>
          <t>+5518981380006</t>
        </is>
      </c>
      <c r="C245" t="inlineStr">
        <is>
          <t>Refill</t>
        </is>
      </c>
      <c r="D245" t="inlineStr">
        <is>
          <t>Primer Liso</t>
        </is>
      </c>
      <c r="E245" t="n">
        <v>1</v>
      </c>
      <c r="F245" t="inlineStr">
        <is>
          <t>2025-08-14</t>
        </is>
      </c>
      <c r="G245" t="n">
        <v>324</v>
      </c>
      <c r="H245" t="inlineStr">
        <is>
          <t>Y</t>
        </is>
      </c>
      <c r="I245">
        <f>HYPERLINK("https://admin.shopify.com/store/ge-beauty-cosmeticos/customers/9544714584384","abrir")</f>
        <v/>
      </c>
      <c r="J245">
        <f>HYPERLINK("https://www.gebeauty.com.br/products/primer-liso-intacto?ref=review","review")</f>
        <v/>
      </c>
      <c r="K245" t="inlineStr">
        <is>
          <t>SEND</t>
        </is>
      </c>
    </row>
    <row r="246">
      <c r="A246" t="inlineStr">
        <is>
          <t>Greice</t>
        </is>
      </c>
      <c r="B246" t="inlineStr">
        <is>
          <t>+5547991326706</t>
        </is>
      </c>
      <c r="C246" t="inlineStr">
        <is>
          <t>Refill</t>
        </is>
      </c>
      <c r="D246" t="inlineStr">
        <is>
          <t>Primer Liso</t>
        </is>
      </c>
      <c r="E246" t="n">
        <v>1</v>
      </c>
      <c r="F246" t="inlineStr">
        <is>
          <t>2025-08-14</t>
        </is>
      </c>
      <c r="G246" t="n">
        <v>324</v>
      </c>
      <c r="H246" t="inlineStr">
        <is>
          <t>Y</t>
        </is>
      </c>
      <c r="I246">
        <f>HYPERLINK("https://admin.shopify.com/store/ge-beauty-cosmeticos/customers/9544794177856","abrir")</f>
        <v/>
      </c>
      <c r="J246">
        <f>HYPERLINK("https://www.gebeauty.com.br/products/primer-liso-intacto?ref=review","review")</f>
        <v/>
      </c>
      <c r="K246" t="inlineStr">
        <is>
          <t>SEND</t>
        </is>
      </c>
    </row>
    <row r="247">
      <c r="A247" t="inlineStr">
        <is>
          <t>Maria Eduarda</t>
        </is>
      </c>
      <c r="B247" t="inlineStr">
        <is>
          <t>+5521977423556</t>
        </is>
      </c>
      <c r="C247" t="inlineStr">
        <is>
          <t>Refill</t>
        </is>
      </c>
      <c r="D247" t="inlineStr">
        <is>
          <t>Primer Liso</t>
        </is>
      </c>
      <c r="E247" t="n">
        <v>1</v>
      </c>
      <c r="F247" t="inlineStr">
        <is>
          <t>2025-08-15</t>
        </is>
      </c>
      <c r="G247" t="n">
        <v>323</v>
      </c>
      <c r="H247" t="inlineStr">
        <is>
          <t>Y</t>
        </is>
      </c>
      <c r="I247">
        <f>HYPERLINK("https://admin.shopify.com/store/ge-beauty-cosmeticos/customers/9547204231488","abrir")</f>
        <v/>
      </c>
      <c r="J247">
        <f>HYPERLINK("https://www.gebeauty.com.br/products/primer-liso-intacto?ref=review","review")</f>
        <v/>
      </c>
      <c r="K247" t="inlineStr">
        <is>
          <t>SEND</t>
        </is>
      </c>
    </row>
    <row r="248">
      <c r="A248" t="inlineStr">
        <is>
          <t>Amanda</t>
        </is>
      </c>
      <c r="B248" t="inlineStr">
        <is>
          <t>+5511913022202</t>
        </is>
      </c>
      <c r="C248" t="inlineStr">
        <is>
          <t>Refill</t>
        </is>
      </c>
      <c r="D248" t="inlineStr">
        <is>
          <t>Primer Liso</t>
        </is>
      </c>
      <c r="E248" t="n">
        <v>1</v>
      </c>
      <c r="F248" t="inlineStr">
        <is>
          <t>2025-08-15</t>
        </is>
      </c>
      <c r="G248" t="n">
        <v>323</v>
      </c>
      <c r="H248" t="inlineStr">
        <is>
          <t>Y</t>
        </is>
      </c>
      <c r="I248">
        <f>HYPERLINK("https://admin.shopify.com/store/ge-beauty-cosmeticos/customers/9485684998464","abrir")</f>
        <v/>
      </c>
      <c r="J248">
        <f>HYPERLINK("https://www.gebeauty.com.br/products/primer-liso-intacto?ref=review","review")</f>
        <v/>
      </c>
      <c r="K248" t="inlineStr">
        <is>
          <t>HOLDOUT</t>
        </is>
      </c>
    </row>
    <row r="249">
      <c r="A249" t="inlineStr">
        <is>
          <t>Cristina</t>
        </is>
      </c>
      <c r="B249" t="inlineStr">
        <is>
          <t>+5515997884944</t>
        </is>
      </c>
      <c r="C249" t="inlineStr">
        <is>
          <t>Refill</t>
        </is>
      </c>
      <c r="D249" t="inlineStr">
        <is>
          <t>Primer Liso</t>
        </is>
      </c>
      <c r="E249" t="n">
        <v>1</v>
      </c>
      <c r="F249" t="inlineStr">
        <is>
          <t>2025-08-15</t>
        </is>
      </c>
      <c r="G249" t="n">
        <v>323</v>
      </c>
      <c r="H249" t="inlineStr">
        <is>
          <t>Y</t>
        </is>
      </c>
      <c r="I249">
        <f>HYPERLINK("https://admin.shopify.com/store/ge-beauty-cosmeticos/customers/9515952308544","abrir")</f>
        <v/>
      </c>
      <c r="J249">
        <f>HYPERLINK("https://www.gebeauty.com.br/products/primer-liso-intacto?ref=review","review")</f>
        <v/>
      </c>
      <c r="K249" t="inlineStr">
        <is>
          <t>HOLDOUT</t>
        </is>
      </c>
    </row>
    <row r="250">
      <c r="A250" t="inlineStr">
        <is>
          <t>Laura Maria</t>
        </is>
      </c>
      <c r="B250" t="inlineStr">
        <is>
          <t>+5517981361411</t>
        </is>
      </c>
      <c r="C250" t="inlineStr">
        <is>
          <t>Refill</t>
        </is>
      </c>
      <c r="D250" t="inlineStr">
        <is>
          <t>Primer Liso</t>
        </is>
      </c>
      <c r="E250" t="n">
        <v>1</v>
      </c>
      <c r="F250" t="inlineStr">
        <is>
          <t>2025-08-15</t>
        </is>
      </c>
      <c r="G250" t="n">
        <v>323</v>
      </c>
      <c r="H250" t="inlineStr">
        <is>
          <t>Y</t>
        </is>
      </c>
      <c r="I250">
        <f>HYPERLINK("https://admin.shopify.com/store/ge-beauty-cosmeticos/customers/9552944300352","abrir")</f>
        <v/>
      </c>
      <c r="J250">
        <f>HYPERLINK("https://www.gebeauty.com.br/products/primer-liso-intacto?ref=review","review")</f>
        <v/>
      </c>
      <c r="K250" t="inlineStr">
        <is>
          <t>SEND</t>
        </is>
      </c>
    </row>
    <row r="251">
      <c r="A251" t="inlineStr">
        <is>
          <t>Danielly</t>
        </is>
      </c>
      <c r="B251" t="inlineStr">
        <is>
          <t>+5581988841141</t>
        </is>
      </c>
      <c r="C251" t="inlineStr">
        <is>
          <t>Refill</t>
        </is>
      </c>
      <c r="D251" t="inlineStr">
        <is>
          <t>Primer Liso</t>
        </is>
      </c>
      <c r="E251" t="n">
        <v>1</v>
      </c>
      <c r="F251" t="inlineStr">
        <is>
          <t>2025-08-15</t>
        </is>
      </c>
      <c r="G251" t="n">
        <v>323</v>
      </c>
      <c r="H251" t="inlineStr">
        <is>
          <t>Y</t>
        </is>
      </c>
      <c r="I251">
        <f>HYPERLINK("https://admin.shopify.com/store/ge-beauty-cosmeticos/customers/7761619976512","abrir")</f>
        <v/>
      </c>
      <c r="J251">
        <f>HYPERLINK("https://www.gebeauty.com.br/products/primer-liso-intacto?ref=review","review")</f>
        <v/>
      </c>
      <c r="K251" t="inlineStr">
        <is>
          <t>SEND</t>
        </is>
      </c>
    </row>
    <row r="252">
      <c r="A252" t="inlineStr">
        <is>
          <t>Shayna</t>
        </is>
      </c>
      <c r="B252" t="inlineStr">
        <is>
          <t>+5521964175814</t>
        </is>
      </c>
      <c r="C252" t="inlineStr">
        <is>
          <t>Refill</t>
        </is>
      </c>
      <c r="D252" t="inlineStr">
        <is>
          <t>Primer Liso</t>
        </is>
      </c>
      <c r="E252" t="n">
        <v>1</v>
      </c>
      <c r="F252" t="inlineStr">
        <is>
          <t>2025-08-15</t>
        </is>
      </c>
      <c r="G252" t="n">
        <v>323</v>
      </c>
      <c r="H252" t="inlineStr">
        <is>
          <t>Y</t>
        </is>
      </c>
      <c r="I252">
        <f>HYPERLINK("https://admin.shopify.com/store/ge-beauty-cosmeticos/customers/9271248486720","abrir")</f>
        <v/>
      </c>
      <c r="J252">
        <f>HYPERLINK("https://www.gebeauty.com.br/products/primer-liso-intacto?ref=review","review")</f>
        <v/>
      </c>
      <c r="K252" t="inlineStr">
        <is>
          <t>SEND</t>
        </is>
      </c>
    </row>
    <row r="253">
      <c r="A253" t="inlineStr">
        <is>
          <t>Lucas</t>
        </is>
      </c>
      <c r="B253" t="inlineStr">
        <is>
          <t>+5511972776427</t>
        </is>
      </c>
      <c r="C253" t="inlineStr">
        <is>
          <t>Refill</t>
        </is>
      </c>
      <c r="D253" t="inlineStr">
        <is>
          <t>Primer Liso</t>
        </is>
      </c>
      <c r="E253" t="n">
        <v>1</v>
      </c>
      <c r="F253" t="inlineStr">
        <is>
          <t>2025-08-15</t>
        </is>
      </c>
      <c r="G253" t="n">
        <v>323</v>
      </c>
      <c r="H253" t="inlineStr">
        <is>
          <t>Y</t>
        </is>
      </c>
      <c r="I253">
        <f>HYPERLINK("https://admin.shopify.com/store/ge-beauty-cosmeticos/customers/7761768710464","abrir")</f>
        <v/>
      </c>
      <c r="J253">
        <f>HYPERLINK("https://www.gebeauty.com.br/products/primer-liso-intacto?ref=review","review")</f>
        <v/>
      </c>
      <c r="K253" t="inlineStr">
        <is>
          <t>SEND</t>
        </is>
      </c>
    </row>
    <row r="254">
      <c r="A254" t="inlineStr">
        <is>
          <t>Renata</t>
        </is>
      </c>
      <c r="B254" t="inlineStr">
        <is>
          <t>+5527981523399</t>
        </is>
      </c>
      <c r="C254" t="inlineStr">
        <is>
          <t>Refill</t>
        </is>
      </c>
      <c r="D254" t="inlineStr">
        <is>
          <t>Primer Liso</t>
        </is>
      </c>
      <c r="E254" t="n">
        <v>1</v>
      </c>
      <c r="F254" t="inlineStr">
        <is>
          <t>2025-08-15</t>
        </is>
      </c>
      <c r="G254" t="n">
        <v>323</v>
      </c>
      <c r="H254" t="inlineStr">
        <is>
          <t>Y</t>
        </is>
      </c>
      <c r="I254">
        <f>HYPERLINK("https://admin.shopify.com/store/ge-beauty-cosmeticos/customers/9553847615808","abrir")</f>
        <v/>
      </c>
      <c r="J254">
        <f>HYPERLINK("https://www.gebeauty.com.br/products/primer-liso-intacto?ref=review","review")</f>
        <v/>
      </c>
      <c r="K254" t="inlineStr">
        <is>
          <t>SEND</t>
        </is>
      </c>
    </row>
    <row r="255">
      <c r="A255" t="inlineStr">
        <is>
          <t>Mariana</t>
        </is>
      </c>
      <c r="B255" t="inlineStr">
        <is>
          <t>+5571981276804</t>
        </is>
      </c>
      <c r="C255" t="inlineStr">
        <is>
          <t>Refill</t>
        </is>
      </c>
      <c r="D255" t="inlineStr">
        <is>
          <t>Primer Liso</t>
        </is>
      </c>
      <c r="E255" t="n">
        <v>1</v>
      </c>
      <c r="F255" t="inlineStr">
        <is>
          <t>2025-08-15</t>
        </is>
      </c>
      <c r="G255" t="n">
        <v>323</v>
      </c>
      <c r="H255" t="inlineStr">
        <is>
          <t>Y</t>
        </is>
      </c>
      <c r="I255">
        <f>HYPERLINK("https://admin.shopify.com/store/ge-beauty-cosmeticos/customers/9485432291648","abrir")</f>
        <v/>
      </c>
      <c r="J255">
        <f>HYPERLINK("https://www.gebeauty.com.br/products/primer-liso-intacto?ref=review","review")</f>
        <v/>
      </c>
      <c r="K255" t="inlineStr">
        <is>
          <t>SEND</t>
        </is>
      </c>
    </row>
    <row r="256">
      <c r="A256" t="inlineStr">
        <is>
          <t>Laura</t>
        </is>
      </c>
      <c r="B256" t="inlineStr">
        <is>
          <t>+5511994264061</t>
        </is>
      </c>
      <c r="C256" t="inlineStr">
        <is>
          <t>Refill</t>
        </is>
      </c>
      <c r="D256" t="inlineStr">
        <is>
          <t>Primer Liso</t>
        </is>
      </c>
      <c r="E256" t="n">
        <v>1</v>
      </c>
      <c r="F256" t="inlineStr">
        <is>
          <t>2025-08-15</t>
        </is>
      </c>
      <c r="G256" t="n">
        <v>323</v>
      </c>
      <c r="H256" t="inlineStr">
        <is>
          <t>Y</t>
        </is>
      </c>
      <c r="I256">
        <f>HYPERLINK("https://admin.shopify.com/store/ge-beauty-cosmeticos/customers/7760203022656","abrir")</f>
        <v/>
      </c>
      <c r="J256">
        <f>HYPERLINK("https://www.gebeauty.com.br/products/primer-liso-intacto?ref=review","review")</f>
        <v/>
      </c>
      <c r="K256" t="inlineStr">
        <is>
          <t>SEND</t>
        </is>
      </c>
    </row>
    <row r="257">
      <c r="A257" t="inlineStr">
        <is>
          <t>Natalia</t>
        </is>
      </c>
      <c r="B257" t="inlineStr">
        <is>
          <t>+5521964586850</t>
        </is>
      </c>
      <c r="C257" t="inlineStr">
        <is>
          <t>Refill</t>
        </is>
      </c>
      <c r="D257" t="inlineStr">
        <is>
          <t>Primer Liso</t>
        </is>
      </c>
      <c r="E257" t="n">
        <v>1</v>
      </c>
      <c r="F257" t="inlineStr">
        <is>
          <t>2025-08-15</t>
        </is>
      </c>
      <c r="G257" t="n">
        <v>323</v>
      </c>
      <c r="H257" t="inlineStr">
        <is>
          <t>Y</t>
        </is>
      </c>
      <c r="I257">
        <f>HYPERLINK("https://admin.shopify.com/store/ge-beauty-cosmeticos/customers/7762010210624","abrir")</f>
        <v/>
      </c>
      <c r="J257">
        <f>HYPERLINK("https://www.gebeauty.com.br/products/primer-liso-intacto?ref=review","review")</f>
        <v/>
      </c>
      <c r="K257" t="inlineStr">
        <is>
          <t>HOLDOUT</t>
        </is>
      </c>
    </row>
    <row r="258">
      <c r="A258" t="inlineStr">
        <is>
          <t>Lucimary</t>
        </is>
      </c>
      <c r="B258" t="inlineStr">
        <is>
          <t>+5511981026533</t>
        </is>
      </c>
      <c r="C258" t="inlineStr">
        <is>
          <t>Refill</t>
        </is>
      </c>
      <c r="D258" t="inlineStr">
        <is>
          <t>Primer Liso</t>
        </is>
      </c>
      <c r="E258" t="n">
        <v>1</v>
      </c>
      <c r="F258" t="inlineStr">
        <is>
          <t>2025-08-15</t>
        </is>
      </c>
      <c r="G258" t="n">
        <v>323</v>
      </c>
      <c r="H258" t="inlineStr">
        <is>
          <t>Y</t>
        </is>
      </c>
      <c r="I258">
        <f>HYPERLINK("https://admin.shopify.com/store/ge-beauty-cosmeticos/customers/9511186661696","abrir")</f>
        <v/>
      </c>
      <c r="J258">
        <f>HYPERLINK("https://www.gebeauty.com.br/products/primer-liso-intacto?ref=review","review")</f>
        <v/>
      </c>
      <c r="K258" t="inlineStr">
        <is>
          <t>SEND</t>
        </is>
      </c>
    </row>
    <row r="259">
      <c r="A259" t="inlineStr">
        <is>
          <t>Renata</t>
        </is>
      </c>
      <c r="B259" t="inlineStr">
        <is>
          <t>+5592981598551</t>
        </is>
      </c>
      <c r="C259" t="inlineStr">
        <is>
          <t>Refill</t>
        </is>
      </c>
      <c r="D259" t="inlineStr">
        <is>
          <t>Primer Liso</t>
        </is>
      </c>
      <c r="E259" t="n">
        <v>1</v>
      </c>
      <c r="F259" t="inlineStr">
        <is>
          <t>2025-08-16</t>
        </is>
      </c>
      <c r="G259" t="n">
        <v>322</v>
      </c>
      <c r="H259" t="inlineStr">
        <is>
          <t>Y</t>
        </is>
      </c>
      <c r="I259">
        <f>HYPERLINK("https://admin.shopify.com/store/ge-beauty-cosmeticos/customers/9555382370624","abrir")</f>
        <v/>
      </c>
      <c r="J259">
        <f>HYPERLINK("https://www.gebeauty.com.br/products/primer-liso-intacto?ref=review","review")</f>
        <v/>
      </c>
      <c r="K259" t="inlineStr">
        <is>
          <t>SEND</t>
        </is>
      </c>
    </row>
    <row r="260">
      <c r="A260" t="inlineStr">
        <is>
          <t>Beatriz</t>
        </is>
      </c>
      <c r="B260" t="inlineStr">
        <is>
          <t>+5511999279450</t>
        </is>
      </c>
      <c r="C260" t="inlineStr">
        <is>
          <t>Refill</t>
        </is>
      </c>
      <c r="D260" t="inlineStr">
        <is>
          <t>Primer Liso</t>
        </is>
      </c>
      <c r="E260" t="n">
        <v>1</v>
      </c>
      <c r="F260" t="inlineStr">
        <is>
          <t>2025-08-16</t>
        </is>
      </c>
      <c r="G260" t="n">
        <v>322</v>
      </c>
      <c r="H260" t="inlineStr">
        <is>
          <t>Y</t>
        </is>
      </c>
      <c r="I260">
        <f>HYPERLINK("https://admin.shopify.com/store/ge-beauty-cosmeticos/customers/9555532448064","abrir")</f>
        <v/>
      </c>
      <c r="J260">
        <f>HYPERLINK("https://www.gebeauty.com.br/products/primer-liso-intacto?ref=review","review")</f>
        <v/>
      </c>
      <c r="K260" t="inlineStr">
        <is>
          <t>SEND</t>
        </is>
      </c>
    </row>
    <row r="261">
      <c r="A261" t="inlineStr">
        <is>
          <t>Juliana</t>
        </is>
      </c>
      <c r="B261" t="inlineStr">
        <is>
          <t>+5531987021692</t>
        </is>
      </c>
      <c r="C261" t="inlineStr">
        <is>
          <t>Refill</t>
        </is>
      </c>
      <c r="D261" t="inlineStr">
        <is>
          <t>Primer Liso</t>
        </is>
      </c>
      <c r="E261" t="n">
        <v>1</v>
      </c>
      <c r="F261" t="inlineStr">
        <is>
          <t>2025-08-16</t>
        </is>
      </c>
      <c r="G261" t="n">
        <v>322</v>
      </c>
      <c r="H261" t="inlineStr">
        <is>
          <t>Y</t>
        </is>
      </c>
      <c r="I261">
        <f>HYPERLINK("https://admin.shopify.com/store/ge-beauty-cosmeticos/customers/9532640985408","abrir")</f>
        <v/>
      </c>
      <c r="J261">
        <f>HYPERLINK("https://www.gebeauty.com.br/products/primer-liso-intacto?ref=review","review")</f>
        <v/>
      </c>
      <c r="K261" t="inlineStr">
        <is>
          <t>SEND</t>
        </is>
      </c>
    </row>
    <row r="262">
      <c r="A262" t="inlineStr">
        <is>
          <t>Debora</t>
        </is>
      </c>
      <c r="B262" t="inlineStr">
        <is>
          <t>+5519996155102</t>
        </is>
      </c>
      <c r="C262" t="inlineStr">
        <is>
          <t>Refill</t>
        </is>
      </c>
      <c r="D262" t="inlineStr">
        <is>
          <t>Primer Liso</t>
        </is>
      </c>
      <c r="E262" t="n">
        <v>1</v>
      </c>
      <c r="F262" t="inlineStr">
        <is>
          <t>2025-08-16</t>
        </is>
      </c>
      <c r="G262" t="n">
        <v>322</v>
      </c>
      <c r="H262" t="inlineStr">
        <is>
          <t>Y</t>
        </is>
      </c>
      <c r="I262">
        <f>HYPERLINK("https://admin.shopify.com/store/ge-beauty-cosmeticos/customers/9486549713216","abrir")</f>
        <v/>
      </c>
      <c r="J262">
        <f>HYPERLINK("https://www.gebeauty.com.br/products/primer-liso-intacto?ref=review","review")</f>
        <v/>
      </c>
      <c r="K262" t="inlineStr">
        <is>
          <t>HOLDOUT</t>
        </is>
      </c>
    </row>
    <row r="263">
      <c r="A263" t="inlineStr">
        <is>
          <t>Monique</t>
        </is>
      </c>
      <c r="B263" t="inlineStr">
        <is>
          <t>+5554991176491</t>
        </is>
      </c>
      <c r="C263" t="inlineStr">
        <is>
          <t>Refill</t>
        </is>
      </c>
      <c r="D263" t="inlineStr">
        <is>
          <t>Primer Liso</t>
        </is>
      </c>
      <c r="E263" t="n">
        <v>1</v>
      </c>
      <c r="F263" t="inlineStr">
        <is>
          <t>2025-08-16</t>
        </is>
      </c>
      <c r="G263" t="n">
        <v>322</v>
      </c>
      <c r="H263" t="inlineStr">
        <is>
          <t>N</t>
        </is>
      </c>
      <c r="I263">
        <f>HYPERLINK("https://admin.shopify.com/store/ge-beauty-cosmeticos/customers/9522622333248","abrir")</f>
        <v/>
      </c>
      <c r="J263">
        <f>HYPERLINK("https://www.gebeauty.com.br/products/primer-liso-intacto?ref=review","review")</f>
        <v/>
      </c>
      <c r="K263" t="inlineStr">
        <is>
          <t>SEND</t>
        </is>
      </c>
    </row>
    <row r="264">
      <c r="A264" t="inlineStr">
        <is>
          <t>Sirene</t>
        </is>
      </c>
      <c r="B264" t="inlineStr">
        <is>
          <t>+5594991440540</t>
        </is>
      </c>
      <c r="C264" t="inlineStr">
        <is>
          <t>Refill</t>
        </is>
      </c>
      <c r="D264" t="inlineStr">
        <is>
          <t>Primer Liso</t>
        </is>
      </c>
      <c r="E264" t="n">
        <v>1</v>
      </c>
      <c r="F264" t="inlineStr">
        <is>
          <t>2025-08-16</t>
        </is>
      </c>
      <c r="G264" t="n">
        <v>322</v>
      </c>
      <c r="H264" t="inlineStr">
        <is>
          <t>Y</t>
        </is>
      </c>
      <c r="I264">
        <f>HYPERLINK("https://admin.shopify.com/store/ge-beauty-cosmeticos/customers/9557336293696","abrir")</f>
        <v/>
      </c>
      <c r="J264">
        <f>HYPERLINK("https://www.gebeauty.com.br/products/primer-liso-intacto?ref=review","review")</f>
        <v/>
      </c>
      <c r="K264" t="inlineStr">
        <is>
          <t>SEND</t>
        </is>
      </c>
    </row>
    <row r="265">
      <c r="A265" t="inlineStr">
        <is>
          <t>Nathalia</t>
        </is>
      </c>
      <c r="B265" t="inlineStr">
        <is>
          <t>+5511974247975</t>
        </is>
      </c>
      <c r="C265" t="inlineStr">
        <is>
          <t>Refill</t>
        </is>
      </c>
      <c r="D265" t="inlineStr">
        <is>
          <t>Primer Liso</t>
        </is>
      </c>
      <c r="E265" t="n">
        <v>1</v>
      </c>
      <c r="F265" t="inlineStr">
        <is>
          <t>2025-08-16</t>
        </is>
      </c>
      <c r="G265" t="n">
        <v>322</v>
      </c>
      <c r="H265" t="inlineStr">
        <is>
          <t>Y</t>
        </is>
      </c>
      <c r="I265">
        <f>HYPERLINK("https://admin.shopify.com/store/ge-beauty-cosmeticos/customers/9560185110848","abrir")</f>
        <v/>
      </c>
      <c r="J265">
        <f>HYPERLINK("https://www.gebeauty.com.br/products/primer-liso-intacto?ref=review","review")</f>
        <v/>
      </c>
      <c r="K265" t="inlineStr">
        <is>
          <t>SEND</t>
        </is>
      </c>
    </row>
    <row r="266">
      <c r="A266" t="inlineStr">
        <is>
          <t>Kethelyn</t>
        </is>
      </c>
      <c r="B266" t="inlineStr">
        <is>
          <t>+5541999320661</t>
        </is>
      </c>
      <c r="C266" t="inlineStr">
        <is>
          <t>Refill</t>
        </is>
      </c>
      <c r="D266" t="inlineStr">
        <is>
          <t>Primer Liso</t>
        </is>
      </c>
      <c r="E266" t="n">
        <v>1</v>
      </c>
      <c r="F266" t="inlineStr">
        <is>
          <t>2025-08-16</t>
        </is>
      </c>
      <c r="G266" t="n">
        <v>322</v>
      </c>
      <c r="H266" t="inlineStr">
        <is>
          <t>Y</t>
        </is>
      </c>
      <c r="I266">
        <f>HYPERLINK("https://admin.shopify.com/store/ge-beauty-cosmeticos/customers/9537868726592","abrir")</f>
        <v/>
      </c>
      <c r="J266">
        <f>HYPERLINK("https://www.gebeauty.com.br/products/primer-liso-intacto?ref=review","review")</f>
        <v/>
      </c>
      <c r="K266" t="inlineStr">
        <is>
          <t>SEND</t>
        </is>
      </c>
    </row>
    <row r="267">
      <c r="A267" t="inlineStr">
        <is>
          <t>Suellen</t>
        </is>
      </c>
      <c r="B267" t="inlineStr">
        <is>
          <t>+5521967535677</t>
        </is>
      </c>
      <c r="C267" t="inlineStr">
        <is>
          <t>Refill</t>
        </is>
      </c>
      <c r="D267" t="inlineStr">
        <is>
          <t>Primer Liso</t>
        </is>
      </c>
      <c r="E267" t="n">
        <v>1</v>
      </c>
      <c r="F267" t="inlineStr">
        <is>
          <t>2025-08-17</t>
        </is>
      </c>
      <c r="G267" t="n">
        <v>321</v>
      </c>
      <c r="H267" t="inlineStr">
        <is>
          <t>Y</t>
        </is>
      </c>
      <c r="I267">
        <f>HYPERLINK("https://admin.shopify.com/store/ge-beauty-cosmeticos/customers/9565180690752","abrir")</f>
        <v/>
      </c>
      <c r="J267">
        <f>HYPERLINK("https://www.gebeauty.com.br/products/primer-liso-intacto?ref=review","review")</f>
        <v/>
      </c>
      <c r="K267" t="inlineStr">
        <is>
          <t>SEND</t>
        </is>
      </c>
    </row>
    <row r="268">
      <c r="A268" t="inlineStr">
        <is>
          <t>Eduarda</t>
        </is>
      </c>
      <c r="B268" t="inlineStr">
        <is>
          <t>+5583996320161</t>
        </is>
      </c>
      <c r="C268" t="inlineStr">
        <is>
          <t>Refill</t>
        </is>
      </c>
      <c r="D268" t="inlineStr">
        <is>
          <t>Primer Liso</t>
        </is>
      </c>
      <c r="E268" t="n">
        <v>1</v>
      </c>
      <c r="F268" t="inlineStr">
        <is>
          <t>2025-08-17</t>
        </is>
      </c>
      <c r="G268" t="n">
        <v>321</v>
      </c>
      <c r="H268" t="inlineStr">
        <is>
          <t>Y</t>
        </is>
      </c>
      <c r="I268">
        <f>HYPERLINK("https://admin.shopify.com/store/ge-beauty-cosmeticos/customers/9485866729792","abrir")</f>
        <v/>
      </c>
      <c r="J268">
        <f>HYPERLINK("https://www.gebeauty.com.br/products/primer-liso-intacto?ref=review","review")</f>
        <v/>
      </c>
      <c r="K268" t="inlineStr">
        <is>
          <t>SEND</t>
        </is>
      </c>
    </row>
    <row r="269">
      <c r="A269" t="inlineStr">
        <is>
          <t>Ana</t>
        </is>
      </c>
      <c r="B269" t="inlineStr">
        <is>
          <t>+5541991856600</t>
        </is>
      </c>
      <c r="C269" t="inlineStr">
        <is>
          <t>Refill</t>
        </is>
      </c>
      <c r="D269" t="inlineStr">
        <is>
          <t>Primer Liso</t>
        </is>
      </c>
      <c r="E269" t="n">
        <v>1</v>
      </c>
      <c r="F269" t="inlineStr">
        <is>
          <t>2025-08-17</t>
        </is>
      </c>
      <c r="G269" t="n">
        <v>321</v>
      </c>
      <c r="H269" t="inlineStr">
        <is>
          <t>Y</t>
        </is>
      </c>
      <c r="I269">
        <f>HYPERLINK("https://admin.shopify.com/store/ge-beauty-cosmeticos/customers/9486379745600","abrir")</f>
        <v/>
      </c>
      <c r="J269">
        <f>HYPERLINK("https://www.gebeauty.com.br/products/primer-liso-intacto?ref=review","review")</f>
        <v/>
      </c>
      <c r="K269" t="inlineStr">
        <is>
          <t>SEND</t>
        </is>
      </c>
    </row>
    <row r="270">
      <c r="A270" t="inlineStr">
        <is>
          <t>Camila</t>
        </is>
      </c>
      <c r="B270" t="inlineStr">
        <is>
          <t>+5534999441679</t>
        </is>
      </c>
      <c r="C270" t="inlineStr">
        <is>
          <t>Refill</t>
        </is>
      </c>
      <c r="D270" t="inlineStr">
        <is>
          <t>Primer Liso</t>
        </is>
      </c>
      <c r="E270" t="n">
        <v>1</v>
      </c>
      <c r="F270" t="inlineStr">
        <is>
          <t>2025-08-17</t>
        </is>
      </c>
      <c r="G270" t="n">
        <v>321</v>
      </c>
      <c r="H270" t="inlineStr">
        <is>
          <t>Y</t>
        </is>
      </c>
      <c r="I270">
        <f>HYPERLINK("https://admin.shopify.com/store/ge-beauty-cosmeticos/customers/9485798539584","abrir")</f>
        <v/>
      </c>
      <c r="J270">
        <f>HYPERLINK("https://www.gebeauty.com.br/products/primer-liso-intacto?ref=review","review")</f>
        <v/>
      </c>
      <c r="K270" t="inlineStr">
        <is>
          <t>SEND</t>
        </is>
      </c>
    </row>
    <row r="271">
      <c r="A271" t="inlineStr">
        <is>
          <t>Helena</t>
        </is>
      </c>
      <c r="B271" t="inlineStr">
        <is>
          <t>+5511961977030</t>
        </is>
      </c>
      <c r="C271" t="inlineStr">
        <is>
          <t>Refill</t>
        </is>
      </c>
      <c r="D271" t="inlineStr">
        <is>
          <t>Primer Liso</t>
        </is>
      </c>
      <c r="E271" t="n">
        <v>1</v>
      </c>
      <c r="F271" t="inlineStr">
        <is>
          <t>2025-08-17</t>
        </is>
      </c>
      <c r="G271" t="n">
        <v>321</v>
      </c>
      <c r="H271" t="inlineStr">
        <is>
          <t>Y</t>
        </is>
      </c>
      <c r="I271">
        <f>HYPERLINK("https://admin.shopify.com/store/ge-beauty-cosmeticos/customers/9567894470976","abrir")</f>
        <v/>
      </c>
      <c r="J271">
        <f>HYPERLINK("https://www.gebeauty.com.br/products/primer-liso-intacto?ref=review","review")</f>
        <v/>
      </c>
      <c r="K271" t="inlineStr">
        <is>
          <t>SEND</t>
        </is>
      </c>
    </row>
    <row r="272">
      <c r="A272" t="inlineStr">
        <is>
          <t>Amanda</t>
        </is>
      </c>
      <c r="B272" t="inlineStr">
        <is>
          <t>+5551995190779</t>
        </is>
      </c>
      <c r="C272" t="inlineStr">
        <is>
          <t>Refill</t>
        </is>
      </c>
      <c r="D272" t="inlineStr">
        <is>
          <t>Primer Liso</t>
        </is>
      </c>
      <c r="E272" t="n">
        <v>1</v>
      </c>
      <c r="F272" t="inlineStr">
        <is>
          <t>2025-08-18</t>
        </is>
      </c>
      <c r="G272" t="n">
        <v>320</v>
      </c>
      <c r="H272" t="inlineStr">
        <is>
          <t>Y</t>
        </is>
      </c>
      <c r="I272">
        <f>HYPERLINK("https://admin.shopify.com/store/ge-beauty-cosmeticos/customers/7761463705920","abrir")</f>
        <v/>
      </c>
      <c r="J272">
        <f>HYPERLINK("https://www.gebeauty.com.br/products/primer-liso-intacto?ref=review","review")</f>
        <v/>
      </c>
      <c r="K272" t="inlineStr">
        <is>
          <t>SEND</t>
        </is>
      </c>
    </row>
    <row r="273">
      <c r="A273" t="inlineStr">
        <is>
          <t>Andrea</t>
        </is>
      </c>
      <c r="B273" t="inlineStr">
        <is>
          <t>+5512981110093</t>
        </is>
      </c>
      <c r="C273" t="inlineStr">
        <is>
          <t>Refill</t>
        </is>
      </c>
      <c r="D273" t="inlineStr">
        <is>
          <t>Primer Liso</t>
        </is>
      </c>
      <c r="E273" t="n">
        <v>1</v>
      </c>
      <c r="F273" t="inlineStr">
        <is>
          <t>2025-08-18</t>
        </is>
      </c>
      <c r="G273" t="n">
        <v>320</v>
      </c>
      <c r="H273" t="inlineStr">
        <is>
          <t>Y</t>
        </is>
      </c>
      <c r="I273">
        <f>HYPERLINK("https://admin.shopify.com/store/ge-beauty-cosmeticos/customers/9571132834112","abrir")</f>
        <v/>
      </c>
      <c r="J273">
        <f>HYPERLINK("https://www.gebeauty.com.br/products/primer-liso-intacto?ref=review","review")</f>
        <v/>
      </c>
      <c r="K273" t="inlineStr">
        <is>
          <t>SEND</t>
        </is>
      </c>
    </row>
    <row r="274">
      <c r="A274" t="inlineStr">
        <is>
          <t>Duda</t>
        </is>
      </c>
      <c r="B274" t="inlineStr">
        <is>
          <t>+5511974250285</t>
        </is>
      </c>
      <c r="C274" t="inlineStr">
        <is>
          <t>Refill</t>
        </is>
      </c>
      <c r="D274" t="inlineStr">
        <is>
          <t>Primer Liso</t>
        </is>
      </c>
      <c r="E274" t="n">
        <v>1</v>
      </c>
      <c r="F274" t="inlineStr">
        <is>
          <t>2025-08-18</t>
        </is>
      </c>
      <c r="G274" t="n">
        <v>320</v>
      </c>
      <c r="H274" t="inlineStr">
        <is>
          <t>Y</t>
        </is>
      </c>
      <c r="I274">
        <f>HYPERLINK("https://admin.shopify.com/store/ge-beauty-cosmeticos/customers/9571792912704","abrir")</f>
        <v/>
      </c>
      <c r="J274">
        <f>HYPERLINK("https://www.gebeauty.com.br/products/primer-liso-intacto?ref=review","review")</f>
        <v/>
      </c>
      <c r="K274" t="inlineStr">
        <is>
          <t>SEND</t>
        </is>
      </c>
    </row>
    <row r="275">
      <c r="A275" t="inlineStr">
        <is>
          <t>Adalia</t>
        </is>
      </c>
      <c r="B275" t="inlineStr">
        <is>
          <t>+5598981155004</t>
        </is>
      </c>
      <c r="C275" t="inlineStr">
        <is>
          <t>Refill</t>
        </is>
      </c>
      <c r="D275" t="inlineStr">
        <is>
          <t>Primer Liso</t>
        </is>
      </c>
      <c r="E275" t="n">
        <v>1</v>
      </c>
      <c r="F275" t="inlineStr">
        <is>
          <t>2025-08-18</t>
        </is>
      </c>
      <c r="G275" t="n">
        <v>320</v>
      </c>
      <c r="H275" t="inlineStr">
        <is>
          <t>Y</t>
        </is>
      </c>
      <c r="I275">
        <f>HYPERLINK("https://admin.shopify.com/store/ge-beauty-cosmeticos/customers/8734637556032","abrir")</f>
        <v/>
      </c>
      <c r="J275">
        <f>HYPERLINK("https://www.gebeauty.com.br/products/primer-liso-intacto?ref=review","review")</f>
        <v/>
      </c>
      <c r="K275" t="inlineStr">
        <is>
          <t>HOLDOUT</t>
        </is>
      </c>
    </row>
    <row r="276">
      <c r="A276" t="inlineStr">
        <is>
          <t>Cecilia</t>
        </is>
      </c>
      <c r="B276" t="inlineStr">
        <is>
          <t>+5531971295858</t>
        </is>
      </c>
      <c r="C276" t="inlineStr">
        <is>
          <t>Refill</t>
        </is>
      </c>
      <c r="D276" t="inlineStr">
        <is>
          <t>Primer Liso</t>
        </is>
      </c>
      <c r="E276" t="n">
        <v>1</v>
      </c>
      <c r="F276" t="inlineStr">
        <is>
          <t>2025-08-18</t>
        </is>
      </c>
      <c r="G276" t="n">
        <v>320</v>
      </c>
      <c r="H276" t="inlineStr">
        <is>
          <t>Y</t>
        </is>
      </c>
      <c r="I276">
        <f>HYPERLINK("https://admin.shopify.com/store/ge-beauty-cosmeticos/customers/9571985850688","abrir")</f>
        <v/>
      </c>
      <c r="J276">
        <f>HYPERLINK("https://www.gebeauty.com.br/products/primer-liso-intacto?ref=review","review")</f>
        <v/>
      </c>
      <c r="K276" t="inlineStr">
        <is>
          <t>SEND</t>
        </is>
      </c>
    </row>
    <row r="277">
      <c r="A277" t="inlineStr">
        <is>
          <t>Daniela</t>
        </is>
      </c>
      <c r="B277" t="inlineStr">
        <is>
          <t>+5531998336937</t>
        </is>
      </c>
      <c r="C277" t="inlineStr">
        <is>
          <t>Refill</t>
        </is>
      </c>
      <c r="D277" t="inlineStr">
        <is>
          <t>Primer Liso</t>
        </is>
      </c>
      <c r="E277" t="n">
        <v>1</v>
      </c>
      <c r="F277" t="inlineStr">
        <is>
          <t>2025-08-18</t>
        </is>
      </c>
      <c r="G277" t="n">
        <v>320</v>
      </c>
      <c r="H277" t="inlineStr">
        <is>
          <t>Y</t>
        </is>
      </c>
      <c r="I277">
        <f>HYPERLINK("https://admin.shopify.com/store/ge-beauty-cosmeticos/customers/9572034675008","abrir")</f>
        <v/>
      </c>
      <c r="J277">
        <f>HYPERLINK("https://www.gebeauty.com.br/products/primer-liso-intacto?ref=review","review")</f>
        <v/>
      </c>
      <c r="K277" t="inlineStr">
        <is>
          <t>SEND</t>
        </is>
      </c>
    </row>
    <row r="278">
      <c r="A278" t="inlineStr">
        <is>
          <t>Tuany</t>
        </is>
      </c>
      <c r="B278" t="inlineStr">
        <is>
          <t>+5511966797366</t>
        </is>
      </c>
      <c r="C278" t="inlineStr">
        <is>
          <t>Refill</t>
        </is>
      </c>
      <c r="D278" t="inlineStr">
        <is>
          <t>Primer Liso</t>
        </is>
      </c>
      <c r="E278" t="n">
        <v>1</v>
      </c>
      <c r="F278" t="inlineStr">
        <is>
          <t>2025-09-30</t>
        </is>
      </c>
      <c r="G278" t="n">
        <v>277</v>
      </c>
      <c r="H278" t="inlineStr">
        <is>
          <t>Y</t>
        </is>
      </c>
      <c r="I278">
        <f>HYPERLINK("https://admin.shopify.com/store/ge-beauty-cosmeticos/customers/9572107813184","abrir")</f>
        <v/>
      </c>
      <c r="J278">
        <f>HYPERLINK("https://www.gebeauty.com.br/products/primer-liso-intacto?ref=review","review")</f>
        <v/>
      </c>
      <c r="K278" t="inlineStr">
        <is>
          <t>SEND</t>
        </is>
      </c>
    </row>
    <row r="279">
      <c r="A279" t="inlineStr">
        <is>
          <t>Amanda</t>
        </is>
      </c>
      <c r="B279" t="inlineStr">
        <is>
          <t>+5547991362650</t>
        </is>
      </c>
      <c r="C279" t="inlineStr">
        <is>
          <t>Refill</t>
        </is>
      </c>
      <c r="D279" t="inlineStr">
        <is>
          <t>Primer Liso</t>
        </is>
      </c>
      <c r="E279" t="n">
        <v>1</v>
      </c>
      <c r="F279" t="inlineStr">
        <is>
          <t>2025-08-18</t>
        </is>
      </c>
      <c r="G279" t="n">
        <v>320</v>
      </c>
      <c r="H279" t="inlineStr">
        <is>
          <t>Y</t>
        </is>
      </c>
      <c r="I279">
        <f>HYPERLINK("https://admin.shopify.com/store/ge-beauty-cosmeticos/customers/9572348625216","abrir")</f>
        <v/>
      </c>
      <c r="J279">
        <f>HYPERLINK("https://www.gebeauty.com.br/products/primer-liso-intacto?ref=review","review")</f>
        <v/>
      </c>
      <c r="K279" t="inlineStr">
        <is>
          <t>SEND</t>
        </is>
      </c>
    </row>
    <row r="280">
      <c r="A280" t="inlineStr">
        <is>
          <t>Erika</t>
        </is>
      </c>
      <c r="B280" t="inlineStr">
        <is>
          <t>+5511974660366</t>
        </is>
      </c>
      <c r="C280" t="inlineStr">
        <is>
          <t>Refill</t>
        </is>
      </c>
      <c r="D280" t="inlineStr">
        <is>
          <t>Primer Liso</t>
        </is>
      </c>
      <c r="E280" t="n">
        <v>1</v>
      </c>
      <c r="F280" t="inlineStr">
        <is>
          <t>2025-08-18</t>
        </is>
      </c>
      <c r="G280" t="n">
        <v>320</v>
      </c>
      <c r="H280" t="inlineStr">
        <is>
          <t>Y</t>
        </is>
      </c>
      <c r="I280">
        <f>HYPERLINK("https://admin.shopify.com/store/ge-beauty-cosmeticos/customers/9572460298560","abrir")</f>
        <v/>
      </c>
      <c r="J280">
        <f>HYPERLINK("https://www.gebeauty.com.br/products/primer-liso-intacto?ref=review","review")</f>
        <v/>
      </c>
      <c r="K280" t="inlineStr">
        <is>
          <t>SEND</t>
        </is>
      </c>
    </row>
    <row r="281">
      <c r="A281" t="inlineStr">
        <is>
          <t>Margareth</t>
        </is>
      </c>
      <c r="B281" t="inlineStr">
        <is>
          <t>+5524988059498</t>
        </is>
      </c>
      <c r="C281" t="inlineStr">
        <is>
          <t>Refill</t>
        </is>
      </c>
      <c r="D281" t="inlineStr">
        <is>
          <t>Primer Liso</t>
        </is>
      </c>
      <c r="E281" t="n">
        <v>1</v>
      </c>
      <c r="F281" t="inlineStr">
        <is>
          <t>2025-08-18</t>
        </is>
      </c>
      <c r="G281" t="n">
        <v>320</v>
      </c>
      <c r="H281" t="inlineStr">
        <is>
          <t>Y</t>
        </is>
      </c>
      <c r="I281">
        <f>HYPERLINK("https://admin.shopify.com/store/ge-beauty-cosmeticos/customers/9572489527616","abrir")</f>
        <v/>
      </c>
      <c r="J281">
        <f>HYPERLINK("https://www.gebeauty.com.br/products/primer-liso-intacto?ref=review","review")</f>
        <v/>
      </c>
      <c r="K281" t="inlineStr">
        <is>
          <t>SEND</t>
        </is>
      </c>
    </row>
    <row r="282">
      <c r="A282" t="inlineStr">
        <is>
          <t>Nathalia</t>
        </is>
      </c>
      <c r="B282" t="inlineStr">
        <is>
          <t>+5583999447777</t>
        </is>
      </c>
      <c r="C282" t="inlineStr">
        <is>
          <t>Refill</t>
        </is>
      </c>
      <c r="D282" t="inlineStr">
        <is>
          <t>Primer Liso</t>
        </is>
      </c>
      <c r="E282" t="n">
        <v>1</v>
      </c>
      <c r="F282" t="inlineStr">
        <is>
          <t>2025-08-19</t>
        </is>
      </c>
      <c r="G282" t="n">
        <v>319</v>
      </c>
      <c r="H282" t="inlineStr">
        <is>
          <t>Y</t>
        </is>
      </c>
      <c r="I282">
        <f>HYPERLINK("https://admin.shopify.com/store/ge-beauty-cosmeticos/customers/9574024151360","abrir")</f>
        <v/>
      </c>
      <c r="J282">
        <f>HYPERLINK("https://www.gebeauty.com.br/products/primer-liso-intacto?ref=review","review")</f>
        <v/>
      </c>
      <c r="K282" t="inlineStr">
        <is>
          <t>SEND</t>
        </is>
      </c>
    </row>
    <row r="283">
      <c r="A283" t="inlineStr">
        <is>
          <t>Marília</t>
        </is>
      </c>
      <c r="B283" t="inlineStr">
        <is>
          <t>+5511998222899</t>
        </is>
      </c>
      <c r="C283" t="inlineStr">
        <is>
          <t>Refill</t>
        </is>
      </c>
      <c r="D283" t="inlineStr">
        <is>
          <t>Primer Liso</t>
        </is>
      </c>
      <c r="E283" t="n">
        <v>1</v>
      </c>
      <c r="F283" t="inlineStr">
        <is>
          <t>2025-08-19</t>
        </is>
      </c>
      <c r="G283" t="n">
        <v>319</v>
      </c>
      <c r="H283" t="inlineStr">
        <is>
          <t>Y</t>
        </is>
      </c>
      <c r="I283">
        <f>HYPERLINK("https://admin.shopify.com/store/ge-beauty-cosmeticos/customers/9553127014720","abrir")</f>
        <v/>
      </c>
      <c r="J283">
        <f>HYPERLINK("https://www.gebeauty.com.br/products/primer-liso-intacto?ref=review","review")</f>
        <v/>
      </c>
      <c r="K283" t="inlineStr">
        <is>
          <t>SEND</t>
        </is>
      </c>
    </row>
    <row r="284">
      <c r="A284" t="inlineStr">
        <is>
          <t>Tania</t>
        </is>
      </c>
      <c r="B284" t="inlineStr">
        <is>
          <t>+5562985757282</t>
        </is>
      </c>
      <c r="C284" t="inlineStr">
        <is>
          <t>Refill</t>
        </is>
      </c>
      <c r="D284" t="inlineStr">
        <is>
          <t>Primer Liso</t>
        </is>
      </c>
      <c r="E284" t="n">
        <v>1</v>
      </c>
      <c r="F284" t="inlineStr">
        <is>
          <t>2025-08-19</t>
        </is>
      </c>
      <c r="G284" t="n">
        <v>319</v>
      </c>
      <c r="H284" t="inlineStr">
        <is>
          <t>Y</t>
        </is>
      </c>
      <c r="I284">
        <f>HYPERLINK("https://admin.shopify.com/store/ge-beauty-cosmeticos/customers/9256766964032","abrir")</f>
        <v/>
      </c>
      <c r="J284">
        <f>HYPERLINK("https://www.gebeauty.com.br/products/primer-liso-intacto?ref=review","review")</f>
        <v/>
      </c>
      <c r="K284" t="inlineStr">
        <is>
          <t>SEND</t>
        </is>
      </c>
    </row>
    <row r="285">
      <c r="A285" t="inlineStr">
        <is>
          <t>Priscila</t>
        </is>
      </c>
      <c r="B285" t="inlineStr">
        <is>
          <t>+5516999677925</t>
        </is>
      </c>
      <c r="C285" t="inlineStr">
        <is>
          <t>Refill</t>
        </is>
      </c>
      <c r="D285" t="inlineStr">
        <is>
          <t>Primer Liso</t>
        </is>
      </c>
      <c r="E285" t="n">
        <v>1</v>
      </c>
      <c r="F285" t="inlineStr">
        <is>
          <t>2025-08-19</t>
        </is>
      </c>
      <c r="G285" t="n">
        <v>319</v>
      </c>
      <c r="H285" t="inlineStr">
        <is>
          <t>Y</t>
        </is>
      </c>
      <c r="I285">
        <f>HYPERLINK("https://admin.shopify.com/store/ge-beauty-cosmeticos/customers/9576180842816","abrir")</f>
        <v/>
      </c>
      <c r="J285">
        <f>HYPERLINK("https://www.gebeauty.com.br/products/primer-liso-intacto?ref=review","review")</f>
        <v/>
      </c>
      <c r="K285" t="inlineStr">
        <is>
          <t>SEND</t>
        </is>
      </c>
    </row>
    <row r="286">
      <c r="A286" t="inlineStr">
        <is>
          <t>Jessica</t>
        </is>
      </c>
      <c r="B286" t="inlineStr">
        <is>
          <t>+5544988181490</t>
        </is>
      </c>
      <c r="C286" t="inlineStr">
        <is>
          <t>Refill</t>
        </is>
      </c>
      <c r="D286" t="inlineStr">
        <is>
          <t>Primer Liso</t>
        </is>
      </c>
      <c r="E286" t="n">
        <v>1</v>
      </c>
      <c r="F286" t="inlineStr">
        <is>
          <t>2025-08-19</t>
        </is>
      </c>
      <c r="G286" t="n">
        <v>319</v>
      </c>
      <c r="H286" t="inlineStr">
        <is>
          <t>Y</t>
        </is>
      </c>
      <c r="I286">
        <f>HYPERLINK("https://admin.shopify.com/store/ge-beauty-cosmeticos/customers/9486392131904","abrir")</f>
        <v/>
      </c>
      <c r="J286">
        <f>HYPERLINK("https://www.gebeauty.com.br/products/primer-liso-intacto?ref=review","review")</f>
        <v/>
      </c>
      <c r="K286" t="inlineStr">
        <is>
          <t>SEND</t>
        </is>
      </c>
    </row>
    <row r="287">
      <c r="A287" t="inlineStr">
        <is>
          <t>Helena</t>
        </is>
      </c>
      <c r="B287" t="inlineStr">
        <is>
          <t>+5551998149125</t>
        </is>
      </c>
      <c r="C287" t="inlineStr">
        <is>
          <t>Refill</t>
        </is>
      </c>
      <c r="D287" t="inlineStr">
        <is>
          <t>Primer Liso</t>
        </is>
      </c>
      <c r="E287" t="n">
        <v>1</v>
      </c>
      <c r="F287" t="inlineStr">
        <is>
          <t>2025-08-19</t>
        </is>
      </c>
      <c r="G287" t="n">
        <v>319</v>
      </c>
      <c r="H287" t="inlineStr">
        <is>
          <t>Y</t>
        </is>
      </c>
      <c r="I287">
        <f>HYPERLINK("https://admin.shopify.com/store/ge-beauty-cosmeticos/customers/9577065414976","abrir")</f>
        <v/>
      </c>
      <c r="J287">
        <f>HYPERLINK("https://www.gebeauty.com.br/products/primer-liso-intacto?ref=review","review")</f>
        <v/>
      </c>
      <c r="K287" t="inlineStr">
        <is>
          <t>SEND</t>
        </is>
      </c>
    </row>
    <row r="288">
      <c r="A288" t="inlineStr">
        <is>
          <t>Erlita</t>
        </is>
      </c>
      <c r="B288" t="inlineStr">
        <is>
          <t>+5521996985911</t>
        </is>
      </c>
      <c r="C288" t="inlineStr">
        <is>
          <t>Refill</t>
        </is>
      </c>
      <c r="D288" t="inlineStr">
        <is>
          <t>Primer Liso</t>
        </is>
      </c>
      <c r="E288" t="n">
        <v>1</v>
      </c>
      <c r="F288" t="inlineStr">
        <is>
          <t>2025-08-19</t>
        </is>
      </c>
      <c r="G288" t="n">
        <v>319</v>
      </c>
      <c r="H288" t="inlineStr">
        <is>
          <t>Y</t>
        </is>
      </c>
      <c r="I288">
        <f>HYPERLINK("https://admin.shopify.com/store/ge-beauty-cosmeticos/customers/9576870904128","abrir")</f>
        <v/>
      </c>
      <c r="J288">
        <f>HYPERLINK("https://www.gebeauty.com.br/products/primer-liso-intacto?ref=review","review")</f>
        <v/>
      </c>
      <c r="K288" t="inlineStr">
        <is>
          <t>HOLDOUT</t>
        </is>
      </c>
    </row>
    <row r="289">
      <c r="A289" t="inlineStr">
        <is>
          <t>Sérgio</t>
        </is>
      </c>
      <c r="B289" t="inlineStr">
        <is>
          <t>+5585996570593</t>
        </is>
      </c>
      <c r="C289" t="inlineStr">
        <is>
          <t>Refill</t>
        </is>
      </c>
      <c r="D289" t="inlineStr">
        <is>
          <t>Primer Liso</t>
        </is>
      </c>
      <c r="E289" t="n">
        <v>1</v>
      </c>
      <c r="F289" t="inlineStr">
        <is>
          <t>2025-12-01</t>
        </is>
      </c>
      <c r="G289" t="n">
        <v>215</v>
      </c>
      <c r="H289" t="inlineStr">
        <is>
          <t>Y</t>
        </is>
      </c>
      <c r="I289">
        <f>HYPERLINK("https://admin.shopify.com/store/ge-beauty-cosmeticos/customers/7761385324864","abrir")</f>
        <v/>
      </c>
      <c r="J289">
        <f>HYPERLINK("https://www.gebeauty.com.br/products/primer-liso-intacto?ref=review","review")</f>
        <v/>
      </c>
      <c r="K289" t="inlineStr">
        <is>
          <t>SEND</t>
        </is>
      </c>
    </row>
    <row r="290">
      <c r="A290" t="inlineStr">
        <is>
          <t>Enaira</t>
        </is>
      </c>
      <c r="B290" t="inlineStr">
        <is>
          <t>+5554996847124</t>
        </is>
      </c>
      <c r="C290" t="inlineStr">
        <is>
          <t>Refill</t>
        </is>
      </c>
      <c r="D290" t="inlineStr">
        <is>
          <t>Primer Liso</t>
        </is>
      </c>
      <c r="E290" t="n">
        <v>1</v>
      </c>
      <c r="F290" t="inlineStr">
        <is>
          <t>2025-08-19</t>
        </is>
      </c>
      <c r="G290" t="n">
        <v>319</v>
      </c>
      <c r="H290" t="inlineStr">
        <is>
          <t>Y</t>
        </is>
      </c>
      <c r="I290">
        <f>HYPERLINK("https://admin.shopify.com/store/ge-beauty-cosmeticos/customers/9577996091712","abrir")</f>
        <v/>
      </c>
      <c r="J290">
        <f>HYPERLINK("https://www.gebeauty.com.br/products/primer-liso-intacto?ref=review","review")</f>
        <v/>
      </c>
      <c r="K290" t="inlineStr">
        <is>
          <t>SEND</t>
        </is>
      </c>
    </row>
    <row r="291">
      <c r="A291" t="inlineStr">
        <is>
          <t>Michelle</t>
        </is>
      </c>
      <c r="B291" t="inlineStr">
        <is>
          <t>+5511987623489</t>
        </is>
      </c>
      <c r="C291" t="inlineStr">
        <is>
          <t>Refill</t>
        </is>
      </c>
      <c r="D291" t="inlineStr">
        <is>
          <t>Primer Liso</t>
        </is>
      </c>
      <c r="E291" t="n">
        <v>1</v>
      </c>
      <c r="F291" t="inlineStr">
        <is>
          <t>2025-08-19</t>
        </is>
      </c>
      <c r="G291" t="n">
        <v>319</v>
      </c>
      <c r="H291" t="inlineStr">
        <is>
          <t>Y</t>
        </is>
      </c>
      <c r="I291">
        <f>HYPERLINK("https://admin.shopify.com/store/ge-beauty-cosmeticos/customers/9578526409024","abrir")</f>
        <v/>
      </c>
      <c r="J291">
        <f>HYPERLINK("https://www.gebeauty.com.br/products/primer-liso-intacto?ref=review","review")</f>
        <v/>
      </c>
      <c r="K291" t="inlineStr">
        <is>
          <t>SEND</t>
        </is>
      </c>
    </row>
    <row r="292">
      <c r="A292" t="inlineStr">
        <is>
          <t>Helena</t>
        </is>
      </c>
      <c r="B292" t="inlineStr">
        <is>
          <t>+5599984053095</t>
        </is>
      </c>
      <c r="C292" t="inlineStr">
        <is>
          <t>Refill</t>
        </is>
      </c>
      <c r="D292" t="inlineStr">
        <is>
          <t>Primer Liso</t>
        </is>
      </c>
      <c r="E292" t="n">
        <v>1</v>
      </c>
      <c r="F292" t="inlineStr">
        <is>
          <t>2025-08-19</t>
        </is>
      </c>
      <c r="G292" t="n">
        <v>319</v>
      </c>
      <c r="H292" t="inlineStr">
        <is>
          <t>Y</t>
        </is>
      </c>
      <c r="I292">
        <f>HYPERLINK("https://admin.shopify.com/store/ge-beauty-cosmeticos/customers/9578620748096","abrir")</f>
        <v/>
      </c>
      <c r="J292">
        <f>HYPERLINK("https://www.gebeauty.com.br/products/primer-liso-intacto?ref=review","review")</f>
        <v/>
      </c>
      <c r="K292" t="inlineStr">
        <is>
          <t>SEND</t>
        </is>
      </c>
    </row>
    <row r="293">
      <c r="A293" t="inlineStr">
        <is>
          <t>Caroline</t>
        </is>
      </c>
      <c r="B293" t="inlineStr">
        <is>
          <t>+5521998460110</t>
        </is>
      </c>
      <c r="C293" t="inlineStr">
        <is>
          <t>Refill</t>
        </is>
      </c>
      <c r="D293" t="inlineStr">
        <is>
          <t>Primer Liso</t>
        </is>
      </c>
      <c r="E293" t="n">
        <v>1</v>
      </c>
      <c r="F293" t="inlineStr">
        <is>
          <t>2025-08-19</t>
        </is>
      </c>
      <c r="G293" t="n">
        <v>319</v>
      </c>
      <c r="H293" t="inlineStr">
        <is>
          <t>Y</t>
        </is>
      </c>
      <c r="I293">
        <f>HYPERLINK("https://admin.shopify.com/store/ge-beauty-cosmeticos/customers/9579082514752","abrir")</f>
        <v/>
      </c>
      <c r="J293">
        <f>HYPERLINK("https://www.gebeauty.com.br/products/primer-liso-intacto?ref=review","review")</f>
        <v/>
      </c>
      <c r="K293" t="inlineStr">
        <is>
          <t>SEND</t>
        </is>
      </c>
    </row>
    <row r="294">
      <c r="A294" t="inlineStr">
        <is>
          <t>Victoria</t>
        </is>
      </c>
      <c r="B294" t="inlineStr">
        <is>
          <t>+5579991737981</t>
        </is>
      </c>
      <c r="C294" t="inlineStr">
        <is>
          <t>Refill</t>
        </is>
      </c>
      <c r="D294" t="inlineStr">
        <is>
          <t>Primer Liso</t>
        </is>
      </c>
      <c r="E294" t="n">
        <v>1</v>
      </c>
      <c r="F294" t="inlineStr">
        <is>
          <t>2025-08-20</t>
        </is>
      </c>
      <c r="G294" t="n">
        <v>318</v>
      </c>
      <c r="H294" t="inlineStr">
        <is>
          <t>Y</t>
        </is>
      </c>
      <c r="I294">
        <f>HYPERLINK("https://admin.shopify.com/store/ge-beauty-cosmeticos/customers/9579220828480","abrir")</f>
        <v/>
      </c>
      <c r="J294">
        <f>HYPERLINK("https://www.gebeauty.com.br/products/primer-liso-intacto?ref=review","review")</f>
        <v/>
      </c>
      <c r="K294" t="inlineStr">
        <is>
          <t>SEND</t>
        </is>
      </c>
    </row>
    <row r="295">
      <c r="A295" t="inlineStr">
        <is>
          <t>Manuela</t>
        </is>
      </c>
      <c r="B295" t="inlineStr">
        <is>
          <t>+5581996917017</t>
        </is>
      </c>
      <c r="C295" t="inlineStr">
        <is>
          <t>Refill</t>
        </is>
      </c>
      <c r="D295" t="inlineStr">
        <is>
          <t>Primer Liso</t>
        </is>
      </c>
      <c r="E295" t="n">
        <v>1</v>
      </c>
      <c r="F295" t="inlineStr">
        <is>
          <t>2025-08-20</t>
        </is>
      </c>
      <c r="G295" t="n">
        <v>318</v>
      </c>
      <c r="H295" t="inlineStr">
        <is>
          <t>Y</t>
        </is>
      </c>
      <c r="I295">
        <f>HYPERLINK("https://admin.shopify.com/store/ge-beauty-cosmeticos/customers/8449096876352","abrir")</f>
        <v/>
      </c>
      <c r="J295">
        <f>HYPERLINK("https://www.gebeauty.com.br/products/primer-liso-intacto?ref=review","review")</f>
        <v/>
      </c>
      <c r="K295" t="inlineStr">
        <is>
          <t>SEND</t>
        </is>
      </c>
    </row>
    <row r="296">
      <c r="A296" t="inlineStr">
        <is>
          <t>Gabrielle</t>
        </is>
      </c>
      <c r="B296" t="inlineStr">
        <is>
          <t>+5548999652677</t>
        </is>
      </c>
      <c r="C296" t="inlineStr">
        <is>
          <t>Refill</t>
        </is>
      </c>
      <c r="D296" t="inlineStr">
        <is>
          <t>Primer Liso</t>
        </is>
      </c>
      <c r="E296" t="n">
        <v>1</v>
      </c>
      <c r="F296" t="inlineStr">
        <is>
          <t>2025-08-20</t>
        </is>
      </c>
      <c r="G296" t="n">
        <v>318</v>
      </c>
      <c r="H296" t="inlineStr">
        <is>
          <t>Y</t>
        </is>
      </c>
      <c r="I296">
        <f>HYPERLINK("https://admin.shopify.com/store/ge-beauty-cosmeticos/customers/9542748930368","abrir")</f>
        <v/>
      </c>
      <c r="J296">
        <f>HYPERLINK("https://www.gebeauty.com.br/products/primer-liso-intacto?ref=review","review")</f>
        <v/>
      </c>
      <c r="K296" t="inlineStr">
        <is>
          <t>SEND</t>
        </is>
      </c>
    </row>
    <row r="297">
      <c r="A297" t="inlineStr">
        <is>
          <t>Julia</t>
        </is>
      </c>
      <c r="B297" t="inlineStr">
        <is>
          <t>+5515996113373</t>
        </is>
      </c>
      <c r="C297" t="inlineStr">
        <is>
          <t>Refill</t>
        </is>
      </c>
      <c r="D297" t="inlineStr">
        <is>
          <t>Primer Liso</t>
        </is>
      </c>
      <c r="E297" t="n">
        <v>1</v>
      </c>
      <c r="F297" t="inlineStr">
        <is>
          <t>2025-08-20</t>
        </is>
      </c>
      <c r="G297" t="n">
        <v>318</v>
      </c>
      <c r="H297" t="inlineStr">
        <is>
          <t>Y</t>
        </is>
      </c>
      <c r="I297">
        <f>HYPERLINK("https://admin.shopify.com/store/ge-beauty-cosmeticos/customers/9486250934592","abrir")</f>
        <v/>
      </c>
      <c r="J297">
        <f>HYPERLINK("https://www.gebeauty.com.br/products/primer-liso-intacto?ref=review","review")</f>
        <v/>
      </c>
      <c r="K297" t="inlineStr">
        <is>
          <t>SEND</t>
        </is>
      </c>
    </row>
    <row r="298">
      <c r="A298" t="inlineStr">
        <is>
          <t>Luise</t>
        </is>
      </c>
      <c r="B298" t="inlineStr">
        <is>
          <t>+5548999882090</t>
        </is>
      </c>
      <c r="C298" t="inlineStr">
        <is>
          <t>Refill</t>
        </is>
      </c>
      <c r="D298" t="inlineStr">
        <is>
          <t>Primer Liso</t>
        </is>
      </c>
      <c r="E298" t="n">
        <v>1</v>
      </c>
      <c r="F298" t="inlineStr">
        <is>
          <t>2025-08-20</t>
        </is>
      </c>
      <c r="G298" t="n">
        <v>318</v>
      </c>
      <c r="H298" t="inlineStr">
        <is>
          <t>Y</t>
        </is>
      </c>
      <c r="I298">
        <f>HYPERLINK("https://admin.shopify.com/store/ge-beauty-cosmeticos/customers/9485917847872","abrir")</f>
        <v/>
      </c>
      <c r="J298">
        <f>HYPERLINK("https://www.gebeauty.com.br/products/primer-liso-intacto?ref=review","review")</f>
        <v/>
      </c>
      <c r="K298" t="inlineStr">
        <is>
          <t>SEND</t>
        </is>
      </c>
    </row>
    <row r="299">
      <c r="A299" t="inlineStr">
        <is>
          <t>Claudia</t>
        </is>
      </c>
      <c r="B299" t="inlineStr">
        <is>
          <t>+5511983255132</t>
        </is>
      </c>
      <c r="C299" t="inlineStr">
        <is>
          <t>Refill</t>
        </is>
      </c>
      <c r="D299" t="inlineStr">
        <is>
          <t>Primer Liso</t>
        </is>
      </c>
      <c r="E299" t="n">
        <v>1</v>
      </c>
      <c r="F299" t="inlineStr">
        <is>
          <t>2025-08-20</t>
        </is>
      </c>
      <c r="G299" t="n">
        <v>318</v>
      </c>
      <c r="H299" t="inlineStr">
        <is>
          <t>Y</t>
        </is>
      </c>
      <c r="I299">
        <f>HYPERLINK("https://admin.shopify.com/store/ge-beauty-cosmeticos/customers/9486171734336","abrir")</f>
        <v/>
      </c>
      <c r="J299">
        <f>HYPERLINK("https://www.gebeauty.com.br/products/primer-liso-intacto?ref=review","review")</f>
        <v/>
      </c>
      <c r="K299" t="inlineStr">
        <is>
          <t>SEND</t>
        </is>
      </c>
    </row>
    <row r="300">
      <c r="A300" t="inlineStr">
        <is>
          <t>Tatiany</t>
        </is>
      </c>
      <c r="B300" t="inlineStr">
        <is>
          <t>+5511981032455</t>
        </is>
      </c>
      <c r="C300" t="inlineStr">
        <is>
          <t>Refill</t>
        </is>
      </c>
      <c r="D300" t="inlineStr">
        <is>
          <t>Primer Liso</t>
        </is>
      </c>
      <c r="E300" t="n">
        <v>1</v>
      </c>
      <c r="F300" t="inlineStr">
        <is>
          <t>2025-08-20</t>
        </is>
      </c>
      <c r="G300" t="n">
        <v>318</v>
      </c>
      <c r="H300" t="inlineStr">
        <is>
          <t>Y</t>
        </is>
      </c>
      <c r="I300">
        <f>HYPERLINK("https://admin.shopify.com/store/ge-beauty-cosmeticos/customers/9578049470784","abrir")</f>
        <v/>
      </c>
      <c r="J300">
        <f>HYPERLINK("https://www.gebeauty.com.br/products/primer-liso-intacto?ref=review","review")</f>
        <v/>
      </c>
      <c r="K300" t="inlineStr">
        <is>
          <t>SEND</t>
        </is>
      </c>
    </row>
    <row r="301">
      <c r="A301" t="inlineStr">
        <is>
          <t>Carmella</t>
        </is>
      </c>
      <c r="B301" t="inlineStr">
        <is>
          <t>+5547992285102</t>
        </is>
      </c>
      <c r="C301" t="inlineStr">
        <is>
          <t>Refill</t>
        </is>
      </c>
      <c r="D301" t="inlineStr">
        <is>
          <t>Primer Liso</t>
        </is>
      </c>
      <c r="E301" t="n">
        <v>1</v>
      </c>
      <c r="F301" t="inlineStr">
        <is>
          <t>2025-08-20</t>
        </is>
      </c>
      <c r="G301" t="n">
        <v>318</v>
      </c>
      <c r="H301" t="inlineStr">
        <is>
          <t>Y</t>
        </is>
      </c>
      <c r="I301">
        <f>HYPERLINK("https://admin.shopify.com/store/ge-beauty-cosmeticos/customers/9583331967296","abrir")</f>
        <v/>
      </c>
      <c r="J301">
        <f>HYPERLINK("https://www.gebeauty.com.br/products/primer-liso-intacto?ref=review","review")</f>
        <v/>
      </c>
      <c r="K301" t="inlineStr">
        <is>
          <t>SEND</t>
        </is>
      </c>
    </row>
    <row r="302">
      <c r="A302" t="inlineStr">
        <is>
          <t>Juliana</t>
        </is>
      </c>
      <c r="B302" t="inlineStr">
        <is>
          <t>+5531993291995</t>
        </is>
      </c>
      <c r="C302" t="inlineStr">
        <is>
          <t>Refill</t>
        </is>
      </c>
      <c r="D302" t="inlineStr">
        <is>
          <t>Primer Liso</t>
        </is>
      </c>
      <c r="E302" t="n">
        <v>1</v>
      </c>
      <c r="F302" t="inlineStr">
        <is>
          <t>2025-08-21</t>
        </is>
      </c>
      <c r="G302" t="n">
        <v>317</v>
      </c>
      <c r="H302" t="inlineStr">
        <is>
          <t>Y</t>
        </is>
      </c>
      <c r="I302">
        <f>HYPERLINK("https://admin.shopify.com/store/ge-beauty-cosmeticos/customers/8130967208256","abrir")</f>
        <v/>
      </c>
      <c r="J302">
        <f>HYPERLINK("https://www.gebeauty.com.br/products/primer-liso-intacto?ref=review","review")</f>
        <v/>
      </c>
      <c r="K302" t="inlineStr">
        <is>
          <t>SEND</t>
        </is>
      </c>
    </row>
    <row r="303">
      <c r="A303" t="inlineStr">
        <is>
          <t>Alda</t>
        </is>
      </c>
      <c r="B303" t="inlineStr">
        <is>
          <t>+5581985508936</t>
        </is>
      </c>
      <c r="C303" t="inlineStr">
        <is>
          <t>Refill</t>
        </is>
      </c>
      <c r="D303" t="inlineStr">
        <is>
          <t>Primer Liso</t>
        </is>
      </c>
      <c r="E303" t="n">
        <v>1</v>
      </c>
      <c r="F303" t="inlineStr">
        <is>
          <t>2025-08-21</t>
        </is>
      </c>
      <c r="G303" t="n">
        <v>317</v>
      </c>
      <c r="H303" t="inlineStr">
        <is>
          <t>Y</t>
        </is>
      </c>
      <c r="I303">
        <f>HYPERLINK("https://admin.shopify.com/store/ge-beauty-cosmeticos/customers/9584874651968","abrir")</f>
        <v/>
      </c>
      <c r="J303">
        <f>HYPERLINK("https://www.gebeauty.com.br/products/primer-liso-intacto?ref=review","review")</f>
        <v/>
      </c>
      <c r="K303" t="inlineStr">
        <is>
          <t>SEND</t>
        </is>
      </c>
    </row>
    <row r="304">
      <c r="A304" t="inlineStr">
        <is>
          <t>Larissa</t>
        </is>
      </c>
      <c r="B304" t="inlineStr">
        <is>
          <t>+5511910452572</t>
        </is>
      </c>
      <c r="C304" t="inlineStr">
        <is>
          <t>Refill</t>
        </is>
      </c>
      <c r="D304" t="inlineStr">
        <is>
          <t>Primer Liso</t>
        </is>
      </c>
      <c r="E304" t="n">
        <v>1</v>
      </c>
      <c r="F304" t="inlineStr">
        <is>
          <t>2025-08-21</t>
        </is>
      </c>
      <c r="G304" t="n">
        <v>317</v>
      </c>
      <c r="H304" t="inlineStr">
        <is>
          <t>Y</t>
        </is>
      </c>
      <c r="I304">
        <f>HYPERLINK("https://admin.shopify.com/store/ge-beauty-cosmeticos/customers/9436020572480","abrir")</f>
        <v/>
      </c>
      <c r="J304">
        <f>HYPERLINK("https://www.gebeauty.com.br/products/primer-liso-intacto?ref=review","review")</f>
        <v/>
      </c>
      <c r="K304" t="inlineStr">
        <is>
          <t>SEND</t>
        </is>
      </c>
    </row>
    <row r="305">
      <c r="A305" t="inlineStr">
        <is>
          <t>Lara</t>
        </is>
      </c>
      <c r="B305" t="inlineStr">
        <is>
          <t>+5582991492085</t>
        </is>
      </c>
      <c r="C305" t="inlineStr">
        <is>
          <t>Refill</t>
        </is>
      </c>
      <c r="D305" t="inlineStr">
        <is>
          <t>Primer Liso</t>
        </is>
      </c>
      <c r="E305" t="n">
        <v>1</v>
      </c>
      <c r="F305" t="inlineStr">
        <is>
          <t>2025-08-21</t>
        </is>
      </c>
      <c r="G305" t="n">
        <v>317</v>
      </c>
      <c r="H305" t="inlineStr">
        <is>
          <t>Y</t>
        </is>
      </c>
      <c r="I305">
        <f>HYPERLINK("https://admin.shopify.com/store/ge-beauty-cosmeticos/customers/9585306861888","abrir")</f>
        <v/>
      </c>
      <c r="J305">
        <f>HYPERLINK("https://www.gebeauty.com.br/products/primer-liso-intacto?ref=review","review")</f>
        <v/>
      </c>
      <c r="K305" t="inlineStr">
        <is>
          <t>SEND</t>
        </is>
      </c>
    </row>
    <row r="306">
      <c r="A306" t="inlineStr">
        <is>
          <t>Nádia</t>
        </is>
      </c>
      <c r="B306" t="inlineStr">
        <is>
          <t>+5511972080261</t>
        </is>
      </c>
      <c r="C306" t="inlineStr">
        <is>
          <t>Refill</t>
        </is>
      </c>
      <c r="D306" t="inlineStr">
        <is>
          <t>Primer Liso</t>
        </is>
      </c>
      <c r="E306" t="n">
        <v>1</v>
      </c>
      <c r="F306" t="inlineStr">
        <is>
          <t>2025-08-21</t>
        </is>
      </c>
      <c r="G306" t="n">
        <v>317</v>
      </c>
      <c r="H306" t="inlineStr">
        <is>
          <t>Y</t>
        </is>
      </c>
      <c r="I306">
        <f>HYPERLINK("https://admin.shopify.com/store/ge-beauty-cosmeticos/customers/8415984484672","abrir")</f>
        <v/>
      </c>
      <c r="J306">
        <f>HYPERLINK("https://www.gebeauty.com.br/products/primer-liso-intacto?ref=review","review")</f>
        <v/>
      </c>
      <c r="K306" t="inlineStr">
        <is>
          <t>SEND</t>
        </is>
      </c>
    </row>
    <row r="307">
      <c r="A307" t="inlineStr">
        <is>
          <t>Marina</t>
        </is>
      </c>
      <c r="B307" t="inlineStr">
        <is>
          <t>+5516981328889</t>
        </is>
      </c>
      <c r="C307" t="inlineStr">
        <is>
          <t>Refill</t>
        </is>
      </c>
      <c r="D307" t="inlineStr">
        <is>
          <t>Primer Liso</t>
        </is>
      </c>
      <c r="E307" t="n">
        <v>1</v>
      </c>
      <c r="F307" t="inlineStr">
        <is>
          <t>2025-08-21</t>
        </is>
      </c>
      <c r="G307" t="n">
        <v>317</v>
      </c>
      <c r="H307" t="inlineStr">
        <is>
          <t>Y</t>
        </is>
      </c>
      <c r="I307">
        <f>HYPERLINK("https://admin.shopify.com/store/ge-beauty-cosmeticos/customers/9585436098880","abrir")</f>
        <v/>
      </c>
      <c r="J307">
        <f>HYPERLINK("https://www.gebeauty.com.br/products/primer-liso-intacto?ref=review","review")</f>
        <v/>
      </c>
      <c r="K307" t="inlineStr">
        <is>
          <t>SEND</t>
        </is>
      </c>
    </row>
    <row r="308">
      <c r="A308" t="inlineStr">
        <is>
          <t>Bianca</t>
        </is>
      </c>
      <c r="B308" t="inlineStr">
        <is>
          <t>+5587988492586</t>
        </is>
      </c>
      <c r="C308" t="inlineStr">
        <is>
          <t>Refill</t>
        </is>
      </c>
      <c r="D308" t="inlineStr">
        <is>
          <t>Primer Liso</t>
        </is>
      </c>
      <c r="E308" t="n">
        <v>1</v>
      </c>
      <c r="F308" t="inlineStr">
        <is>
          <t>2025-08-21</t>
        </is>
      </c>
      <c r="G308" t="n">
        <v>317</v>
      </c>
      <c r="H308" t="inlineStr">
        <is>
          <t>Y</t>
        </is>
      </c>
      <c r="I308">
        <f>HYPERLINK("https://admin.shopify.com/store/ge-beauty-cosmeticos/customers/9486647460160","abrir")</f>
        <v/>
      </c>
      <c r="J308">
        <f>HYPERLINK("https://www.gebeauty.com.br/products/primer-liso-intacto?ref=review","review")</f>
        <v/>
      </c>
      <c r="K308" t="inlineStr">
        <is>
          <t>SEND</t>
        </is>
      </c>
    </row>
    <row r="309">
      <c r="A309" t="inlineStr">
        <is>
          <t>Vanessa</t>
        </is>
      </c>
      <c r="B309" t="inlineStr">
        <is>
          <t>+5521992659659</t>
        </is>
      </c>
      <c r="C309" t="inlineStr">
        <is>
          <t>Refill</t>
        </is>
      </c>
      <c r="D309" t="inlineStr">
        <is>
          <t>Primer Liso</t>
        </is>
      </c>
      <c r="E309" t="n">
        <v>1</v>
      </c>
      <c r="F309" t="inlineStr">
        <is>
          <t>2025-08-22</t>
        </is>
      </c>
      <c r="G309" t="n">
        <v>316</v>
      </c>
      <c r="H309" t="inlineStr">
        <is>
          <t>Y</t>
        </is>
      </c>
      <c r="I309">
        <f>HYPERLINK("https://admin.shopify.com/store/ge-beauty-cosmeticos/customers/8854000075072","abrir")</f>
        <v/>
      </c>
      <c r="J309">
        <f>HYPERLINK("https://www.gebeauty.com.br/products/primer-liso-intacto?ref=review","review")</f>
        <v/>
      </c>
      <c r="K309" t="inlineStr">
        <is>
          <t>SEND</t>
        </is>
      </c>
    </row>
    <row r="310">
      <c r="A310" t="inlineStr">
        <is>
          <t>Fernanda</t>
        </is>
      </c>
      <c r="B310" t="inlineStr">
        <is>
          <t>+5512997175313</t>
        </is>
      </c>
      <c r="C310" t="inlineStr">
        <is>
          <t>Refill</t>
        </is>
      </c>
      <c r="D310" t="inlineStr">
        <is>
          <t>Primer Liso</t>
        </is>
      </c>
      <c r="E310" t="n">
        <v>1</v>
      </c>
      <c r="F310" t="inlineStr">
        <is>
          <t>2025-08-22</t>
        </is>
      </c>
      <c r="G310" t="n">
        <v>316</v>
      </c>
      <c r="H310" t="inlineStr">
        <is>
          <t>Y</t>
        </is>
      </c>
      <c r="I310">
        <f>HYPERLINK("https://admin.shopify.com/store/ge-beauty-cosmeticos/customers/9583920054592","abrir")</f>
        <v/>
      </c>
      <c r="J310">
        <f>HYPERLINK("https://www.gebeauty.com.br/products/primer-liso-intacto?ref=review","review")</f>
        <v/>
      </c>
      <c r="K310" t="inlineStr">
        <is>
          <t>SEND</t>
        </is>
      </c>
    </row>
    <row r="311">
      <c r="A311" t="inlineStr">
        <is>
          <t>Barbara</t>
        </is>
      </c>
      <c r="B311" t="inlineStr">
        <is>
          <t>+5521983303600</t>
        </is>
      </c>
      <c r="C311" t="inlineStr">
        <is>
          <t>Refill</t>
        </is>
      </c>
      <c r="D311" t="inlineStr">
        <is>
          <t>Primer Liso</t>
        </is>
      </c>
      <c r="E311" t="n">
        <v>1</v>
      </c>
      <c r="F311" t="inlineStr">
        <is>
          <t>2025-08-22</t>
        </is>
      </c>
      <c r="G311" t="n">
        <v>316</v>
      </c>
      <c r="H311" t="inlineStr">
        <is>
          <t>Y</t>
        </is>
      </c>
      <c r="I311">
        <f>HYPERLINK("https://admin.shopify.com/store/ge-beauty-cosmeticos/customers/9586539954496","abrir")</f>
        <v/>
      </c>
      <c r="J311">
        <f>HYPERLINK("https://www.gebeauty.com.br/products/primer-liso-intacto?ref=review","review")</f>
        <v/>
      </c>
      <c r="K311" t="inlineStr">
        <is>
          <t>SEND</t>
        </is>
      </c>
    </row>
    <row r="312">
      <c r="A312" t="inlineStr">
        <is>
          <t>Daniella</t>
        </is>
      </c>
      <c r="B312" t="inlineStr">
        <is>
          <t>+5511991054884</t>
        </is>
      </c>
      <c r="C312" t="inlineStr">
        <is>
          <t>Refill</t>
        </is>
      </c>
      <c r="D312" t="inlineStr">
        <is>
          <t>Primer Liso</t>
        </is>
      </c>
      <c r="E312" t="n">
        <v>1</v>
      </c>
      <c r="F312" t="inlineStr">
        <is>
          <t>2025-08-22</t>
        </is>
      </c>
      <c r="G312" t="n">
        <v>316</v>
      </c>
      <c r="H312" t="inlineStr">
        <is>
          <t>Y</t>
        </is>
      </c>
      <c r="I312">
        <f>HYPERLINK("https://admin.shopify.com/store/ge-beauty-cosmeticos/customers/7759988392256","abrir")</f>
        <v/>
      </c>
      <c r="J312">
        <f>HYPERLINK("https://www.gebeauty.com.br/products/primer-liso-intacto?ref=review","review")</f>
        <v/>
      </c>
      <c r="K312" t="inlineStr">
        <is>
          <t>HOLDOUT</t>
        </is>
      </c>
    </row>
    <row r="313">
      <c r="A313" t="inlineStr">
        <is>
          <t>Monica</t>
        </is>
      </c>
      <c r="B313" t="inlineStr">
        <is>
          <t>+5511986868626</t>
        </is>
      </c>
      <c r="C313" t="inlineStr">
        <is>
          <t>Refill</t>
        </is>
      </c>
      <c r="D313" t="inlineStr">
        <is>
          <t>Primer Liso</t>
        </is>
      </c>
      <c r="E313" t="n">
        <v>1</v>
      </c>
      <c r="F313" t="inlineStr">
        <is>
          <t>2025-08-22</t>
        </is>
      </c>
      <c r="G313" t="n">
        <v>316</v>
      </c>
      <c r="H313" t="inlineStr">
        <is>
          <t>Y</t>
        </is>
      </c>
      <c r="I313">
        <f>HYPERLINK("https://admin.shopify.com/store/ge-beauty-cosmeticos/customers/9586917048640","abrir")</f>
        <v/>
      </c>
      <c r="J313">
        <f>HYPERLINK("https://www.gebeauty.com.br/products/primer-liso-intacto?ref=review","review")</f>
        <v/>
      </c>
      <c r="K313" t="inlineStr">
        <is>
          <t>SEND</t>
        </is>
      </c>
    </row>
    <row r="314">
      <c r="A314" t="inlineStr">
        <is>
          <t>Tais</t>
        </is>
      </c>
      <c r="B314" t="inlineStr">
        <is>
          <t>+5516997441782</t>
        </is>
      </c>
      <c r="C314" t="inlineStr">
        <is>
          <t>Refill</t>
        </is>
      </c>
      <c r="D314" t="inlineStr">
        <is>
          <t>Primer Liso</t>
        </is>
      </c>
      <c r="E314" t="n">
        <v>1</v>
      </c>
      <c r="F314" t="inlineStr">
        <is>
          <t>2025-08-22</t>
        </is>
      </c>
      <c r="G314" t="n">
        <v>316</v>
      </c>
      <c r="H314" t="inlineStr">
        <is>
          <t>Y</t>
        </is>
      </c>
      <c r="I314">
        <f>HYPERLINK("https://admin.shopify.com/store/ge-beauty-cosmeticos/customers/9587255116096","abrir")</f>
        <v/>
      </c>
      <c r="J314">
        <f>HYPERLINK("https://www.gebeauty.com.br/products/primer-liso-intacto?ref=review","review")</f>
        <v/>
      </c>
      <c r="K314" t="inlineStr">
        <is>
          <t>SEND</t>
        </is>
      </c>
    </row>
    <row r="315">
      <c r="A315" t="inlineStr">
        <is>
          <t>Mariana</t>
        </is>
      </c>
      <c r="B315" t="inlineStr">
        <is>
          <t>+558198711564</t>
        </is>
      </c>
      <c r="C315" t="inlineStr">
        <is>
          <t>Refill</t>
        </is>
      </c>
      <c r="D315" t="inlineStr">
        <is>
          <t>Primer Liso</t>
        </is>
      </c>
      <c r="E315" t="n">
        <v>1</v>
      </c>
      <c r="F315" t="inlineStr">
        <is>
          <t>2025-08-22</t>
        </is>
      </c>
      <c r="G315" t="n">
        <v>316</v>
      </c>
      <c r="H315" t="inlineStr">
        <is>
          <t>Y</t>
        </is>
      </c>
      <c r="I315">
        <f>HYPERLINK("https://admin.shopify.com/store/ge-beauty-cosmeticos/customers/9587378159936","abrir")</f>
        <v/>
      </c>
      <c r="J315">
        <f>HYPERLINK("https://www.gebeauty.com.br/products/primer-liso-intacto?ref=review","review")</f>
        <v/>
      </c>
      <c r="K315" t="inlineStr">
        <is>
          <t>SEND</t>
        </is>
      </c>
    </row>
    <row r="316">
      <c r="A316" t="inlineStr">
        <is>
          <t>Luisa</t>
        </is>
      </c>
      <c r="B316" t="inlineStr">
        <is>
          <t>+5511983998899</t>
        </is>
      </c>
      <c r="C316" t="inlineStr">
        <is>
          <t>Refill</t>
        </is>
      </c>
      <c r="D316" t="inlineStr">
        <is>
          <t>Primer Liso</t>
        </is>
      </c>
      <c r="E316" t="n">
        <v>1</v>
      </c>
      <c r="F316" t="inlineStr">
        <is>
          <t>2025-08-22</t>
        </is>
      </c>
      <c r="G316" t="n">
        <v>316</v>
      </c>
      <c r="H316" t="inlineStr">
        <is>
          <t>Y</t>
        </is>
      </c>
      <c r="I316">
        <f>HYPERLINK("https://admin.shopify.com/store/ge-beauty-cosmeticos/customers/9587569590592","abrir")</f>
        <v/>
      </c>
      <c r="J316">
        <f>HYPERLINK("https://www.gebeauty.com.br/products/primer-liso-intacto?ref=review","review")</f>
        <v/>
      </c>
      <c r="K316" t="inlineStr">
        <is>
          <t>HOLDOUT</t>
        </is>
      </c>
    </row>
    <row r="317">
      <c r="A317" t="inlineStr">
        <is>
          <t>Renata</t>
        </is>
      </c>
      <c r="B317" t="inlineStr">
        <is>
          <t>+5521996621007</t>
        </is>
      </c>
      <c r="C317" t="inlineStr">
        <is>
          <t>Refill</t>
        </is>
      </c>
      <c r="D317" t="inlineStr">
        <is>
          <t>Primer Liso</t>
        </is>
      </c>
      <c r="E317" t="n">
        <v>1</v>
      </c>
      <c r="F317" t="inlineStr">
        <is>
          <t>2025-08-22</t>
        </is>
      </c>
      <c r="G317" t="n">
        <v>316</v>
      </c>
      <c r="H317" t="inlineStr">
        <is>
          <t>N</t>
        </is>
      </c>
      <c r="I317">
        <f>HYPERLINK("https://admin.shopify.com/store/ge-beauty-cosmeticos/customers/9587747979584","abrir")</f>
        <v/>
      </c>
      <c r="J317">
        <f>HYPERLINK("https://www.gebeauty.com.br/products/primer-liso-intacto?ref=review","review")</f>
        <v/>
      </c>
      <c r="K317" t="inlineStr">
        <is>
          <t>SEND</t>
        </is>
      </c>
    </row>
    <row r="318">
      <c r="A318" t="inlineStr">
        <is>
          <t>Danusa</t>
        </is>
      </c>
      <c r="B318" t="inlineStr">
        <is>
          <t>+5571999610022</t>
        </is>
      </c>
      <c r="C318" t="inlineStr">
        <is>
          <t>Refill</t>
        </is>
      </c>
      <c r="D318" t="inlineStr">
        <is>
          <t>Primer Liso</t>
        </is>
      </c>
      <c r="E318" t="n">
        <v>1</v>
      </c>
      <c r="F318" t="inlineStr">
        <is>
          <t>2025-08-22</t>
        </is>
      </c>
      <c r="G318" t="n">
        <v>316</v>
      </c>
      <c r="H318" t="inlineStr">
        <is>
          <t>Y</t>
        </is>
      </c>
      <c r="I318">
        <f>HYPERLINK("https://admin.shopify.com/store/ge-beauty-cosmeticos/customers/9484925436224","abrir")</f>
        <v/>
      </c>
      <c r="J318">
        <f>HYPERLINK("https://www.gebeauty.com.br/products/primer-liso-intacto?ref=review","review")</f>
        <v/>
      </c>
      <c r="K318" t="inlineStr">
        <is>
          <t>SEND</t>
        </is>
      </c>
    </row>
    <row r="319">
      <c r="A319" t="inlineStr">
        <is>
          <t>Ligia</t>
        </is>
      </c>
      <c r="B319" t="inlineStr">
        <is>
          <t>+5511997347401</t>
        </is>
      </c>
      <c r="C319" t="inlineStr">
        <is>
          <t>Refill</t>
        </is>
      </c>
      <c r="D319" t="inlineStr">
        <is>
          <t>Primer Liso</t>
        </is>
      </c>
      <c r="E319" t="n">
        <v>1</v>
      </c>
      <c r="F319" t="inlineStr">
        <is>
          <t>2025-08-23</t>
        </is>
      </c>
      <c r="G319" t="n">
        <v>315</v>
      </c>
      <c r="H319" t="inlineStr">
        <is>
          <t>Y</t>
        </is>
      </c>
      <c r="I319">
        <f>HYPERLINK("https://admin.shopify.com/store/ge-beauty-cosmeticos/customers/9587992330560","abrir")</f>
        <v/>
      </c>
      <c r="J319">
        <f>HYPERLINK("https://www.gebeauty.com.br/products/primer-liso-intacto?ref=review","review")</f>
        <v/>
      </c>
      <c r="K319" t="inlineStr">
        <is>
          <t>SEND</t>
        </is>
      </c>
    </row>
    <row r="320">
      <c r="A320" t="inlineStr">
        <is>
          <t>Flora</t>
        </is>
      </c>
      <c r="B320" t="inlineStr">
        <is>
          <t>+5521969024255</t>
        </is>
      </c>
      <c r="C320" t="inlineStr">
        <is>
          <t>Refill</t>
        </is>
      </c>
      <c r="D320" t="inlineStr">
        <is>
          <t>Primer Liso</t>
        </is>
      </c>
      <c r="E320" t="n">
        <v>1</v>
      </c>
      <c r="F320" t="inlineStr">
        <is>
          <t>2025-08-23</t>
        </is>
      </c>
      <c r="G320" t="n">
        <v>315</v>
      </c>
      <c r="H320" t="inlineStr">
        <is>
          <t>Y</t>
        </is>
      </c>
      <c r="I320">
        <f>HYPERLINK("https://admin.shopify.com/store/ge-beauty-cosmeticos/customers/9588104003904","abrir")</f>
        <v/>
      </c>
      <c r="J320">
        <f>HYPERLINK("https://www.gebeauty.com.br/products/primer-liso-intacto?ref=review","review")</f>
        <v/>
      </c>
      <c r="K320" t="inlineStr">
        <is>
          <t>SEND</t>
        </is>
      </c>
    </row>
    <row r="321">
      <c r="A321" t="inlineStr">
        <is>
          <t>Adriana</t>
        </is>
      </c>
      <c r="B321" t="inlineStr">
        <is>
          <t>+5511992489889</t>
        </is>
      </c>
      <c r="C321" t="inlineStr">
        <is>
          <t>Refill</t>
        </is>
      </c>
      <c r="D321" t="inlineStr">
        <is>
          <t>Primer Liso</t>
        </is>
      </c>
      <c r="E321" t="n">
        <v>1</v>
      </c>
      <c r="F321" t="inlineStr">
        <is>
          <t>2025-08-23</t>
        </is>
      </c>
      <c r="G321" t="n">
        <v>315</v>
      </c>
      <c r="H321" t="inlineStr">
        <is>
          <t>Y</t>
        </is>
      </c>
      <c r="I321">
        <f>HYPERLINK("https://admin.shopify.com/store/ge-beauty-cosmeticos/customers/9588391182656","abrir")</f>
        <v/>
      </c>
      <c r="J321">
        <f>HYPERLINK("https://www.gebeauty.com.br/products/primer-liso-intacto?ref=review","review")</f>
        <v/>
      </c>
      <c r="K321" t="inlineStr">
        <is>
          <t>SEND</t>
        </is>
      </c>
    </row>
    <row r="322">
      <c r="A322" t="inlineStr">
        <is>
          <t>Giovanna</t>
        </is>
      </c>
      <c r="B322" t="inlineStr">
        <is>
          <t>+5511985492220</t>
        </is>
      </c>
      <c r="C322" t="inlineStr">
        <is>
          <t>Refill</t>
        </is>
      </c>
      <c r="D322" t="inlineStr">
        <is>
          <t>Primer Liso</t>
        </is>
      </c>
      <c r="E322" t="n">
        <v>1</v>
      </c>
      <c r="F322" t="inlineStr">
        <is>
          <t>2025-08-23</t>
        </is>
      </c>
      <c r="G322" t="n">
        <v>315</v>
      </c>
      <c r="H322" t="inlineStr">
        <is>
          <t>Y</t>
        </is>
      </c>
      <c r="I322">
        <f>HYPERLINK("https://admin.shopify.com/store/ge-beauty-cosmeticos/customers/9486511636800","abrir")</f>
        <v/>
      </c>
      <c r="J322">
        <f>HYPERLINK("https://www.gebeauty.com.br/products/primer-liso-intacto?ref=review","review")</f>
        <v/>
      </c>
      <c r="K322" t="inlineStr">
        <is>
          <t>SEND</t>
        </is>
      </c>
    </row>
    <row r="323">
      <c r="A323" t="inlineStr">
        <is>
          <t>Monica</t>
        </is>
      </c>
      <c r="B323" t="inlineStr">
        <is>
          <t>+5521984637703</t>
        </is>
      </c>
      <c r="C323" t="inlineStr">
        <is>
          <t>Refill</t>
        </is>
      </c>
      <c r="D323" t="inlineStr">
        <is>
          <t>Primer Liso</t>
        </is>
      </c>
      <c r="E323" t="n">
        <v>1</v>
      </c>
      <c r="F323" t="inlineStr">
        <is>
          <t>2025-08-23</t>
        </is>
      </c>
      <c r="G323" t="n">
        <v>315</v>
      </c>
      <c r="H323" t="inlineStr">
        <is>
          <t>Y</t>
        </is>
      </c>
      <c r="I323">
        <f>HYPERLINK("https://admin.shopify.com/store/ge-beauty-cosmeticos/customers/9588992278848","abrir")</f>
        <v/>
      </c>
      <c r="J323">
        <f>HYPERLINK("https://www.gebeauty.com.br/products/primer-liso-intacto?ref=review","review")</f>
        <v/>
      </c>
      <c r="K323" t="inlineStr">
        <is>
          <t>SEND</t>
        </is>
      </c>
    </row>
    <row r="324">
      <c r="A324" t="inlineStr">
        <is>
          <t>Karoline</t>
        </is>
      </c>
      <c r="B324" t="inlineStr">
        <is>
          <t>+5511958761331</t>
        </is>
      </c>
      <c r="C324" t="inlineStr">
        <is>
          <t>Refill</t>
        </is>
      </c>
      <c r="D324" t="inlineStr">
        <is>
          <t>Primer Liso</t>
        </is>
      </c>
      <c r="E324" t="n">
        <v>1</v>
      </c>
      <c r="F324" t="inlineStr">
        <is>
          <t>2025-08-23</t>
        </is>
      </c>
      <c r="G324" t="n">
        <v>315</v>
      </c>
      <c r="H324" t="inlineStr">
        <is>
          <t>Y</t>
        </is>
      </c>
      <c r="I324">
        <f>HYPERLINK("https://admin.shopify.com/store/ge-beauty-cosmeticos/customers/9589175550272","abrir")</f>
        <v/>
      </c>
      <c r="J324">
        <f>HYPERLINK("https://www.gebeauty.com.br/products/primer-liso-intacto?ref=review","review")</f>
        <v/>
      </c>
      <c r="K324" t="inlineStr">
        <is>
          <t>SEND</t>
        </is>
      </c>
    </row>
    <row r="325">
      <c r="A325" t="inlineStr">
        <is>
          <t>Camila</t>
        </is>
      </c>
      <c r="B325" t="inlineStr">
        <is>
          <t>+5562999158989</t>
        </is>
      </c>
      <c r="C325" t="inlineStr">
        <is>
          <t>Refill</t>
        </is>
      </c>
      <c r="D325" t="inlineStr">
        <is>
          <t>Primer Liso</t>
        </is>
      </c>
      <c r="E325" t="n">
        <v>1</v>
      </c>
      <c r="F325" t="inlineStr">
        <is>
          <t>2025-08-23</t>
        </is>
      </c>
      <c r="G325" t="n">
        <v>315</v>
      </c>
      <c r="H325" t="inlineStr">
        <is>
          <t>Y</t>
        </is>
      </c>
      <c r="I325">
        <f>HYPERLINK("https://admin.shopify.com/store/ge-beauty-cosmeticos/customers/9486230454592","abrir")</f>
        <v/>
      </c>
      <c r="J325">
        <f>HYPERLINK("https://www.gebeauty.com.br/products/primer-liso-intacto?ref=review","review")</f>
        <v/>
      </c>
      <c r="K325" t="inlineStr">
        <is>
          <t>HOLDOUT</t>
        </is>
      </c>
    </row>
    <row r="326">
      <c r="A326" t="inlineStr">
        <is>
          <t>Luisa</t>
        </is>
      </c>
      <c r="B326" t="inlineStr">
        <is>
          <t>+5511949980044</t>
        </is>
      </c>
      <c r="C326" t="inlineStr">
        <is>
          <t>Refill</t>
        </is>
      </c>
      <c r="D326" t="inlineStr">
        <is>
          <t>Primer Liso</t>
        </is>
      </c>
      <c r="E326" t="n">
        <v>1</v>
      </c>
      <c r="F326" t="inlineStr">
        <is>
          <t>2025-08-23</t>
        </is>
      </c>
      <c r="G326" t="n">
        <v>315</v>
      </c>
      <c r="H326" t="inlineStr">
        <is>
          <t>Y</t>
        </is>
      </c>
      <c r="I326">
        <f>HYPERLINK("https://admin.shopify.com/store/ge-beauty-cosmeticos/customers/9589750300992","abrir")</f>
        <v/>
      </c>
      <c r="J326">
        <f>HYPERLINK("https://www.gebeauty.com.br/products/primer-liso-intacto?ref=review","review")</f>
        <v/>
      </c>
      <c r="K326" t="inlineStr">
        <is>
          <t>SEND</t>
        </is>
      </c>
    </row>
    <row r="327">
      <c r="A327" t="inlineStr">
        <is>
          <t>Camilla</t>
        </is>
      </c>
      <c r="B327" t="inlineStr">
        <is>
          <t>+5521992408497</t>
        </is>
      </c>
      <c r="C327" t="inlineStr">
        <is>
          <t>Refill</t>
        </is>
      </c>
      <c r="D327" t="inlineStr">
        <is>
          <t>Primer Liso</t>
        </is>
      </c>
      <c r="E327" t="n">
        <v>1</v>
      </c>
      <c r="F327" t="inlineStr">
        <is>
          <t>2025-08-23</t>
        </is>
      </c>
      <c r="G327" t="n">
        <v>315</v>
      </c>
      <c r="H327" t="inlineStr">
        <is>
          <t>Y</t>
        </is>
      </c>
      <c r="I327">
        <f>HYPERLINK("https://admin.shopify.com/store/ge-beauty-cosmeticos/customers/7762411618624","abrir")</f>
        <v/>
      </c>
      <c r="J327">
        <f>HYPERLINK("https://www.gebeauty.com.br/products/primer-liso-intacto?ref=review","review")</f>
        <v/>
      </c>
      <c r="K327" t="inlineStr">
        <is>
          <t>SEND</t>
        </is>
      </c>
    </row>
    <row r="328">
      <c r="A328" t="inlineStr">
        <is>
          <t>Alana</t>
        </is>
      </c>
      <c r="B328" t="inlineStr">
        <is>
          <t>+5528999616514</t>
        </is>
      </c>
      <c r="C328" t="inlineStr">
        <is>
          <t>Refill</t>
        </is>
      </c>
      <c r="D328" t="inlineStr">
        <is>
          <t>Primer Liso</t>
        </is>
      </c>
      <c r="E328" t="n">
        <v>1</v>
      </c>
      <c r="F328" t="inlineStr">
        <is>
          <t>2025-08-23</t>
        </is>
      </c>
      <c r="G328" t="n">
        <v>315</v>
      </c>
      <c r="H328" t="inlineStr">
        <is>
          <t>Y</t>
        </is>
      </c>
      <c r="I328">
        <f>HYPERLINK("https://admin.shopify.com/store/ge-beauty-cosmeticos/customers/9587440386368","abrir")</f>
        <v/>
      </c>
      <c r="J328">
        <f>HYPERLINK("https://www.gebeauty.com.br/products/primer-liso-intacto?ref=review","review")</f>
        <v/>
      </c>
      <c r="K328" t="inlineStr">
        <is>
          <t>SEND</t>
        </is>
      </c>
    </row>
    <row r="329">
      <c r="A329" t="inlineStr">
        <is>
          <t>Wanessa</t>
        </is>
      </c>
      <c r="B329" t="inlineStr">
        <is>
          <t>+5591988023193</t>
        </is>
      </c>
      <c r="C329" t="inlineStr">
        <is>
          <t>Refill</t>
        </is>
      </c>
      <c r="D329" t="inlineStr">
        <is>
          <t>Primer Liso</t>
        </is>
      </c>
      <c r="E329" t="n">
        <v>1</v>
      </c>
      <c r="F329" t="inlineStr">
        <is>
          <t>2025-08-24</t>
        </is>
      </c>
      <c r="G329" t="n">
        <v>314</v>
      </c>
      <c r="H329" t="inlineStr">
        <is>
          <t>Y</t>
        </is>
      </c>
      <c r="I329">
        <f>HYPERLINK("https://admin.shopify.com/store/ge-beauty-cosmeticos/customers/9539873177920","abrir")</f>
        <v/>
      </c>
      <c r="J329">
        <f>HYPERLINK("https://www.gebeauty.com.br/products/primer-liso-intacto?ref=review","review")</f>
        <v/>
      </c>
      <c r="K329" t="inlineStr">
        <is>
          <t>SEND</t>
        </is>
      </c>
    </row>
    <row r="330">
      <c r="A330" t="inlineStr">
        <is>
          <t>Talita</t>
        </is>
      </c>
      <c r="B330" t="inlineStr">
        <is>
          <t>+5588997634045</t>
        </is>
      </c>
      <c r="C330" t="inlineStr">
        <is>
          <t>Refill</t>
        </is>
      </c>
      <c r="D330" t="inlineStr">
        <is>
          <t>Primer Liso</t>
        </is>
      </c>
      <c r="E330" t="n">
        <v>1</v>
      </c>
      <c r="F330" t="inlineStr">
        <is>
          <t>2025-08-24</t>
        </is>
      </c>
      <c r="G330" t="n">
        <v>314</v>
      </c>
      <c r="H330" t="inlineStr">
        <is>
          <t>Y</t>
        </is>
      </c>
      <c r="I330">
        <f>HYPERLINK("https://admin.shopify.com/store/ge-beauty-cosmeticos/customers/9590752674112","abrir")</f>
        <v/>
      </c>
      <c r="J330">
        <f>HYPERLINK("https://www.gebeauty.com.br/products/primer-liso-intacto?ref=review","review")</f>
        <v/>
      </c>
      <c r="K330" t="inlineStr">
        <is>
          <t>HOLDOUT</t>
        </is>
      </c>
    </row>
    <row r="331">
      <c r="A331" t="inlineStr">
        <is>
          <t>Gelba</t>
        </is>
      </c>
      <c r="B331" t="inlineStr">
        <is>
          <t>+5581987735891</t>
        </is>
      </c>
      <c r="C331" t="inlineStr">
        <is>
          <t>Refill</t>
        </is>
      </c>
      <c r="D331" t="inlineStr">
        <is>
          <t>Primer Liso</t>
        </is>
      </c>
      <c r="E331" t="n">
        <v>1</v>
      </c>
      <c r="F331" t="inlineStr">
        <is>
          <t>2025-08-24</t>
        </is>
      </c>
      <c r="G331" t="n">
        <v>314</v>
      </c>
      <c r="H331" t="inlineStr">
        <is>
          <t>Y</t>
        </is>
      </c>
      <c r="I331">
        <f>HYPERLINK("https://admin.shopify.com/store/ge-beauty-cosmeticos/customers/9590879224128","abrir")</f>
        <v/>
      </c>
      <c r="J331">
        <f>HYPERLINK("https://www.gebeauty.com.br/products/primer-liso-intacto?ref=review","review")</f>
        <v/>
      </c>
      <c r="K331" t="inlineStr">
        <is>
          <t>HOLDOUT</t>
        </is>
      </c>
    </row>
    <row r="332">
      <c r="A332" t="inlineStr">
        <is>
          <t>Bárbara</t>
        </is>
      </c>
      <c r="B332" t="inlineStr">
        <is>
          <t>+5512996696888</t>
        </is>
      </c>
      <c r="C332" t="inlineStr">
        <is>
          <t>Refill</t>
        </is>
      </c>
      <c r="D332" t="inlineStr">
        <is>
          <t>Primer Liso</t>
        </is>
      </c>
      <c r="E332" t="n">
        <v>1</v>
      </c>
      <c r="F332" t="inlineStr">
        <is>
          <t>2025-08-24</t>
        </is>
      </c>
      <c r="G332" t="n">
        <v>314</v>
      </c>
      <c r="H332" t="inlineStr">
        <is>
          <t>Y</t>
        </is>
      </c>
      <c r="I332">
        <f>HYPERLINK("https://admin.shopify.com/store/ge-beauty-cosmeticos/customers/7760483189056","abrir")</f>
        <v/>
      </c>
      <c r="J332">
        <f>HYPERLINK("https://www.gebeauty.com.br/products/primer-liso-intacto?ref=review","review")</f>
        <v/>
      </c>
      <c r="K332" t="inlineStr">
        <is>
          <t>SEND</t>
        </is>
      </c>
    </row>
    <row r="333">
      <c r="A333" t="inlineStr">
        <is>
          <t>Talita</t>
        </is>
      </c>
      <c r="B333" t="inlineStr">
        <is>
          <t>+5531988933809</t>
        </is>
      </c>
      <c r="C333" t="inlineStr">
        <is>
          <t>Refill</t>
        </is>
      </c>
      <c r="D333" t="inlineStr">
        <is>
          <t>Primer Liso</t>
        </is>
      </c>
      <c r="E333" t="n">
        <v>1</v>
      </c>
      <c r="F333" t="inlineStr">
        <is>
          <t>2025-08-24</t>
        </is>
      </c>
      <c r="G333" t="n">
        <v>314</v>
      </c>
      <c r="H333" t="inlineStr">
        <is>
          <t>Y</t>
        </is>
      </c>
      <c r="I333">
        <f>HYPERLINK("https://admin.shopify.com/store/ge-beauty-cosmeticos/customers/9591142252864","abrir")</f>
        <v/>
      </c>
      <c r="J333">
        <f>HYPERLINK("https://www.gebeauty.com.br/products/primer-liso-intacto?ref=review","review")</f>
        <v/>
      </c>
      <c r="K333" t="inlineStr">
        <is>
          <t>SEND</t>
        </is>
      </c>
    </row>
    <row r="334">
      <c r="A334" t="inlineStr">
        <is>
          <t>Alessandra</t>
        </is>
      </c>
      <c r="B334" t="inlineStr">
        <is>
          <t>+5511969057667</t>
        </is>
      </c>
      <c r="C334" t="inlineStr">
        <is>
          <t>Refill</t>
        </is>
      </c>
      <c r="D334" t="inlineStr">
        <is>
          <t>Primer Liso</t>
        </is>
      </c>
      <c r="E334" t="n">
        <v>1</v>
      </c>
      <c r="F334" t="inlineStr">
        <is>
          <t>2025-08-24</t>
        </is>
      </c>
      <c r="G334" t="n">
        <v>314</v>
      </c>
      <c r="H334" t="inlineStr">
        <is>
          <t>Y</t>
        </is>
      </c>
      <c r="I334">
        <f>HYPERLINK("https://admin.shopify.com/store/ge-beauty-cosmeticos/customers/9591151853888","abrir")</f>
        <v/>
      </c>
      <c r="J334">
        <f>HYPERLINK("https://www.gebeauty.com.br/products/primer-liso-intacto?ref=review","review")</f>
        <v/>
      </c>
      <c r="K334" t="inlineStr">
        <is>
          <t>SEND</t>
        </is>
      </c>
    </row>
    <row r="335">
      <c r="A335" t="inlineStr">
        <is>
          <t>Augustinho</t>
        </is>
      </c>
      <c r="B335" t="inlineStr">
        <is>
          <t>+5541991348818</t>
        </is>
      </c>
      <c r="C335" t="inlineStr">
        <is>
          <t>Refill</t>
        </is>
      </c>
      <c r="D335" t="inlineStr">
        <is>
          <t>Primer Liso</t>
        </is>
      </c>
      <c r="E335" t="n">
        <v>1</v>
      </c>
      <c r="F335" t="inlineStr">
        <is>
          <t>2025-08-24</t>
        </is>
      </c>
      <c r="G335" t="n">
        <v>314</v>
      </c>
      <c r="H335" t="inlineStr">
        <is>
          <t>Y</t>
        </is>
      </c>
      <c r="I335">
        <f>HYPERLINK("https://admin.shopify.com/store/ge-beauty-cosmeticos/customers/9591219650880","abrir")</f>
        <v/>
      </c>
      <c r="J335">
        <f>HYPERLINK("https://www.gebeauty.com.br/products/primer-liso-intacto?ref=review","review")</f>
        <v/>
      </c>
      <c r="K335" t="inlineStr">
        <is>
          <t>HOLDOUT</t>
        </is>
      </c>
    </row>
    <row r="336">
      <c r="A336" t="inlineStr">
        <is>
          <t>Caroline</t>
        </is>
      </c>
      <c r="B336" t="inlineStr">
        <is>
          <t>+5548991125100</t>
        </is>
      </c>
      <c r="C336" t="inlineStr">
        <is>
          <t>Refill</t>
        </is>
      </c>
      <c r="D336" t="inlineStr">
        <is>
          <t>Primer Liso</t>
        </is>
      </c>
      <c r="E336" t="n">
        <v>1</v>
      </c>
      <c r="F336" t="inlineStr">
        <is>
          <t>2025-08-24</t>
        </is>
      </c>
      <c r="G336" t="n">
        <v>314</v>
      </c>
      <c r="H336" t="inlineStr">
        <is>
          <t>Y</t>
        </is>
      </c>
      <c r="I336">
        <f>HYPERLINK("https://admin.shopify.com/store/ge-beauty-cosmeticos/customers/9591279059264","abrir")</f>
        <v/>
      </c>
      <c r="J336">
        <f>HYPERLINK("https://www.gebeauty.com.br/products/primer-liso-intacto?ref=review","review")</f>
        <v/>
      </c>
      <c r="K336" t="inlineStr">
        <is>
          <t>SEND</t>
        </is>
      </c>
    </row>
    <row r="337">
      <c r="A337" t="inlineStr">
        <is>
          <t>Brena</t>
        </is>
      </c>
      <c r="B337" t="inlineStr">
        <is>
          <t>+5521998087627</t>
        </is>
      </c>
      <c r="C337" t="inlineStr">
        <is>
          <t>Refill</t>
        </is>
      </c>
      <c r="D337" t="inlineStr">
        <is>
          <t>Primer Liso</t>
        </is>
      </c>
      <c r="E337" t="n">
        <v>1</v>
      </c>
      <c r="F337" t="inlineStr">
        <is>
          <t>2025-08-24</t>
        </is>
      </c>
      <c r="G337" t="n">
        <v>314</v>
      </c>
      <c r="H337" t="inlineStr">
        <is>
          <t>Y</t>
        </is>
      </c>
      <c r="I337">
        <f>HYPERLINK("https://admin.shopify.com/store/ge-beauty-cosmeticos/customers/9591311499584","abrir")</f>
        <v/>
      </c>
      <c r="J337">
        <f>HYPERLINK("https://www.gebeauty.com.br/products/primer-liso-intacto?ref=review","review")</f>
        <v/>
      </c>
      <c r="K337" t="inlineStr">
        <is>
          <t>SEND</t>
        </is>
      </c>
    </row>
    <row r="338">
      <c r="A338" t="inlineStr">
        <is>
          <t>Rafaela</t>
        </is>
      </c>
      <c r="B338" t="inlineStr">
        <is>
          <t>+5535997172728</t>
        </is>
      </c>
      <c r="C338" t="inlineStr">
        <is>
          <t>Refill</t>
        </is>
      </c>
      <c r="D338" t="inlineStr">
        <is>
          <t>Primer Liso</t>
        </is>
      </c>
      <c r="E338" t="n">
        <v>1</v>
      </c>
      <c r="F338" t="inlineStr">
        <is>
          <t>2025-08-24</t>
        </is>
      </c>
      <c r="G338" t="n">
        <v>314</v>
      </c>
      <c r="H338" t="inlineStr">
        <is>
          <t>Y</t>
        </is>
      </c>
      <c r="I338">
        <f>HYPERLINK("https://admin.shopify.com/store/ge-beauty-cosmeticos/customers/9591310680384","abrir")</f>
        <v/>
      </c>
      <c r="J338">
        <f>HYPERLINK("https://www.gebeauty.com.br/products/primer-liso-intacto?ref=review","review")</f>
        <v/>
      </c>
      <c r="K338" t="inlineStr">
        <is>
          <t>SEND</t>
        </is>
      </c>
    </row>
    <row r="339">
      <c r="A339" t="inlineStr">
        <is>
          <t>Marcela</t>
        </is>
      </c>
      <c r="B339" t="inlineStr">
        <is>
          <t>+5516177845896</t>
        </is>
      </c>
      <c r="C339" t="inlineStr">
        <is>
          <t>Refill</t>
        </is>
      </c>
      <c r="D339" t="inlineStr">
        <is>
          <t>Primer Liso</t>
        </is>
      </c>
      <c r="E339" t="n">
        <v>1</v>
      </c>
      <c r="F339" t="inlineStr">
        <is>
          <t>2025-08-24</t>
        </is>
      </c>
      <c r="G339" t="n">
        <v>314</v>
      </c>
      <c r="H339" t="inlineStr">
        <is>
          <t>Y</t>
        </is>
      </c>
      <c r="I339">
        <f>HYPERLINK("https://admin.shopify.com/store/ge-beauty-cosmeticos/customers/9591333159232","abrir")</f>
        <v/>
      </c>
      <c r="J339">
        <f>HYPERLINK("https://www.gebeauty.com.br/products/primer-liso-intacto?ref=review","review")</f>
        <v/>
      </c>
      <c r="K339" t="inlineStr">
        <is>
          <t>SEND</t>
        </is>
      </c>
    </row>
    <row r="340">
      <c r="A340" t="inlineStr">
        <is>
          <t>Camila</t>
        </is>
      </c>
      <c r="B340" t="inlineStr">
        <is>
          <t>+5519992276061</t>
        </is>
      </c>
      <c r="C340" t="inlineStr">
        <is>
          <t>Refill</t>
        </is>
      </c>
      <c r="D340" t="inlineStr">
        <is>
          <t>Primer Liso</t>
        </is>
      </c>
      <c r="E340" t="n">
        <v>1</v>
      </c>
      <c r="F340" t="inlineStr">
        <is>
          <t>2025-08-24</t>
        </is>
      </c>
      <c r="G340" t="n">
        <v>314</v>
      </c>
      <c r="H340" t="inlineStr">
        <is>
          <t>Y</t>
        </is>
      </c>
      <c r="I340">
        <f>HYPERLINK("https://admin.shopify.com/store/ge-beauty-cosmeticos/customers/9591689019712","abrir")</f>
        <v/>
      </c>
      <c r="J340">
        <f>HYPERLINK("https://www.gebeauty.com.br/products/primer-liso-intacto?ref=review","review")</f>
        <v/>
      </c>
      <c r="K340" t="inlineStr">
        <is>
          <t>SEND</t>
        </is>
      </c>
    </row>
    <row r="341">
      <c r="A341" t="inlineStr">
        <is>
          <t>Augusto</t>
        </is>
      </c>
      <c r="B341" t="inlineStr">
        <is>
          <t>+5561981718812</t>
        </is>
      </c>
      <c r="C341" t="inlineStr">
        <is>
          <t>Refill</t>
        </is>
      </c>
      <c r="D341" t="inlineStr">
        <is>
          <t>Primer Liso</t>
        </is>
      </c>
      <c r="E341" t="n">
        <v>1</v>
      </c>
      <c r="F341" t="inlineStr">
        <is>
          <t>2025-08-24</t>
        </is>
      </c>
      <c r="G341" t="n">
        <v>314</v>
      </c>
      <c r="H341" t="inlineStr">
        <is>
          <t>Y</t>
        </is>
      </c>
      <c r="I341">
        <f>HYPERLINK("https://admin.shopify.com/store/ge-beauty-cosmeticos/customers/9591928815936","abrir")</f>
        <v/>
      </c>
      <c r="J341">
        <f>HYPERLINK("https://www.gebeauty.com.br/products/primer-liso-intacto?ref=review","review")</f>
        <v/>
      </c>
      <c r="K341" t="inlineStr">
        <is>
          <t>SEND</t>
        </is>
      </c>
    </row>
    <row r="342">
      <c r="A342" t="inlineStr">
        <is>
          <t>Caroline</t>
        </is>
      </c>
      <c r="B342" t="inlineStr">
        <is>
          <t>+5513997508435</t>
        </is>
      </c>
      <c r="C342" t="inlineStr">
        <is>
          <t>Refill</t>
        </is>
      </c>
      <c r="D342" t="inlineStr">
        <is>
          <t>Primer Liso</t>
        </is>
      </c>
      <c r="E342" t="n">
        <v>1</v>
      </c>
      <c r="F342" t="inlineStr">
        <is>
          <t>2025-08-24</t>
        </is>
      </c>
      <c r="G342" t="n">
        <v>314</v>
      </c>
      <c r="H342" t="inlineStr">
        <is>
          <t>Y</t>
        </is>
      </c>
      <c r="I342">
        <f>HYPERLINK("https://admin.shopify.com/store/ge-beauty-cosmeticos/customers/9486204993856","abrir")</f>
        <v/>
      </c>
      <c r="J342">
        <f>HYPERLINK("https://www.gebeauty.com.br/products/primer-liso-intacto?ref=review","review")</f>
        <v/>
      </c>
      <c r="K342" t="inlineStr">
        <is>
          <t>SEND</t>
        </is>
      </c>
    </row>
    <row r="343">
      <c r="A343" t="inlineStr">
        <is>
          <t>Ana</t>
        </is>
      </c>
      <c r="B343" t="inlineStr">
        <is>
          <t>+5551982212803</t>
        </is>
      </c>
      <c r="C343" t="inlineStr">
        <is>
          <t>Refill</t>
        </is>
      </c>
      <c r="D343" t="inlineStr">
        <is>
          <t>Primer Liso</t>
        </is>
      </c>
      <c r="E343" t="n">
        <v>1</v>
      </c>
      <c r="F343" t="inlineStr">
        <is>
          <t>2025-08-25</t>
        </is>
      </c>
      <c r="G343" t="n">
        <v>313</v>
      </c>
      <c r="H343" t="inlineStr">
        <is>
          <t>Y</t>
        </is>
      </c>
      <c r="I343">
        <f>HYPERLINK("https://admin.shopify.com/store/ge-beauty-cosmeticos/customers/9592704827712","abrir")</f>
        <v/>
      </c>
      <c r="J343">
        <f>HYPERLINK("https://www.gebeauty.com.br/products/primer-liso-intacto?ref=review","review")</f>
        <v/>
      </c>
      <c r="K343" t="inlineStr">
        <is>
          <t>SEND</t>
        </is>
      </c>
    </row>
    <row r="344">
      <c r="A344" t="inlineStr">
        <is>
          <t>Mille</t>
        </is>
      </c>
      <c r="B344" t="inlineStr">
        <is>
          <t>+5571993000450</t>
        </is>
      </c>
      <c r="C344" t="inlineStr">
        <is>
          <t>Refill</t>
        </is>
      </c>
      <c r="D344" t="inlineStr">
        <is>
          <t>Primer Liso</t>
        </is>
      </c>
      <c r="E344" t="n">
        <v>1</v>
      </c>
      <c r="F344" t="inlineStr">
        <is>
          <t>2025-08-25</t>
        </is>
      </c>
      <c r="G344" t="n">
        <v>313</v>
      </c>
      <c r="H344" t="inlineStr">
        <is>
          <t>Y</t>
        </is>
      </c>
      <c r="I344">
        <f>HYPERLINK("https://admin.shopify.com/store/ge-beauty-cosmeticos/customers/9593726468416","abrir")</f>
        <v/>
      </c>
      <c r="J344">
        <f>HYPERLINK("https://www.gebeauty.com.br/products/primer-liso-intacto?ref=review","review")</f>
        <v/>
      </c>
      <c r="K344" t="inlineStr">
        <is>
          <t>SEND</t>
        </is>
      </c>
    </row>
    <row r="345">
      <c r="A345" t="inlineStr">
        <is>
          <t>Camila</t>
        </is>
      </c>
      <c r="B345" t="inlineStr">
        <is>
          <t>+5511959289688</t>
        </is>
      </c>
      <c r="C345" t="inlineStr">
        <is>
          <t>Refill</t>
        </is>
      </c>
      <c r="D345" t="inlineStr">
        <is>
          <t>Primer Liso</t>
        </is>
      </c>
      <c r="E345" t="n">
        <v>1</v>
      </c>
      <c r="F345" t="inlineStr">
        <is>
          <t>2025-08-25</t>
        </is>
      </c>
      <c r="G345" t="n">
        <v>313</v>
      </c>
      <c r="H345" t="inlineStr">
        <is>
          <t>Y</t>
        </is>
      </c>
      <c r="I345">
        <f>HYPERLINK("https://admin.shopify.com/store/ge-beauty-cosmeticos/customers/9593905807680","abrir")</f>
        <v/>
      </c>
      <c r="J345">
        <f>HYPERLINK("https://www.gebeauty.com.br/products/primer-liso-intacto?ref=review","review")</f>
        <v/>
      </c>
      <c r="K345" t="inlineStr">
        <is>
          <t>SEND</t>
        </is>
      </c>
    </row>
    <row r="346">
      <c r="A346" t="inlineStr">
        <is>
          <t>Thais</t>
        </is>
      </c>
      <c r="B346" t="inlineStr">
        <is>
          <t>+5511985740438</t>
        </is>
      </c>
      <c r="C346" t="inlineStr">
        <is>
          <t>Refill</t>
        </is>
      </c>
      <c r="D346" t="inlineStr">
        <is>
          <t>Primer Liso</t>
        </is>
      </c>
      <c r="E346" t="n">
        <v>1</v>
      </c>
      <c r="F346" t="inlineStr">
        <is>
          <t>2025-08-26</t>
        </is>
      </c>
      <c r="G346" t="n">
        <v>312</v>
      </c>
      <c r="H346" t="inlineStr">
        <is>
          <t>Y</t>
        </is>
      </c>
      <c r="I346">
        <f>HYPERLINK("https://admin.shopify.com/store/ge-beauty-cosmeticos/customers/7762265440576","abrir")</f>
        <v/>
      </c>
      <c r="J346">
        <f>HYPERLINK("https://www.gebeauty.com.br/products/primer-liso-intacto?ref=review","review")</f>
        <v/>
      </c>
      <c r="K346" t="inlineStr">
        <is>
          <t>SEND</t>
        </is>
      </c>
    </row>
    <row r="347">
      <c r="A347" t="inlineStr">
        <is>
          <t>Cristina</t>
        </is>
      </c>
      <c r="B347" t="inlineStr">
        <is>
          <t>+5511975333536</t>
        </is>
      </c>
      <c r="C347" t="inlineStr">
        <is>
          <t>Refill</t>
        </is>
      </c>
      <c r="D347" t="inlineStr">
        <is>
          <t>Primer Liso</t>
        </is>
      </c>
      <c r="E347" t="n">
        <v>1</v>
      </c>
      <c r="F347" t="inlineStr">
        <is>
          <t>2025-08-26</t>
        </is>
      </c>
      <c r="G347" t="n">
        <v>312</v>
      </c>
      <c r="H347" t="inlineStr">
        <is>
          <t>Y</t>
        </is>
      </c>
      <c r="I347">
        <f>HYPERLINK("https://admin.shopify.com/store/ge-beauty-cosmeticos/customers/9587640369472","abrir")</f>
        <v/>
      </c>
      <c r="J347">
        <f>HYPERLINK("https://www.gebeauty.com.br/products/primer-liso-intacto?ref=review","review")</f>
        <v/>
      </c>
      <c r="K347" t="inlineStr">
        <is>
          <t>SEND</t>
        </is>
      </c>
    </row>
    <row r="348">
      <c r="A348" t="inlineStr">
        <is>
          <t>Caroline</t>
        </is>
      </c>
      <c r="B348" t="inlineStr">
        <is>
          <t>+5551998058530</t>
        </is>
      </c>
      <c r="C348" t="inlineStr">
        <is>
          <t>Refill</t>
        </is>
      </c>
      <c r="D348" t="inlineStr">
        <is>
          <t>Primer Liso</t>
        </is>
      </c>
      <c r="E348" t="n">
        <v>1</v>
      </c>
      <c r="F348" t="inlineStr">
        <is>
          <t>2025-08-26</t>
        </is>
      </c>
      <c r="G348" t="n">
        <v>312</v>
      </c>
      <c r="H348" t="inlineStr">
        <is>
          <t>Y</t>
        </is>
      </c>
      <c r="I348">
        <f>HYPERLINK("https://admin.shopify.com/store/ge-beauty-cosmeticos/customers/9595059142976","abrir")</f>
        <v/>
      </c>
      <c r="J348">
        <f>HYPERLINK("https://www.gebeauty.com.br/products/primer-liso-intacto?ref=review","review")</f>
        <v/>
      </c>
      <c r="K348" t="inlineStr">
        <is>
          <t>SEND</t>
        </is>
      </c>
    </row>
    <row r="349">
      <c r="A349" t="inlineStr">
        <is>
          <t>Andressa</t>
        </is>
      </c>
      <c r="B349" t="inlineStr">
        <is>
          <t>+5515996720554</t>
        </is>
      </c>
      <c r="C349" t="inlineStr">
        <is>
          <t>Refill</t>
        </is>
      </c>
      <c r="D349" t="inlineStr">
        <is>
          <t>Primer Liso</t>
        </is>
      </c>
      <c r="E349" t="n">
        <v>1</v>
      </c>
      <c r="F349" t="inlineStr">
        <is>
          <t>2025-08-26</t>
        </is>
      </c>
      <c r="G349" t="n">
        <v>312</v>
      </c>
      <c r="H349" t="inlineStr">
        <is>
          <t>Y</t>
        </is>
      </c>
      <c r="I349">
        <f>HYPERLINK("https://admin.shopify.com/store/ge-beauty-cosmeticos/customers/8448266535232","abrir")</f>
        <v/>
      </c>
      <c r="J349">
        <f>HYPERLINK("https://www.gebeauty.com.br/products/primer-liso-intacto?ref=review","review")</f>
        <v/>
      </c>
      <c r="K349" t="inlineStr">
        <is>
          <t>SEND</t>
        </is>
      </c>
    </row>
    <row r="350">
      <c r="A350" t="inlineStr">
        <is>
          <t>Adriele</t>
        </is>
      </c>
      <c r="B350" t="inlineStr">
        <is>
          <t>+5521981316378</t>
        </is>
      </c>
      <c r="C350" t="inlineStr">
        <is>
          <t>Refill</t>
        </is>
      </c>
      <c r="D350" t="inlineStr">
        <is>
          <t>Primer Liso</t>
        </is>
      </c>
      <c r="E350" t="n">
        <v>1</v>
      </c>
      <c r="F350" t="inlineStr">
        <is>
          <t>2025-08-26</t>
        </is>
      </c>
      <c r="G350" t="n">
        <v>312</v>
      </c>
      <c r="H350" t="inlineStr">
        <is>
          <t>Y</t>
        </is>
      </c>
      <c r="I350">
        <f>HYPERLINK("https://admin.shopify.com/store/ge-beauty-cosmeticos/customers/8349018063168","abrir")</f>
        <v/>
      </c>
      <c r="J350">
        <f>HYPERLINK("https://www.gebeauty.com.br/products/primer-liso-intacto?ref=review","review")</f>
        <v/>
      </c>
      <c r="K350" t="inlineStr">
        <is>
          <t>SEND</t>
        </is>
      </c>
    </row>
    <row r="351">
      <c r="A351" t="inlineStr">
        <is>
          <t>Bruna</t>
        </is>
      </c>
      <c r="B351" t="inlineStr">
        <is>
          <t>+5521988849175</t>
        </is>
      </c>
      <c r="C351" t="inlineStr">
        <is>
          <t>Refill</t>
        </is>
      </c>
      <c r="D351" t="inlineStr">
        <is>
          <t>Primer Liso</t>
        </is>
      </c>
      <c r="E351" t="n">
        <v>1</v>
      </c>
      <c r="F351" t="inlineStr">
        <is>
          <t>2025-08-26</t>
        </is>
      </c>
      <c r="G351" t="n">
        <v>312</v>
      </c>
      <c r="H351" t="inlineStr">
        <is>
          <t>Y</t>
        </is>
      </c>
      <c r="I351">
        <f>HYPERLINK("https://admin.shopify.com/store/ge-beauty-cosmeticos/customers/7762003198272","abrir")</f>
        <v/>
      </c>
      <c r="J351">
        <f>HYPERLINK("https://www.gebeauty.com.br/products/primer-liso-intacto?ref=review","review")</f>
        <v/>
      </c>
      <c r="K351" t="inlineStr">
        <is>
          <t>SEND</t>
        </is>
      </c>
    </row>
    <row r="352">
      <c r="A352" t="inlineStr">
        <is>
          <t>Laura</t>
        </is>
      </c>
      <c r="B352" t="inlineStr">
        <is>
          <t>+5573999411144</t>
        </is>
      </c>
      <c r="C352" t="inlineStr">
        <is>
          <t>Refill</t>
        </is>
      </c>
      <c r="D352" t="inlineStr">
        <is>
          <t>Primer Liso</t>
        </is>
      </c>
      <c r="E352" t="n">
        <v>1</v>
      </c>
      <c r="F352" t="inlineStr">
        <is>
          <t>2025-08-26</t>
        </is>
      </c>
      <c r="G352" t="n">
        <v>312</v>
      </c>
      <c r="H352" t="inlineStr">
        <is>
          <t>Y</t>
        </is>
      </c>
      <c r="I352">
        <f>HYPERLINK("https://admin.shopify.com/store/ge-beauty-cosmeticos/customers/9596799746368","abrir")</f>
        <v/>
      </c>
      <c r="J352">
        <f>HYPERLINK("https://www.gebeauty.com.br/products/primer-liso-intacto?ref=review","review")</f>
        <v/>
      </c>
      <c r="K352" t="inlineStr">
        <is>
          <t>SEND</t>
        </is>
      </c>
    </row>
    <row r="353">
      <c r="A353" t="inlineStr">
        <is>
          <t>Gabrielli</t>
        </is>
      </c>
      <c r="B353" t="inlineStr">
        <is>
          <t>+5511954843114</t>
        </is>
      </c>
      <c r="C353" t="inlineStr">
        <is>
          <t>Refill</t>
        </is>
      </c>
      <c r="D353" t="inlineStr">
        <is>
          <t>Primer Liso</t>
        </is>
      </c>
      <c r="E353" t="n">
        <v>1</v>
      </c>
      <c r="F353" t="inlineStr">
        <is>
          <t>2025-08-27</t>
        </is>
      </c>
      <c r="G353" t="n">
        <v>311</v>
      </c>
      <c r="H353" t="inlineStr">
        <is>
          <t>Y</t>
        </is>
      </c>
      <c r="I353">
        <f>HYPERLINK("https://admin.shopify.com/store/ge-beauty-cosmeticos/customers/9597022306624","abrir")</f>
        <v/>
      </c>
      <c r="J353">
        <f>HYPERLINK("https://www.gebeauty.com.br/products/primer-liso-intacto?ref=review","review")</f>
        <v/>
      </c>
      <c r="K353" t="inlineStr">
        <is>
          <t>SEND</t>
        </is>
      </c>
    </row>
    <row r="354">
      <c r="A354" t="inlineStr">
        <is>
          <t>Flavia</t>
        </is>
      </c>
      <c r="B354" t="inlineStr">
        <is>
          <t>+5511981608311</t>
        </is>
      </c>
      <c r="C354" t="inlineStr">
        <is>
          <t>Refill</t>
        </is>
      </c>
      <c r="D354" t="inlineStr">
        <is>
          <t>Primer Liso</t>
        </is>
      </c>
      <c r="E354" t="n">
        <v>1</v>
      </c>
      <c r="F354" t="inlineStr">
        <is>
          <t>2025-08-27</t>
        </is>
      </c>
      <c r="G354" t="n">
        <v>311</v>
      </c>
      <c r="H354" t="inlineStr">
        <is>
          <t>Y</t>
        </is>
      </c>
      <c r="I354">
        <f>HYPERLINK("https://admin.shopify.com/store/ge-beauty-cosmeticos/customers/9599433310528","abrir")</f>
        <v/>
      </c>
      <c r="J354">
        <f>HYPERLINK("https://www.gebeauty.com.br/products/primer-liso-intacto?ref=review","review")</f>
        <v/>
      </c>
      <c r="K354" t="inlineStr">
        <is>
          <t>SEND</t>
        </is>
      </c>
    </row>
    <row r="355">
      <c r="A355" t="inlineStr">
        <is>
          <t>Alex</t>
        </is>
      </c>
      <c r="B355" t="inlineStr">
        <is>
          <t>+5582996616864</t>
        </is>
      </c>
      <c r="C355" t="inlineStr">
        <is>
          <t>Refill</t>
        </is>
      </c>
      <c r="D355" t="inlineStr">
        <is>
          <t>Primer Liso</t>
        </is>
      </c>
      <c r="E355" t="n">
        <v>1</v>
      </c>
      <c r="F355" t="inlineStr">
        <is>
          <t>2025-08-27</t>
        </is>
      </c>
      <c r="G355" t="n">
        <v>311</v>
      </c>
      <c r="H355" t="inlineStr">
        <is>
          <t>Y</t>
        </is>
      </c>
      <c r="I355">
        <f>HYPERLINK("https://admin.shopify.com/store/ge-beauty-cosmeticos/customers/9599655346496","abrir")</f>
        <v/>
      </c>
      <c r="J355">
        <f>HYPERLINK("https://www.gebeauty.com.br/products/primer-liso-intacto?ref=review","review")</f>
        <v/>
      </c>
      <c r="K355" t="inlineStr">
        <is>
          <t>SEND</t>
        </is>
      </c>
    </row>
    <row r="356">
      <c r="A356" t="inlineStr">
        <is>
          <t>Carolina</t>
        </is>
      </c>
      <c r="B356" t="inlineStr">
        <is>
          <t>+5548991911368</t>
        </is>
      </c>
      <c r="C356" t="inlineStr">
        <is>
          <t>Refill</t>
        </is>
      </c>
      <c r="D356" t="inlineStr">
        <is>
          <t>Primer Liso</t>
        </is>
      </c>
      <c r="E356" t="n">
        <v>1</v>
      </c>
      <c r="F356" t="inlineStr">
        <is>
          <t>2025-08-27</t>
        </is>
      </c>
      <c r="G356" t="n">
        <v>311</v>
      </c>
      <c r="H356" t="inlineStr">
        <is>
          <t>Y</t>
        </is>
      </c>
      <c r="I356">
        <f>HYPERLINK("https://admin.shopify.com/store/ge-beauty-cosmeticos/customers/9484683510080","abrir")</f>
        <v/>
      </c>
      <c r="J356">
        <f>HYPERLINK("https://www.gebeauty.com.br/products/primer-liso-intacto?ref=review","review")</f>
        <v/>
      </c>
      <c r="K356" t="inlineStr">
        <is>
          <t>SEND</t>
        </is>
      </c>
    </row>
    <row r="357">
      <c r="A357" t="inlineStr">
        <is>
          <t>Flavia</t>
        </is>
      </c>
      <c r="B357" t="inlineStr">
        <is>
          <t>+5519999571117</t>
        </is>
      </c>
      <c r="C357" t="inlineStr">
        <is>
          <t>Refill</t>
        </is>
      </c>
      <c r="D357" t="inlineStr">
        <is>
          <t>Primer Liso</t>
        </is>
      </c>
      <c r="E357" t="n">
        <v>1</v>
      </c>
      <c r="F357" t="inlineStr">
        <is>
          <t>2025-08-27</t>
        </is>
      </c>
      <c r="G357" t="n">
        <v>311</v>
      </c>
      <c r="H357" t="inlineStr">
        <is>
          <t>Y</t>
        </is>
      </c>
      <c r="I357">
        <f>HYPERLINK("https://admin.shopify.com/store/ge-beauty-cosmeticos/customers/9485634142528","abrir")</f>
        <v/>
      </c>
      <c r="J357">
        <f>HYPERLINK("https://www.gebeauty.com.br/products/primer-liso-intacto?ref=review","review")</f>
        <v/>
      </c>
      <c r="K357" t="inlineStr">
        <is>
          <t>SEND</t>
        </is>
      </c>
    </row>
    <row r="358">
      <c r="A358" t="inlineStr">
        <is>
          <t>Karla</t>
        </is>
      </c>
      <c r="B358" t="inlineStr">
        <is>
          <t>+5521993156155</t>
        </is>
      </c>
      <c r="C358" t="inlineStr">
        <is>
          <t>Refill</t>
        </is>
      </c>
      <c r="D358" t="inlineStr">
        <is>
          <t>Primer Liso</t>
        </is>
      </c>
      <c r="E358" t="n">
        <v>1</v>
      </c>
      <c r="F358" t="inlineStr">
        <is>
          <t>2025-08-27</t>
        </is>
      </c>
      <c r="G358" t="n">
        <v>311</v>
      </c>
      <c r="H358" t="inlineStr">
        <is>
          <t>Y</t>
        </is>
      </c>
      <c r="I358">
        <f>HYPERLINK("https://admin.shopify.com/store/ge-beauty-cosmeticos/customers/9601060864320","abrir")</f>
        <v/>
      </c>
      <c r="J358">
        <f>HYPERLINK("https://www.gebeauty.com.br/products/primer-liso-intacto?ref=review","review")</f>
        <v/>
      </c>
      <c r="K358" t="inlineStr">
        <is>
          <t>SEND</t>
        </is>
      </c>
    </row>
    <row r="359">
      <c r="A359" t="inlineStr">
        <is>
          <t>Laura</t>
        </is>
      </c>
      <c r="B359" t="inlineStr">
        <is>
          <t>+5581999394210</t>
        </is>
      </c>
      <c r="C359" t="inlineStr">
        <is>
          <t>Refill</t>
        </is>
      </c>
      <c r="D359" t="inlineStr">
        <is>
          <t>Primer Liso</t>
        </is>
      </c>
      <c r="E359" t="n">
        <v>1</v>
      </c>
      <c r="F359" t="inlineStr">
        <is>
          <t>2025-08-27</t>
        </is>
      </c>
      <c r="G359" t="n">
        <v>311</v>
      </c>
      <c r="H359" t="inlineStr">
        <is>
          <t>Y</t>
        </is>
      </c>
      <c r="I359">
        <f>HYPERLINK("https://admin.shopify.com/store/ge-beauty-cosmeticos/customers/9601352368448","abrir")</f>
        <v/>
      </c>
      <c r="J359">
        <f>HYPERLINK("https://www.gebeauty.com.br/products/primer-liso-intacto?ref=review","review")</f>
        <v/>
      </c>
      <c r="K359" t="inlineStr">
        <is>
          <t>SEND</t>
        </is>
      </c>
    </row>
    <row r="360">
      <c r="A360" t="inlineStr">
        <is>
          <t>Thalya</t>
        </is>
      </c>
      <c r="B360" t="inlineStr">
        <is>
          <t>+5581993213242</t>
        </is>
      </c>
      <c r="C360" t="inlineStr">
        <is>
          <t>Refill</t>
        </is>
      </c>
      <c r="D360" t="inlineStr">
        <is>
          <t>Primer Liso</t>
        </is>
      </c>
      <c r="E360" t="n">
        <v>1</v>
      </c>
      <c r="F360" t="inlineStr">
        <is>
          <t>2025-08-27</t>
        </is>
      </c>
      <c r="G360" t="n">
        <v>311</v>
      </c>
      <c r="H360" t="inlineStr">
        <is>
          <t>Y</t>
        </is>
      </c>
      <c r="I360">
        <f>HYPERLINK("https://admin.shopify.com/store/ge-beauty-cosmeticos/customers/9601646133568","abrir")</f>
        <v/>
      </c>
      <c r="J360">
        <f>HYPERLINK("https://www.gebeauty.com.br/products/primer-liso-intacto?ref=review","review")</f>
        <v/>
      </c>
      <c r="K360" t="inlineStr">
        <is>
          <t>SEND</t>
        </is>
      </c>
    </row>
    <row r="361">
      <c r="A361" t="inlineStr">
        <is>
          <t>Gisele</t>
        </is>
      </c>
      <c r="B361" t="inlineStr">
        <is>
          <t>+5511971606545</t>
        </is>
      </c>
      <c r="C361" t="inlineStr">
        <is>
          <t>Refill</t>
        </is>
      </c>
      <c r="D361" t="inlineStr">
        <is>
          <t>Primer Liso</t>
        </is>
      </c>
      <c r="E361" t="n">
        <v>1</v>
      </c>
      <c r="F361" t="inlineStr">
        <is>
          <t>2025-08-27</t>
        </is>
      </c>
      <c r="G361" t="n">
        <v>311</v>
      </c>
      <c r="H361" t="inlineStr">
        <is>
          <t>Y</t>
        </is>
      </c>
      <c r="I361">
        <f>HYPERLINK("https://admin.shopify.com/store/ge-beauty-cosmeticos/customers/9602953445696","abrir")</f>
        <v/>
      </c>
      <c r="J361">
        <f>HYPERLINK("https://www.gebeauty.com.br/products/primer-liso-intacto?ref=review","review")</f>
        <v/>
      </c>
      <c r="K361" t="inlineStr">
        <is>
          <t>SEND</t>
        </is>
      </c>
    </row>
    <row r="362">
      <c r="A362" t="inlineStr">
        <is>
          <t>Maria</t>
        </is>
      </c>
      <c r="B362" t="inlineStr">
        <is>
          <t>+5581992247557</t>
        </is>
      </c>
      <c r="C362" t="inlineStr">
        <is>
          <t>Refill</t>
        </is>
      </c>
      <c r="D362" t="inlineStr">
        <is>
          <t>Primer Liso</t>
        </is>
      </c>
      <c r="E362" t="n">
        <v>1</v>
      </c>
      <c r="F362" t="inlineStr">
        <is>
          <t>2025-08-27</t>
        </is>
      </c>
      <c r="G362" t="n">
        <v>311</v>
      </c>
      <c r="H362" t="inlineStr">
        <is>
          <t>Y</t>
        </is>
      </c>
      <c r="I362">
        <f>HYPERLINK("https://admin.shopify.com/store/ge-beauty-cosmeticos/customers/9486080901440","abrir")</f>
        <v/>
      </c>
      <c r="J362">
        <f>HYPERLINK("https://www.gebeauty.com.br/products/primer-liso-intacto?ref=review","review")</f>
        <v/>
      </c>
      <c r="K362" t="inlineStr">
        <is>
          <t>SEND</t>
        </is>
      </c>
    </row>
    <row r="363">
      <c r="A363" t="inlineStr">
        <is>
          <t>Patricia</t>
        </is>
      </c>
      <c r="B363" t="inlineStr">
        <is>
          <t>+5581999714500</t>
        </is>
      </c>
      <c r="C363" t="inlineStr">
        <is>
          <t>Refill</t>
        </is>
      </c>
      <c r="D363" t="inlineStr">
        <is>
          <t>Primer Liso</t>
        </is>
      </c>
      <c r="E363" t="n">
        <v>1</v>
      </c>
      <c r="F363" t="inlineStr">
        <is>
          <t>2025-08-28</t>
        </is>
      </c>
      <c r="G363" t="n">
        <v>310</v>
      </c>
      <c r="H363" t="inlineStr">
        <is>
          <t>Y</t>
        </is>
      </c>
      <c r="I363">
        <f>HYPERLINK("https://admin.shopify.com/store/ge-beauty-cosmeticos/customers/9486173995328","abrir")</f>
        <v/>
      </c>
      <c r="J363">
        <f>HYPERLINK("https://www.gebeauty.com.br/products/primer-liso-intacto?ref=review","review")</f>
        <v/>
      </c>
      <c r="K363" t="inlineStr">
        <is>
          <t>SEND</t>
        </is>
      </c>
    </row>
    <row r="364">
      <c r="A364" t="inlineStr">
        <is>
          <t>Debora</t>
        </is>
      </c>
      <c r="B364" t="inlineStr">
        <is>
          <t>+5527999630705</t>
        </is>
      </c>
      <c r="C364" t="inlineStr">
        <is>
          <t>Refill</t>
        </is>
      </c>
      <c r="D364" t="inlineStr">
        <is>
          <t>Primer Liso</t>
        </is>
      </c>
      <c r="E364" t="n">
        <v>1</v>
      </c>
      <c r="F364" t="inlineStr">
        <is>
          <t>2025-08-28</t>
        </is>
      </c>
      <c r="G364" t="n">
        <v>310</v>
      </c>
      <c r="H364" t="inlineStr">
        <is>
          <t>Y</t>
        </is>
      </c>
      <c r="I364">
        <f>HYPERLINK("https://admin.shopify.com/store/ge-beauty-cosmeticos/customers/9608840085824","abrir")</f>
        <v/>
      </c>
      <c r="J364">
        <f>HYPERLINK("https://www.gebeauty.com.br/products/primer-liso-intacto?ref=review","review")</f>
        <v/>
      </c>
      <c r="K364" t="inlineStr">
        <is>
          <t>SEND</t>
        </is>
      </c>
    </row>
    <row r="365">
      <c r="A365" t="inlineStr">
        <is>
          <t>Lara</t>
        </is>
      </c>
      <c r="B365" t="inlineStr">
        <is>
          <t>+5598981970102</t>
        </is>
      </c>
      <c r="C365" t="inlineStr">
        <is>
          <t>Refill</t>
        </is>
      </c>
      <c r="D365" t="inlineStr">
        <is>
          <t>Primer Liso</t>
        </is>
      </c>
      <c r="E365" t="n">
        <v>1</v>
      </c>
      <c r="F365" t="inlineStr">
        <is>
          <t>2025-08-28</t>
        </is>
      </c>
      <c r="G365" t="n">
        <v>310</v>
      </c>
      <c r="H365" t="inlineStr">
        <is>
          <t>Y</t>
        </is>
      </c>
      <c r="I365">
        <f>HYPERLINK("https://admin.shopify.com/store/ge-beauty-cosmeticos/customers/9486153744704","abrir")</f>
        <v/>
      </c>
      <c r="J365">
        <f>HYPERLINK("https://www.gebeauty.com.br/products/primer-liso-intacto?ref=review","review")</f>
        <v/>
      </c>
      <c r="K365" t="inlineStr">
        <is>
          <t>SEND</t>
        </is>
      </c>
    </row>
    <row r="366">
      <c r="A366" t="inlineStr">
        <is>
          <t>Mariana</t>
        </is>
      </c>
      <c r="B366" t="inlineStr">
        <is>
          <t>+5511971500680</t>
        </is>
      </c>
      <c r="C366" t="inlineStr">
        <is>
          <t>Refill</t>
        </is>
      </c>
      <c r="D366" t="inlineStr">
        <is>
          <t>Primer Liso</t>
        </is>
      </c>
      <c r="E366" t="n">
        <v>1</v>
      </c>
      <c r="F366" t="inlineStr">
        <is>
          <t>2025-08-28</t>
        </is>
      </c>
      <c r="G366" t="n">
        <v>310</v>
      </c>
      <c r="H366" t="inlineStr">
        <is>
          <t>Y</t>
        </is>
      </c>
      <c r="I366">
        <f>HYPERLINK("https://admin.shopify.com/store/ge-beauty-cosmeticos/customers/9608680505664","abrir")</f>
        <v/>
      </c>
      <c r="J366">
        <f>HYPERLINK("https://www.gebeauty.com.br/products/primer-liso-intacto?ref=review","review")</f>
        <v/>
      </c>
      <c r="K366" t="inlineStr">
        <is>
          <t>SEND</t>
        </is>
      </c>
    </row>
    <row r="367">
      <c r="A367" t="inlineStr">
        <is>
          <t>Paola</t>
        </is>
      </c>
      <c r="B367" t="inlineStr">
        <is>
          <t>+5521994088617</t>
        </is>
      </c>
      <c r="C367" t="inlineStr">
        <is>
          <t>Refill</t>
        </is>
      </c>
      <c r="D367" t="inlineStr">
        <is>
          <t>Primer Liso</t>
        </is>
      </c>
      <c r="E367" t="n">
        <v>1</v>
      </c>
      <c r="F367" t="inlineStr">
        <is>
          <t>2025-08-28</t>
        </is>
      </c>
      <c r="G367" t="n">
        <v>310</v>
      </c>
      <c r="H367" t="inlineStr">
        <is>
          <t>Y</t>
        </is>
      </c>
      <c r="I367">
        <f>HYPERLINK("https://admin.shopify.com/store/ge-beauty-cosmeticos/customers/9609871130944","abrir")</f>
        <v/>
      </c>
      <c r="J367">
        <f>HYPERLINK("https://www.gebeauty.com.br/products/primer-liso-intacto?ref=review","review")</f>
        <v/>
      </c>
      <c r="K367" t="inlineStr">
        <is>
          <t>SEND</t>
        </is>
      </c>
    </row>
    <row r="368">
      <c r="A368" t="inlineStr">
        <is>
          <t>Thalita</t>
        </is>
      </c>
      <c r="B368" t="inlineStr">
        <is>
          <t>+5511964254849</t>
        </is>
      </c>
      <c r="C368" t="inlineStr">
        <is>
          <t>Refill</t>
        </is>
      </c>
      <c r="D368" t="inlineStr">
        <is>
          <t>Primer Liso</t>
        </is>
      </c>
      <c r="E368" t="n">
        <v>1</v>
      </c>
      <c r="F368" t="inlineStr">
        <is>
          <t>2025-08-28</t>
        </is>
      </c>
      <c r="G368" t="n">
        <v>310</v>
      </c>
      <c r="H368" t="inlineStr">
        <is>
          <t>Y</t>
        </is>
      </c>
      <c r="I368">
        <f>HYPERLINK("https://admin.shopify.com/store/ge-beauty-cosmeticos/customers/9610129867072","abrir")</f>
        <v/>
      </c>
      <c r="J368">
        <f>HYPERLINK("https://www.gebeauty.com.br/products/primer-liso-intacto?ref=review","review")</f>
        <v/>
      </c>
      <c r="K368" t="inlineStr">
        <is>
          <t>SEND</t>
        </is>
      </c>
    </row>
    <row r="369">
      <c r="A369" t="inlineStr">
        <is>
          <t>Samyr</t>
        </is>
      </c>
      <c r="B369" t="inlineStr">
        <is>
          <t>+5581995335595</t>
        </is>
      </c>
      <c r="C369" t="inlineStr">
        <is>
          <t>Refill</t>
        </is>
      </c>
      <c r="D369" t="inlineStr">
        <is>
          <t>Primer Liso</t>
        </is>
      </c>
      <c r="E369" t="n">
        <v>1</v>
      </c>
      <c r="F369" t="inlineStr">
        <is>
          <t>2025-08-28</t>
        </is>
      </c>
      <c r="G369" t="n">
        <v>310</v>
      </c>
      <c r="H369" t="inlineStr">
        <is>
          <t>Y</t>
        </is>
      </c>
      <c r="I369">
        <f>HYPERLINK("https://admin.shopify.com/store/ge-beauty-cosmeticos/customers/9610103619904","abrir")</f>
        <v/>
      </c>
      <c r="J369">
        <f>HYPERLINK("https://www.gebeauty.com.br/products/primer-liso-intacto?ref=review","review")</f>
        <v/>
      </c>
      <c r="K369" t="inlineStr">
        <is>
          <t>SEND</t>
        </is>
      </c>
    </row>
    <row r="370">
      <c r="A370" t="inlineStr">
        <is>
          <t>Maria Eduarda</t>
        </is>
      </c>
      <c r="B370" t="inlineStr">
        <is>
          <t>+5532984841689</t>
        </is>
      </c>
      <c r="C370" t="inlineStr">
        <is>
          <t>Refill</t>
        </is>
      </c>
      <c r="D370" t="inlineStr">
        <is>
          <t>Primer Liso</t>
        </is>
      </c>
      <c r="E370" t="n">
        <v>1</v>
      </c>
      <c r="F370" t="inlineStr">
        <is>
          <t>2025-08-29</t>
        </is>
      </c>
      <c r="G370" t="n">
        <v>309</v>
      </c>
      <c r="H370" t="inlineStr">
        <is>
          <t>Y</t>
        </is>
      </c>
      <c r="I370">
        <f>HYPERLINK("https://admin.shopify.com/store/ge-beauty-cosmeticos/customers/9611903435072","abrir")</f>
        <v/>
      </c>
      <c r="J370">
        <f>HYPERLINK("https://www.gebeauty.com.br/products/primer-liso-intacto?ref=review","review")</f>
        <v/>
      </c>
      <c r="K370" t="inlineStr">
        <is>
          <t>SEND</t>
        </is>
      </c>
    </row>
    <row r="371">
      <c r="A371" t="inlineStr">
        <is>
          <t>Aline</t>
        </is>
      </c>
      <c r="B371" t="inlineStr">
        <is>
          <t>+5542999692784</t>
        </is>
      </c>
      <c r="C371" t="inlineStr">
        <is>
          <t>Refill</t>
        </is>
      </c>
      <c r="D371" t="inlineStr">
        <is>
          <t>Primer Liso</t>
        </is>
      </c>
      <c r="E371" t="n">
        <v>1</v>
      </c>
      <c r="F371" t="inlineStr">
        <is>
          <t>2025-08-29</t>
        </is>
      </c>
      <c r="G371" t="n">
        <v>309</v>
      </c>
      <c r="H371" t="inlineStr">
        <is>
          <t>Y</t>
        </is>
      </c>
      <c r="I371">
        <f>HYPERLINK("https://admin.shopify.com/store/ge-beauty-cosmeticos/customers/9612011635008","abrir")</f>
        <v/>
      </c>
      <c r="J371">
        <f>HYPERLINK("https://www.gebeauty.com.br/products/primer-liso-intacto?ref=review","review")</f>
        <v/>
      </c>
      <c r="K371" t="inlineStr">
        <is>
          <t>SEND</t>
        </is>
      </c>
    </row>
    <row r="372">
      <c r="A372" t="inlineStr">
        <is>
          <t>Greyce</t>
        </is>
      </c>
      <c r="B372" t="inlineStr">
        <is>
          <t>+5511961033013</t>
        </is>
      </c>
      <c r="C372" t="inlineStr">
        <is>
          <t>Refill</t>
        </is>
      </c>
      <c r="D372" t="inlineStr">
        <is>
          <t>Primer Liso</t>
        </is>
      </c>
      <c r="E372" t="n">
        <v>1</v>
      </c>
      <c r="F372" t="inlineStr">
        <is>
          <t>2025-08-29</t>
        </is>
      </c>
      <c r="G372" t="n">
        <v>309</v>
      </c>
      <c r="H372" t="inlineStr">
        <is>
          <t>Y</t>
        </is>
      </c>
      <c r="I372">
        <f>HYPERLINK("https://admin.shopify.com/store/ge-beauty-cosmeticos/customers/9612005835072","abrir")</f>
        <v/>
      </c>
      <c r="J372">
        <f>HYPERLINK("https://www.gebeauty.com.br/products/primer-liso-intacto?ref=review","review")</f>
        <v/>
      </c>
      <c r="K372" t="inlineStr">
        <is>
          <t>SEND</t>
        </is>
      </c>
    </row>
    <row r="373">
      <c r="A373" t="inlineStr">
        <is>
          <t>Karen</t>
        </is>
      </c>
      <c r="B373" t="inlineStr">
        <is>
          <t>+5567998888525</t>
        </is>
      </c>
      <c r="C373" t="inlineStr">
        <is>
          <t>Refill</t>
        </is>
      </c>
      <c r="D373" t="inlineStr">
        <is>
          <t>Primer Liso</t>
        </is>
      </c>
      <c r="E373" t="n">
        <v>1</v>
      </c>
      <c r="F373" t="inlineStr">
        <is>
          <t>2025-08-29</t>
        </is>
      </c>
      <c r="G373" t="n">
        <v>309</v>
      </c>
      <c r="H373" t="inlineStr">
        <is>
          <t>Y</t>
        </is>
      </c>
      <c r="I373">
        <f>HYPERLINK("https://admin.shopify.com/store/ge-beauty-cosmeticos/customers/9612305400128","abrir")</f>
        <v/>
      </c>
      <c r="J373">
        <f>HYPERLINK("https://www.gebeauty.com.br/products/primer-liso-intacto?ref=review","review")</f>
        <v/>
      </c>
      <c r="K373" t="inlineStr">
        <is>
          <t>SEND</t>
        </is>
      </c>
    </row>
    <row r="374">
      <c r="A374" t="inlineStr">
        <is>
          <t>Danielle</t>
        </is>
      </c>
      <c r="B374" t="inlineStr">
        <is>
          <t>+5585988503700</t>
        </is>
      </c>
      <c r="C374" t="inlineStr">
        <is>
          <t>Refill</t>
        </is>
      </c>
      <c r="D374" t="inlineStr">
        <is>
          <t>Primer Liso</t>
        </is>
      </c>
      <c r="E374" t="n">
        <v>1</v>
      </c>
      <c r="F374" t="inlineStr">
        <is>
          <t>2025-08-29</t>
        </is>
      </c>
      <c r="G374" t="n">
        <v>309</v>
      </c>
      <c r="H374" t="inlineStr">
        <is>
          <t>Y</t>
        </is>
      </c>
      <c r="I374">
        <f>HYPERLINK("https://admin.shopify.com/store/ge-beauty-cosmeticos/customers/9615255699776","abrir")</f>
        <v/>
      </c>
      <c r="J374">
        <f>HYPERLINK("https://www.gebeauty.com.br/products/primer-liso-intacto?ref=review","review")</f>
        <v/>
      </c>
      <c r="K374" t="inlineStr">
        <is>
          <t>SEND</t>
        </is>
      </c>
    </row>
    <row r="375">
      <c r="A375" t="inlineStr">
        <is>
          <t>Elaine</t>
        </is>
      </c>
      <c r="B375" t="inlineStr">
        <is>
          <t>+5511954933117</t>
        </is>
      </c>
      <c r="C375" t="inlineStr">
        <is>
          <t>Refill</t>
        </is>
      </c>
      <c r="D375" t="inlineStr">
        <is>
          <t>Primer Liso</t>
        </is>
      </c>
      <c r="E375" t="n">
        <v>1</v>
      </c>
      <c r="F375" t="inlineStr">
        <is>
          <t>2025-08-29</t>
        </is>
      </c>
      <c r="G375" t="n">
        <v>309</v>
      </c>
      <c r="H375" t="inlineStr">
        <is>
          <t>Y</t>
        </is>
      </c>
      <c r="I375">
        <f>HYPERLINK("https://admin.shopify.com/store/ge-beauty-cosmeticos/customers/9100141363520","abrir")</f>
        <v/>
      </c>
      <c r="J375">
        <f>HYPERLINK("https://www.gebeauty.com.br/products/primer-liso-intacto?ref=review","review")</f>
        <v/>
      </c>
      <c r="K375" t="inlineStr">
        <is>
          <t>SEND</t>
        </is>
      </c>
    </row>
    <row r="376">
      <c r="A376" t="inlineStr">
        <is>
          <t>Cinthia</t>
        </is>
      </c>
      <c r="B376" t="inlineStr">
        <is>
          <t>+5511996414328</t>
        </is>
      </c>
      <c r="C376" t="inlineStr">
        <is>
          <t>Refill</t>
        </is>
      </c>
      <c r="D376" t="inlineStr">
        <is>
          <t>Primer Liso</t>
        </is>
      </c>
      <c r="E376" t="n">
        <v>1</v>
      </c>
      <c r="F376" t="inlineStr">
        <is>
          <t>2025-08-29</t>
        </is>
      </c>
      <c r="G376" t="n">
        <v>309</v>
      </c>
      <c r="H376" t="inlineStr">
        <is>
          <t>Y</t>
        </is>
      </c>
      <c r="I376">
        <f>HYPERLINK("https://admin.shopify.com/store/ge-beauty-cosmeticos/customers/9616002187584","abrir")</f>
        <v/>
      </c>
      <c r="J376">
        <f>HYPERLINK("https://www.gebeauty.com.br/products/primer-liso-intacto?ref=review","review")</f>
        <v/>
      </c>
      <c r="K376" t="inlineStr">
        <is>
          <t>SEND</t>
        </is>
      </c>
    </row>
    <row r="377">
      <c r="A377" t="inlineStr">
        <is>
          <t>Ticiane</t>
        </is>
      </c>
      <c r="B377" t="inlineStr">
        <is>
          <t>+5521981311934</t>
        </is>
      </c>
      <c r="C377" t="inlineStr">
        <is>
          <t>Refill</t>
        </is>
      </c>
      <c r="D377" t="inlineStr">
        <is>
          <t>Primer Liso</t>
        </is>
      </c>
      <c r="E377" t="n">
        <v>1</v>
      </c>
      <c r="F377" t="inlineStr">
        <is>
          <t>2025-09-27</t>
        </is>
      </c>
      <c r="G377" t="n">
        <v>280</v>
      </c>
      <c r="H377" t="inlineStr">
        <is>
          <t>Y</t>
        </is>
      </c>
      <c r="I377">
        <f>HYPERLINK("https://admin.shopify.com/store/ge-beauty-cosmeticos/customers/8254492115264","abrir")</f>
        <v/>
      </c>
      <c r="J377">
        <f>HYPERLINK("https://www.gebeauty.com.br/products/primer-liso-intacto?ref=review","review")</f>
        <v/>
      </c>
      <c r="K377" t="inlineStr">
        <is>
          <t>SEND</t>
        </is>
      </c>
    </row>
    <row r="378">
      <c r="A378" t="inlineStr">
        <is>
          <t>Ana</t>
        </is>
      </c>
      <c r="B378" t="inlineStr">
        <is>
          <t>+5513997795527</t>
        </is>
      </c>
      <c r="C378" t="inlineStr">
        <is>
          <t>Refill</t>
        </is>
      </c>
      <c r="D378" t="inlineStr">
        <is>
          <t>Primer Liso</t>
        </is>
      </c>
      <c r="E378" t="n">
        <v>1</v>
      </c>
      <c r="F378" t="inlineStr">
        <is>
          <t>2025-08-29</t>
        </is>
      </c>
      <c r="G378" t="n">
        <v>309</v>
      </c>
      <c r="H378" t="inlineStr">
        <is>
          <t>Y</t>
        </is>
      </c>
      <c r="I378">
        <f>HYPERLINK("https://admin.shopify.com/store/ge-beauty-cosmeticos/customers/8133766742336","abrir")</f>
        <v/>
      </c>
      <c r="J378">
        <f>HYPERLINK("https://www.gebeauty.com.br/products/primer-liso-intacto?ref=review","review")</f>
        <v/>
      </c>
      <c r="K378" t="inlineStr">
        <is>
          <t>SEND</t>
        </is>
      </c>
    </row>
    <row r="379">
      <c r="A379" t="inlineStr">
        <is>
          <t>Norma</t>
        </is>
      </c>
      <c r="B379" t="inlineStr">
        <is>
          <t>+5511996162661</t>
        </is>
      </c>
      <c r="C379" t="inlineStr">
        <is>
          <t>Refill</t>
        </is>
      </c>
      <c r="D379" t="inlineStr">
        <is>
          <t>Primer Liso</t>
        </is>
      </c>
      <c r="E379" t="n">
        <v>1</v>
      </c>
      <c r="F379" t="inlineStr">
        <is>
          <t>2025-08-29</t>
        </is>
      </c>
      <c r="G379" t="n">
        <v>309</v>
      </c>
      <c r="H379" t="inlineStr">
        <is>
          <t>Y</t>
        </is>
      </c>
      <c r="I379">
        <f>HYPERLINK("https://admin.shopify.com/store/ge-beauty-cosmeticos/customers/9617390829888","abrir")</f>
        <v/>
      </c>
      <c r="J379">
        <f>HYPERLINK("https://www.gebeauty.com.br/products/primer-liso-intacto?ref=review","review")</f>
        <v/>
      </c>
      <c r="K379" t="inlineStr">
        <is>
          <t>SEND</t>
        </is>
      </c>
    </row>
    <row r="380">
      <c r="A380" t="inlineStr">
        <is>
          <t>Ana</t>
        </is>
      </c>
      <c r="B380" t="inlineStr">
        <is>
          <t>+5527988955524</t>
        </is>
      </c>
      <c r="C380" t="inlineStr">
        <is>
          <t>Refill</t>
        </is>
      </c>
      <c r="D380" t="inlineStr">
        <is>
          <t>Primer Liso</t>
        </is>
      </c>
      <c r="E380" t="n">
        <v>1</v>
      </c>
      <c r="F380" t="inlineStr">
        <is>
          <t>2025-08-29</t>
        </is>
      </c>
      <c r="G380" t="n">
        <v>309</v>
      </c>
      <c r="H380" t="inlineStr">
        <is>
          <t>Y</t>
        </is>
      </c>
      <c r="I380">
        <f>HYPERLINK("https://admin.shopify.com/store/ge-beauty-cosmeticos/customers/9617417503040","abrir")</f>
        <v/>
      </c>
      <c r="J380">
        <f>HYPERLINK("https://www.gebeauty.com.br/products/primer-liso-intacto?ref=review","review")</f>
        <v/>
      </c>
      <c r="K380" t="inlineStr">
        <is>
          <t>SEND</t>
        </is>
      </c>
    </row>
    <row r="381">
      <c r="A381" t="inlineStr">
        <is>
          <t>Ana Gabriela</t>
        </is>
      </c>
      <c r="B381" t="inlineStr">
        <is>
          <t>+5511982617462</t>
        </is>
      </c>
      <c r="C381" t="inlineStr">
        <is>
          <t>Refill</t>
        </is>
      </c>
      <c r="D381" t="inlineStr">
        <is>
          <t>Primer Liso</t>
        </is>
      </c>
      <c r="E381" t="n">
        <v>1</v>
      </c>
      <c r="F381" t="inlineStr">
        <is>
          <t>2025-08-29</t>
        </is>
      </c>
      <c r="G381" t="n">
        <v>309</v>
      </c>
      <c r="H381" t="inlineStr">
        <is>
          <t>Y</t>
        </is>
      </c>
      <c r="I381">
        <f>HYPERLINK("https://admin.shopify.com/store/ge-beauty-cosmeticos/customers/9617576755520","abrir")</f>
        <v/>
      </c>
      <c r="J381">
        <f>HYPERLINK("https://www.gebeauty.com.br/products/primer-liso-intacto?ref=review","review")</f>
        <v/>
      </c>
      <c r="K381" t="inlineStr">
        <is>
          <t>SEND</t>
        </is>
      </c>
    </row>
    <row r="382">
      <c r="A382" t="inlineStr">
        <is>
          <t>Cinthia</t>
        </is>
      </c>
      <c r="B382" t="inlineStr">
        <is>
          <t>+5547999296328</t>
        </is>
      </c>
      <c r="C382" t="inlineStr">
        <is>
          <t>Refill</t>
        </is>
      </c>
      <c r="D382" t="inlineStr">
        <is>
          <t>Primer Liso</t>
        </is>
      </c>
      <c r="E382" t="n">
        <v>1</v>
      </c>
      <c r="F382" t="inlineStr">
        <is>
          <t>2025-08-30</t>
        </is>
      </c>
      <c r="G382" t="n">
        <v>308</v>
      </c>
      <c r="H382" t="inlineStr">
        <is>
          <t>Y</t>
        </is>
      </c>
      <c r="I382">
        <f>HYPERLINK("https://admin.shopify.com/store/ge-beauty-cosmeticos/customers/9617734828352","abrir")</f>
        <v/>
      </c>
      <c r="J382">
        <f>HYPERLINK("https://www.gebeauty.com.br/products/primer-liso-intacto?ref=review","review")</f>
        <v/>
      </c>
      <c r="K382" t="inlineStr">
        <is>
          <t>SEND</t>
        </is>
      </c>
    </row>
    <row r="383">
      <c r="A383" t="inlineStr">
        <is>
          <t>Izabela</t>
        </is>
      </c>
      <c r="B383" t="inlineStr">
        <is>
          <t>+5511981160166</t>
        </is>
      </c>
      <c r="C383" t="inlineStr">
        <is>
          <t>Refill</t>
        </is>
      </c>
      <c r="D383" t="inlineStr">
        <is>
          <t>Primer Liso</t>
        </is>
      </c>
      <c r="E383" t="n">
        <v>1</v>
      </c>
      <c r="F383" t="inlineStr">
        <is>
          <t>2025-08-30</t>
        </is>
      </c>
      <c r="G383" t="n">
        <v>308</v>
      </c>
      <c r="H383" t="inlineStr">
        <is>
          <t>Y</t>
        </is>
      </c>
      <c r="I383">
        <f>HYPERLINK("https://admin.shopify.com/store/ge-beauty-cosmeticos/customers/9618577457472","abrir")</f>
        <v/>
      </c>
      <c r="J383">
        <f>HYPERLINK("https://www.gebeauty.com.br/products/primer-liso-intacto?ref=review","review")</f>
        <v/>
      </c>
      <c r="K383" t="inlineStr">
        <is>
          <t>SEND</t>
        </is>
      </c>
    </row>
    <row r="384">
      <c r="A384" t="inlineStr">
        <is>
          <t>Isabelle</t>
        </is>
      </c>
      <c r="B384" t="inlineStr">
        <is>
          <t>+5585986387930</t>
        </is>
      </c>
      <c r="C384" t="inlineStr">
        <is>
          <t>Refill</t>
        </is>
      </c>
      <c r="D384" t="inlineStr">
        <is>
          <t>Primer Liso</t>
        </is>
      </c>
      <c r="E384" t="n">
        <v>1</v>
      </c>
      <c r="F384" t="inlineStr">
        <is>
          <t>2025-08-30</t>
        </is>
      </c>
      <c r="G384" t="n">
        <v>308</v>
      </c>
      <c r="H384" t="inlineStr">
        <is>
          <t>Y</t>
        </is>
      </c>
      <c r="I384">
        <f>HYPERLINK("https://admin.shopify.com/store/ge-beauty-cosmeticos/customers/9621029978432","abrir")</f>
        <v/>
      </c>
      <c r="J384">
        <f>HYPERLINK("https://www.gebeauty.com.br/products/primer-liso-intacto?ref=review","review")</f>
        <v/>
      </c>
      <c r="K384" t="inlineStr">
        <is>
          <t>SEND</t>
        </is>
      </c>
    </row>
    <row r="385">
      <c r="A385" t="inlineStr">
        <is>
          <t>Francine</t>
        </is>
      </c>
      <c r="B385" t="inlineStr">
        <is>
          <t>+5547999447938</t>
        </is>
      </c>
      <c r="C385" t="inlineStr">
        <is>
          <t>Refill</t>
        </is>
      </c>
      <c r="D385" t="inlineStr">
        <is>
          <t>Primer Liso</t>
        </is>
      </c>
      <c r="E385" t="n">
        <v>1</v>
      </c>
      <c r="F385" t="inlineStr">
        <is>
          <t>2025-08-30</t>
        </is>
      </c>
      <c r="G385" t="n">
        <v>308</v>
      </c>
      <c r="H385" t="inlineStr">
        <is>
          <t>Y</t>
        </is>
      </c>
      <c r="I385">
        <f>HYPERLINK("https://admin.shopify.com/store/ge-beauty-cosmeticos/customers/9621842919744","abrir")</f>
        <v/>
      </c>
      <c r="J385">
        <f>HYPERLINK("https://www.gebeauty.com.br/products/primer-liso-intacto?ref=review","review")</f>
        <v/>
      </c>
      <c r="K385" t="inlineStr">
        <is>
          <t>SEND</t>
        </is>
      </c>
    </row>
    <row r="386">
      <c r="A386" t="inlineStr">
        <is>
          <t>Raul</t>
        </is>
      </c>
      <c r="B386" t="inlineStr">
        <is>
          <t>+5585996134233</t>
        </is>
      </c>
      <c r="C386" t="inlineStr">
        <is>
          <t>Refill</t>
        </is>
      </c>
      <c r="D386" t="inlineStr">
        <is>
          <t>Primer Liso</t>
        </is>
      </c>
      <c r="E386" t="n">
        <v>1</v>
      </c>
      <c r="F386" t="inlineStr">
        <is>
          <t>2025-08-30</t>
        </is>
      </c>
      <c r="G386" t="n">
        <v>308</v>
      </c>
      <c r="H386" t="inlineStr">
        <is>
          <t>Y</t>
        </is>
      </c>
      <c r="I386">
        <f>HYPERLINK("https://admin.shopify.com/store/ge-beauty-cosmeticos/customers/9621880865088","abrir")</f>
        <v/>
      </c>
      <c r="J386">
        <f>HYPERLINK("https://www.gebeauty.com.br/products/primer-liso-intacto?ref=review","review")</f>
        <v/>
      </c>
      <c r="K386" t="inlineStr">
        <is>
          <t>SEND</t>
        </is>
      </c>
    </row>
    <row r="387">
      <c r="A387" t="inlineStr">
        <is>
          <t>Maria das Graças</t>
        </is>
      </c>
      <c r="B387" t="inlineStr">
        <is>
          <t>+5586988026293</t>
        </is>
      </c>
      <c r="C387" t="inlineStr">
        <is>
          <t>Refill</t>
        </is>
      </c>
      <c r="D387" t="inlineStr">
        <is>
          <t>Primer Liso</t>
        </is>
      </c>
      <c r="E387" t="n">
        <v>1</v>
      </c>
      <c r="F387" t="inlineStr">
        <is>
          <t>2025-08-30</t>
        </is>
      </c>
      <c r="G387" t="n">
        <v>308</v>
      </c>
      <c r="H387" t="inlineStr">
        <is>
          <t>Y</t>
        </is>
      </c>
      <c r="I387">
        <f>HYPERLINK("https://admin.shopify.com/store/ge-beauty-cosmeticos/customers/9621323645248","abrir")</f>
        <v/>
      </c>
      <c r="J387">
        <f>HYPERLINK("https://www.gebeauty.com.br/products/primer-liso-intacto?ref=review","review")</f>
        <v/>
      </c>
      <c r="K387" t="inlineStr">
        <is>
          <t>SEND</t>
        </is>
      </c>
    </row>
    <row r="388">
      <c r="A388" t="inlineStr">
        <is>
          <t>Livia</t>
        </is>
      </c>
      <c r="B388" t="inlineStr">
        <is>
          <t>+5521983689892</t>
        </is>
      </c>
      <c r="C388" t="inlineStr">
        <is>
          <t>Refill</t>
        </is>
      </c>
      <c r="D388" t="inlineStr">
        <is>
          <t>Primer Liso</t>
        </is>
      </c>
      <c r="E388" t="n">
        <v>1</v>
      </c>
      <c r="F388" t="inlineStr">
        <is>
          <t>2025-08-30</t>
        </is>
      </c>
      <c r="G388" t="n">
        <v>308</v>
      </c>
      <c r="H388" t="inlineStr">
        <is>
          <t>Y</t>
        </is>
      </c>
      <c r="I388">
        <f>HYPERLINK("https://admin.shopify.com/store/ge-beauty-cosmeticos/customers/9484771983680","abrir")</f>
        <v/>
      </c>
      <c r="J388">
        <f>HYPERLINK("https://www.gebeauty.com.br/products/primer-liso-intacto?ref=review","review")</f>
        <v/>
      </c>
      <c r="K388" t="inlineStr">
        <is>
          <t>SEND</t>
        </is>
      </c>
    </row>
    <row r="389">
      <c r="A389" t="inlineStr">
        <is>
          <t>Ana Carolina</t>
        </is>
      </c>
      <c r="B389" t="inlineStr">
        <is>
          <t>+5521984829714</t>
        </is>
      </c>
      <c r="C389" t="inlineStr">
        <is>
          <t>Refill</t>
        </is>
      </c>
      <c r="D389" t="inlineStr">
        <is>
          <t>Primer Liso</t>
        </is>
      </c>
      <c r="E389" t="n">
        <v>1</v>
      </c>
      <c r="F389" t="inlineStr">
        <is>
          <t>2025-08-30</t>
        </is>
      </c>
      <c r="G389" t="n">
        <v>308</v>
      </c>
      <c r="H389" t="inlineStr">
        <is>
          <t>Y</t>
        </is>
      </c>
      <c r="I389">
        <f>HYPERLINK("https://admin.shopify.com/store/ge-beauty-cosmeticos/customers/9621580841280","abrir")</f>
        <v/>
      </c>
      <c r="J389">
        <f>HYPERLINK("https://www.gebeauty.com.br/products/primer-liso-intacto?ref=review","review")</f>
        <v/>
      </c>
      <c r="K389" t="inlineStr">
        <is>
          <t>SEND</t>
        </is>
      </c>
    </row>
    <row r="390">
      <c r="A390" t="inlineStr">
        <is>
          <t>Josi</t>
        </is>
      </c>
      <c r="B390" t="inlineStr">
        <is>
          <t>+5511960304968</t>
        </is>
      </c>
      <c r="C390" t="inlineStr">
        <is>
          <t>Refill</t>
        </is>
      </c>
      <c r="D390" t="inlineStr">
        <is>
          <t>Primer Liso</t>
        </is>
      </c>
      <c r="E390" t="n">
        <v>1</v>
      </c>
      <c r="F390" t="inlineStr">
        <is>
          <t>2025-08-30</t>
        </is>
      </c>
      <c r="G390" t="n">
        <v>308</v>
      </c>
      <c r="H390" t="inlineStr">
        <is>
          <t>Y</t>
        </is>
      </c>
      <c r="I390">
        <f>HYPERLINK("https://admin.shopify.com/store/ge-beauty-cosmeticos/customers/9623534305600","abrir")</f>
        <v/>
      </c>
      <c r="J390">
        <f>HYPERLINK("https://www.gebeauty.com.br/products/primer-liso-intacto?ref=review","review")</f>
        <v/>
      </c>
      <c r="K390" t="inlineStr">
        <is>
          <t>SEND</t>
        </is>
      </c>
    </row>
    <row r="391">
      <c r="A391" t="inlineStr">
        <is>
          <t>Danielle</t>
        </is>
      </c>
      <c r="B391" t="inlineStr">
        <is>
          <t>+5521986730999</t>
        </is>
      </c>
      <c r="C391" t="inlineStr">
        <is>
          <t>Refill</t>
        </is>
      </c>
      <c r="D391" t="inlineStr">
        <is>
          <t>Primer Liso</t>
        </is>
      </c>
      <c r="E391" t="n">
        <v>1</v>
      </c>
      <c r="F391" t="inlineStr">
        <is>
          <t>2025-08-30</t>
        </is>
      </c>
      <c r="G391" t="n">
        <v>308</v>
      </c>
      <c r="H391" t="inlineStr">
        <is>
          <t>Y</t>
        </is>
      </c>
      <c r="I391">
        <f>HYPERLINK("https://admin.shopify.com/store/ge-beauty-cosmeticos/customers/9623761682752","abrir")</f>
        <v/>
      </c>
      <c r="J391">
        <f>HYPERLINK("https://www.gebeauty.com.br/products/primer-liso-intacto?ref=review","review")</f>
        <v/>
      </c>
      <c r="K391" t="inlineStr">
        <is>
          <t>SEND</t>
        </is>
      </c>
    </row>
    <row r="392">
      <c r="A392" t="inlineStr">
        <is>
          <t>Maria</t>
        </is>
      </c>
      <c r="B392" t="inlineStr">
        <is>
          <t>+5591984851768</t>
        </is>
      </c>
      <c r="C392" t="inlineStr">
        <is>
          <t>Refill</t>
        </is>
      </c>
      <c r="D392" t="inlineStr">
        <is>
          <t>Primer Liso</t>
        </is>
      </c>
      <c r="E392" t="n">
        <v>1</v>
      </c>
      <c r="F392" t="inlineStr">
        <is>
          <t>2025-08-30</t>
        </is>
      </c>
      <c r="G392" t="n">
        <v>308</v>
      </c>
      <c r="H392" t="inlineStr">
        <is>
          <t>Y</t>
        </is>
      </c>
      <c r="I392">
        <f>HYPERLINK("https://admin.shopify.com/store/ge-beauty-cosmeticos/customers/9623830626624","abrir")</f>
        <v/>
      </c>
      <c r="J392">
        <f>HYPERLINK("https://www.gebeauty.com.br/products/primer-liso-intacto?ref=review","review")</f>
        <v/>
      </c>
      <c r="K392" t="inlineStr">
        <is>
          <t>SEND</t>
        </is>
      </c>
    </row>
    <row r="393">
      <c r="A393" t="inlineStr">
        <is>
          <t>Valdinete</t>
        </is>
      </c>
      <c r="B393" t="inlineStr">
        <is>
          <t>+5548996236670</t>
        </is>
      </c>
      <c r="C393" t="inlineStr">
        <is>
          <t>Refill</t>
        </is>
      </c>
      <c r="D393" t="inlineStr">
        <is>
          <t>Primer Liso</t>
        </is>
      </c>
      <c r="E393" t="n">
        <v>1</v>
      </c>
      <c r="F393" t="inlineStr">
        <is>
          <t>2025-08-30</t>
        </is>
      </c>
      <c r="G393" t="n">
        <v>308</v>
      </c>
      <c r="H393" t="inlineStr">
        <is>
          <t>Y</t>
        </is>
      </c>
      <c r="I393">
        <f>HYPERLINK("https://admin.shopify.com/store/ge-beauty-cosmeticos/customers/8263780565312","abrir")</f>
        <v/>
      </c>
      <c r="J393">
        <f>HYPERLINK("https://www.gebeauty.com.br/products/primer-liso-intacto?ref=review","review")</f>
        <v/>
      </c>
      <c r="K393" t="inlineStr">
        <is>
          <t>SEND</t>
        </is>
      </c>
    </row>
    <row r="394">
      <c r="A394" t="inlineStr">
        <is>
          <t>Elaine</t>
        </is>
      </c>
      <c r="B394" t="inlineStr">
        <is>
          <t>+5521983762244</t>
        </is>
      </c>
      <c r="C394" t="inlineStr">
        <is>
          <t>Refill</t>
        </is>
      </c>
      <c r="D394" t="inlineStr">
        <is>
          <t>Primer Liso</t>
        </is>
      </c>
      <c r="E394" t="n">
        <v>1</v>
      </c>
      <c r="F394" t="inlineStr">
        <is>
          <t>2025-11-20</t>
        </is>
      </c>
      <c r="G394" t="n">
        <v>226</v>
      </c>
      <c r="H394" t="inlineStr">
        <is>
          <t>Y</t>
        </is>
      </c>
      <c r="I394">
        <f>HYPERLINK("https://admin.shopify.com/store/ge-beauty-cosmeticos/customers/9883269497152","abrir")</f>
        <v/>
      </c>
      <c r="J394">
        <f>HYPERLINK("https://www.gebeauty.com.br/products/primer-liso-intacto?ref=review","review")</f>
        <v/>
      </c>
      <c r="K394" t="inlineStr">
        <is>
          <t>SEND</t>
        </is>
      </c>
    </row>
    <row r="395">
      <c r="A395" t="inlineStr">
        <is>
          <t>Hidelvania</t>
        </is>
      </c>
      <c r="B395" t="inlineStr">
        <is>
          <t>+5581991023626</t>
        </is>
      </c>
      <c r="C395" t="inlineStr">
        <is>
          <t>Refill</t>
        </is>
      </c>
      <c r="D395" t="inlineStr">
        <is>
          <t>Primer Liso</t>
        </is>
      </c>
      <c r="E395" t="n">
        <v>1</v>
      </c>
      <c r="F395" t="inlineStr">
        <is>
          <t>2025-08-30</t>
        </is>
      </c>
      <c r="G395" t="n">
        <v>308</v>
      </c>
      <c r="H395" t="inlineStr">
        <is>
          <t>Y</t>
        </is>
      </c>
      <c r="I395">
        <f>HYPERLINK("https://admin.shopify.com/store/ge-beauty-cosmeticos/customers/9625194398016","abrir")</f>
        <v/>
      </c>
      <c r="J395">
        <f>HYPERLINK("https://www.gebeauty.com.br/products/primer-liso-intacto?ref=review","review")</f>
        <v/>
      </c>
      <c r="K395" t="inlineStr">
        <is>
          <t>SEND</t>
        </is>
      </c>
    </row>
    <row r="396">
      <c r="A396" t="inlineStr">
        <is>
          <t>Lyllie</t>
        </is>
      </c>
      <c r="B396" t="inlineStr">
        <is>
          <t>+5534991334000</t>
        </is>
      </c>
      <c r="C396" t="inlineStr">
        <is>
          <t>Refill</t>
        </is>
      </c>
      <c r="D396" t="inlineStr">
        <is>
          <t>Primer Liso</t>
        </is>
      </c>
      <c r="E396" t="n">
        <v>1</v>
      </c>
      <c r="F396" t="inlineStr">
        <is>
          <t>2025-08-31</t>
        </is>
      </c>
      <c r="G396" t="n">
        <v>307</v>
      </c>
      <c r="H396" t="inlineStr">
        <is>
          <t>Y</t>
        </is>
      </c>
      <c r="I396">
        <f>HYPERLINK("https://admin.shopify.com/store/ge-beauty-cosmeticos/customers/9625394970944","abrir")</f>
        <v/>
      </c>
      <c r="J396">
        <f>HYPERLINK("https://www.gebeauty.com.br/products/primer-liso-intacto?ref=review","review")</f>
        <v/>
      </c>
      <c r="K396" t="inlineStr">
        <is>
          <t>SEND</t>
        </is>
      </c>
    </row>
    <row r="397">
      <c r="A397" t="inlineStr">
        <is>
          <t>Ana Luiza</t>
        </is>
      </c>
      <c r="B397" t="inlineStr">
        <is>
          <t>+5511983268991</t>
        </is>
      </c>
      <c r="C397" t="inlineStr">
        <is>
          <t>Refill</t>
        </is>
      </c>
      <c r="D397" t="inlineStr">
        <is>
          <t>Primer Liso</t>
        </is>
      </c>
      <c r="E397" t="n">
        <v>1</v>
      </c>
      <c r="F397" t="inlineStr">
        <is>
          <t>2025-08-31</t>
        </is>
      </c>
      <c r="G397" t="n">
        <v>307</v>
      </c>
      <c r="H397" t="inlineStr">
        <is>
          <t>Y</t>
        </is>
      </c>
      <c r="I397">
        <f>HYPERLINK("https://admin.shopify.com/store/ge-beauty-cosmeticos/customers/9627584528704","abrir")</f>
        <v/>
      </c>
      <c r="J397">
        <f>HYPERLINK("https://www.gebeauty.com.br/products/primer-liso-intacto?ref=review","review")</f>
        <v/>
      </c>
      <c r="K397" t="inlineStr">
        <is>
          <t>SEND</t>
        </is>
      </c>
    </row>
    <row r="398">
      <c r="A398" t="inlineStr">
        <is>
          <t>Paloma</t>
        </is>
      </c>
      <c r="B398" t="inlineStr">
        <is>
          <t>+5511996114316</t>
        </is>
      </c>
      <c r="C398" t="inlineStr">
        <is>
          <t>Refill</t>
        </is>
      </c>
      <c r="D398" t="inlineStr">
        <is>
          <t>Primer Liso</t>
        </is>
      </c>
      <c r="E398" t="n">
        <v>1</v>
      </c>
      <c r="F398" t="inlineStr">
        <is>
          <t>2025-08-31</t>
        </is>
      </c>
      <c r="G398" t="n">
        <v>307</v>
      </c>
      <c r="H398" t="inlineStr">
        <is>
          <t>Y</t>
        </is>
      </c>
      <c r="I398">
        <f>HYPERLINK("https://admin.shopify.com/store/ge-beauty-cosmeticos/customers/9628935586112","abrir")</f>
        <v/>
      </c>
      <c r="J398">
        <f>HYPERLINK("https://www.gebeauty.com.br/products/primer-liso-intacto?ref=review","review")</f>
        <v/>
      </c>
      <c r="K398" t="inlineStr">
        <is>
          <t>HOLDOUT</t>
        </is>
      </c>
    </row>
    <row r="399">
      <c r="A399" t="inlineStr">
        <is>
          <t>Lais</t>
        </is>
      </c>
      <c r="B399" t="inlineStr">
        <is>
          <t>+5511999087966</t>
        </is>
      </c>
      <c r="C399" t="inlineStr">
        <is>
          <t>Refill</t>
        </is>
      </c>
      <c r="D399" t="inlineStr">
        <is>
          <t>Primer Liso</t>
        </is>
      </c>
      <c r="E399" t="n">
        <v>1</v>
      </c>
      <c r="F399" t="inlineStr">
        <is>
          <t>2025-08-31</t>
        </is>
      </c>
      <c r="G399" t="n">
        <v>307</v>
      </c>
      <c r="H399" t="inlineStr">
        <is>
          <t>Y</t>
        </is>
      </c>
      <c r="I399">
        <f>HYPERLINK("https://admin.shopify.com/store/ge-beauty-cosmeticos/customers/9629432185152","abrir")</f>
        <v/>
      </c>
      <c r="J399">
        <f>HYPERLINK("https://www.gebeauty.com.br/products/primer-liso-intacto?ref=review","review")</f>
        <v/>
      </c>
      <c r="K399" t="inlineStr">
        <is>
          <t>SEND</t>
        </is>
      </c>
    </row>
    <row r="400">
      <c r="A400" t="inlineStr">
        <is>
          <t>Carla</t>
        </is>
      </c>
      <c r="B400" t="inlineStr">
        <is>
          <t>+5521987217301</t>
        </is>
      </c>
      <c r="C400" t="inlineStr">
        <is>
          <t>Refill</t>
        </is>
      </c>
      <c r="D400" t="inlineStr">
        <is>
          <t>Primer Liso</t>
        </is>
      </c>
      <c r="E400" t="n">
        <v>1</v>
      </c>
      <c r="F400" t="inlineStr">
        <is>
          <t>2025-08-31</t>
        </is>
      </c>
      <c r="G400" t="n">
        <v>307</v>
      </c>
      <c r="H400" t="inlineStr">
        <is>
          <t>Y</t>
        </is>
      </c>
      <c r="I400">
        <f>HYPERLINK("https://admin.shopify.com/store/ge-beauty-cosmeticos/customers/9629524754752","abrir")</f>
        <v/>
      </c>
      <c r="J400">
        <f>HYPERLINK("https://www.gebeauty.com.br/products/primer-liso-intacto?ref=review","review")</f>
        <v/>
      </c>
      <c r="K400" t="inlineStr">
        <is>
          <t>HOLDOUT</t>
        </is>
      </c>
    </row>
    <row r="401">
      <c r="A401" t="inlineStr">
        <is>
          <t>Manuela</t>
        </is>
      </c>
      <c r="B401" t="inlineStr">
        <is>
          <t>+5547991373422</t>
        </is>
      </c>
      <c r="C401" t="inlineStr">
        <is>
          <t>Refill</t>
        </is>
      </c>
      <c r="D401" t="inlineStr">
        <is>
          <t>Primer Liso</t>
        </is>
      </c>
      <c r="E401" t="n">
        <v>1</v>
      </c>
      <c r="F401" t="inlineStr">
        <is>
          <t>2025-08-31</t>
        </is>
      </c>
      <c r="G401" t="n">
        <v>307</v>
      </c>
      <c r="H401" t="inlineStr">
        <is>
          <t>Y</t>
        </is>
      </c>
      <c r="I401">
        <f>HYPERLINK("https://admin.shopify.com/store/ge-beauty-cosmeticos/customers/9629532029248","abrir")</f>
        <v/>
      </c>
      <c r="J401">
        <f>HYPERLINK("https://www.gebeauty.com.br/products/primer-liso-intacto?ref=review","review")</f>
        <v/>
      </c>
      <c r="K401" t="inlineStr">
        <is>
          <t>SEND</t>
        </is>
      </c>
    </row>
    <row r="402">
      <c r="A402" t="inlineStr">
        <is>
          <t>Jaciara</t>
        </is>
      </c>
      <c r="B402" t="inlineStr">
        <is>
          <t>+5547991466779</t>
        </is>
      </c>
      <c r="C402" t="inlineStr">
        <is>
          <t>Refill</t>
        </is>
      </c>
      <c r="D402" t="inlineStr">
        <is>
          <t>Primer Liso</t>
        </is>
      </c>
      <c r="E402" t="n">
        <v>1</v>
      </c>
      <c r="F402" t="inlineStr">
        <is>
          <t>2025-08-31</t>
        </is>
      </c>
      <c r="G402" t="n">
        <v>307</v>
      </c>
      <c r="H402" t="inlineStr">
        <is>
          <t>Y</t>
        </is>
      </c>
      <c r="I402">
        <f>HYPERLINK("https://admin.shopify.com/store/ge-beauty-cosmeticos/customers/7761755930944","abrir")</f>
        <v/>
      </c>
      <c r="J402">
        <f>HYPERLINK("https://www.gebeauty.com.br/products/primer-liso-intacto?ref=review","review")</f>
        <v/>
      </c>
      <c r="K402" t="inlineStr">
        <is>
          <t>SEND</t>
        </is>
      </c>
    </row>
    <row r="403">
      <c r="A403" t="inlineStr">
        <is>
          <t>Anna</t>
        </is>
      </c>
      <c r="B403" t="inlineStr">
        <is>
          <t>+5531984994656</t>
        </is>
      </c>
      <c r="C403" t="inlineStr">
        <is>
          <t>Refill</t>
        </is>
      </c>
      <c r="D403" t="inlineStr">
        <is>
          <t>Primer Liso</t>
        </is>
      </c>
      <c r="E403" t="n">
        <v>1</v>
      </c>
      <c r="F403" t="inlineStr">
        <is>
          <t>2025-08-31</t>
        </is>
      </c>
      <c r="G403" t="n">
        <v>307</v>
      </c>
      <c r="H403" t="inlineStr">
        <is>
          <t>Y</t>
        </is>
      </c>
      <c r="I403">
        <f>HYPERLINK("https://admin.shopify.com/store/ge-beauty-cosmeticos/customers/9570945794368","abrir")</f>
        <v/>
      </c>
      <c r="J403">
        <f>HYPERLINK("https://www.gebeauty.com.br/products/primer-liso-intacto?ref=review","review")</f>
        <v/>
      </c>
      <c r="K403" t="inlineStr">
        <is>
          <t>SEND</t>
        </is>
      </c>
    </row>
    <row r="404">
      <c r="A404" t="inlineStr">
        <is>
          <t>Jaqueline</t>
        </is>
      </c>
      <c r="B404" t="inlineStr">
        <is>
          <t>+5511981312504</t>
        </is>
      </c>
      <c r="C404" t="inlineStr">
        <is>
          <t>Refill</t>
        </is>
      </c>
      <c r="D404" t="inlineStr">
        <is>
          <t>Primer Liso</t>
        </is>
      </c>
      <c r="E404" t="n">
        <v>1</v>
      </c>
      <c r="F404" t="inlineStr">
        <is>
          <t>2025-08-31</t>
        </is>
      </c>
      <c r="G404" t="n">
        <v>307</v>
      </c>
      <c r="H404" t="inlineStr">
        <is>
          <t>Y</t>
        </is>
      </c>
      <c r="I404">
        <f>HYPERLINK("https://admin.shopify.com/store/ge-beauty-cosmeticos/customers/9631258280256","abrir")</f>
        <v/>
      </c>
      <c r="J404">
        <f>HYPERLINK("https://www.gebeauty.com.br/products/primer-liso-intacto?ref=review","review")</f>
        <v/>
      </c>
      <c r="K404" t="inlineStr">
        <is>
          <t>SEND</t>
        </is>
      </c>
    </row>
    <row r="405">
      <c r="A405" t="inlineStr">
        <is>
          <t>Carolina</t>
        </is>
      </c>
      <c r="B405" t="inlineStr">
        <is>
          <t>+5573991688787</t>
        </is>
      </c>
      <c r="C405" t="inlineStr">
        <is>
          <t>Refill</t>
        </is>
      </c>
      <c r="D405" t="inlineStr">
        <is>
          <t>Primer Liso</t>
        </is>
      </c>
      <c r="E405" t="n">
        <v>1</v>
      </c>
      <c r="F405" t="inlineStr">
        <is>
          <t>2025-08-31</t>
        </is>
      </c>
      <c r="G405" t="n">
        <v>307</v>
      </c>
      <c r="H405" t="inlineStr">
        <is>
          <t>Y</t>
        </is>
      </c>
      <c r="I405">
        <f>HYPERLINK("https://admin.shopify.com/store/ge-beauty-cosmeticos/customers/9631276826944","abrir")</f>
        <v/>
      </c>
      <c r="J405">
        <f>HYPERLINK("https://www.gebeauty.com.br/products/primer-liso-intacto?ref=review","review")</f>
        <v/>
      </c>
      <c r="K405" t="inlineStr">
        <is>
          <t>SEND</t>
        </is>
      </c>
    </row>
    <row r="406">
      <c r="A406" t="inlineStr">
        <is>
          <t>Adriana</t>
        </is>
      </c>
      <c r="B406" t="inlineStr">
        <is>
          <t>+5521981244110</t>
        </is>
      </c>
      <c r="C406" t="inlineStr">
        <is>
          <t>Refill</t>
        </is>
      </c>
      <c r="D406" t="inlineStr">
        <is>
          <t>Primer Liso</t>
        </is>
      </c>
      <c r="E406" t="n">
        <v>1</v>
      </c>
      <c r="F406" t="inlineStr">
        <is>
          <t>2025-08-31</t>
        </is>
      </c>
      <c r="G406" t="n">
        <v>307</v>
      </c>
      <c r="H406" t="inlineStr">
        <is>
          <t>Y</t>
        </is>
      </c>
      <c r="I406">
        <f>HYPERLINK("https://admin.shopify.com/store/ge-beauty-cosmeticos/customers/9631585993024","abrir")</f>
        <v/>
      </c>
      <c r="J406">
        <f>HYPERLINK("https://www.gebeauty.com.br/products/primer-liso-intacto?ref=review","review")</f>
        <v/>
      </c>
      <c r="K406" t="inlineStr">
        <is>
          <t>SEND</t>
        </is>
      </c>
    </row>
    <row r="407">
      <c r="A407" t="inlineStr">
        <is>
          <t>Andréia</t>
        </is>
      </c>
      <c r="B407" t="inlineStr">
        <is>
          <t>+5551996000989</t>
        </is>
      </c>
      <c r="C407" t="inlineStr">
        <is>
          <t>Refill</t>
        </is>
      </c>
      <c r="D407" t="inlineStr">
        <is>
          <t>Primer Liso</t>
        </is>
      </c>
      <c r="E407" t="n">
        <v>1</v>
      </c>
      <c r="F407" t="inlineStr">
        <is>
          <t>2025-08-31</t>
        </is>
      </c>
      <c r="G407" t="n">
        <v>307</v>
      </c>
      <c r="H407" t="inlineStr">
        <is>
          <t>Y</t>
        </is>
      </c>
      <c r="I407">
        <f>HYPERLINK("https://admin.shopify.com/store/ge-beauty-cosmeticos/customers/9632000672064","abrir")</f>
        <v/>
      </c>
      <c r="J407">
        <f>HYPERLINK("https://www.gebeauty.com.br/products/primer-liso-intacto?ref=review","review")</f>
        <v/>
      </c>
      <c r="K407" t="inlineStr">
        <is>
          <t>SEND</t>
        </is>
      </c>
    </row>
    <row r="408">
      <c r="A408" t="inlineStr">
        <is>
          <t>Victor</t>
        </is>
      </c>
      <c r="B408" t="inlineStr">
        <is>
          <t>+5562999000552</t>
        </is>
      </c>
      <c r="C408" t="inlineStr">
        <is>
          <t>Refill</t>
        </is>
      </c>
      <c r="D408" t="inlineStr">
        <is>
          <t>Primer Liso</t>
        </is>
      </c>
      <c r="E408" t="n">
        <v>1</v>
      </c>
      <c r="F408" t="inlineStr">
        <is>
          <t>2025-08-31</t>
        </is>
      </c>
      <c r="G408" t="n">
        <v>307</v>
      </c>
      <c r="H408" t="inlineStr">
        <is>
          <t>Y</t>
        </is>
      </c>
      <c r="I408">
        <f>HYPERLINK("https://admin.shopify.com/store/ge-beauty-cosmeticos/customers/9632243974464","abrir")</f>
        <v/>
      </c>
      <c r="J408">
        <f>HYPERLINK("https://www.gebeauty.com.br/products/primer-liso-intacto?ref=review","review")</f>
        <v/>
      </c>
      <c r="K408" t="inlineStr">
        <is>
          <t>SEND</t>
        </is>
      </c>
    </row>
    <row r="409">
      <c r="A409" t="inlineStr">
        <is>
          <t>Araceli</t>
        </is>
      </c>
      <c r="B409" t="inlineStr">
        <is>
          <t>+5511997107764</t>
        </is>
      </c>
      <c r="C409" t="inlineStr">
        <is>
          <t>Refill</t>
        </is>
      </c>
      <c r="D409" t="inlineStr">
        <is>
          <t>Primer Liso</t>
        </is>
      </c>
      <c r="E409" t="n">
        <v>1</v>
      </c>
      <c r="F409" t="inlineStr">
        <is>
          <t>2025-08-31</t>
        </is>
      </c>
      <c r="G409" t="n">
        <v>307</v>
      </c>
      <c r="H409" t="inlineStr">
        <is>
          <t>Y</t>
        </is>
      </c>
      <c r="I409">
        <f>HYPERLINK("https://admin.shopify.com/store/ge-beauty-cosmeticos/customers/8134303416640","abrir")</f>
        <v/>
      </c>
      <c r="J409">
        <f>HYPERLINK("https://www.gebeauty.com.br/products/primer-liso-intacto?ref=review","review")</f>
        <v/>
      </c>
      <c r="K409" t="inlineStr">
        <is>
          <t>SEND</t>
        </is>
      </c>
    </row>
    <row r="410">
      <c r="A410" t="inlineStr">
        <is>
          <t>Tais</t>
        </is>
      </c>
      <c r="B410" t="inlineStr">
        <is>
          <t>+5547988948269</t>
        </is>
      </c>
      <c r="C410" t="inlineStr">
        <is>
          <t>Refill</t>
        </is>
      </c>
      <c r="D410" t="inlineStr">
        <is>
          <t>Primer Liso</t>
        </is>
      </c>
      <c r="E410" t="n">
        <v>1</v>
      </c>
      <c r="F410" t="inlineStr">
        <is>
          <t>2025-09-01</t>
        </is>
      </c>
      <c r="G410" t="n">
        <v>306</v>
      </c>
      <c r="H410" t="inlineStr">
        <is>
          <t>Y</t>
        </is>
      </c>
      <c r="I410">
        <f>HYPERLINK("https://admin.shopify.com/store/ge-beauty-cosmeticos/customers/9632596197696","abrir")</f>
        <v/>
      </c>
      <c r="J410">
        <f>HYPERLINK("https://www.gebeauty.com.br/products/primer-liso-intacto?ref=review","review")</f>
        <v/>
      </c>
      <c r="K410" t="inlineStr">
        <is>
          <t>SEND</t>
        </is>
      </c>
    </row>
    <row r="411">
      <c r="A411" t="inlineStr">
        <is>
          <t>Fabiana</t>
        </is>
      </c>
      <c r="B411" t="inlineStr">
        <is>
          <t>+5527996121322</t>
        </is>
      </c>
      <c r="C411" t="inlineStr">
        <is>
          <t>Refill</t>
        </is>
      </c>
      <c r="D411" t="inlineStr">
        <is>
          <t>Primer Liso</t>
        </is>
      </c>
      <c r="E411" t="n">
        <v>1</v>
      </c>
      <c r="F411" t="inlineStr">
        <is>
          <t>2025-09-01</t>
        </is>
      </c>
      <c r="G411" t="n">
        <v>306</v>
      </c>
      <c r="H411" t="inlineStr">
        <is>
          <t>Y</t>
        </is>
      </c>
      <c r="I411">
        <f>HYPERLINK("https://admin.shopify.com/store/ge-beauty-cosmeticos/customers/9607687799104","abrir")</f>
        <v/>
      </c>
      <c r="J411">
        <f>HYPERLINK("https://www.gebeauty.com.br/products/primer-liso-intacto?ref=review","review")</f>
        <v/>
      </c>
      <c r="K411" t="inlineStr">
        <is>
          <t>HOLDOUT</t>
        </is>
      </c>
    </row>
    <row r="412">
      <c r="A412" t="inlineStr">
        <is>
          <t>Socorro</t>
        </is>
      </c>
      <c r="B412" t="inlineStr">
        <is>
          <t>+5571988703968</t>
        </is>
      </c>
      <c r="C412" t="inlineStr">
        <is>
          <t>Refill</t>
        </is>
      </c>
      <c r="D412" t="inlineStr">
        <is>
          <t>Primer Liso</t>
        </is>
      </c>
      <c r="E412" t="n">
        <v>1</v>
      </c>
      <c r="F412" t="inlineStr">
        <is>
          <t>2025-09-01</t>
        </is>
      </c>
      <c r="G412" t="n">
        <v>306</v>
      </c>
      <c r="H412" t="inlineStr">
        <is>
          <t>Y</t>
        </is>
      </c>
      <c r="I412">
        <f>HYPERLINK("https://admin.shopify.com/store/ge-beauty-cosmeticos/customers/9494174007616","abrir")</f>
        <v/>
      </c>
      <c r="J412">
        <f>HYPERLINK("https://www.gebeauty.com.br/products/primer-liso-intacto?ref=review","review")</f>
        <v/>
      </c>
      <c r="K412" t="inlineStr">
        <is>
          <t>SEND</t>
        </is>
      </c>
    </row>
    <row r="413">
      <c r="A413" t="inlineStr">
        <is>
          <t>Gabriela</t>
        </is>
      </c>
      <c r="B413" t="inlineStr">
        <is>
          <t>+5511982711205</t>
        </is>
      </c>
      <c r="C413" t="inlineStr">
        <is>
          <t>Refill</t>
        </is>
      </c>
      <c r="D413" t="inlineStr">
        <is>
          <t>Primer Liso</t>
        </is>
      </c>
      <c r="E413" t="n">
        <v>1</v>
      </c>
      <c r="F413" t="inlineStr">
        <is>
          <t>2025-09-01</t>
        </is>
      </c>
      <c r="G413" t="n">
        <v>306</v>
      </c>
      <c r="H413" t="inlineStr">
        <is>
          <t>Y</t>
        </is>
      </c>
      <c r="I413">
        <f>HYPERLINK("https://admin.shopify.com/store/ge-beauty-cosmeticos/customers/9636396138816","abrir")</f>
        <v/>
      </c>
      <c r="J413">
        <f>HYPERLINK("https://www.gebeauty.com.br/products/primer-liso-intacto?ref=review","review")</f>
        <v/>
      </c>
      <c r="K413" t="inlineStr">
        <is>
          <t>SEND</t>
        </is>
      </c>
    </row>
    <row r="414">
      <c r="A414" t="inlineStr">
        <is>
          <t>Luciana</t>
        </is>
      </c>
      <c r="B414" t="inlineStr">
        <is>
          <t>+5581995501111</t>
        </is>
      </c>
      <c r="C414" t="inlineStr">
        <is>
          <t>Refill</t>
        </is>
      </c>
      <c r="D414" t="inlineStr">
        <is>
          <t>Primer Liso</t>
        </is>
      </c>
      <c r="E414" t="n">
        <v>1</v>
      </c>
      <c r="F414" t="inlineStr">
        <is>
          <t>2025-09-01</t>
        </is>
      </c>
      <c r="G414" t="n">
        <v>306</v>
      </c>
      <c r="H414" t="inlineStr">
        <is>
          <t>Y</t>
        </is>
      </c>
      <c r="I414">
        <f>HYPERLINK("https://admin.shopify.com/store/ge-beauty-cosmeticos/customers/9637183553856","abrir")</f>
        <v/>
      </c>
      <c r="J414">
        <f>HYPERLINK("https://www.gebeauty.com.br/products/primer-liso-intacto?ref=review","review")</f>
        <v/>
      </c>
      <c r="K414" t="inlineStr">
        <is>
          <t>SEND</t>
        </is>
      </c>
    </row>
    <row r="415">
      <c r="A415" t="inlineStr">
        <is>
          <t>Patrícia</t>
        </is>
      </c>
      <c r="B415" t="inlineStr">
        <is>
          <t>+5521988809646</t>
        </is>
      </c>
      <c r="C415" t="inlineStr">
        <is>
          <t>Refill</t>
        </is>
      </c>
      <c r="D415" t="inlineStr">
        <is>
          <t>Primer Liso</t>
        </is>
      </c>
      <c r="E415" t="n">
        <v>1</v>
      </c>
      <c r="F415" t="inlineStr">
        <is>
          <t>2025-09-01</t>
        </is>
      </c>
      <c r="G415" t="n">
        <v>306</v>
      </c>
      <c r="H415" t="inlineStr">
        <is>
          <t>Y</t>
        </is>
      </c>
      <c r="I415">
        <f>HYPERLINK("https://admin.shopify.com/store/ge-beauty-cosmeticos/customers/9637292704064","abrir")</f>
        <v/>
      </c>
      <c r="J415">
        <f>HYPERLINK("https://www.gebeauty.com.br/products/primer-liso-intacto?ref=review","review")</f>
        <v/>
      </c>
      <c r="K415" t="inlineStr">
        <is>
          <t>SEND</t>
        </is>
      </c>
    </row>
    <row r="416">
      <c r="A416" t="inlineStr">
        <is>
          <t>Raquel</t>
        </is>
      </c>
      <c r="B416" t="inlineStr">
        <is>
          <t>+5517997472550</t>
        </is>
      </c>
      <c r="C416" t="inlineStr">
        <is>
          <t>Refill</t>
        </is>
      </c>
      <c r="D416" t="inlineStr">
        <is>
          <t>Primer Liso</t>
        </is>
      </c>
      <c r="E416" t="n">
        <v>1</v>
      </c>
      <c r="F416" t="inlineStr">
        <is>
          <t>2025-09-01</t>
        </is>
      </c>
      <c r="G416" t="n">
        <v>306</v>
      </c>
      <c r="H416" t="inlineStr">
        <is>
          <t>Y</t>
        </is>
      </c>
      <c r="I416">
        <f>HYPERLINK("https://admin.shopify.com/store/ge-beauty-cosmeticos/customers/9637526896960","abrir")</f>
        <v/>
      </c>
      <c r="J416">
        <f>HYPERLINK("https://www.gebeauty.com.br/products/primer-liso-intacto?ref=review","review")</f>
        <v/>
      </c>
      <c r="K416" t="inlineStr">
        <is>
          <t>SEND</t>
        </is>
      </c>
    </row>
    <row r="417">
      <c r="A417" t="inlineStr">
        <is>
          <t>Gabriela</t>
        </is>
      </c>
      <c r="B417" t="inlineStr">
        <is>
          <t>+5521998700784</t>
        </is>
      </c>
      <c r="C417" t="inlineStr">
        <is>
          <t>Refill</t>
        </is>
      </c>
      <c r="D417" t="inlineStr">
        <is>
          <t>Primer Liso</t>
        </is>
      </c>
      <c r="E417" t="n">
        <v>1</v>
      </c>
      <c r="F417" t="inlineStr">
        <is>
          <t>2025-09-01</t>
        </is>
      </c>
      <c r="G417" t="n">
        <v>306</v>
      </c>
      <c r="H417" t="inlineStr">
        <is>
          <t>Y</t>
        </is>
      </c>
      <c r="I417">
        <f>HYPERLINK("https://admin.shopify.com/store/ge-beauty-cosmeticos/customers/8724481966400","abrir")</f>
        <v/>
      </c>
      <c r="J417">
        <f>HYPERLINK("https://www.gebeauty.com.br/products/primer-liso-intacto?ref=review","review")</f>
        <v/>
      </c>
      <c r="K417" t="inlineStr">
        <is>
          <t>SEND</t>
        </is>
      </c>
    </row>
    <row r="418">
      <c r="A418" t="inlineStr">
        <is>
          <t>Aline</t>
        </is>
      </c>
      <c r="B418" t="inlineStr">
        <is>
          <t>+5511995399588</t>
        </is>
      </c>
      <c r="C418" t="inlineStr">
        <is>
          <t>Refill</t>
        </is>
      </c>
      <c r="D418" t="inlineStr">
        <is>
          <t>Primer Liso</t>
        </is>
      </c>
      <c r="E418" t="n">
        <v>1</v>
      </c>
      <c r="F418" t="inlineStr">
        <is>
          <t>2025-09-01</t>
        </is>
      </c>
      <c r="G418" t="n">
        <v>306</v>
      </c>
      <c r="H418" t="inlineStr">
        <is>
          <t>Y</t>
        </is>
      </c>
      <c r="I418">
        <f>HYPERLINK("https://admin.shopify.com/store/ge-beauty-cosmeticos/customers/8734795825472","abrir")</f>
        <v/>
      </c>
      <c r="J418">
        <f>HYPERLINK("https://www.gebeauty.com.br/products/primer-liso-intacto?ref=review","review")</f>
        <v/>
      </c>
      <c r="K418" t="inlineStr">
        <is>
          <t>SEND</t>
        </is>
      </c>
    </row>
    <row r="419">
      <c r="A419" t="inlineStr">
        <is>
          <t>Carla</t>
        </is>
      </c>
      <c r="B419" t="inlineStr">
        <is>
          <t>+5543999380163</t>
        </is>
      </c>
      <c r="C419" t="inlineStr">
        <is>
          <t>Refill</t>
        </is>
      </c>
      <c r="D419" t="inlineStr">
        <is>
          <t>Primer Liso</t>
        </is>
      </c>
      <c r="E419" t="n">
        <v>1</v>
      </c>
      <c r="F419" t="inlineStr">
        <is>
          <t>2025-09-01</t>
        </is>
      </c>
      <c r="G419" t="n">
        <v>306</v>
      </c>
      <c r="H419" t="inlineStr">
        <is>
          <t>Y</t>
        </is>
      </c>
      <c r="I419">
        <f>HYPERLINK("https://admin.shopify.com/store/ge-beauty-cosmeticos/customers/9637685264704","abrir")</f>
        <v/>
      </c>
      <c r="J419">
        <f>HYPERLINK("https://www.gebeauty.com.br/products/primer-liso-intacto?ref=review","review")</f>
        <v/>
      </c>
      <c r="K419" t="inlineStr">
        <is>
          <t>SEND</t>
        </is>
      </c>
    </row>
    <row r="420">
      <c r="A420" t="inlineStr">
        <is>
          <t>Nicolle</t>
        </is>
      </c>
      <c r="B420" t="inlineStr">
        <is>
          <t>+5562981334000</t>
        </is>
      </c>
      <c r="C420" t="inlineStr">
        <is>
          <t>Refill</t>
        </is>
      </c>
      <c r="D420" t="inlineStr">
        <is>
          <t>Primer Liso</t>
        </is>
      </c>
      <c r="E420" t="n">
        <v>1</v>
      </c>
      <c r="F420" t="inlineStr">
        <is>
          <t>2025-09-01</t>
        </is>
      </c>
      <c r="G420" t="n">
        <v>306</v>
      </c>
      <c r="H420" t="inlineStr">
        <is>
          <t>Y</t>
        </is>
      </c>
      <c r="I420">
        <f>HYPERLINK("https://admin.shopify.com/store/ge-beauty-cosmeticos/customers/9637802737984","abrir")</f>
        <v/>
      </c>
      <c r="J420">
        <f>HYPERLINK("https://www.gebeauty.com.br/products/primer-liso-intacto?ref=review","review")</f>
        <v/>
      </c>
      <c r="K420" t="inlineStr">
        <is>
          <t>SEND</t>
        </is>
      </c>
    </row>
    <row r="421">
      <c r="A421" t="inlineStr">
        <is>
          <t>Patrícia</t>
        </is>
      </c>
      <c r="B421" t="inlineStr">
        <is>
          <t>+5571992226444</t>
        </is>
      </c>
      <c r="C421" t="inlineStr">
        <is>
          <t>Refill</t>
        </is>
      </c>
      <c r="D421" t="inlineStr">
        <is>
          <t>Primer Liso</t>
        </is>
      </c>
      <c r="E421" t="n">
        <v>1</v>
      </c>
      <c r="F421" t="inlineStr">
        <is>
          <t>2025-09-01</t>
        </is>
      </c>
      <c r="G421" t="n">
        <v>306</v>
      </c>
      <c r="H421" t="inlineStr">
        <is>
          <t>Y</t>
        </is>
      </c>
      <c r="I421">
        <f>HYPERLINK("https://admin.shopify.com/store/ge-beauty-cosmeticos/customers/9637865783616","abrir")</f>
        <v/>
      </c>
      <c r="J421">
        <f>HYPERLINK("https://www.gebeauty.com.br/products/primer-liso-intacto?ref=review","review")</f>
        <v/>
      </c>
      <c r="K421" t="inlineStr">
        <is>
          <t>SEND</t>
        </is>
      </c>
    </row>
    <row r="422">
      <c r="A422" t="inlineStr">
        <is>
          <t>Danielle</t>
        </is>
      </c>
      <c r="B422" t="inlineStr">
        <is>
          <t>+5583981332777</t>
        </is>
      </c>
      <c r="C422" t="inlineStr">
        <is>
          <t>Refill</t>
        </is>
      </c>
      <c r="D422" t="inlineStr">
        <is>
          <t>Primer Liso</t>
        </is>
      </c>
      <c r="E422" t="n">
        <v>1</v>
      </c>
      <c r="F422" t="inlineStr">
        <is>
          <t>2025-09-01</t>
        </is>
      </c>
      <c r="G422" t="n">
        <v>306</v>
      </c>
      <c r="H422" t="inlineStr">
        <is>
          <t>Y</t>
        </is>
      </c>
      <c r="I422">
        <f>HYPERLINK("https://admin.shopify.com/store/ge-beauty-cosmeticos/customers/9538742223168","abrir")</f>
        <v/>
      </c>
      <c r="J422">
        <f>HYPERLINK("https://www.gebeauty.com.br/products/primer-liso-intacto?ref=review","review")</f>
        <v/>
      </c>
      <c r="K422" t="inlineStr">
        <is>
          <t>SEND</t>
        </is>
      </c>
    </row>
    <row r="423">
      <c r="A423" t="inlineStr">
        <is>
          <t>Maíra</t>
        </is>
      </c>
      <c r="B423" t="inlineStr">
        <is>
          <t>+5521998114053</t>
        </is>
      </c>
      <c r="C423" t="inlineStr">
        <is>
          <t>Refill</t>
        </is>
      </c>
      <c r="D423" t="inlineStr">
        <is>
          <t>Primer Liso</t>
        </is>
      </c>
      <c r="E423" t="n">
        <v>1</v>
      </c>
      <c r="F423" t="inlineStr">
        <is>
          <t>2025-09-02</t>
        </is>
      </c>
      <c r="G423" t="n">
        <v>305</v>
      </c>
      <c r="H423" t="inlineStr">
        <is>
          <t>Y</t>
        </is>
      </c>
      <c r="I423">
        <f>HYPERLINK("https://admin.shopify.com/store/ge-beauty-cosmeticos/customers/9485607731520","abrir")</f>
        <v/>
      </c>
      <c r="J423">
        <f>HYPERLINK("https://www.gebeauty.com.br/products/primer-liso-intacto?ref=review","review")</f>
        <v/>
      </c>
      <c r="K423" t="inlineStr">
        <is>
          <t>SEND</t>
        </is>
      </c>
    </row>
    <row r="424">
      <c r="A424" t="inlineStr">
        <is>
          <t>Ligia</t>
        </is>
      </c>
      <c r="B424" t="inlineStr">
        <is>
          <t>+5579998118040</t>
        </is>
      </c>
      <c r="C424" t="inlineStr">
        <is>
          <t>Refill</t>
        </is>
      </c>
      <c r="D424" t="inlineStr">
        <is>
          <t>Primer Liso</t>
        </is>
      </c>
      <c r="E424" t="n">
        <v>1</v>
      </c>
      <c r="F424" t="inlineStr">
        <is>
          <t>2025-09-02</t>
        </is>
      </c>
      <c r="G424" t="n">
        <v>305</v>
      </c>
      <c r="H424" t="inlineStr">
        <is>
          <t>Y</t>
        </is>
      </c>
      <c r="I424">
        <f>HYPERLINK("https://admin.shopify.com/store/ge-beauty-cosmeticos/customers/9061095866688","abrir")</f>
        <v/>
      </c>
      <c r="J424">
        <f>HYPERLINK("https://www.gebeauty.com.br/products/primer-liso-intacto?ref=review","review")</f>
        <v/>
      </c>
      <c r="K424" t="inlineStr">
        <is>
          <t>HOLDOUT</t>
        </is>
      </c>
    </row>
    <row r="425">
      <c r="A425" t="inlineStr">
        <is>
          <t>Luisa</t>
        </is>
      </c>
      <c r="B425" t="inlineStr">
        <is>
          <t>+5581981941609</t>
        </is>
      </c>
      <c r="C425" t="inlineStr">
        <is>
          <t>Refill</t>
        </is>
      </c>
      <c r="D425" t="inlineStr">
        <is>
          <t>Primer Liso</t>
        </is>
      </c>
      <c r="E425" t="n">
        <v>1</v>
      </c>
      <c r="F425" t="inlineStr">
        <is>
          <t>2025-09-02</t>
        </is>
      </c>
      <c r="G425" t="n">
        <v>305</v>
      </c>
      <c r="H425" t="inlineStr">
        <is>
          <t>Y</t>
        </is>
      </c>
      <c r="I425">
        <f>HYPERLINK("https://admin.shopify.com/store/ge-beauty-cosmeticos/customers/9638871761216","abrir")</f>
        <v/>
      </c>
      <c r="J425">
        <f>HYPERLINK("https://www.gebeauty.com.br/products/primer-liso-intacto?ref=review","review")</f>
        <v/>
      </c>
      <c r="K425" t="inlineStr">
        <is>
          <t>SEND</t>
        </is>
      </c>
    </row>
    <row r="426">
      <c r="A426" t="inlineStr">
        <is>
          <t>Caroline</t>
        </is>
      </c>
      <c r="B426" t="inlineStr">
        <is>
          <t>+5561984131022</t>
        </is>
      </c>
      <c r="C426" t="inlineStr">
        <is>
          <t>Refill</t>
        </is>
      </c>
      <c r="D426" t="inlineStr">
        <is>
          <t>Primer Liso</t>
        </is>
      </c>
      <c r="E426" t="n">
        <v>1</v>
      </c>
      <c r="F426" t="inlineStr">
        <is>
          <t>2025-09-02</t>
        </is>
      </c>
      <c r="G426" t="n">
        <v>305</v>
      </c>
      <c r="H426" t="inlineStr">
        <is>
          <t>Y</t>
        </is>
      </c>
      <c r="I426">
        <f>HYPERLINK("https://admin.shopify.com/store/ge-beauty-cosmeticos/customers/9639089209664","abrir")</f>
        <v/>
      </c>
      <c r="J426">
        <f>HYPERLINK("https://www.gebeauty.com.br/products/primer-liso-intacto?ref=review","review")</f>
        <v/>
      </c>
      <c r="K426" t="inlineStr">
        <is>
          <t>SEND</t>
        </is>
      </c>
    </row>
    <row r="427">
      <c r="A427" t="inlineStr">
        <is>
          <t>Julia</t>
        </is>
      </c>
      <c r="B427" t="inlineStr">
        <is>
          <t>+5521988829449</t>
        </is>
      </c>
      <c r="C427" t="inlineStr">
        <is>
          <t>Refill</t>
        </is>
      </c>
      <c r="D427" t="inlineStr">
        <is>
          <t>Primer Liso</t>
        </is>
      </c>
      <c r="E427" t="n">
        <v>1</v>
      </c>
      <c r="F427" t="inlineStr">
        <is>
          <t>2025-09-02</t>
        </is>
      </c>
      <c r="G427" t="n">
        <v>305</v>
      </c>
      <c r="H427" t="inlineStr">
        <is>
          <t>Y</t>
        </is>
      </c>
      <c r="I427">
        <f>HYPERLINK("https://admin.shopify.com/store/ge-beauty-cosmeticos/customers/9486617444672","abrir")</f>
        <v/>
      </c>
      <c r="J427">
        <f>HYPERLINK("https://www.gebeauty.com.br/products/primer-liso-intacto?ref=review","review")</f>
        <v/>
      </c>
      <c r="K427" t="inlineStr">
        <is>
          <t>SEND</t>
        </is>
      </c>
    </row>
    <row r="428">
      <c r="A428" t="inlineStr">
        <is>
          <t>Patrícia</t>
        </is>
      </c>
      <c r="B428" t="inlineStr">
        <is>
          <t>+5555991314418</t>
        </is>
      </c>
      <c r="C428" t="inlineStr">
        <is>
          <t>Refill</t>
        </is>
      </c>
      <c r="D428" t="inlineStr">
        <is>
          <t>Primer Liso</t>
        </is>
      </c>
      <c r="E428" t="n">
        <v>1</v>
      </c>
      <c r="F428" t="inlineStr">
        <is>
          <t>2025-09-02</t>
        </is>
      </c>
      <c r="G428" t="n">
        <v>305</v>
      </c>
      <c r="H428" t="inlineStr">
        <is>
          <t>Y</t>
        </is>
      </c>
      <c r="I428">
        <f>HYPERLINK("https://admin.shopify.com/store/ge-beauty-cosmeticos/customers/9514987553088","abrir")</f>
        <v/>
      </c>
      <c r="J428">
        <f>HYPERLINK("https://www.gebeauty.com.br/products/primer-liso-intacto?ref=review","review")</f>
        <v/>
      </c>
      <c r="K428" t="inlineStr">
        <is>
          <t>SEND</t>
        </is>
      </c>
    </row>
    <row r="429">
      <c r="A429" t="inlineStr">
        <is>
          <t>Gesiane</t>
        </is>
      </c>
      <c r="B429" t="inlineStr">
        <is>
          <t>+5567992652300</t>
        </is>
      </c>
      <c r="C429" t="inlineStr">
        <is>
          <t>Refill</t>
        </is>
      </c>
      <c r="D429" t="inlineStr">
        <is>
          <t>Primer Liso</t>
        </is>
      </c>
      <c r="E429" t="n">
        <v>1</v>
      </c>
      <c r="F429" t="inlineStr">
        <is>
          <t>2025-09-02</t>
        </is>
      </c>
      <c r="G429" t="n">
        <v>305</v>
      </c>
      <c r="H429" t="inlineStr">
        <is>
          <t>Y</t>
        </is>
      </c>
      <c r="I429">
        <f>HYPERLINK("https://admin.shopify.com/store/ge-beauty-cosmeticos/customers/9639388447040","abrir")</f>
        <v/>
      </c>
      <c r="J429">
        <f>HYPERLINK("https://www.gebeauty.com.br/products/primer-liso-intacto?ref=review","review")</f>
        <v/>
      </c>
      <c r="K429" t="inlineStr">
        <is>
          <t>SEND</t>
        </is>
      </c>
    </row>
    <row r="430">
      <c r="A430" t="inlineStr">
        <is>
          <t>Taís</t>
        </is>
      </c>
      <c r="B430" t="inlineStr">
        <is>
          <t>+5521979924545</t>
        </is>
      </c>
      <c r="C430" t="inlineStr">
        <is>
          <t>Refill</t>
        </is>
      </c>
      <c r="D430" t="inlineStr">
        <is>
          <t>Primer Liso</t>
        </is>
      </c>
      <c r="E430" t="n">
        <v>1</v>
      </c>
      <c r="F430" t="inlineStr">
        <is>
          <t>2025-09-02</t>
        </is>
      </c>
      <c r="G430" t="n">
        <v>305</v>
      </c>
      <c r="H430" t="inlineStr">
        <is>
          <t>Y</t>
        </is>
      </c>
      <c r="I430">
        <f>HYPERLINK("https://admin.shopify.com/store/ge-beauty-cosmeticos/customers/9639430029632","abrir")</f>
        <v/>
      </c>
      <c r="J430">
        <f>HYPERLINK("https://www.gebeauty.com.br/products/primer-liso-intacto?ref=review","review")</f>
        <v/>
      </c>
      <c r="K430" t="inlineStr">
        <is>
          <t>SEND</t>
        </is>
      </c>
    </row>
    <row r="431">
      <c r="A431" t="inlineStr">
        <is>
          <t>Flavia</t>
        </is>
      </c>
      <c r="B431" t="inlineStr">
        <is>
          <t>+5561999436369</t>
        </is>
      </c>
      <c r="C431" t="inlineStr">
        <is>
          <t>Refill</t>
        </is>
      </c>
      <c r="D431" t="inlineStr">
        <is>
          <t>Primer Liso</t>
        </is>
      </c>
      <c r="E431" t="n">
        <v>1</v>
      </c>
      <c r="F431" t="inlineStr">
        <is>
          <t>2025-09-02</t>
        </is>
      </c>
      <c r="G431" t="n">
        <v>305</v>
      </c>
      <c r="H431" t="inlineStr">
        <is>
          <t>Y</t>
        </is>
      </c>
      <c r="I431">
        <f>HYPERLINK("https://admin.shopify.com/store/ge-beauty-cosmeticos/customers/9639504118080","abrir")</f>
        <v/>
      </c>
      <c r="J431">
        <f>HYPERLINK("https://www.gebeauty.com.br/products/primer-liso-intacto?ref=review","review")</f>
        <v/>
      </c>
      <c r="K431" t="inlineStr">
        <is>
          <t>SEND</t>
        </is>
      </c>
    </row>
    <row r="432">
      <c r="A432" t="inlineStr">
        <is>
          <t>Roberta</t>
        </is>
      </c>
      <c r="B432" t="inlineStr">
        <is>
          <t>+5511943346534</t>
        </is>
      </c>
      <c r="C432" t="inlineStr">
        <is>
          <t>Refill</t>
        </is>
      </c>
      <c r="D432" t="inlineStr">
        <is>
          <t>Primer Liso</t>
        </is>
      </c>
      <c r="E432" t="n">
        <v>1</v>
      </c>
      <c r="F432" t="inlineStr">
        <is>
          <t>2025-09-02</t>
        </is>
      </c>
      <c r="G432" t="n">
        <v>305</v>
      </c>
      <c r="H432" t="inlineStr">
        <is>
          <t>Y</t>
        </is>
      </c>
      <c r="I432">
        <f>HYPERLINK("https://admin.shopify.com/store/ge-beauty-cosmeticos/customers/9486457405760","abrir")</f>
        <v/>
      </c>
      <c r="J432">
        <f>HYPERLINK("https://www.gebeauty.com.br/products/primer-liso-intacto?ref=review","review")</f>
        <v/>
      </c>
      <c r="K432" t="inlineStr">
        <is>
          <t>SEND</t>
        </is>
      </c>
    </row>
    <row r="433">
      <c r="A433" t="inlineStr">
        <is>
          <t>Cristiane</t>
        </is>
      </c>
      <c r="B433" t="inlineStr">
        <is>
          <t>+5581987279556</t>
        </is>
      </c>
      <c r="C433" t="inlineStr">
        <is>
          <t>Refill</t>
        </is>
      </c>
      <c r="D433" t="inlineStr">
        <is>
          <t>Primer Liso</t>
        </is>
      </c>
      <c r="E433" t="n">
        <v>1</v>
      </c>
      <c r="F433" t="inlineStr">
        <is>
          <t>2025-09-02</t>
        </is>
      </c>
      <c r="G433" t="n">
        <v>305</v>
      </c>
      <c r="H433" t="inlineStr">
        <is>
          <t>Y</t>
        </is>
      </c>
      <c r="I433">
        <f>HYPERLINK("https://admin.shopify.com/store/ge-beauty-cosmeticos/customers/9639885635904","abrir")</f>
        <v/>
      </c>
      <c r="J433">
        <f>HYPERLINK("https://www.gebeauty.com.br/products/primer-liso-intacto?ref=review","review")</f>
        <v/>
      </c>
      <c r="K433" t="inlineStr">
        <is>
          <t>SEND</t>
        </is>
      </c>
    </row>
    <row r="434">
      <c r="A434" t="inlineStr">
        <is>
          <t>Maira</t>
        </is>
      </c>
      <c r="B434" t="inlineStr">
        <is>
          <t>+5527997170854</t>
        </is>
      </c>
      <c r="C434" t="inlineStr">
        <is>
          <t>Refill</t>
        </is>
      </c>
      <c r="D434" t="inlineStr">
        <is>
          <t>Primer Liso</t>
        </is>
      </c>
      <c r="E434" t="n">
        <v>1</v>
      </c>
      <c r="F434" t="inlineStr">
        <is>
          <t>2025-09-03</t>
        </is>
      </c>
      <c r="G434" t="n">
        <v>304</v>
      </c>
      <c r="H434" t="inlineStr">
        <is>
          <t>Y</t>
        </is>
      </c>
      <c r="I434">
        <f>HYPERLINK("https://admin.shopify.com/store/ge-beauty-cosmeticos/customers/9639988035904","abrir")</f>
        <v/>
      </c>
      <c r="J434">
        <f>HYPERLINK("https://www.gebeauty.com.br/products/primer-liso-intacto?ref=review","review")</f>
        <v/>
      </c>
      <c r="K434" t="inlineStr">
        <is>
          <t>HOLDOUT</t>
        </is>
      </c>
    </row>
    <row r="435">
      <c r="A435" t="inlineStr">
        <is>
          <t>Ana Camila</t>
        </is>
      </c>
      <c r="B435" t="inlineStr">
        <is>
          <t>+5532988375970</t>
        </is>
      </c>
      <c r="C435" t="inlineStr">
        <is>
          <t>Refill</t>
        </is>
      </c>
      <c r="D435" t="inlineStr">
        <is>
          <t>Primer Liso</t>
        </is>
      </c>
      <c r="E435" t="n">
        <v>1</v>
      </c>
      <c r="F435" t="inlineStr">
        <is>
          <t>2025-09-03</t>
        </is>
      </c>
      <c r="G435" t="n">
        <v>304</v>
      </c>
      <c r="H435" t="inlineStr">
        <is>
          <t>Y</t>
        </is>
      </c>
      <c r="I435">
        <f>HYPERLINK("https://admin.shopify.com/store/ge-beauty-cosmeticos/customers/9596618441024","abrir")</f>
        <v/>
      </c>
      <c r="J435">
        <f>HYPERLINK("https://www.gebeauty.com.br/products/primer-liso-intacto?ref=review","review")</f>
        <v/>
      </c>
      <c r="K435" t="inlineStr">
        <is>
          <t>SEND</t>
        </is>
      </c>
    </row>
    <row r="436">
      <c r="A436" t="inlineStr">
        <is>
          <t>Tássia</t>
        </is>
      </c>
      <c r="B436" t="inlineStr">
        <is>
          <t>+5511994002817</t>
        </is>
      </c>
      <c r="C436" t="inlineStr">
        <is>
          <t>Refill</t>
        </is>
      </c>
      <c r="D436" t="inlineStr">
        <is>
          <t>Primer Liso</t>
        </is>
      </c>
      <c r="E436" t="n">
        <v>1</v>
      </c>
      <c r="F436" t="inlineStr">
        <is>
          <t>2025-09-03</t>
        </is>
      </c>
      <c r="G436" t="n">
        <v>304</v>
      </c>
      <c r="H436" t="inlineStr">
        <is>
          <t>Y</t>
        </is>
      </c>
      <c r="I436">
        <f>HYPERLINK("https://admin.shopify.com/store/ge-beauty-cosmeticos/customers/9486085259584","abrir")</f>
        <v/>
      </c>
      <c r="J436">
        <f>HYPERLINK("https://www.gebeauty.com.br/products/primer-liso-intacto?ref=review","review")</f>
        <v/>
      </c>
      <c r="K436" t="inlineStr">
        <is>
          <t>SEND</t>
        </is>
      </c>
    </row>
    <row r="437">
      <c r="A437" t="inlineStr">
        <is>
          <t>Fernanda</t>
        </is>
      </c>
      <c r="B437" t="inlineStr">
        <is>
          <t>+5511993615888</t>
        </is>
      </c>
      <c r="C437" t="inlineStr">
        <is>
          <t>Refill</t>
        </is>
      </c>
      <c r="D437" t="inlineStr">
        <is>
          <t>Primer Liso</t>
        </is>
      </c>
      <c r="E437" t="n">
        <v>1</v>
      </c>
      <c r="F437" t="inlineStr">
        <is>
          <t>2025-09-03</t>
        </is>
      </c>
      <c r="G437" t="n">
        <v>304</v>
      </c>
      <c r="H437" t="inlineStr">
        <is>
          <t>Y</t>
        </is>
      </c>
      <c r="I437">
        <f>HYPERLINK("https://admin.shopify.com/store/ge-beauty-cosmeticos/customers/9484800852288","abrir")</f>
        <v/>
      </c>
      <c r="J437">
        <f>HYPERLINK("https://www.gebeauty.com.br/products/primer-liso-intacto?ref=review","review")</f>
        <v/>
      </c>
      <c r="K437" t="inlineStr">
        <is>
          <t>SEND</t>
        </is>
      </c>
    </row>
    <row r="438">
      <c r="A438" t="inlineStr">
        <is>
          <t>Ana Luiza</t>
        </is>
      </c>
      <c r="B438" t="inlineStr">
        <is>
          <t>+5511984444430</t>
        </is>
      </c>
      <c r="C438" t="inlineStr">
        <is>
          <t>Refill</t>
        </is>
      </c>
      <c r="D438" t="inlineStr">
        <is>
          <t>Primer Liso</t>
        </is>
      </c>
      <c r="E438" t="n">
        <v>1</v>
      </c>
      <c r="F438" t="inlineStr">
        <is>
          <t>2025-09-03</t>
        </is>
      </c>
      <c r="G438" t="n">
        <v>304</v>
      </c>
      <c r="H438" t="inlineStr">
        <is>
          <t>Y</t>
        </is>
      </c>
      <c r="I438">
        <f>HYPERLINK("https://admin.shopify.com/store/ge-beauty-cosmeticos/customers/9639748469056","abrir")</f>
        <v/>
      </c>
      <c r="J438">
        <f>HYPERLINK("https://www.gebeauty.com.br/products/primer-liso-intacto?ref=review","review")</f>
        <v/>
      </c>
      <c r="K438" t="inlineStr">
        <is>
          <t>SEND</t>
        </is>
      </c>
    </row>
    <row r="439">
      <c r="A439" t="inlineStr">
        <is>
          <t>Gabriela</t>
        </is>
      </c>
      <c r="B439" t="inlineStr">
        <is>
          <t>+5513974048595</t>
        </is>
      </c>
      <c r="C439" t="inlineStr">
        <is>
          <t>Refill</t>
        </is>
      </c>
      <c r="D439" t="inlineStr">
        <is>
          <t>Primer Liso</t>
        </is>
      </c>
      <c r="E439" t="n">
        <v>1</v>
      </c>
      <c r="F439" t="inlineStr">
        <is>
          <t>2025-09-03</t>
        </is>
      </c>
      <c r="G439" t="n">
        <v>304</v>
      </c>
      <c r="H439" t="inlineStr">
        <is>
          <t>Y</t>
        </is>
      </c>
      <c r="I439">
        <f>HYPERLINK("https://admin.shopify.com/store/ge-beauty-cosmeticos/customers/9641577972032","abrir")</f>
        <v/>
      </c>
      <c r="J439">
        <f>HYPERLINK("https://www.gebeauty.com.br/products/primer-liso-intacto?ref=review","review")</f>
        <v/>
      </c>
      <c r="K439" t="inlineStr">
        <is>
          <t>SEND</t>
        </is>
      </c>
    </row>
    <row r="440">
      <c r="A440" t="inlineStr">
        <is>
          <t>Ana</t>
        </is>
      </c>
      <c r="B440" t="inlineStr">
        <is>
          <t>+5521985652409</t>
        </is>
      </c>
      <c r="C440" t="inlineStr">
        <is>
          <t>Refill</t>
        </is>
      </c>
      <c r="D440" t="inlineStr">
        <is>
          <t>Primer Liso</t>
        </is>
      </c>
      <c r="E440" t="n">
        <v>1</v>
      </c>
      <c r="F440" t="inlineStr">
        <is>
          <t>2025-09-03</t>
        </is>
      </c>
      <c r="G440" t="n">
        <v>304</v>
      </c>
      <c r="H440" t="inlineStr">
        <is>
          <t>Y</t>
        </is>
      </c>
      <c r="I440">
        <f>HYPERLINK("https://admin.shopify.com/store/ge-beauty-cosmeticos/customers/7761862426944","abrir")</f>
        <v/>
      </c>
      <c r="J440">
        <f>HYPERLINK("https://www.gebeauty.com.br/products/primer-liso-intacto?ref=review","review")</f>
        <v/>
      </c>
      <c r="K440" t="inlineStr">
        <is>
          <t>SEND</t>
        </is>
      </c>
    </row>
    <row r="441">
      <c r="A441" t="inlineStr">
        <is>
          <t>Priscila</t>
        </is>
      </c>
      <c r="B441" t="inlineStr">
        <is>
          <t>+5511963438316</t>
        </is>
      </c>
      <c r="C441" t="inlineStr">
        <is>
          <t>Refill</t>
        </is>
      </c>
      <c r="D441" t="inlineStr">
        <is>
          <t>Primer Liso</t>
        </is>
      </c>
      <c r="E441" t="n">
        <v>1</v>
      </c>
      <c r="F441" t="inlineStr">
        <is>
          <t>2025-09-03</t>
        </is>
      </c>
      <c r="G441" t="n">
        <v>304</v>
      </c>
      <c r="H441" t="inlineStr">
        <is>
          <t>Y</t>
        </is>
      </c>
      <c r="I441">
        <f>HYPERLINK("https://admin.shopify.com/store/ge-beauty-cosmeticos/customers/7761762189632","abrir")</f>
        <v/>
      </c>
      <c r="J441">
        <f>HYPERLINK("https://www.gebeauty.com.br/products/primer-liso-intacto?ref=review","review")</f>
        <v/>
      </c>
      <c r="K441" t="inlineStr">
        <is>
          <t>HOLDOUT</t>
        </is>
      </c>
    </row>
    <row r="442">
      <c r="A442" t="inlineStr">
        <is>
          <t>Mariana</t>
        </is>
      </c>
      <c r="B442" t="inlineStr">
        <is>
          <t>+5531988130002</t>
        </is>
      </c>
      <c r="C442" t="inlineStr">
        <is>
          <t>Refill</t>
        </is>
      </c>
      <c r="D442" t="inlineStr">
        <is>
          <t>Primer Liso</t>
        </is>
      </c>
      <c r="E442" t="n">
        <v>1</v>
      </c>
      <c r="F442" t="inlineStr">
        <is>
          <t>2025-09-03</t>
        </is>
      </c>
      <c r="G442" t="n">
        <v>304</v>
      </c>
      <c r="H442" t="inlineStr">
        <is>
          <t>Y</t>
        </is>
      </c>
      <c r="I442">
        <f>HYPERLINK("https://admin.shopify.com/store/ge-beauty-cosmeticos/customers/9486116356416","abrir")</f>
        <v/>
      </c>
      <c r="J442">
        <f>HYPERLINK("https://www.gebeauty.com.br/products/primer-liso-intacto?ref=review","review")</f>
        <v/>
      </c>
      <c r="K442" t="inlineStr">
        <is>
          <t>SEND</t>
        </is>
      </c>
    </row>
    <row r="443">
      <c r="A443" t="inlineStr">
        <is>
          <t>Leticia</t>
        </is>
      </c>
      <c r="B443" t="inlineStr">
        <is>
          <t>+5551989655028</t>
        </is>
      </c>
      <c r="C443" t="inlineStr">
        <is>
          <t>Refill</t>
        </is>
      </c>
      <c r="D443" t="inlineStr">
        <is>
          <t>Primer Liso</t>
        </is>
      </c>
      <c r="E443" t="n">
        <v>1</v>
      </c>
      <c r="F443" t="inlineStr">
        <is>
          <t>2025-09-03</t>
        </is>
      </c>
      <c r="G443" t="n">
        <v>304</v>
      </c>
      <c r="H443" t="inlineStr">
        <is>
          <t>Y</t>
        </is>
      </c>
      <c r="I443">
        <f>HYPERLINK("https://admin.shopify.com/store/ge-beauty-cosmeticos/customers/9642151903552","abrir")</f>
        <v/>
      </c>
      <c r="J443">
        <f>HYPERLINK("https://www.gebeauty.com.br/products/primer-liso-intacto?ref=review","review")</f>
        <v/>
      </c>
      <c r="K443" t="inlineStr">
        <is>
          <t>SEND</t>
        </is>
      </c>
    </row>
    <row r="444">
      <c r="A444" t="inlineStr">
        <is>
          <t>Daniela</t>
        </is>
      </c>
      <c r="B444" t="inlineStr">
        <is>
          <t>+5581991546668</t>
        </is>
      </c>
      <c r="C444" t="inlineStr">
        <is>
          <t>Refill</t>
        </is>
      </c>
      <c r="D444" t="inlineStr">
        <is>
          <t>Primer Liso</t>
        </is>
      </c>
      <c r="E444" t="n">
        <v>1</v>
      </c>
      <c r="F444" t="inlineStr">
        <is>
          <t>2025-09-03</t>
        </is>
      </c>
      <c r="G444" t="n">
        <v>304</v>
      </c>
      <c r="H444" t="inlineStr">
        <is>
          <t>Y</t>
        </is>
      </c>
      <c r="I444">
        <f>HYPERLINK("https://admin.shopify.com/store/ge-beauty-cosmeticos/customers/9642541154624","abrir")</f>
        <v/>
      </c>
      <c r="J444">
        <f>HYPERLINK("https://www.gebeauty.com.br/products/primer-liso-intacto?ref=review","review")</f>
        <v/>
      </c>
      <c r="K444" t="inlineStr">
        <is>
          <t>SEND</t>
        </is>
      </c>
    </row>
    <row r="445">
      <c r="A445" t="inlineStr">
        <is>
          <t>Livia</t>
        </is>
      </c>
      <c r="B445" t="inlineStr">
        <is>
          <t>+5581999111617</t>
        </is>
      </c>
      <c r="C445" t="inlineStr">
        <is>
          <t>Refill</t>
        </is>
      </c>
      <c r="D445" t="inlineStr">
        <is>
          <t>Primer Liso</t>
        </is>
      </c>
      <c r="E445" t="n">
        <v>1</v>
      </c>
      <c r="F445" t="inlineStr">
        <is>
          <t>2025-09-03</t>
        </is>
      </c>
      <c r="G445" t="n">
        <v>304</v>
      </c>
      <c r="H445" t="inlineStr">
        <is>
          <t>Y</t>
        </is>
      </c>
      <c r="I445">
        <f>HYPERLINK("https://admin.shopify.com/store/ge-beauty-cosmeticos/customers/9579472060736","abrir")</f>
        <v/>
      </c>
      <c r="J445">
        <f>HYPERLINK("https://www.gebeauty.com.br/products/primer-liso-intacto?ref=review","review")</f>
        <v/>
      </c>
      <c r="K445" t="inlineStr">
        <is>
          <t>SEND</t>
        </is>
      </c>
    </row>
    <row r="446">
      <c r="A446" t="inlineStr">
        <is>
          <t>Vitoria</t>
        </is>
      </c>
      <c r="B446" t="inlineStr">
        <is>
          <t>+5567996124700</t>
        </is>
      </c>
      <c r="C446" t="inlineStr">
        <is>
          <t>Refill</t>
        </is>
      </c>
      <c r="D446" t="inlineStr">
        <is>
          <t>Primer Liso</t>
        </is>
      </c>
      <c r="E446" t="n">
        <v>1</v>
      </c>
      <c r="F446" t="inlineStr">
        <is>
          <t>2025-09-03</t>
        </is>
      </c>
      <c r="G446" t="n">
        <v>304</v>
      </c>
      <c r="H446" t="inlineStr">
        <is>
          <t>Y</t>
        </is>
      </c>
      <c r="I446">
        <f>HYPERLINK("https://admin.shopify.com/store/ge-beauty-cosmeticos/customers/9642106061120","abrir")</f>
        <v/>
      </c>
      <c r="J446">
        <f>HYPERLINK("https://www.gebeauty.com.br/products/primer-liso-intacto?ref=review","review")</f>
        <v/>
      </c>
      <c r="K446" t="inlineStr">
        <is>
          <t>SEND</t>
        </is>
      </c>
    </row>
    <row r="447">
      <c r="A447" t="inlineStr">
        <is>
          <t>Manuella</t>
        </is>
      </c>
      <c r="B447" t="inlineStr">
        <is>
          <t>+5521997674939</t>
        </is>
      </c>
      <c r="C447" t="inlineStr">
        <is>
          <t>Refill</t>
        </is>
      </c>
      <c r="D447" t="inlineStr">
        <is>
          <t>Primer Liso</t>
        </is>
      </c>
      <c r="E447" t="n">
        <v>1</v>
      </c>
      <c r="F447" t="inlineStr">
        <is>
          <t>2025-09-04</t>
        </is>
      </c>
      <c r="G447" t="n">
        <v>303</v>
      </c>
      <c r="H447" t="inlineStr">
        <is>
          <t>Y</t>
        </is>
      </c>
      <c r="I447">
        <f>HYPERLINK("https://admin.shopify.com/store/ge-beauty-cosmeticos/customers/9643759108416","abrir")</f>
        <v/>
      </c>
      <c r="J447">
        <f>HYPERLINK("https://www.gebeauty.com.br/products/primer-liso-intacto?ref=review","review")</f>
        <v/>
      </c>
      <c r="K447" t="inlineStr">
        <is>
          <t>HOLDOUT</t>
        </is>
      </c>
    </row>
    <row r="448">
      <c r="A448" t="inlineStr">
        <is>
          <t>Daniele</t>
        </is>
      </c>
      <c r="B448" t="inlineStr">
        <is>
          <t>+5521988605156</t>
        </is>
      </c>
      <c r="C448" t="inlineStr">
        <is>
          <t>Refill</t>
        </is>
      </c>
      <c r="D448" t="inlineStr">
        <is>
          <t>Primer Liso</t>
        </is>
      </c>
      <c r="E448" t="n">
        <v>1</v>
      </c>
      <c r="F448" t="inlineStr">
        <is>
          <t>2025-09-04</t>
        </is>
      </c>
      <c r="G448" t="n">
        <v>303</v>
      </c>
      <c r="H448" t="inlineStr">
        <is>
          <t>Y</t>
        </is>
      </c>
      <c r="I448">
        <f>HYPERLINK("https://admin.shopify.com/store/ge-beauty-cosmeticos/customers/9643914756416","abrir")</f>
        <v/>
      </c>
      <c r="J448">
        <f>HYPERLINK("https://www.gebeauty.com.br/products/primer-liso-intacto?ref=review","review")</f>
        <v/>
      </c>
      <c r="K448" t="inlineStr">
        <is>
          <t>SEND</t>
        </is>
      </c>
    </row>
    <row r="449">
      <c r="A449" t="inlineStr">
        <is>
          <t>Fabiana</t>
        </is>
      </c>
      <c r="B449" t="inlineStr">
        <is>
          <t>+5521966402535</t>
        </is>
      </c>
      <c r="C449" t="inlineStr">
        <is>
          <t>Refill</t>
        </is>
      </c>
      <c r="D449" t="inlineStr">
        <is>
          <t>Primer Liso</t>
        </is>
      </c>
      <c r="E449" t="n">
        <v>1</v>
      </c>
      <c r="F449" t="inlineStr">
        <is>
          <t>2025-09-04</t>
        </is>
      </c>
      <c r="G449" t="n">
        <v>303</v>
      </c>
      <c r="H449" t="inlineStr">
        <is>
          <t>Y</t>
        </is>
      </c>
      <c r="I449">
        <f>HYPERLINK("https://admin.shopify.com/store/ge-beauty-cosmeticos/customers/9644109168960","abrir")</f>
        <v/>
      </c>
      <c r="J449">
        <f>HYPERLINK("https://www.gebeauty.com.br/products/primer-liso-intacto?ref=review","review")</f>
        <v/>
      </c>
      <c r="K449" t="inlineStr">
        <is>
          <t>SEND</t>
        </is>
      </c>
    </row>
    <row r="450">
      <c r="A450" t="inlineStr">
        <is>
          <t>Maria</t>
        </is>
      </c>
      <c r="B450" t="inlineStr">
        <is>
          <t>+5521993721374</t>
        </is>
      </c>
      <c r="C450" t="inlineStr">
        <is>
          <t>Refill</t>
        </is>
      </c>
      <c r="D450" t="inlineStr">
        <is>
          <t>Primer Liso</t>
        </is>
      </c>
      <c r="E450" t="n">
        <v>1</v>
      </c>
      <c r="F450" t="inlineStr">
        <is>
          <t>2025-09-04</t>
        </is>
      </c>
      <c r="G450" t="n">
        <v>303</v>
      </c>
      <c r="H450" t="inlineStr">
        <is>
          <t>Y</t>
        </is>
      </c>
      <c r="I450">
        <f>HYPERLINK("https://admin.shopify.com/store/ge-beauty-cosmeticos/customers/9644283429184","abrir")</f>
        <v/>
      </c>
      <c r="J450">
        <f>HYPERLINK("https://www.gebeauty.com.br/products/primer-liso-intacto?ref=review","review")</f>
        <v/>
      </c>
      <c r="K450" t="inlineStr">
        <is>
          <t>SEND</t>
        </is>
      </c>
    </row>
    <row r="451">
      <c r="A451" t="inlineStr">
        <is>
          <t>Rafaella</t>
        </is>
      </c>
      <c r="B451" t="inlineStr">
        <is>
          <t>+5511987827082</t>
        </is>
      </c>
      <c r="C451" t="inlineStr">
        <is>
          <t>Refill</t>
        </is>
      </c>
      <c r="D451" t="inlineStr">
        <is>
          <t>Primer Liso</t>
        </is>
      </c>
      <c r="E451" t="n">
        <v>1</v>
      </c>
      <c r="F451" t="inlineStr">
        <is>
          <t>2025-09-04</t>
        </is>
      </c>
      <c r="G451" t="n">
        <v>303</v>
      </c>
      <c r="H451" t="inlineStr">
        <is>
          <t>Y</t>
        </is>
      </c>
      <c r="I451">
        <f>HYPERLINK("https://admin.shopify.com/store/ge-beauty-cosmeticos/customers/9644691030336","abrir")</f>
        <v/>
      </c>
      <c r="J451">
        <f>HYPERLINK("https://www.gebeauty.com.br/products/primer-liso-intacto?ref=review","review")</f>
        <v/>
      </c>
      <c r="K451" t="inlineStr">
        <is>
          <t>SEND</t>
        </is>
      </c>
    </row>
    <row r="452">
      <c r="A452" t="inlineStr">
        <is>
          <t>Giovanna</t>
        </is>
      </c>
      <c r="B452" t="inlineStr">
        <is>
          <t>+5548991369628</t>
        </is>
      </c>
      <c r="C452" t="inlineStr">
        <is>
          <t>Refill</t>
        </is>
      </c>
      <c r="D452" t="inlineStr">
        <is>
          <t>Primer Liso</t>
        </is>
      </c>
      <c r="E452" t="n">
        <v>1</v>
      </c>
      <c r="F452" t="inlineStr">
        <is>
          <t>2025-09-05</t>
        </is>
      </c>
      <c r="G452" t="n">
        <v>302</v>
      </c>
      <c r="H452" t="inlineStr">
        <is>
          <t>Y</t>
        </is>
      </c>
      <c r="I452">
        <f>HYPERLINK("https://admin.shopify.com/store/ge-beauty-cosmeticos/customers/9644014043456","abrir")</f>
        <v/>
      </c>
      <c r="J452">
        <f>HYPERLINK("https://www.gebeauty.com.br/products/primer-liso-intacto?ref=review","review")</f>
        <v/>
      </c>
      <c r="K452" t="inlineStr">
        <is>
          <t>SEND</t>
        </is>
      </c>
    </row>
    <row r="453">
      <c r="A453" t="inlineStr">
        <is>
          <t>Marta</t>
        </is>
      </c>
      <c r="B453" t="inlineStr">
        <is>
          <t>+5511982658855</t>
        </is>
      </c>
      <c r="C453" t="inlineStr">
        <is>
          <t>Refill</t>
        </is>
      </c>
      <c r="D453" t="inlineStr">
        <is>
          <t>Primer Liso</t>
        </is>
      </c>
      <c r="E453" t="n">
        <v>1</v>
      </c>
      <c r="F453" t="inlineStr">
        <is>
          <t>2025-09-05</t>
        </is>
      </c>
      <c r="G453" t="n">
        <v>302</v>
      </c>
      <c r="H453" t="inlineStr">
        <is>
          <t>Y</t>
        </is>
      </c>
      <c r="I453">
        <f>HYPERLINK("https://admin.shopify.com/store/ge-beauty-cosmeticos/customers/9645938868544","abrir")</f>
        <v/>
      </c>
      <c r="J453">
        <f>HYPERLINK("https://www.gebeauty.com.br/products/primer-liso-intacto?ref=review","review")</f>
        <v/>
      </c>
      <c r="K453" t="inlineStr">
        <is>
          <t>SEND</t>
        </is>
      </c>
    </row>
    <row r="454">
      <c r="A454" t="inlineStr">
        <is>
          <t>Beatriz</t>
        </is>
      </c>
      <c r="B454" t="inlineStr">
        <is>
          <t>+5549999656469</t>
        </is>
      </c>
      <c r="C454" t="inlineStr">
        <is>
          <t>Refill</t>
        </is>
      </c>
      <c r="D454" t="inlineStr">
        <is>
          <t>Primer Liso</t>
        </is>
      </c>
      <c r="E454" t="n">
        <v>1</v>
      </c>
      <c r="F454" t="inlineStr">
        <is>
          <t>2025-09-05</t>
        </is>
      </c>
      <c r="G454" t="n">
        <v>302</v>
      </c>
      <c r="H454" t="inlineStr">
        <is>
          <t>Y</t>
        </is>
      </c>
      <c r="I454">
        <f>HYPERLINK("https://admin.shopify.com/store/ge-beauty-cosmeticos/customers/7760622223680","abrir")</f>
        <v/>
      </c>
      <c r="J454">
        <f>HYPERLINK("https://www.gebeauty.com.br/products/primer-liso-intacto?ref=review","review")</f>
        <v/>
      </c>
      <c r="K454" t="inlineStr">
        <is>
          <t>SEND</t>
        </is>
      </c>
    </row>
    <row r="455">
      <c r="A455" t="inlineStr">
        <is>
          <t>Marcia</t>
        </is>
      </c>
      <c r="B455" t="inlineStr">
        <is>
          <t>+5521992874284</t>
        </is>
      </c>
      <c r="C455" t="inlineStr">
        <is>
          <t>Refill</t>
        </is>
      </c>
      <c r="D455" t="inlineStr">
        <is>
          <t>Primer Liso</t>
        </is>
      </c>
      <c r="E455" t="n">
        <v>1</v>
      </c>
      <c r="F455" t="inlineStr">
        <is>
          <t>2025-09-05</t>
        </is>
      </c>
      <c r="G455" t="n">
        <v>302</v>
      </c>
      <c r="H455" t="inlineStr">
        <is>
          <t>Y</t>
        </is>
      </c>
      <c r="I455">
        <f>HYPERLINK("https://admin.shopify.com/store/ge-beauty-cosmeticos/customers/8228884021568","abrir")</f>
        <v/>
      </c>
      <c r="J455">
        <f>HYPERLINK("https://www.gebeauty.com.br/products/primer-liso-intacto?ref=review","review")</f>
        <v/>
      </c>
      <c r="K455" t="inlineStr">
        <is>
          <t>SEND</t>
        </is>
      </c>
    </row>
    <row r="456">
      <c r="A456" t="inlineStr">
        <is>
          <t>Barbara</t>
        </is>
      </c>
      <c r="B456" t="inlineStr">
        <is>
          <t>+5571996740536</t>
        </is>
      </c>
      <c r="C456" t="inlineStr">
        <is>
          <t>Refill</t>
        </is>
      </c>
      <c r="D456" t="inlineStr">
        <is>
          <t>Primer Liso</t>
        </is>
      </c>
      <c r="E456" t="n">
        <v>1</v>
      </c>
      <c r="F456" t="inlineStr">
        <is>
          <t>2025-09-05</t>
        </is>
      </c>
      <c r="G456" t="n">
        <v>302</v>
      </c>
      <c r="H456" t="inlineStr">
        <is>
          <t>Y</t>
        </is>
      </c>
      <c r="I456">
        <f>HYPERLINK("https://admin.shopify.com/store/ge-beauty-cosmeticos/customers/9646442021184","abrir")</f>
        <v/>
      </c>
      <c r="J456">
        <f>HYPERLINK("https://www.gebeauty.com.br/products/primer-liso-intacto?ref=review","review")</f>
        <v/>
      </c>
      <c r="K456" t="inlineStr">
        <is>
          <t>SEND</t>
        </is>
      </c>
    </row>
    <row r="457">
      <c r="A457" t="inlineStr">
        <is>
          <t>Eliane</t>
        </is>
      </c>
      <c r="B457" t="inlineStr">
        <is>
          <t>+5511993387183</t>
        </is>
      </c>
      <c r="C457" t="inlineStr">
        <is>
          <t>Refill</t>
        </is>
      </c>
      <c r="D457" t="inlineStr">
        <is>
          <t>Primer Liso</t>
        </is>
      </c>
      <c r="E457" t="n">
        <v>1</v>
      </c>
      <c r="F457" t="inlineStr">
        <is>
          <t>2025-09-05</t>
        </is>
      </c>
      <c r="G457" t="n">
        <v>302</v>
      </c>
      <c r="H457" t="inlineStr">
        <is>
          <t>Y</t>
        </is>
      </c>
      <c r="I457">
        <f>HYPERLINK("https://admin.shopify.com/store/ge-beauty-cosmeticos/customers/9486448099648","abrir")</f>
        <v/>
      </c>
      <c r="J457">
        <f>HYPERLINK("https://www.gebeauty.com.br/products/primer-liso-intacto?ref=review","review")</f>
        <v/>
      </c>
      <c r="K457" t="inlineStr">
        <is>
          <t>SEND</t>
        </is>
      </c>
    </row>
    <row r="458">
      <c r="A458" t="inlineStr">
        <is>
          <t>Nathália</t>
        </is>
      </c>
      <c r="B458" t="inlineStr">
        <is>
          <t>+5562996647337</t>
        </is>
      </c>
      <c r="C458" t="inlineStr">
        <is>
          <t>Refill</t>
        </is>
      </c>
      <c r="D458" t="inlineStr">
        <is>
          <t>Primer Liso</t>
        </is>
      </c>
      <c r="E458" t="n">
        <v>1</v>
      </c>
      <c r="F458" t="inlineStr">
        <is>
          <t>2025-09-05</t>
        </is>
      </c>
      <c r="G458" t="n">
        <v>302</v>
      </c>
      <c r="H458" t="inlineStr">
        <is>
          <t>Y</t>
        </is>
      </c>
      <c r="I458">
        <f>HYPERLINK("https://admin.shopify.com/store/ge-beauty-cosmeticos/customers/7761202086208","abrir")</f>
        <v/>
      </c>
      <c r="J458">
        <f>HYPERLINK("https://www.gebeauty.com.br/products/primer-liso-intacto?ref=review","review")</f>
        <v/>
      </c>
      <c r="K458" t="inlineStr">
        <is>
          <t>SEND</t>
        </is>
      </c>
    </row>
    <row r="459">
      <c r="A459" t="inlineStr">
        <is>
          <t>Noéle</t>
        </is>
      </c>
      <c r="B459" t="inlineStr">
        <is>
          <t>+5531997482279</t>
        </is>
      </c>
      <c r="C459" t="inlineStr">
        <is>
          <t>Refill</t>
        </is>
      </c>
      <c r="D459" t="inlineStr">
        <is>
          <t>Primer Liso</t>
        </is>
      </c>
      <c r="E459" t="n">
        <v>1</v>
      </c>
      <c r="F459" t="inlineStr">
        <is>
          <t>2025-09-05</t>
        </is>
      </c>
      <c r="G459" t="n">
        <v>302</v>
      </c>
      <c r="H459" t="inlineStr">
        <is>
          <t>Y</t>
        </is>
      </c>
      <c r="I459">
        <f>HYPERLINK("https://admin.shopify.com/store/ge-beauty-cosmeticos/customers/9646458536256","abrir")</f>
        <v/>
      </c>
      <c r="J459">
        <f>HYPERLINK("https://www.gebeauty.com.br/products/primer-liso-intacto?ref=review","review")</f>
        <v/>
      </c>
      <c r="K459" t="inlineStr">
        <is>
          <t>SEND</t>
        </is>
      </c>
    </row>
    <row r="460">
      <c r="A460" t="inlineStr">
        <is>
          <t>Ludmilla</t>
        </is>
      </c>
      <c r="B460" t="inlineStr">
        <is>
          <t>+5534992999823</t>
        </is>
      </c>
      <c r="C460" t="inlineStr">
        <is>
          <t>Refill</t>
        </is>
      </c>
      <c r="D460" t="inlineStr">
        <is>
          <t>Primer Liso</t>
        </is>
      </c>
      <c r="E460" t="n">
        <v>1</v>
      </c>
      <c r="F460" t="inlineStr">
        <is>
          <t>2025-09-05</t>
        </is>
      </c>
      <c r="G460" t="n">
        <v>302</v>
      </c>
      <c r="H460" t="inlineStr">
        <is>
          <t>N</t>
        </is>
      </c>
      <c r="I460">
        <f>HYPERLINK("https://admin.shopify.com/store/ge-beauty-cosmeticos/customers/9583376924992","abrir")</f>
        <v/>
      </c>
      <c r="J460">
        <f>HYPERLINK("https://www.gebeauty.com.br/products/primer-liso-intacto?ref=review","review")</f>
        <v/>
      </c>
      <c r="K460" t="inlineStr">
        <is>
          <t>SEND</t>
        </is>
      </c>
    </row>
    <row r="461">
      <c r="A461" t="inlineStr">
        <is>
          <t>Caroline</t>
        </is>
      </c>
      <c r="B461" t="inlineStr">
        <is>
          <t>+5547991925533</t>
        </is>
      </c>
      <c r="C461" t="inlineStr">
        <is>
          <t>Refill</t>
        </is>
      </c>
      <c r="D461" t="inlineStr">
        <is>
          <t>Primer Liso</t>
        </is>
      </c>
      <c r="E461" t="n">
        <v>1</v>
      </c>
      <c r="F461" t="inlineStr">
        <is>
          <t>2025-09-06</t>
        </is>
      </c>
      <c r="G461" t="n">
        <v>301</v>
      </c>
      <c r="H461" t="inlineStr">
        <is>
          <t>Y</t>
        </is>
      </c>
      <c r="I461">
        <f>HYPERLINK("https://admin.shopify.com/store/ge-beauty-cosmeticos/customers/9573809455424","abrir")</f>
        <v/>
      </c>
      <c r="J461">
        <f>HYPERLINK("https://www.gebeauty.com.br/products/primer-liso-intacto?ref=review","review")</f>
        <v/>
      </c>
      <c r="K461" t="inlineStr">
        <is>
          <t>SEND</t>
        </is>
      </c>
    </row>
    <row r="462">
      <c r="A462" t="inlineStr">
        <is>
          <t>Mayã</t>
        </is>
      </c>
      <c r="B462" t="inlineStr">
        <is>
          <t>+5521991421787</t>
        </is>
      </c>
      <c r="C462" t="inlineStr">
        <is>
          <t>Refill</t>
        </is>
      </c>
      <c r="D462" t="inlineStr">
        <is>
          <t>Primer Liso</t>
        </is>
      </c>
      <c r="E462" t="n">
        <v>1</v>
      </c>
      <c r="F462" t="inlineStr">
        <is>
          <t>2025-09-06</t>
        </is>
      </c>
      <c r="G462" t="n">
        <v>301</v>
      </c>
      <c r="H462" t="inlineStr">
        <is>
          <t>Y</t>
        </is>
      </c>
      <c r="I462">
        <f>HYPERLINK("https://admin.shopify.com/store/ge-beauty-cosmeticos/customers/9486211776832","abrir")</f>
        <v/>
      </c>
      <c r="J462">
        <f>HYPERLINK("https://www.gebeauty.com.br/products/primer-liso-intacto?ref=review","review")</f>
        <v/>
      </c>
      <c r="K462" t="inlineStr">
        <is>
          <t>SEND</t>
        </is>
      </c>
    </row>
    <row r="463">
      <c r="A463" t="inlineStr">
        <is>
          <t>Leila</t>
        </is>
      </c>
      <c r="B463" t="inlineStr">
        <is>
          <t>+5587996029454</t>
        </is>
      </c>
      <c r="C463" t="inlineStr">
        <is>
          <t>Refill</t>
        </is>
      </c>
      <c r="D463" t="inlineStr">
        <is>
          <t>Primer Liso</t>
        </is>
      </c>
      <c r="E463" t="n">
        <v>1</v>
      </c>
      <c r="F463" t="inlineStr">
        <is>
          <t>2025-09-06</t>
        </is>
      </c>
      <c r="G463" t="n">
        <v>301</v>
      </c>
      <c r="H463" t="inlineStr">
        <is>
          <t>Y</t>
        </is>
      </c>
      <c r="I463">
        <f>HYPERLINK("https://admin.shopify.com/store/ge-beauty-cosmeticos/customers/9647521628480","abrir")</f>
        <v/>
      </c>
      <c r="J463">
        <f>HYPERLINK("https://www.gebeauty.com.br/products/primer-liso-intacto?ref=review","review")</f>
        <v/>
      </c>
      <c r="K463" t="inlineStr">
        <is>
          <t>SEND</t>
        </is>
      </c>
    </row>
    <row r="464">
      <c r="A464" t="inlineStr">
        <is>
          <t>Talita</t>
        </is>
      </c>
      <c r="B464" t="inlineStr">
        <is>
          <t>+5519994877337</t>
        </is>
      </c>
      <c r="C464" t="inlineStr">
        <is>
          <t>Refill</t>
        </is>
      </c>
      <c r="D464" t="inlineStr">
        <is>
          <t>Primer Liso</t>
        </is>
      </c>
      <c r="E464" t="n">
        <v>1</v>
      </c>
      <c r="F464" t="inlineStr">
        <is>
          <t>2025-09-06</t>
        </is>
      </c>
      <c r="G464" t="n">
        <v>301</v>
      </c>
      <c r="H464" t="inlineStr">
        <is>
          <t>Y</t>
        </is>
      </c>
      <c r="I464">
        <f>HYPERLINK("https://admin.shopify.com/store/ge-beauty-cosmeticos/customers/9647558000960","abrir")</f>
        <v/>
      </c>
      <c r="J464">
        <f>HYPERLINK("https://www.gebeauty.com.br/products/primer-liso-intacto?ref=review","review")</f>
        <v/>
      </c>
      <c r="K464" t="inlineStr">
        <is>
          <t>SEND</t>
        </is>
      </c>
    </row>
    <row r="465">
      <c r="A465" t="inlineStr">
        <is>
          <t>Marilia</t>
        </is>
      </c>
      <c r="B465" t="inlineStr">
        <is>
          <t>+5516997304499</t>
        </is>
      </c>
      <c r="C465" t="inlineStr">
        <is>
          <t>Refill</t>
        </is>
      </c>
      <c r="D465" t="inlineStr">
        <is>
          <t>Primer Liso</t>
        </is>
      </c>
      <c r="E465" t="n">
        <v>1</v>
      </c>
      <c r="F465" t="inlineStr">
        <is>
          <t>2025-09-06</t>
        </is>
      </c>
      <c r="G465" t="n">
        <v>301</v>
      </c>
      <c r="H465" t="inlineStr">
        <is>
          <t>Y</t>
        </is>
      </c>
      <c r="I465">
        <f>HYPERLINK("https://admin.shopify.com/store/ge-beauty-cosmeticos/customers/9647965405504","abrir")</f>
        <v/>
      </c>
      <c r="J465">
        <f>HYPERLINK("https://www.gebeauty.com.br/products/primer-liso-intacto?ref=review","review")</f>
        <v/>
      </c>
      <c r="K465" t="inlineStr">
        <is>
          <t>SEND</t>
        </is>
      </c>
    </row>
    <row r="466">
      <c r="A466" t="inlineStr">
        <is>
          <t>Juliana</t>
        </is>
      </c>
      <c r="B466" t="inlineStr">
        <is>
          <t>+5521999384167</t>
        </is>
      </c>
      <c r="C466" t="inlineStr">
        <is>
          <t>Refill</t>
        </is>
      </c>
      <c r="D466" t="inlineStr">
        <is>
          <t>Primer Liso</t>
        </is>
      </c>
      <c r="E466" t="n">
        <v>1</v>
      </c>
      <c r="F466" t="inlineStr">
        <is>
          <t>2025-09-06</t>
        </is>
      </c>
      <c r="G466" t="n">
        <v>301</v>
      </c>
      <c r="H466" t="inlineStr">
        <is>
          <t>Y</t>
        </is>
      </c>
      <c r="I466">
        <f>HYPERLINK("https://admin.shopify.com/store/ge-beauty-cosmeticos/customers/7762438291776","abrir")</f>
        <v/>
      </c>
      <c r="J466">
        <f>HYPERLINK("https://www.gebeauty.com.br/products/primer-liso-intacto?ref=review","review")</f>
        <v/>
      </c>
      <c r="K466" t="inlineStr">
        <is>
          <t>HOLDOUT</t>
        </is>
      </c>
    </row>
    <row r="467">
      <c r="A467" t="inlineStr">
        <is>
          <t>Amanda</t>
        </is>
      </c>
      <c r="B467" t="inlineStr">
        <is>
          <t>+5511976225072</t>
        </is>
      </c>
      <c r="C467" t="inlineStr">
        <is>
          <t>Refill</t>
        </is>
      </c>
      <c r="D467" t="inlineStr">
        <is>
          <t>Primer Liso</t>
        </is>
      </c>
      <c r="E467" t="n">
        <v>1</v>
      </c>
      <c r="F467" t="inlineStr">
        <is>
          <t>2025-09-06</t>
        </is>
      </c>
      <c r="G467" t="n">
        <v>301</v>
      </c>
      <c r="H467" t="inlineStr">
        <is>
          <t>Y</t>
        </is>
      </c>
      <c r="I467">
        <f>HYPERLINK("https://admin.shopify.com/store/ge-beauty-cosmeticos/customers/7760280879424","abrir")</f>
        <v/>
      </c>
      <c r="J467">
        <f>HYPERLINK("https://www.gebeauty.com.br/products/primer-liso-intacto?ref=review","review")</f>
        <v/>
      </c>
      <c r="K467" t="inlineStr">
        <is>
          <t>SEND</t>
        </is>
      </c>
    </row>
    <row r="468">
      <c r="A468" t="inlineStr">
        <is>
          <t>Ana</t>
        </is>
      </c>
      <c r="B468" t="inlineStr">
        <is>
          <t>+5511999865488</t>
        </is>
      </c>
      <c r="C468" t="inlineStr">
        <is>
          <t>Refill</t>
        </is>
      </c>
      <c r="D468" t="inlineStr">
        <is>
          <t>Primer Liso</t>
        </is>
      </c>
      <c r="E468" t="n">
        <v>1</v>
      </c>
      <c r="F468" t="inlineStr">
        <is>
          <t>2025-09-06</t>
        </is>
      </c>
      <c r="G468" t="n">
        <v>301</v>
      </c>
      <c r="H468" t="inlineStr">
        <is>
          <t>Y</t>
        </is>
      </c>
      <c r="I468">
        <f>HYPERLINK("https://admin.shopify.com/store/ge-beauty-cosmeticos/customers/9648342106432","abrir")</f>
        <v/>
      </c>
      <c r="J468">
        <f>HYPERLINK("https://www.gebeauty.com.br/products/primer-liso-intacto?ref=review","review")</f>
        <v/>
      </c>
      <c r="K468" t="inlineStr">
        <is>
          <t>SEND</t>
        </is>
      </c>
    </row>
    <row r="469">
      <c r="A469" t="inlineStr">
        <is>
          <t>Mariana</t>
        </is>
      </c>
      <c r="B469" t="inlineStr">
        <is>
          <t>+5585981350891</t>
        </is>
      </c>
      <c r="C469" t="inlineStr">
        <is>
          <t>Refill</t>
        </is>
      </c>
      <c r="D469" t="inlineStr">
        <is>
          <t>Primer Liso</t>
        </is>
      </c>
      <c r="E469" t="n">
        <v>1</v>
      </c>
      <c r="F469" t="inlineStr">
        <is>
          <t>2025-09-06</t>
        </is>
      </c>
      <c r="G469" t="n">
        <v>301</v>
      </c>
      <c r="H469" t="inlineStr">
        <is>
          <t>Y</t>
        </is>
      </c>
      <c r="I469">
        <f>HYPERLINK("https://admin.shopify.com/store/ge-beauty-cosmeticos/customers/9648343875904","abrir")</f>
        <v/>
      </c>
      <c r="J469">
        <f>HYPERLINK("https://www.gebeauty.com.br/products/primer-liso-intacto?ref=review","review")</f>
        <v/>
      </c>
      <c r="K469" t="inlineStr">
        <is>
          <t>SEND</t>
        </is>
      </c>
    </row>
    <row r="470">
      <c r="A470" t="inlineStr">
        <is>
          <t>Yasmin</t>
        </is>
      </c>
      <c r="B470" t="inlineStr">
        <is>
          <t>+5551997461606</t>
        </is>
      </c>
      <c r="C470" t="inlineStr">
        <is>
          <t>Refill</t>
        </is>
      </c>
      <c r="D470" t="inlineStr">
        <is>
          <t>Primer Liso</t>
        </is>
      </c>
      <c r="E470" t="n">
        <v>1</v>
      </c>
      <c r="F470" t="inlineStr">
        <is>
          <t>2025-09-06</t>
        </is>
      </c>
      <c r="G470" t="n">
        <v>301</v>
      </c>
      <c r="H470" t="inlineStr">
        <is>
          <t>Y</t>
        </is>
      </c>
      <c r="I470">
        <f>HYPERLINK("https://admin.shopify.com/store/ge-beauty-cosmeticos/customers/9648554541376","abrir")</f>
        <v/>
      </c>
      <c r="J470">
        <f>HYPERLINK("https://www.gebeauty.com.br/products/primer-liso-intacto?ref=review","review")</f>
        <v/>
      </c>
      <c r="K470" t="inlineStr">
        <is>
          <t>SEND</t>
        </is>
      </c>
    </row>
    <row r="471">
      <c r="A471" t="inlineStr">
        <is>
          <t>Paula</t>
        </is>
      </c>
      <c r="B471" t="inlineStr">
        <is>
          <t>+5511964017201</t>
        </is>
      </c>
      <c r="C471" t="inlineStr">
        <is>
          <t>Refill</t>
        </is>
      </c>
      <c r="D471" t="inlineStr">
        <is>
          <t>Primer Liso</t>
        </is>
      </c>
      <c r="E471" t="n">
        <v>1</v>
      </c>
      <c r="F471" t="inlineStr">
        <is>
          <t>2025-09-06</t>
        </is>
      </c>
      <c r="G471" t="n">
        <v>301</v>
      </c>
      <c r="H471" t="inlineStr">
        <is>
          <t>Y</t>
        </is>
      </c>
      <c r="I471">
        <f>HYPERLINK("https://admin.shopify.com/store/ge-beauty-cosmeticos/customers/9648742138176","abrir")</f>
        <v/>
      </c>
      <c r="J471">
        <f>HYPERLINK("https://www.gebeauty.com.br/products/primer-liso-intacto?ref=review","review")</f>
        <v/>
      </c>
      <c r="K471" t="inlineStr">
        <is>
          <t>SEND</t>
        </is>
      </c>
    </row>
    <row r="472">
      <c r="A472" t="inlineStr">
        <is>
          <t>Livia</t>
        </is>
      </c>
      <c r="B472" t="inlineStr">
        <is>
          <t>+5522999641882</t>
        </is>
      </c>
      <c r="C472" t="inlineStr">
        <is>
          <t>Refill</t>
        </is>
      </c>
      <c r="D472" t="inlineStr">
        <is>
          <t>Primer Liso</t>
        </is>
      </c>
      <c r="E472" t="n">
        <v>1</v>
      </c>
      <c r="F472" t="inlineStr">
        <is>
          <t>2025-09-06</t>
        </is>
      </c>
      <c r="G472" t="n">
        <v>301</v>
      </c>
      <c r="H472" t="inlineStr">
        <is>
          <t>Y</t>
        </is>
      </c>
      <c r="I472">
        <f>HYPERLINK("https://admin.shopify.com/store/ge-beauty-cosmeticos/customers/9638097125696","abrir")</f>
        <v/>
      </c>
      <c r="J472">
        <f>HYPERLINK("https://www.gebeauty.com.br/products/primer-liso-intacto?ref=review","review")</f>
        <v/>
      </c>
      <c r="K472" t="inlineStr">
        <is>
          <t>SEND</t>
        </is>
      </c>
    </row>
    <row r="473">
      <c r="A473" t="inlineStr">
        <is>
          <t>Heloisa</t>
        </is>
      </c>
      <c r="B473" t="inlineStr">
        <is>
          <t>+5567996940777</t>
        </is>
      </c>
      <c r="C473" t="inlineStr">
        <is>
          <t>Refill</t>
        </is>
      </c>
      <c r="D473" t="inlineStr">
        <is>
          <t>Primer Liso</t>
        </is>
      </c>
      <c r="E473" t="n">
        <v>1</v>
      </c>
      <c r="F473" t="inlineStr">
        <is>
          <t>2025-09-07</t>
        </is>
      </c>
      <c r="G473" t="n">
        <v>300</v>
      </c>
      <c r="H473" t="inlineStr">
        <is>
          <t>Y</t>
        </is>
      </c>
      <c r="I473">
        <f>HYPERLINK("https://admin.shopify.com/store/ge-beauty-cosmeticos/customers/9648920822080","abrir")</f>
        <v/>
      </c>
      <c r="J473">
        <f>HYPERLINK("https://www.gebeauty.com.br/products/primer-liso-intacto?ref=review","review")</f>
        <v/>
      </c>
      <c r="K473" t="inlineStr">
        <is>
          <t>SEND</t>
        </is>
      </c>
    </row>
    <row r="474">
      <c r="A474" t="inlineStr">
        <is>
          <t>Narina</t>
        </is>
      </c>
      <c r="B474" t="inlineStr">
        <is>
          <t>+5581982293535</t>
        </is>
      </c>
      <c r="C474" t="inlineStr">
        <is>
          <t>Refill</t>
        </is>
      </c>
      <c r="D474" t="inlineStr">
        <is>
          <t>Primer Liso</t>
        </is>
      </c>
      <c r="E474" t="n">
        <v>1</v>
      </c>
      <c r="F474" t="inlineStr">
        <is>
          <t>2025-09-07</t>
        </is>
      </c>
      <c r="G474" t="n">
        <v>300</v>
      </c>
      <c r="H474" t="inlineStr">
        <is>
          <t>Y</t>
        </is>
      </c>
      <c r="I474">
        <f>HYPERLINK("https://admin.shopify.com/store/ge-beauty-cosmeticos/customers/9650274959680","abrir")</f>
        <v/>
      </c>
      <c r="J474">
        <f>HYPERLINK("https://www.gebeauty.com.br/products/primer-liso-intacto?ref=review","review")</f>
        <v/>
      </c>
      <c r="K474" t="inlineStr">
        <is>
          <t>SEND</t>
        </is>
      </c>
    </row>
    <row r="475">
      <c r="A475" t="inlineStr">
        <is>
          <t>Natália</t>
        </is>
      </c>
      <c r="B475" t="inlineStr">
        <is>
          <t>+5553999638055</t>
        </is>
      </c>
      <c r="C475" t="inlineStr">
        <is>
          <t>Refill</t>
        </is>
      </c>
      <c r="D475" t="inlineStr">
        <is>
          <t>Primer Liso</t>
        </is>
      </c>
      <c r="E475" t="n">
        <v>1</v>
      </c>
      <c r="F475" t="inlineStr">
        <is>
          <t>2025-09-07</t>
        </is>
      </c>
      <c r="G475" t="n">
        <v>300</v>
      </c>
      <c r="H475" t="inlineStr">
        <is>
          <t>Y</t>
        </is>
      </c>
      <c r="I475">
        <f>HYPERLINK("https://admin.shopify.com/store/ge-beauty-cosmeticos/customers/9486264172864","abrir")</f>
        <v/>
      </c>
      <c r="J475">
        <f>HYPERLINK("https://www.gebeauty.com.br/products/primer-liso-intacto?ref=review","review")</f>
        <v/>
      </c>
      <c r="K475" t="inlineStr">
        <is>
          <t>SEND</t>
        </is>
      </c>
    </row>
    <row r="476">
      <c r="A476" t="inlineStr">
        <is>
          <t>Ana Isabel</t>
        </is>
      </c>
      <c r="B476" t="inlineStr">
        <is>
          <t>+5511974401208</t>
        </is>
      </c>
      <c r="C476" t="inlineStr">
        <is>
          <t>Refill</t>
        </is>
      </c>
      <c r="D476" t="inlineStr">
        <is>
          <t>Primer Liso</t>
        </is>
      </c>
      <c r="E476" t="n">
        <v>1</v>
      </c>
      <c r="F476" t="inlineStr">
        <is>
          <t>2025-09-07</t>
        </is>
      </c>
      <c r="G476" t="n">
        <v>300</v>
      </c>
      <c r="H476" t="inlineStr">
        <is>
          <t>Y</t>
        </is>
      </c>
      <c r="I476">
        <f>HYPERLINK("https://admin.shopify.com/store/ge-beauty-cosmeticos/customers/9648920199488","abrir")</f>
        <v/>
      </c>
      <c r="J476">
        <f>HYPERLINK("https://www.gebeauty.com.br/products/primer-liso-intacto?ref=review","review")</f>
        <v/>
      </c>
      <c r="K476" t="inlineStr">
        <is>
          <t>SEND</t>
        </is>
      </c>
    </row>
    <row r="477">
      <c r="A477" t="inlineStr">
        <is>
          <t>Camila</t>
        </is>
      </c>
      <c r="B477" t="inlineStr">
        <is>
          <t>+5585984183044</t>
        </is>
      </c>
      <c r="C477" t="inlineStr">
        <is>
          <t>Refill</t>
        </is>
      </c>
      <c r="D477" t="inlineStr">
        <is>
          <t>Primer Liso</t>
        </is>
      </c>
      <c r="E477" t="n">
        <v>1</v>
      </c>
      <c r="F477" t="inlineStr">
        <is>
          <t>2025-09-07</t>
        </is>
      </c>
      <c r="G477" t="n">
        <v>300</v>
      </c>
      <c r="H477" t="inlineStr">
        <is>
          <t>Y</t>
        </is>
      </c>
      <c r="I477">
        <f>HYPERLINK("https://admin.shopify.com/store/ge-beauty-cosmeticos/customers/9650500895040","abrir")</f>
        <v/>
      </c>
      <c r="J477">
        <f>HYPERLINK("https://www.gebeauty.com.br/products/primer-liso-intacto?ref=review","review")</f>
        <v/>
      </c>
      <c r="K477" t="inlineStr">
        <is>
          <t>SEND</t>
        </is>
      </c>
    </row>
    <row r="478">
      <c r="A478" t="inlineStr">
        <is>
          <t>Natalia</t>
        </is>
      </c>
      <c r="B478" t="inlineStr">
        <is>
          <t>+5541996830225</t>
        </is>
      </c>
      <c r="C478" t="inlineStr">
        <is>
          <t>Refill</t>
        </is>
      </c>
      <c r="D478" t="inlineStr">
        <is>
          <t>Primer Liso</t>
        </is>
      </c>
      <c r="E478" t="n">
        <v>1</v>
      </c>
      <c r="F478" t="inlineStr">
        <is>
          <t>2025-09-07</t>
        </is>
      </c>
      <c r="G478" t="n">
        <v>300</v>
      </c>
      <c r="H478" t="inlineStr">
        <is>
          <t>N</t>
        </is>
      </c>
      <c r="I478">
        <f>HYPERLINK("https://admin.shopify.com/store/ge-beauty-cosmeticos/customers/9650121376064","abrir")</f>
        <v/>
      </c>
      <c r="J478">
        <f>HYPERLINK("https://www.gebeauty.com.br/products/primer-liso-intacto?ref=review","review")</f>
        <v/>
      </c>
      <c r="K478" t="inlineStr">
        <is>
          <t>SEND</t>
        </is>
      </c>
    </row>
    <row r="479">
      <c r="A479" t="inlineStr">
        <is>
          <t>Claudia</t>
        </is>
      </c>
      <c r="B479" t="inlineStr">
        <is>
          <t>+5511992743965</t>
        </is>
      </c>
      <c r="C479" t="inlineStr">
        <is>
          <t>Refill</t>
        </is>
      </c>
      <c r="D479" t="inlineStr">
        <is>
          <t>Primer Liso</t>
        </is>
      </c>
      <c r="E479" t="n">
        <v>1</v>
      </c>
      <c r="F479" t="inlineStr">
        <is>
          <t>2025-09-07</t>
        </is>
      </c>
      <c r="G479" t="n">
        <v>300</v>
      </c>
      <c r="H479" t="inlineStr">
        <is>
          <t>Y</t>
        </is>
      </c>
      <c r="I479">
        <f>HYPERLINK("https://admin.shopify.com/store/ge-beauty-cosmeticos/customers/9650574754112","abrir")</f>
        <v/>
      </c>
      <c r="J479">
        <f>HYPERLINK("https://www.gebeauty.com.br/products/primer-liso-intacto?ref=review","review")</f>
        <v/>
      </c>
      <c r="K479" t="inlineStr">
        <is>
          <t>SEND</t>
        </is>
      </c>
    </row>
    <row r="480">
      <c r="A480" t="inlineStr">
        <is>
          <t>Uli</t>
        </is>
      </c>
      <c r="B480" t="inlineStr">
        <is>
          <t>+5515991635190</t>
        </is>
      </c>
      <c r="C480" t="inlineStr">
        <is>
          <t>Refill</t>
        </is>
      </c>
      <c r="D480" t="inlineStr">
        <is>
          <t>Primer Liso</t>
        </is>
      </c>
      <c r="E480" t="n">
        <v>1</v>
      </c>
      <c r="F480" t="inlineStr">
        <is>
          <t>2025-09-07</t>
        </is>
      </c>
      <c r="G480" t="n">
        <v>300</v>
      </c>
      <c r="H480" t="inlineStr">
        <is>
          <t>Y</t>
        </is>
      </c>
      <c r="I480">
        <f>HYPERLINK("https://admin.shopify.com/store/ge-beauty-cosmeticos/customers/9650565284160","abrir")</f>
        <v/>
      </c>
      <c r="J480">
        <f>HYPERLINK("https://www.gebeauty.com.br/products/primer-liso-intacto?ref=review","review")</f>
        <v/>
      </c>
      <c r="K480" t="inlineStr">
        <is>
          <t>HOLDOUT</t>
        </is>
      </c>
    </row>
    <row r="481">
      <c r="A481" t="inlineStr">
        <is>
          <t>Giovana</t>
        </is>
      </c>
      <c r="B481" t="inlineStr">
        <is>
          <t>+551121570010</t>
        </is>
      </c>
      <c r="C481" t="inlineStr">
        <is>
          <t>Refill</t>
        </is>
      </c>
      <c r="D481" t="inlineStr">
        <is>
          <t>Primer Liso</t>
        </is>
      </c>
      <c r="E481" t="n">
        <v>1</v>
      </c>
      <c r="F481" t="inlineStr">
        <is>
          <t>2025-09-08</t>
        </is>
      </c>
      <c r="G481" t="n">
        <v>299</v>
      </c>
      <c r="H481" t="inlineStr">
        <is>
          <t>Y</t>
        </is>
      </c>
      <c r="I481">
        <f>HYPERLINK("https://admin.shopify.com/store/ge-beauty-cosmeticos/customers/9486222852416","abrir")</f>
        <v/>
      </c>
      <c r="J481">
        <f>HYPERLINK("https://www.gebeauty.com.br/products/primer-liso-intacto?ref=review","review")</f>
        <v/>
      </c>
      <c r="K481" t="inlineStr">
        <is>
          <t>SEND</t>
        </is>
      </c>
    </row>
    <row r="482">
      <c r="A482" t="inlineStr">
        <is>
          <t>Sarah</t>
        </is>
      </c>
      <c r="B482" t="inlineStr">
        <is>
          <t>+5586999813447</t>
        </is>
      </c>
      <c r="C482" t="inlineStr">
        <is>
          <t>Refill</t>
        </is>
      </c>
      <c r="D482" t="inlineStr">
        <is>
          <t>Primer Liso</t>
        </is>
      </c>
      <c r="E482" t="n">
        <v>1</v>
      </c>
      <c r="F482" t="inlineStr">
        <is>
          <t>2025-09-08</t>
        </is>
      </c>
      <c r="G482" t="n">
        <v>299</v>
      </c>
      <c r="H482" t="inlineStr">
        <is>
          <t>Y</t>
        </is>
      </c>
      <c r="I482">
        <f>HYPERLINK("https://admin.shopify.com/store/ge-beauty-cosmeticos/customers/9651910410560","abrir")</f>
        <v/>
      </c>
      <c r="J482">
        <f>HYPERLINK("https://www.gebeauty.com.br/products/primer-liso-intacto?ref=review","review")</f>
        <v/>
      </c>
      <c r="K482" t="inlineStr">
        <is>
          <t>SEND</t>
        </is>
      </c>
    </row>
    <row r="483">
      <c r="A483" t="inlineStr">
        <is>
          <t>Luana</t>
        </is>
      </c>
      <c r="B483" t="inlineStr">
        <is>
          <t>+5511993293043</t>
        </is>
      </c>
      <c r="C483" t="inlineStr">
        <is>
          <t>Refill</t>
        </is>
      </c>
      <c r="D483" t="inlineStr">
        <is>
          <t>Primer Liso</t>
        </is>
      </c>
      <c r="E483" t="n">
        <v>1</v>
      </c>
      <c r="F483" t="inlineStr">
        <is>
          <t>2025-09-08</t>
        </is>
      </c>
      <c r="G483" t="n">
        <v>299</v>
      </c>
      <c r="H483" t="inlineStr">
        <is>
          <t>Y</t>
        </is>
      </c>
      <c r="I483">
        <f>HYPERLINK("https://admin.shopify.com/store/ge-beauty-cosmeticos/customers/9157036966208","abrir")</f>
        <v/>
      </c>
      <c r="J483">
        <f>HYPERLINK("https://www.gebeauty.com.br/products/primer-liso-intacto?ref=review","review")</f>
        <v/>
      </c>
      <c r="K483" t="inlineStr">
        <is>
          <t>SEND</t>
        </is>
      </c>
    </row>
    <row r="484">
      <c r="A484" t="inlineStr">
        <is>
          <t>Wanessa</t>
        </is>
      </c>
      <c r="B484" t="inlineStr">
        <is>
          <t>+5521998398300</t>
        </is>
      </c>
      <c r="C484" t="inlineStr">
        <is>
          <t>Refill</t>
        </is>
      </c>
      <c r="D484" t="inlineStr">
        <is>
          <t>Primer Liso</t>
        </is>
      </c>
      <c r="E484" t="n">
        <v>1</v>
      </c>
      <c r="F484" t="inlineStr">
        <is>
          <t>2025-09-09</t>
        </is>
      </c>
      <c r="G484" t="n">
        <v>298</v>
      </c>
      <c r="H484" t="inlineStr">
        <is>
          <t>Y</t>
        </is>
      </c>
      <c r="I484">
        <f>HYPERLINK("https://admin.shopify.com/store/ge-beauty-cosmeticos/customers/9485275038016","abrir")</f>
        <v/>
      </c>
      <c r="J484">
        <f>HYPERLINK("https://www.gebeauty.com.br/products/primer-liso-intacto?ref=review","review")</f>
        <v/>
      </c>
      <c r="K484" t="inlineStr">
        <is>
          <t>SEND</t>
        </is>
      </c>
    </row>
    <row r="485">
      <c r="A485" t="inlineStr">
        <is>
          <t>Julia</t>
        </is>
      </c>
      <c r="B485" t="inlineStr">
        <is>
          <t>+5591984228142</t>
        </is>
      </c>
      <c r="C485" t="inlineStr">
        <is>
          <t>Refill</t>
        </is>
      </c>
      <c r="D485" t="inlineStr">
        <is>
          <t>Primer Liso</t>
        </is>
      </c>
      <c r="E485" t="n">
        <v>1</v>
      </c>
      <c r="F485" t="inlineStr">
        <is>
          <t>2025-09-09</t>
        </is>
      </c>
      <c r="G485" t="n">
        <v>298</v>
      </c>
      <c r="H485" t="inlineStr">
        <is>
          <t>Y</t>
        </is>
      </c>
      <c r="I485">
        <f>HYPERLINK("https://admin.shopify.com/store/ge-beauty-cosmeticos/customers/8726914171200","abrir")</f>
        <v/>
      </c>
      <c r="J485">
        <f>HYPERLINK("https://www.gebeauty.com.br/products/primer-liso-intacto?ref=review","review")</f>
        <v/>
      </c>
      <c r="K485" t="inlineStr">
        <is>
          <t>SEND</t>
        </is>
      </c>
    </row>
    <row r="486">
      <c r="A486" t="inlineStr">
        <is>
          <t>Cintia</t>
        </is>
      </c>
      <c r="B486" t="inlineStr">
        <is>
          <t>+5511964865397</t>
        </is>
      </c>
      <c r="C486" t="inlineStr">
        <is>
          <t>Refill</t>
        </is>
      </c>
      <c r="D486" t="inlineStr">
        <is>
          <t>Primer Liso</t>
        </is>
      </c>
      <c r="E486" t="n">
        <v>1</v>
      </c>
      <c r="F486" t="inlineStr">
        <is>
          <t>2025-09-09</t>
        </is>
      </c>
      <c r="G486" t="n">
        <v>298</v>
      </c>
      <c r="H486" t="inlineStr">
        <is>
          <t>Y</t>
        </is>
      </c>
      <c r="I486">
        <f>HYPERLINK("https://admin.shopify.com/store/ge-beauty-cosmeticos/customers/9653973909824","abrir")</f>
        <v/>
      </c>
      <c r="J486">
        <f>HYPERLINK("https://www.gebeauty.com.br/products/primer-liso-intacto?ref=review","review")</f>
        <v/>
      </c>
      <c r="K486" t="inlineStr">
        <is>
          <t>SEND</t>
        </is>
      </c>
    </row>
    <row r="487">
      <c r="A487" t="inlineStr">
        <is>
          <t>Manoela</t>
        </is>
      </c>
      <c r="B487" t="inlineStr">
        <is>
          <t>+5511921304203</t>
        </is>
      </c>
      <c r="C487" t="inlineStr">
        <is>
          <t>Refill</t>
        </is>
      </c>
      <c r="D487" t="inlineStr">
        <is>
          <t>Primer Liso</t>
        </is>
      </c>
      <c r="E487" t="n">
        <v>1</v>
      </c>
      <c r="F487" t="inlineStr">
        <is>
          <t>2025-09-09</t>
        </is>
      </c>
      <c r="G487" t="n">
        <v>298</v>
      </c>
      <c r="H487" t="inlineStr">
        <is>
          <t>Y</t>
        </is>
      </c>
      <c r="I487">
        <f>HYPERLINK("https://admin.shopify.com/store/ge-beauty-cosmeticos/customers/9653970403648","abrir")</f>
        <v/>
      </c>
      <c r="J487">
        <f>HYPERLINK("https://www.gebeauty.com.br/products/primer-liso-intacto?ref=review","review")</f>
        <v/>
      </c>
      <c r="K487" t="inlineStr">
        <is>
          <t>SEND</t>
        </is>
      </c>
    </row>
    <row r="488">
      <c r="A488" t="inlineStr">
        <is>
          <t>Mariana</t>
        </is>
      </c>
      <c r="B488" t="inlineStr">
        <is>
          <t>+5579981026952</t>
        </is>
      </c>
      <c r="C488" t="inlineStr">
        <is>
          <t>Refill</t>
        </is>
      </c>
      <c r="D488" t="inlineStr">
        <is>
          <t>Primer Liso</t>
        </is>
      </c>
      <c r="E488" t="n">
        <v>1</v>
      </c>
      <c r="F488" t="inlineStr">
        <is>
          <t>2025-09-09</t>
        </is>
      </c>
      <c r="G488" t="n">
        <v>298</v>
      </c>
      <c r="H488" t="inlineStr">
        <is>
          <t>Y</t>
        </is>
      </c>
      <c r="I488">
        <f>HYPERLINK("https://admin.shopify.com/store/ge-beauty-cosmeticos/customers/9654003794240","abrir")</f>
        <v/>
      </c>
      <c r="J488">
        <f>HYPERLINK("https://www.gebeauty.com.br/products/primer-liso-intacto?ref=review","review")</f>
        <v/>
      </c>
      <c r="K488" t="inlineStr">
        <is>
          <t>SEND</t>
        </is>
      </c>
    </row>
    <row r="489">
      <c r="A489" t="inlineStr">
        <is>
          <t>Carolina</t>
        </is>
      </c>
      <c r="B489" t="inlineStr">
        <is>
          <t>+5511981495749</t>
        </is>
      </c>
      <c r="C489" t="inlineStr">
        <is>
          <t>Refill</t>
        </is>
      </c>
      <c r="D489" t="inlineStr">
        <is>
          <t>Primer Liso</t>
        </is>
      </c>
      <c r="E489" t="n">
        <v>1</v>
      </c>
      <c r="F489" t="inlineStr">
        <is>
          <t>2025-09-09</t>
        </is>
      </c>
      <c r="G489" t="n">
        <v>298</v>
      </c>
      <c r="H489" t="inlineStr">
        <is>
          <t>Y</t>
        </is>
      </c>
      <c r="I489">
        <f>HYPERLINK("https://admin.shopify.com/store/ge-beauty-cosmeticos/customers/7761539596608","abrir")</f>
        <v/>
      </c>
      <c r="J489">
        <f>HYPERLINK("https://www.gebeauty.com.br/products/primer-liso-intacto?ref=review","review")</f>
        <v/>
      </c>
      <c r="K489" t="inlineStr">
        <is>
          <t>SEND</t>
        </is>
      </c>
    </row>
    <row r="490">
      <c r="A490" t="inlineStr">
        <is>
          <t>Valeska</t>
        </is>
      </c>
      <c r="B490" t="inlineStr">
        <is>
          <t>+5548991553676</t>
        </is>
      </c>
      <c r="C490" t="inlineStr">
        <is>
          <t>Refill</t>
        </is>
      </c>
      <c r="D490" t="inlineStr">
        <is>
          <t>Primer Liso</t>
        </is>
      </c>
      <c r="E490" t="n">
        <v>1</v>
      </c>
      <c r="F490" t="inlineStr">
        <is>
          <t>2025-09-09</t>
        </is>
      </c>
      <c r="G490" t="n">
        <v>298</v>
      </c>
      <c r="H490" t="inlineStr">
        <is>
          <t>Y</t>
        </is>
      </c>
      <c r="I490">
        <f>HYPERLINK("https://admin.shopify.com/store/ge-beauty-cosmeticos/customers/8647498432832","abrir")</f>
        <v/>
      </c>
      <c r="J490">
        <f>HYPERLINK("https://www.gebeauty.com.br/products/primer-liso-intacto?ref=review","review")</f>
        <v/>
      </c>
      <c r="K490" t="inlineStr">
        <is>
          <t>SEND</t>
        </is>
      </c>
    </row>
    <row r="491">
      <c r="A491" t="inlineStr">
        <is>
          <t>Camila</t>
        </is>
      </c>
      <c r="B491" t="inlineStr">
        <is>
          <t>+5511999892716</t>
        </is>
      </c>
      <c r="C491" t="inlineStr">
        <is>
          <t>Refill</t>
        </is>
      </c>
      <c r="D491" t="inlineStr">
        <is>
          <t>Primer Liso</t>
        </is>
      </c>
      <c r="E491" t="n">
        <v>1</v>
      </c>
      <c r="F491" t="inlineStr">
        <is>
          <t>2025-09-09</t>
        </is>
      </c>
      <c r="G491" t="n">
        <v>298</v>
      </c>
      <c r="H491" t="inlineStr">
        <is>
          <t>Y</t>
        </is>
      </c>
      <c r="I491">
        <f>HYPERLINK("https://admin.shopify.com/store/ge-beauty-cosmeticos/customers/9654486991168","abrir")</f>
        <v/>
      </c>
      <c r="J491">
        <f>HYPERLINK("https://www.gebeauty.com.br/products/primer-liso-intacto?ref=review","review")</f>
        <v/>
      </c>
      <c r="K491" t="inlineStr">
        <is>
          <t>SEND</t>
        </is>
      </c>
    </row>
    <row r="492">
      <c r="A492" t="inlineStr">
        <is>
          <t>Renata</t>
        </is>
      </c>
      <c r="B492" t="inlineStr">
        <is>
          <t>+5511991170605</t>
        </is>
      </c>
      <c r="C492" t="inlineStr">
        <is>
          <t>Refill</t>
        </is>
      </c>
      <c r="D492" t="inlineStr">
        <is>
          <t>Primer Liso</t>
        </is>
      </c>
      <c r="E492" t="n">
        <v>1</v>
      </c>
      <c r="F492" t="inlineStr">
        <is>
          <t>2025-09-09</t>
        </is>
      </c>
      <c r="G492" t="n">
        <v>298</v>
      </c>
      <c r="H492" t="inlineStr">
        <is>
          <t>Y</t>
        </is>
      </c>
      <c r="I492">
        <f>HYPERLINK("https://admin.shopify.com/store/ge-beauty-cosmeticos/customers/9654510551360","abrir")</f>
        <v/>
      </c>
      <c r="J492">
        <f>HYPERLINK("https://www.gebeauty.com.br/products/primer-liso-intacto?ref=review","review")</f>
        <v/>
      </c>
      <c r="K492" t="inlineStr">
        <is>
          <t>SEND</t>
        </is>
      </c>
    </row>
    <row r="493">
      <c r="A493" t="inlineStr">
        <is>
          <t>Kelli</t>
        </is>
      </c>
      <c r="B493" t="inlineStr">
        <is>
          <t>+5547997071217</t>
        </is>
      </c>
      <c r="C493" t="inlineStr">
        <is>
          <t>Refill</t>
        </is>
      </c>
      <c r="D493" t="inlineStr">
        <is>
          <t>Primer Liso</t>
        </is>
      </c>
      <c r="E493" t="n">
        <v>1</v>
      </c>
      <c r="F493" t="inlineStr">
        <is>
          <t>2025-09-09</t>
        </is>
      </c>
      <c r="G493" t="n">
        <v>298</v>
      </c>
      <c r="H493" t="inlineStr">
        <is>
          <t>Y</t>
        </is>
      </c>
      <c r="I493">
        <f>HYPERLINK("https://admin.shopify.com/store/ge-beauty-cosmeticos/customers/9486488699200","abrir")</f>
        <v/>
      </c>
      <c r="J493">
        <f>HYPERLINK("https://www.gebeauty.com.br/products/primer-liso-intacto?ref=review","review")</f>
        <v/>
      </c>
      <c r="K493" t="inlineStr">
        <is>
          <t>SEND</t>
        </is>
      </c>
    </row>
    <row r="494">
      <c r="A494" t="inlineStr">
        <is>
          <t>Fernanda</t>
        </is>
      </c>
      <c r="B494" t="inlineStr">
        <is>
          <t>+5518996841807</t>
        </is>
      </c>
      <c r="C494" t="inlineStr">
        <is>
          <t>Refill</t>
        </is>
      </c>
      <c r="D494" t="inlineStr">
        <is>
          <t>Primer Liso</t>
        </is>
      </c>
      <c r="E494" t="n">
        <v>1</v>
      </c>
      <c r="F494" t="inlineStr">
        <is>
          <t>2025-09-09</t>
        </is>
      </c>
      <c r="G494" t="n">
        <v>298</v>
      </c>
      <c r="H494" t="inlineStr">
        <is>
          <t>Y</t>
        </is>
      </c>
      <c r="I494">
        <f>HYPERLINK("https://admin.shopify.com/store/ge-beauty-cosmeticos/customers/9654801498432","abrir")</f>
        <v/>
      </c>
      <c r="J494">
        <f>HYPERLINK("https://www.gebeauty.com.br/products/primer-liso-intacto?ref=review","review")</f>
        <v/>
      </c>
      <c r="K494" t="inlineStr">
        <is>
          <t>SEND</t>
        </is>
      </c>
    </row>
    <row r="495">
      <c r="A495" t="inlineStr">
        <is>
          <t>Fabiola</t>
        </is>
      </c>
      <c r="B495" t="inlineStr">
        <is>
          <t>+5516997545686</t>
        </is>
      </c>
      <c r="C495" t="inlineStr">
        <is>
          <t>Refill</t>
        </is>
      </c>
      <c r="D495" t="inlineStr">
        <is>
          <t>Primer Liso</t>
        </is>
      </c>
      <c r="E495" t="n">
        <v>1</v>
      </c>
      <c r="F495" t="inlineStr">
        <is>
          <t>2025-09-10</t>
        </is>
      </c>
      <c r="G495" t="n">
        <v>297</v>
      </c>
      <c r="H495" t="inlineStr">
        <is>
          <t>Y</t>
        </is>
      </c>
      <c r="I495">
        <f>HYPERLINK("https://admin.shopify.com/store/ge-beauty-cosmeticos/customers/9654960750912","abrir")</f>
        <v/>
      </c>
      <c r="J495">
        <f>HYPERLINK("https://www.gebeauty.com.br/products/primer-liso-intacto?ref=review","review")</f>
        <v/>
      </c>
      <c r="K495" t="inlineStr">
        <is>
          <t>SEND</t>
        </is>
      </c>
    </row>
    <row r="496">
      <c r="A496" t="inlineStr">
        <is>
          <t>Erica</t>
        </is>
      </c>
      <c r="B496" t="inlineStr">
        <is>
          <t>+5521992674512</t>
        </is>
      </c>
      <c r="C496" t="inlineStr">
        <is>
          <t>Refill</t>
        </is>
      </c>
      <c r="D496" t="inlineStr">
        <is>
          <t>Primer Liso</t>
        </is>
      </c>
      <c r="E496" t="n">
        <v>1</v>
      </c>
      <c r="F496" t="inlineStr">
        <is>
          <t>2025-09-10</t>
        </is>
      </c>
      <c r="G496" t="n">
        <v>297</v>
      </c>
      <c r="H496" t="inlineStr">
        <is>
          <t>Y</t>
        </is>
      </c>
      <c r="I496">
        <f>HYPERLINK("https://admin.shopify.com/store/ge-beauty-cosmeticos/customers/9485695942976","abrir")</f>
        <v/>
      </c>
      <c r="J496">
        <f>HYPERLINK("https://www.gebeauty.com.br/products/primer-liso-intacto?ref=review","review")</f>
        <v/>
      </c>
      <c r="K496" t="inlineStr">
        <is>
          <t>SEND</t>
        </is>
      </c>
    </row>
    <row r="497">
      <c r="A497" t="inlineStr">
        <is>
          <t>Julie</t>
        </is>
      </c>
      <c r="B497" t="inlineStr">
        <is>
          <t>+5571999220070</t>
        </is>
      </c>
      <c r="C497" t="inlineStr">
        <is>
          <t>Refill</t>
        </is>
      </c>
      <c r="D497" t="inlineStr">
        <is>
          <t>Primer Liso</t>
        </is>
      </c>
      <c r="E497" t="n">
        <v>1</v>
      </c>
      <c r="F497" t="inlineStr">
        <is>
          <t>2025-09-10</t>
        </is>
      </c>
      <c r="G497" t="n">
        <v>297</v>
      </c>
      <c r="H497" t="inlineStr">
        <is>
          <t>Y</t>
        </is>
      </c>
      <c r="I497">
        <f>HYPERLINK("https://admin.shopify.com/store/ge-beauty-cosmeticos/customers/9485891469632","abrir")</f>
        <v/>
      </c>
      <c r="J497">
        <f>HYPERLINK("https://www.gebeauty.com.br/products/primer-liso-intacto?ref=review","review")</f>
        <v/>
      </c>
      <c r="K497" t="inlineStr">
        <is>
          <t>SEND</t>
        </is>
      </c>
    </row>
    <row r="498">
      <c r="A498" t="inlineStr">
        <is>
          <t>Caroline</t>
        </is>
      </c>
      <c r="B498" t="inlineStr">
        <is>
          <t>+5511959315930</t>
        </is>
      </c>
      <c r="C498" t="inlineStr">
        <is>
          <t>Refill</t>
        </is>
      </c>
      <c r="D498" t="inlineStr">
        <is>
          <t>Primer Liso</t>
        </is>
      </c>
      <c r="E498" t="n">
        <v>1</v>
      </c>
      <c r="F498" t="inlineStr">
        <is>
          <t>2025-09-10</t>
        </is>
      </c>
      <c r="G498" t="n">
        <v>297</v>
      </c>
      <c r="H498" t="inlineStr">
        <is>
          <t>Y</t>
        </is>
      </c>
      <c r="I498">
        <f>HYPERLINK("https://admin.shopify.com/store/ge-beauty-cosmeticos/customers/8993606238528","abrir")</f>
        <v/>
      </c>
      <c r="J498">
        <f>HYPERLINK("https://www.gebeauty.com.br/products/primer-liso-intacto?ref=review","review")</f>
        <v/>
      </c>
      <c r="K498" t="inlineStr">
        <is>
          <t>SEND</t>
        </is>
      </c>
    </row>
    <row r="499">
      <c r="A499" t="inlineStr">
        <is>
          <t>Carolina</t>
        </is>
      </c>
      <c r="B499" t="inlineStr">
        <is>
          <t>+5521979595858</t>
        </is>
      </c>
      <c r="C499" t="inlineStr">
        <is>
          <t>Refill</t>
        </is>
      </c>
      <c r="D499" t="inlineStr">
        <is>
          <t>Primer Liso</t>
        </is>
      </c>
      <c r="E499" t="n">
        <v>1</v>
      </c>
      <c r="F499" t="inlineStr">
        <is>
          <t>2025-09-10</t>
        </is>
      </c>
      <c r="G499" t="n">
        <v>297</v>
      </c>
      <c r="H499" t="inlineStr">
        <is>
          <t>Y</t>
        </is>
      </c>
      <c r="I499">
        <f>HYPERLINK("https://admin.shopify.com/store/ge-beauty-cosmeticos/customers/9484736790848","abrir")</f>
        <v/>
      </c>
      <c r="J499">
        <f>HYPERLINK("https://www.gebeauty.com.br/products/primer-liso-intacto?ref=review","review")</f>
        <v/>
      </c>
      <c r="K499" t="inlineStr">
        <is>
          <t>SEND</t>
        </is>
      </c>
    </row>
    <row r="500">
      <c r="A500" t="inlineStr">
        <is>
          <t>Cristiane</t>
        </is>
      </c>
      <c r="B500" t="inlineStr">
        <is>
          <t>+5511979969074</t>
        </is>
      </c>
      <c r="C500" t="inlineStr">
        <is>
          <t>Refill</t>
        </is>
      </c>
      <c r="D500" t="inlineStr">
        <is>
          <t>Primer Liso</t>
        </is>
      </c>
      <c r="E500" t="n">
        <v>1</v>
      </c>
      <c r="F500" t="inlineStr">
        <is>
          <t>2025-09-10</t>
        </is>
      </c>
      <c r="G500" t="n">
        <v>297</v>
      </c>
      <c r="H500" t="inlineStr">
        <is>
          <t>Y</t>
        </is>
      </c>
      <c r="I500">
        <f>HYPERLINK("https://admin.shopify.com/store/ge-beauty-cosmeticos/customers/9261779583296","abrir")</f>
        <v/>
      </c>
      <c r="J500">
        <f>HYPERLINK("https://www.gebeauty.com.br/products/primer-liso-intacto?ref=review","review")</f>
        <v/>
      </c>
      <c r="K500" t="inlineStr">
        <is>
          <t>HOLDOUT</t>
        </is>
      </c>
    </row>
    <row r="501">
      <c r="A501" t="inlineStr">
        <is>
          <t>Marilia</t>
        </is>
      </c>
      <c r="B501" t="inlineStr">
        <is>
          <t>+5511997627572</t>
        </is>
      </c>
      <c r="C501" t="inlineStr">
        <is>
          <t>Refill</t>
        </is>
      </c>
      <c r="D501" t="inlineStr">
        <is>
          <t>Primer Liso</t>
        </is>
      </c>
      <c r="E501" t="n">
        <v>1</v>
      </c>
      <c r="F501" t="inlineStr">
        <is>
          <t>2025-09-10</t>
        </is>
      </c>
      <c r="G501" t="n">
        <v>297</v>
      </c>
      <c r="H501" t="inlineStr">
        <is>
          <t>Y</t>
        </is>
      </c>
      <c r="I501">
        <f>HYPERLINK("https://admin.shopify.com/store/ge-beauty-cosmeticos/customers/7761865507136","abrir")</f>
        <v/>
      </c>
      <c r="J501">
        <f>HYPERLINK("https://www.gebeauty.com.br/products/primer-liso-intacto?ref=review","review")</f>
        <v/>
      </c>
      <c r="K501" t="inlineStr">
        <is>
          <t>SEND</t>
        </is>
      </c>
    </row>
    <row r="502">
      <c r="A502" t="inlineStr">
        <is>
          <t>Bruna</t>
        </is>
      </c>
      <c r="B502" t="inlineStr">
        <is>
          <t>+5547996899996</t>
        </is>
      </c>
      <c r="C502" t="inlineStr">
        <is>
          <t>Refill</t>
        </is>
      </c>
      <c r="D502" t="inlineStr">
        <is>
          <t>Primer Liso</t>
        </is>
      </c>
      <c r="E502" t="n">
        <v>1</v>
      </c>
      <c r="F502" t="inlineStr">
        <is>
          <t>2025-09-11</t>
        </is>
      </c>
      <c r="G502" t="n">
        <v>296</v>
      </c>
      <c r="H502" t="inlineStr">
        <is>
          <t>Y</t>
        </is>
      </c>
      <c r="I502">
        <f>HYPERLINK("https://admin.shopify.com/store/ge-beauty-cosmeticos/customers/9638226559296","abrir")</f>
        <v/>
      </c>
      <c r="J502">
        <f>HYPERLINK("https://www.gebeauty.com.br/products/primer-liso-intacto?ref=review","review")</f>
        <v/>
      </c>
      <c r="K502" t="inlineStr">
        <is>
          <t>SEND</t>
        </is>
      </c>
    </row>
    <row r="503">
      <c r="A503" t="inlineStr">
        <is>
          <t>Gabriella</t>
        </is>
      </c>
      <c r="B503" t="inlineStr">
        <is>
          <t>+5511975288123</t>
        </is>
      </c>
      <c r="C503" t="inlineStr">
        <is>
          <t>Refill</t>
        </is>
      </c>
      <c r="D503" t="inlineStr">
        <is>
          <t>Primer Liso</t>
        </is>
      </c>
      <c r="E503" t="n">
        <v>1</v>
      </c>
      <c r="F503" t="inlineStr">
        <is>
          <t>2025-09-11</t>
        </is>
      </c>
      <c r="G503" t="n">
        <v>296</v>
      </c>
      <c r="H503" t="inlineStr">
        <is>
          <t>Y</t>
        </is>
      </c>
      <c r="I503">
        <f>HYPERLINK("https://admin.shopify.com/store/ge-beauty-cosmeticos/customers/9151932105024","abrir")</f>
        <v/>
      </c>
      <c r="J503">
        <f>HYPERLINK("https://www.gebeauty.com.br/products/primer-liso-intacto?ref=review","review")</f>
        <v/>
      </c>
      <c r="K503" t="inlineStr">
        <is>
          <t>SEND</t>
        </is>
      </c>
    </row>
    <row r="504">
      <c r="A504" t="inlineStr">
        <is>
          <t>Priscila</t>
        </is>
      </c>
      <c r="B504" t="inlineStr">
        <is>
          <t>+5585999141201</t>
        </is>
      </c>
      <c r="C504" t="inlineStr">
        <is>
          <t>Refill</t>
        </is>
      </c>
      <c r="D504" t="inlineStr">
        <is>
          <t>Primer Liso</t>
        </is>
      </c>
      <c r="E504" t="n">
        <v>1</v>
      </c>
      <c r="F504" t="inlineStr">
        <is>
          <t>2025-09-11</t>
        </is>
      </c>
      <c r="G504" t="n">
        <v>296</v>
      </c>
      <c r="H504" t="inlineStr">
        <is>
          <t>Y</t>
        </is>
      </c>
      <c r="I504">
        <f>HYPERLINK("https://admin.shopify.com/store/ge-beauty-cosmeticos/customers/9659340489024","abrir")</f>
        <v/>
      </c>
      <c r="J504">
        <f>HYPERLINK("https://www.gebeauty.com.br/products/primer-liso-intacto?ref=review","review")</f>
        <v/>
      </c>
      <c r="K504" t="inlineStr">
        <is>
          <t>SEND</t>
        </is>
      </c>
    </row>
    <row r="505">
      <c r="A505" t="inlineStr">
        <is>
          <t>Larissa</t>
        </is>
      </c>
      <c r="B505" t="inlineStr">
        <is>
          <t>+5511999203567</t>
        </is>
      </c>
      <c r="C505" t="inlineStr">
        <is>
          <t>Refill</t>
        </is>
      </c>
      <c r="D505" t="inlineStr">
        <is>
          <t>Primer Liso</t>
        </is>
      </c>
      <c r="E505" t="n">
        <v>1</v>
      </c>
      <c r="F505" t="inlineStr">
        <is>
          <t>2025-09-11</t>
        </is>
      </c>
      <c r="G505" t="n">
        <v>296</v>
      </c>
      <c r="H505" t="inlineStr">
        <is>
          <t>Y</t>
        </is>
      </c>
      <c r="I505">
        <f>HYPERLINK("https://admin.shopify.com/store/ge-beauty-cosmeticos/customers/8114200740160","abrir")</f>
        <v/>
      </c>
      <c r="J505">
        <f>HYPERLINK("https://www.gebeauty.com.br/products/primer-liso-intacto?ref=review","review")</f>
        <v/>
      </c>
      <c r="K505" t="inlineStr">
        <is>
          <t>SEND</t>
        </is>
      </c>
    </row>
    <row r="506">
      <c r="A506" t="inlineStr">
        <is>
          <t>Kaliu</t>
        </is>
      </c>
      <c r="B506" t="inlineStr">
        <is>
          <t>+5548984542828</t>
        </is>
      </c>
      <c r="C506" t="inlineStr">
        <is>
          <t>Refill</t>
        </is>
      </c>
      <c r="D506" t="inlineStr">
        <is>
          <t>Primer Liso</t>
        </is>
      </c>
      <c r="E506" t="n">
        <v>1</v>
      </c>
      <c r="F506" t="inlineStr">
        <is>
          <t>2025-09-11</t>
        </is>
      </c>
      <c r="G506" t="n">
        <v>296</v>
      </c>
      <c r="H506" t="inlineStr">
        <is>
          <t>Y</t>
        </is>
      </c>
      <c r="I506">
        <f>HYPERLINK("https://admin.shopify.com/store/ge-beauty-cosmeticos/customers/9571351036224","abrir")</f>
        <v/>
      </c>
      <c r="J506">
        <f>HYPERLINK("https://www.gebeauty.com.br/products/primer-liso-intacto?ref=review","review")</f>
        <v/>
      </c>
      <c r="K506" t="inlineStr">
        <is>
          <t>SEND</t>
        </is>
      </c>
    </row>
    <row r="507">
      <c r="A507" t="inlineStr">
        <is>
          <t>Giulia</t>
        </is>
      </c>
      <c r="B507" t="inlineStr">
        <is>
          <t>+5519998546960</t>
        </is>
      </c>
      <c r="C507" t="inlineStr">
        <is>
          <t>Refill</t>
        </is>
      </c>
      <c r="D507" t="inlineStr">
        <is>
          <t>Primer Liso</t>
        </is>
      </c>
      <c r="E507" t="n">
        <v>1</v>
      </c>
      <c r="F507" t="inlineStr">
        <is>
          <t>2025-09-11</t>
        </is>
      </c>
      <c r="G507" t="n">
        <v>296</v>
      </c>
      <c r="H507" t="inlineStr">
        <is>
          <t>Y</t>
        </is>
      </c>
      <c r="I507">
        <f>HYPERLINK("https://admin.shopify.com/store/ge-beauty-cosmeticos/customers/7761415962944","abrir")</f>
        <v/>
      </c>
      <c r="J507">
        <f>HYPERLINK("https://www.gebeauty.com.br/products/primer-liso-intacto?ref=review","review")</f>
        <v/>
      </c>
      <c r="K507" t="inlineStr">
        <is>
          <t>SEND</t>
        </is>
      </c>
    </row>
    <row r="508">
      <c r="A508" t="inlineStr">
        <is>
          <t>Ana Cecilia</t>
        </is>
      </c>
      <c r="B508" t="inlineStr">
        <is>
          <t>+5511994915565</t>
        </is>
      </c>
      <c r="C508" t="inlineStr">
        <is>
          <t>Refill</t>
        </is>
      </c>
      <c r="D508" t="inlineStr">
        <is>
          <t>Primer Liso</t>
        </is>
      </c>
      <c r="E508" t="n">
        <v>1</v>
      </c>
      <c r="F508" t="inlineStr">
        <is>
          <t>2025-09-11</t>
        </is>
      </c>
      <c r="G508" t="n">
        <v>296</v>
      </c>
      <c r="H508" t="inlineStr">
        <is>
          <t>Y</t>
        </is>
      </c>
      <c r="I508">
        <f>HYPERLINK("https://admin.shopify.com/store/ge-beauty-cosmeticos/customers/9659810644288","abrir")</f>
        <v/>
      </c>
      <c r="J508">
        <f>HYPERLINK("https://www.gebeauty.com.br/products/primer-liso-intacto?ref=review","review")</f>
        <v/>
      </c>
      <c r="K508" t="inlineStr">
        <is>
          <t>SEND</t>
        </is>
      </c>
    </row>
    <row r="509">
      <c r="A509" t="inlineStr">
        <is>
          <t>Marina</t>
        </is>
      </c>
      <c r="B509" t="inlineStr">
        <is>
          <t>+5581986550544</t>
        </is>
      </c>
      <c r="C509" t="inlineStr">
        <is>
          <t>Refill</t>
        </is>
      </c>
      <c r="D509" t="inlineStr">
        <is>
          <t>Primer Liso</t>
        </is>
      </c>
      <c r="E509" t="n">
        <v>1</v>
      </c>
      <c r="F509" t="inlineStr">
        <is>
          <t>2025-09-11</t>
        </is>
      </c>
      <c r="G509" t="n">
        <v>296</v>
      </c>
      <c r="H509" t="inlineStr">
        <is>
          <t>Y</t>
        </is>
      </c>
      <c r="I509">
        <f>HYPERLINK("https://admin.shopify.com/store/ge-beauty-cosmeticos/customers/7761254613312","abrir")</f>
        <v/>
      </c>
      <c r="J509">
        <f>HYPERLINK("https://www.gebeauty.com.br/products/primer-liso-intacto?ref=review","review")</f>
        <v/>
      </c>
      <c r="K509" t="inlineStr">
        <is>
          <t>SEND</t>
        </is>
      </c>
    </row>
    <row r="510">
      <c r="A510" t="inlineStr">
        <is>
          <t>Manoela</t>
        </is>
      </c>
      <c r="B510" t="inlineStr">
        <is>
          <t>+5551996123731</t>
        </is>
      </c>
      <c r="C510" t="inlineStr">
        <is>
          <t>Refill</t>
        </is>
      </c>
      <c r="D510" t="inlineStr">
        <is>
          <t>Primer Liso</t>
        </is>
      </c>
      <c r="E510" t="n">
        <v>1</v>
      </c>
      <c r="F510" t="inlineStr">
        <is>
          <t>2025-09-11</t>
        </is>
      </c>
      <c r="G510" t="n">
        <v>296</v>
      </c>
      <c r="H510" t="inlineStr">
        <is>
          <t>Y</t>
        </is>
      </c>
      <c r="I510">
        <f>HYPERLINK("https://admin.shopify.com/store/ge-beauty-cosmeticos/customers/9486677606720","abrir")</f>
        <v/>
      </c>
      <c r="J510">
        <f>HYPERLINK("https://www.gebeauty.com.br/products/primer-liso-intacto?ref=review","review")</f>
        <v/>
      </c>
      <c r="K510" t="inlineStr">
        <is>
          <t>SEND</t>
        </is>
      </c>
    </row>
    <row r="511">
      <c r="A511" t="inlineStr">
        <is>
          <t>Kézia</t>
        </is>
      </c>
      <c r="B511" t="inlineStr">
        <is>
          <t>+5511993303202</t>
        </is>
      </c>
      <c r="C511" t="inlineStr">
        <is>
          <t>Refill</t>
        </is>
      </c>
      <c r="D511" t="inlineStr">
        <is>
          <t>Primer Liso</t>
        </is>
      </c>
      <c r="E511" t="n">
        <v>1</v>
      </c>
      <c r="F511" t="inlineStr">
        <is>
          <t>2025-09-12</t>
        </is>
      </c>
      <c r="G511" t="n">
        <v>295</v>
      </c>
      <c r="H511" t="inlineStr">
        <is>
          <t>Y</t>
        </is>
      </c>
      <c r="I511">
        <f>HYPERLINK("https://admin.shopify.com/store/ge-beauty-cosmeticos/customers/9132026265920","abrir")</f>
        <v/>
      </c>
      <c r="J511">
        <f>HYPERLINK("https://www.gebeauty.com.br/products/primer-liso-intacto?ref=review","review")</f>
        <v/>
      </c>
      <c r="K511" t="inlineStr">
        <is>
          <t>SEND</t>
        </is>
      </c>
    </row>
    <row r="512">
      <c r="A512" t="inlineStr">
        <is>
          <t>Clara</t>
        </is>
      </c>
      <c r="B512" t="inlineStr">
        <is>
          <t>+5561983151103</t>
        </is>
      </c>
      <c r="C512" t="inlineStr">
        <is>
          <t>Refill</t>
        </is>
      </c>
      <c r="D512" t="inlineStr">
        <is>
          <t>Primer Liso</t>
        </is>
      </c>
      <c r="E512" t="n">
        <v>1</v>
      </c>
      <c r="F512" t="inlineStr">
        <is>
          <t>2025-09-12</t>
        </is>
      </c>
      <c r="G512" t="n">
        <v>295</v>
      </c>
      <c r="H512" t="inlineStr">
        <is>
          <t>Y</t>
        </is>
      </c>
      <c r="I512">
        <f>HYPERLINK("https://admin.shopify.com/store/ge-beauty-cosmeticos/customers/9660600287552","abrir")</f>
        <v/>
      </c>
      <c r="J512">
        <f>HYPERLINK("https://www.gebeauty.com.br/products/primer-liso-intacto?ref=review","review")</f>
        <v/>
      </c>
      <c r="K512" t="inlineStr">
        <is>
          <t>SEND</t>
        </is>
      </c>
    </row>
    <row r="513">
      <c r="A513" t="inlineStr">
        <is>
          <t>Cintia</t>
        </is>
      </c>
      <c r="B513" t="inlineStr">
        <is>
          <t>+5511998095172</t>
        </is>
      </c>
      <c r="C513" t="inlineStr">
        <is>
          <t>Refill</t>
        </is>
      </c>
      <c r="D513" t="inlineStr">
        <is>
          <t>Primer Liso</t>
        </is>
      </c>
      <c r="E513" t="n">
        <v>1</v>
      </c>
      <c r="F513" t="inlineStr">
        <is>
          <t>2025-09-12</t>
        </is>
      </c>
      <c r="G513" t="n">
        <v>295</v>
      </c>
      <c r="H513" t="inlineStr">
        <is>
          <t>Y</t>
        </is>
      </c>
      <c r="I513">
        <f>HYPERLINK("https://admin.shopify.com/store/ge-beauty-cosmeticos/customers/9506638496064","abrir")</f>
        <v/>
      </c>
      <c r="J513">
        <f>HYPERLINK("https://www.gebeauty.com.br/products/primer-liso-intacto?ref=review","review")</f>
        <v/>
      </c>
      <c r="K513" t="inlineStr">
        <is>
          <t>SEND</t>
        </is>
      </c>
    </row>
    <row r="514">
      <c r="A514" t="inlineStr">
        <is>
          <t>Daniela</t>
        </is>
      </c>
      <c r="B514" t="inlineStr">
        <is>
          <t>+5554991550828</t>
        </is>
      </c>
      <c r="C514" t="inlineStr">
        <is>
          <t>Refill</t>
        </is>
      </c>
      <c r="D514" t="inlineStr">
        <is>
          <t>Primer Liso</t>
        </is>
      </c>
      <c r="E514" t="n">
        <v>1</v>
      </c>
      <c r="F514" t="inlineStr">
        <is>
          <t>2025-09-13</t>
        </is>
      </c>
      <c r="G514" t="n">
        <v>294</v>
      </c>
      <c r="H514" t="inlineStr">
        <is>
          <t>Y</t>
        </is>
      </c>
      <c r="I514">
        <f>HYPERLINK("https://admin.shopify.com/store/ge-beauty-cosmeticos/customers/9663540789568","abrir")</f>
        <v/>
      </c>
      <c r="J514">
        <f>HYPERLINK("https://www.gebeauty.com.br/products/primer-liso-intacto?ref=review","review")</f>
        <v/>
      </c>
      <c r="K514" t="inlineStr">
        <is>
          <t>SEND</t>
        </is>
      </c>
    </row>
    <row r="515">
      <c r="A515" t="inlineStr">
        <is>
          <t>Juliana</t>
        </is>
      </c>
      <c r="B515" t="inlineStr">
        <is>
          <t>+5531996129563</t>
        </is>
      </c>
      <c r="C515" t="inlineStr">
        <is>
          <t>Refill</t>
        </is>
      </c>
      <c r="D515" t="inlineStr">
        <is>
          <t>Primer Liso</t>
        </is>
      </c>
      <c r="E515" t="n">
        <v>1</v>
      </c>
      <c r="F515" t="inlineStr">
        <is>
          <t>2025-09-13</t>
        </is>
      </c>
      <c r="G515" t="n">
        <v>294</v>
      </c>
      <c r="H515" t="inlineStr">
        <is>
          <t>Y</t>
        </is>
      </c>
      <c r="I515">
        <f>HYPERLINK("https://admin.shopify.com/store/ge-beauty-cosmeticos/customers/9485290209600","abrir")</f>
        <v/>
      </c>
      <c r="J515">
        <f>HYPERLINK("https://www.gebeauty.com.br/products/primer-liso-intacto?ref=review","review")</f>
        <v/>
      </c>
      <c r="K515" t="inlineStr">
        <is>
          <t>SEND</t>
        </is>
      </c>
    </row>
    <row r="516">
      <c r="A516" t="inlineStr">
        <is>
          <t>Livia</t>
        </is>
      </c>
      <c r="B516" t="inlineStr">
        <is>
          <t>+5511999771900</t>
        </is>
      </c>
      <c r="C516" t="inlineStr">
        <is>
          <t>Refill</t>
        </is>
      </c>
      <c r="D516" t="inlineStr">
        <is>
          <t>Primer Liso</t>
        </is>
      </c>
      <c r="E516" t="n">
        <v>1</v>
      </c>
      <c r="F516" t="inlineStr">
        <is>
          <t>2025-09-14</t>
        </is>
      </c>
      <c r="G516" t="n">
        <v>293</v>
      </c>
      <c r="H516" t="inlineStr">
        <is>
          <t>Y</t>
        </is>
      </c>
      <c r="I516">
        <f>HYPERLINK("https://admin.shopify.com/store/ge-beauty-cosmeticos/customers/9664756056384","abrir")</f>
        <v/>
      </c>
      <c r="J516">
        <f>HYPERLINK("https://www.gebeauty.com.br/products/primer-liso-intacto?ref=review","review")</f>
        <v/>
      </c>
      <c r="K516" t="inlineStr">
        <is>
          <t>SEND</t>
        </is>
      </c>
    </row>
    <row r="517">
      <c r="A517" t="inlineStr">
        <is>
          <t>Bruna</t>
        </is>
      </c>
      <c r="B517" t="inlineStr">
        <is>
          <t>+5521971188908</t>
        </is>
      </c>
      <c r="C517" t="inlineStr">
        <is>
          <t>Refill</t>
        </is>
      </c>
      <c r="D517" t="inlineStr">
        <is>
          <t>Primer Liso</t>
        </is>
      </c>
      <c r="E517" t="n">
        <v>1</v>
      </c>
      <c r="F517" t="inlineStr">
        <is>
          <t>2025-09-14</t>
        </is>
      </c>
      <c r="G517" t="n">
        <v>293</v>
      </c>
      <c r="H517" t="inlineStr">
        <is>
          <t>Y</t>
        </is>
      </c>
      <c r="I517">
        <f>HYPERLINK("https://admin.shopify.com/store/ge-beauty-cosmeticos/customers/9664841220416","abrir")</f>
        <v/>
      </c>
      <c r="J517">
        <f>HYPERLINK("https://www.gebeauty.com.br/products/primer-liso-intacto?ref=review","review")</f>
        <v/>
      </c>
      <c r="K517" t="inlineStr">
        <is>
          <t>SEND</t>
        </is>
      </c>
    </row>
    <row r="518">
      <c r="A518" t="inlineStr">
        <is>
          <t>Amanda</t>
        </is>
      </c>
      <c r="B518" t="inlineStr">
        <is>
          <t>+5511966381364</t>
        </is>
      </c>
      <c r="C518" t="inlineStr">
        <is>
          <t>Refill</t>
        </is>
      </c>
      <c r="D518" t="inlineStr">
        <is>
          <t>Primer Liso</t>
        </is>
      </c>
      <c r="E518" t="n">
        <v>1</v>
      </c>
      <c r="F518" t="inlineStr">
        <is>
          <t>2025-09-14</t>
        </is>
      </c>
      <c r="G518" t="n">
        <v>293</v>
      </c>
      <c r="H518" t="inlineStr">
        <is>
          <t>Y</t>
        </is>
      </c>
      <c r="I518">
        <f>HYPERLINK("https://admin.shopify.com/store/ge-beauty-cosmeticos/customers/9665448149312","abrir")</f>
        <v/>
      </c>
      <c r="J518">
        <f>HYPERLINK("https://www.gebeauty.com.br/products/primer-liso-intacto?ref=review","review")</f>
        <v/>
      </c>
      <c r="K518" t="inlineStr">
        <is>
          <t>SEND</t>
        </is>
      </c>
    </row>
    <row r="519">
      <c r="A519" t="inlineStr">
        <is>
          <t>Maria</t>
        </is>
      </c>
      <c r="B519" t="inlineStr">
        <is>
          <t>+5532988222023</t>
        </is>
      </c>
      <c r="C519" t="inlineStr">
        <is>
          <t>Refill</t>
        </is>
      </c>
      <c r="D519" t="inlineStr">
        <is>
          <t>Primer Liso</t>
        </is>
      </c>
      <c r="E519" t="n">
        <v>1</v>
      </c>
      <c r="F519" t="inlineStr">
        <is>
          <t>2025-09-14</t>
        </is>
      </c>
      <c r="G519" t="n">
        <v>293</v>
      </c>
      <c r="H519" t="inlineStr">
        <is>
          <t>Y</t>
        </is>
      </c>
      <c r="I519">
        <f>HYPERLINK("https://admin.shopify.com/store/ge-beauty-cosmeticos/customers/8162815050048","abrir")</f>
        <v/>
      </c>
      <c r="J519">
        <f>HYPERLINK("https://www.gebeauty.com.br/products/primer-liso-intacto?ref=review","review")</f>
        <v/>
      </c>
      <c r="K519" t="inlineStr">
        <is>
          <t>SEND</t>
        </is>
      </c>
    </row>
    <row r="520">
      <c r="A520" t="inlineStr">
        <is>
          <t>Mateus</t>
        </is>
      </c>
      <c r="B520" t="inlineStr">
        <is>
          <t>+5531999205099</t>
        </is>
      </c>
      <c r="C520" t="inlineStr">
        <is>
          <t>Refill</t>
        </is>
      </c>
      <c r="D520" t="inlineStr">
        <is>
          <t>Primer Liso</t>
        </is>
      </c>
      <c r="E520" t="n">
        <v>1</v>
      </c>
      <c r="F520" t="inlineStr">
        <is>
          <t>2025-09-14</t>
        </is>
      </c>
      <c r="G520" t="n">
        <v>293</v>
      </c>
      <c r="H520" t="inlineStr">
        <is>
          <t>Y</t>
        </is>
      </c>
      <c r="I520">
        <f>HYPERLINK("https://admin.shopify.com/store/ge-beauty-cosmeticos/customers/9666019033408","abrir")</f>
        <v/>
      </c>
      <c r="J520">
        <f>HYPERLINK("https://www.gebeauty.com.br/products/primer-liso-intacto?ref=review","review")</f>
        <v/>
      </c>
      <c r="K520" t="inlineStr">
        <is>
          <t>SEND</t>
        </is>
      </c>
    </row>
    <row r="521">
      <c r="A521" t="inlineStr">
        <is>
          <t>Camila</t>
        </is>
      </c>
      <c r="B521" t="inlineStr">
        <is>
          <t>+5511972315561</t>
        </is>
      </c>
      <c r="C521" t="inlineStr">
        <is>
          <t>Refill</t>
        </is>
      </c>
      <c r="D521" t="inlineStr">
        <is>
          <t>Primer Liso</t>
        </is>
      </c>
      <c r="E521" t="n">
        <v>1</v>
      </c>
      <c r="F521" t="inlineStr">
        <is>
          <t>2025-09-14</t>
        </is>
      </c>
      <c r="G521" t="n">
        <v>293</v>
      </c>
      <c r="H521" t="inlineStr">
        <is>
          <t>Y</t>
        </is>
      </c>
      <c r="I521">
        <f>HYPERLINK("https://admin.shopify.com/store/ge-beauty-cosmeticos/customers/7761929634112","abrir")</f>
        <v/>
      </c>
      <c r="J521">
        <f>HYPERLINK("https://www.gebeauty.com.br/products/primer-liso-intacto?ref=review","review")</f>
        <v/>
      </c>
      <c r="K521" t="inlineStr">
        <is>
          <t>HOLDOUT</t>
        </is>
      </c>
    </row>
    <row r="522">
      <c r="A522" t="inlineStr">
        <is>
          <t>Elisa</t>
        </is>
      </c>
      <c r="B522" t="inlineStr">
        <is>
          <t>+5521991781671</t>
        </is>
      </c>
      <c r="C522" t="inlineStr">
        <is>
          <t>Refill</t>
        </is>
      </c>
      <c r="D522" t="inlineStr">
        <is>
          <t>Primer Liso</t>
        </is>
      </c>
      <c r="E522" t="n">
        <v>1</v>
      </c>
      <c r="F522" t="inlineStr">
        <is>
          <t>2025-09-14</t>
        </is>
      </c>
      <c r="G522" t="n">
        <v>293</v>
      </c>
      <c r="H522" t="inlineStr">
        <is>
          <t>Y</t>
        </is>
      </c>
      <c r="I522">
        <f>HYPERLINK("https://admin.shopify.com/store/ge-beauty-cosmeticos/customers/8712852308288","abrir")</f>
        <v/>
      </c>
      <c r="J522">
        <f>HYPERLINK("https://www.gebeauty.com.br/products/primer-liso-intacto?ref=review","review")</f>
        <v/>
      </c>
      <c r="K522" t="inlineStr">
        <is>
          <t>SEND</t>
        </is>
      </c>
    </row>
    <row r="523">
      <c r="A523" t="inlineStr">
        <is>
          <t>Thamires</t>
        </is>
      </c>
      <c r="B523" t="inlineStr">
        <is>
          <t>+5511993441348</t>
        </is>
      </c>
      <c r="C523" t="inlineStr">
        <is>
          <t>Refill</t>
        </is>
      </c>
      <c r="D523" t="inlineStr">
        <is>
          <t>Primer Liso</t>
        </is>
      </c>
      <c r="E523" t="n">
        <v>1</v>
      </c>
      <c r="F523" t="inlineStr">
        <is>
          <t>2025-09-14</t>
        </is>
      </c>
      <c r="G523" t="n">
        <v>293</v>
      </c>
      <c r="H523" t="inlineStr">
        <is>
          <t>Y</t>
        </is>
      </c>
      <c r="I523">
        <f>HYPERLINK("https://admin.shopify.com/store/ge-beauty-cosmeticos/customers/9666637627712","abrir")</f>
        <v/>
      </c>
      <c r="J523">
        <f>HYPERLINK("https://www.gebeauty.com.br/products/primer-liso-intacto?ref=review","review")</f>
        <v/>
      </c>
      <c r="K523" t="inlineStr">
        <is>
          <t>SEND</t>
        </is>
      </c>
    </row>
    <row r="524">
      <c r="A524" t="inlineStr">
        <is>
          <t>Daniela</t>
        </is>
      </c>
      <c r="B524" t="inlineStr">
        <is>
          <t>+5531992269661</t>
        </is>
      </c>
      <c r="C524" t="inlineStr">
        <is>
          <t>Refill</t>
        </is>
      </c>
      <c r="D524" t="inlineStr">
        <is>
          <t>Primer Liso</t>
        </is>
      </c>
      <c r="E524" t="n">
        <v>1</v>
      </c>
      <c r="F524" t="inlineStr">
        <is>
          <t>2025-09-14</t>
        </is>
      </c>
      <c r="G524" t="n">
        <v>293</v>
      </c>
      <c r="H524" t="inlineStr">
        <is>
          <t>Y</t>
        </is>
      </c>
      <c r="I524">
        <f>HYPERLINK("https://admin.shopify.com/store/ge-beauty-cosmeticos/customers/9666763850048","abrir")</f>
        <v/>
      </c>
      <c r="J524">
        <f>HYPERLINK("https://www.gebeauty.com.br/products/primer-liso-intacto?ref=review","review")</f>
        <v/>
      </c>
      <c r="K524" t="inlineStr">
        <is>
          <t>HOLDOUT</t>
        </is>
      </c>
    </row>
    <row r="525">
      <c r="A525" t="inlineStr">
        <is>
          <t>Ravenna</t>
        </is>
      </c>
      <c r="B525" t="inlineStr">
        <is>
          <t>+5583982049450</t>
        </is>
      </c>
      <c r="C525" t="inlineStr">
        <is>
          <t>Refill</t>
        </is>
      </c>
      <c r="D525" t="inlineStr">
        <is>
          <t>Primer Liso</t>
        </is>
      </c>
      <c r="E525" t="n">
        <v>1</v>
      </c>
      <c r="F525" t="inlineStr">
        <is>
          <t>2025-09-14</t>
        </is>
      </c>
      <c r="G525" t="n">
        <v>293</v>
      </c>
      <c r="H525" t="inlineStr">
        <is>
          <t>Y</t>
        </is>
      </c>
      <c r="I525">
        <f>HYPERLINK("https://admin.shopify.com/store/ge-beauty-cosmeticos/customers/9667776938304","abrir")</f>
        <v/>
      </c>
      <c r="J525">
        <f>HYPERLINK("https://www.gebeauty.com.br/products/primer-liso-intacto?ref=review","review")</f>
        <v/>
      </c>
      <c r="K525" t="inlineStr">
        <is>
          <t>SEND</t>
        </is>
      </c>
    </row>
    <row r="526">
      <c r="A526" t="inlineStr">
        <is>
          <t>Alessandra</t>
        </is>
      </c>
      <c r="B526" t="inlineStr">
        <is>
          <t>+5511931461591</t>
        </is>
      </c>
      <c r="C526" t="inlineStr">
        <is>
          <t>Refill</t>
        </is>
      </c>
      <c r="D526" t="inlineStr">
        <is>
          <t>Primer Liso</t>
        </is>
      </c>
      <c r="E526" t="n">
        <v>1</v>
      </c>
      <c r="F526" t="inlineStr">
        <is>
          <t>2025-09-15</t>
        </is>
      </c>
      <c r="G526" t="n">
        <v>292</v>
      </c>
      <c r="H526" t="inlineStr">
        <is>
          <t>Y</t>
        </is>
      </c>
      <c r="I526">
        <f>HYPERLINK("https://admin.shopify.com/store/ge-beauty-cosmeticos/customers/9668183884096","abrir")</f>
        <v/>
      </c>
      <c r="J526">
        <f>HYPERLINK("https://www.gebeauty.com.br/products/primer-liso-intacto?ref=review","review")</f>
        <v/>
      </c>
      <c r="K526" t="inlineStr">
        <is>
          <t>SEND</t>
        </is>
      </c>
    </row>
    <row r="527">
      <c r="A527" t="inlineStr">
        <is>
          <t>Clarice</t>
        </is>
      </c>
      <c r="B527" t="inlineStr">
        <is>
          <t>+5521988937985</t>
        </is>
      </c>
      <c r="C527" t="inlineStr">
        <is>
          <t>Refill</t>
        </is>
      </c>
      <c r="D527" t="inlineStr">
        <is>
          <t>Primer Liso</t>
        </is>
      </c>
      <c r="E527" t="n">
        <v>1</v>
      </c>
      <c r="F527" t="inlineStr">
        <is>
          <t>2025-09-15</t>
        </is>
      </c>
      <c r="G527" t="n">
        <v>292</v>
      </c>
      <c r="H527" t="inlineStr">
        <is>
          <t>Y</t>
        </is>
      </c>
      <c r="I527">
        <f>HYPERLINK("https://admin.shopify.com/store/ge-beauty-cosmeticos/customers/9670201377088","abrir")</f>
        <v/>
      </c>
      <c r="J527">
        <f>HYPERLINK("https://www.gebeauty.com.br/products/primer-liso-intacto?ref=review","review")</f>
        <v/>
      </c>
      <c r="K527" t="inlineStr">
        <is>
          <t>SEND</t>
        </is>
      </c>
    </row>
    <row r="528">
      <c r="A528" t="inlineStr">
        <is>
          <t>Cristiane</t>
        </is>
      </c>
      <c r="B528" t="inlineStr">
        <is>
          <t>+5581996138333</t>
        </is>
      </c>
      <c r="C528" t="inlineStr">
        <is>
          <t>Refill</t>
        </is>
      </c>
      <c r="D528" t="inlineStr">
        <is>
          <t>Primer Liso</t>
        </is>
      </c>
      <c r="E528" t="n">
        <v>1</v>
      </c>
      <c r="F528" t="inlineStr">
        <is>
          <t>2025-09-15</t>
        </is>
      </c>
      <c r="G528" t="n">
        <v>292</v>
      </c>
      <c r="H528" t="inlineStr">
        <is>
          <t>Y</t>
        </is>
      </c>
      <c r="I528">
        <f>HYPERLINK("https://admin.shopify.com/store/ge-beauty-cosmeticos/customers/7760920478016","abrir")</f>
        <v/>
      </c>
      <c r="J528">
        <f>HYPERLINK("https://www.gebeauty.com.br/products/primer-liso-intacto?ref=review","review")</f>
        <v/>
      </c>
      <c r="K528" t="inlineStr">
        <is>
          <t>SEND</t>
        </is>
      </c>
    </row>
    <row r="529">
      <c r="A529" t="inlineStr">
        <is>
          <t>Neia</t>
        </is>
      </c>
      <c r="B529" t="inlineStr">
        <is>
          <t>+5511997102768</t>
        </is>
      </c>
      <c r="C529" t="inlineStr">
        <is>
          <t>Refill</t>
        </is>
      </c>
      <c r="D529" t="inlineStr">
        <is>
          <t>Primer Liso</t>
        </is>
      </c>
      <c r="E529" t="n">
        <v>1</v>
      </c>
      <c r="F529" t="inlineStr">
        <is>
          <t>2025-09-15</t>
        </is>
      </c>
      <c r="G529" t="n">
        <v>292</v>
      </c>
      <c r="H529" t="inlineStr">
        <is>
          <t>Y</t>
        </is>
      </c>
      <c r="I529">
        <f>HYPERLINK("https://admin.shopify.com/store/ge-beauty-cosmeticos/customers/9670378127680","abrir")</f>
        <v/>
      </c>
      <c r="J529">
        <f>HYPERLINK("https://www.gebeauty.com.br/products/primer-liso-intacto?ref=review","review")</f>
        <v/>
      </c>
      <c r="K529" t="inlineStr">
        <is>
          <t>SEND</t>
        </is>
      </c>
    </row>
    <row r="530">
      <c r="A530" t="inlineStr">
        <is>
          <t>Ana Paula</t>
        </is>
      </c>
      <c r="B530" t="inlineStr">
        <is>
          <t>+5511970143466</t>
        </is>
      </c>
      <c r="C530" t="inlineStr">
        <is>
          <t>Refill</t>
        </is>
      </c>
      <c r="D530" t="inlineStr">
        <is>
          <t>Primer Liso</t>
        </is>
      </c>
      <c r="E530" t="n">
        <v>1</v>
      </c>
      <c r="F530" t="inlineStr">
        <is>
          <t>2025-09-15</t>
        </is>
      </c>
      <c r="G530" t="n">
        <v>292</v>
      </c>
      <c r="H530" t="inlineStr">
        <is>
          <t>Y</t>
        </is>
      </c>
      <c r="I530">
        <f>HYPERLINK("https://admin.shopify.com/store/ge-beauty-cosmeticos/customers/9670589251904","abrir")</f>
        <v/>
      </c>
      <c r="J530">
        <f>HYPERLINK("https://www.gebeauty.com.br/products/primer-liso-intacto?ref=review","review")</f>
        <v/>
      </c>
      <c r="K530" t="inlineStr">
        <is>
          <t>SEND</t>
        </is>
      </c>
    </row>
    <row r="531">
      <c r="A531" t="inlineStr">
        <is>
          <t>Sheila</t>
        </is>
      </c>
      <c r="B531" t="inlineStr">
        <is>
          <t>+5511983187510</t>
        </is>
      </c>
      <c r="C531" t="inlineStr">
        <is>
          <t>Refill</t>
        </is>
      </c>
      <c r="D531" t="inlineStr">
        <is>
          <t>Primer Liso</t>
        </is>
      </c>
      <c r="E531" t="n">
        <v>1</v>
      </c>
      <c r="F531" t="inlineStr">
        <is>
          <t>2025-09-15</t>
        </is>
      </c>
      <c r="G531" t="n">
        <v>292</v>
      </c>
      <c r="H531" t="inlineStr">
        <is>
          <t>Y</t>
        </is>
      </c>
      <c r="I531">
        <f>HYPERLINK("https://admin.shopify.com/store/ge-beauty-cosmeticos/customers/9670698762560","abrir")</f>
        <v/>
      </c>
      <c r="J531">
        <f>HYPERLINK("https://www.gebeauty.com.br/products/primer-liso-intacto?ref=review","review")</f>
        <v/>
      </c>
      <c r="K531" t="inlineStr">
        <is>
          <t>SEND</t>
        </is>
      </c>
    </row>
    <row r="532">
      <c r="A532" t="inlineStr">
        <is>
          <t>Isabeli</t>
        </is>
      </c>
      <c r="B532" t="inlineStr">
        <is>
          <t>+5511984800007</t>
        </is>
      </c>
      <c r="C532" t="inlineStr">
        <is>
          <t>Refill</t>
        </is>
      </c>
      <c r="D532" t="inlineStr">
        <is>
          <t>Primer Liso</t>
        </is>
      </c>
      <c r="E532" t="n">
        <v>1</v>
      </c>
      <c r="F532" t="inlineStr">
        <is>
          <t>2025-09-15</t>
        </is>
      </c>
      <c r="G532" t="n">
        <v>292</v>
      </c>
      <c r="H532" t="inlineStr">
        <is>
          <t>Y</t>
        </is>
      </c>
      <c r="I532">
        <f>HYPERLINK("https://admin.shopify.com/store/ge-beauty-cosmeticos/customers/9670929383744","abrir")</f>
        <v/>
      </c>
      <c r="J532">
        <f>HYPERLINK("https://www.gebeauty.com.br/products/primer-liso-intacto?ref=review","review")</f>
        <v/>
      </c>
      <c r="K532" t="inlineStr">
        <is>
          <t>SEND</t>
        </is>
      </c>
    </row>
    <row r="533">
      <c r="A533" t="inlineStr">
        <is>
          <t>Maria Eduarda</t>
        </is>
      </c>
      <c r="B533" t="inlineStr">
        <is>
          <t>+5548998011090</t>
        </is>
      </c>
      <c r="C533" t="inlineStr">
        <is>
          <t>Refill</t>
        </is>
      </c>
      <c r="D533" t="inlineStr">
        <is>
          <t>Primer Liso</t>
        </is>
      </c>
      <c r="E533" t="n">
        <v>1</v>
      </c>
      <c r="F533" t="inlineStr">
        <is>
          <t>2025-09-15</t>
        </is>
      </c>
      <c r="G533" t="n">
        <v>292</v>
      </c>
      <c r="H533" t="inlineStr">
        <is>
          <t>Y</t>
        </is>
      </c>
      <c r="I533">
        <f>HYPERLINK("https://admin.shopify.com/store/ge-beauty-cosmeticos/customers/9671026344256","abrir")</f>
        <v/>
      </c>
      <c r="J533">
        <f>HYPERLINK("https://www.gebeauty.com.br/products/primer-liso-intacto?ref=review","review")</f>
        <v/>
      </c>
      <c r="K533" t="inlineStr">
        <is>
          <t>SEND</t>
        </is>
      </c>
    </row>
    <row r="534">
      <c r="A534" t="inlineStr">
        <is>
          <t>Bruno</t>
        </is>
      </c>
      <c r="B534" t="inlineStr">
        <is>
          <t>+5562984011111</t>
        </is>
      </c>
      <c r="C534" t="inlineStr">
        <is>
          <t>Refill</t>
        </is>
      </c>
      <c r="D534" t="inlineStr">
        <is>
          <t>Primer Liso</t>
        </is>
      </c>
      <c r="E534" t="n">
        <v>1</v>
      </c>
      <c r="F534" t="inlineStr">
        <is>
          <t>2025-09-15</t>
        </is>
      </c>
      <c r="G534" t="n">
        <v>292</v>
      </c>
      <c r="H534" t="inlineStr">
        <is>
          <t>Y</t>
        </is>
      </c>
      <c r="I534">
        <f>HYPERLINK("https://admin.shopify.com/store/ge-beauty-cosmeticos/customers/9671184253248","abrir")</f>
        <v/>
      </c>
      <c r="J534">
        <f>HYPERLINK("https://www.gebeauty.com.br/products/primer-liso-intacto?ref=review","review")</f>
        <v/>
      </c>
      <c r="K534" t="inlineStr">
        <is>
          <t>SEND</t>
        </is>
      </c>
    </row>
    <row r="535">
      <c r="A535" t="inlineStr">
        <is>
          <t>Virginia</t>
        </is>
      </c>
      <c r="B535" t="inlineStr">
        <is>
          <t>+5581996525099</t>
        </is>
      </c>
      <c r="C535" t="inlineStr">
        <is>
          <t>Refill</t>
        </is>
      </c>
      <c r="D535" t="inlineStr">
        <is>
          <t>Primer Liso</t>
        </is>
      </c>
      <c r="E535" t="n">
        <v>1</v>
      </c>
      <c r="F535" t="inlineStr">
        <is>
          <t>2025-09-15</t>
        </is>
      </c>
      <c r="G535" t="n">
        <v>292</v>
      </c>
      <c r="H535" t="inlineStr">
        <is>
          <t>Y</t>
        </is>
      </c>
      <c r="I535">
        <f>HYPERLINK("https://admin.shopify.com/store/ge-beauty-cosmeticos/customers/9671174422848","abrir")</f>
        <v/>
      </c>
      <c r="J535">
        <f>HYPERLINK("https://www.gebeauty.com.br/products/primer-liso-intacto?ref=review","review")</f>
        <v/>
      </c>
      <c r="K535" t="inlineStr">
        <is>
          <t>SEND</t>
        </is>
      </c>
    </row>
    <row r="536">
      <c r="A536" t="inlineStr">
        <is>
          <t>Paula</t>
        </is>
      </c>
      <c r="B536" t="inlineStr">
        <is>
          <t>+5533999155958</t>
        </is>
      </c>
      <c r="C536" t="inlineStr">
        <is>
          <t>Refill</t>
        </is>
      </c>
      <c r="D536" t="inlineStr">
        <is>
          <t>Primer Liso</t>
        </is>
      </c>
      <c r="E536" t="n">
        <v>1</v>
      </c>
      <c r="F536" t="inlineStr">
        <is>
          <t>2025-09-16</t>
        </is>
      </c>
      <c r="G536" t="n">
        <v>291</v>
      </c>
      <c r="H536" t="inlineStr">
        <is>
          <t>Y</t>
        </is>
      </c>
      <c r="I536">
        <f>HYPERLINK("https://admin.shopify.com/store/ge-beauty-cosmeticos/customers/9671282786624","abrir")</f>
        <v/>
      </c>
      <c r="J536">
        <f>HYPERLINK("https://www.gebeauty.com.br/products/primer-liso-intacto?ref=review","review")</f>
        <v/>
      </c>
      <c r="K536" t="inlineStr">
        <is>
          <t>HOLDOUT</t>
        </is>
      </c>
    </row>
    <row r="537">
      <c r="A537" t="inlineStr">
        <is>
          <t>Alessandra</t>
        </is>
      </c>
      <c r="B537" t="inlineStr">
        <is>
          <t>+5521970645784</t>
        </is>
      </c>
      <c r="C537" t="inlineStr">
        <is>
          <t>Refill</t>
        </is>
      </c>
      <c r="D537" t="inlineStr">
        <is>
          <t>Primer Liso</t>
        </is>
      </c>
      <c r="E537" t="n">
        <v>1</v>
      </c>
      <c r="F537" t="inlineStr">
        <is>
          <t>2025-09-16</t>
        </is>
      </c>
      <c r="G537" t="n">
        <v>291</v>
      </c>
      <c r="H537" t="inlineStr">
        <is>
          <t>Y</t>
        </is>
      </c>
      <c r="I537">
        <f>HYPERLINK("https://admin.shopify.com/store/ge-beauty-cosmeticos/customers/8208908288320","abrir")</f>
        <v/>
      </c>
      <c r="J537">
        <f>HYPERLINK("https://www.gebeauty.com.br/products/primer-liso-intacto?ref=review","review")</f>
        <v/>
      </c>
      <c r="K537" t="inlineStr">
        <is>
          <t>SEND</t>
        </is>
      </c>
    </row>
    <row r="538">
      <c r="A538" t="inlineStr">
        <is>
          <t>Hellyda</t>
        </is>
      </c>
      <c r="B538" t="inlineStr">
        <is>
          <t>+5581981907001</t>
        </is>
      </c>
      <c r="C538" t="inlineStr">
        <is>
          <t>Refill</t>
        </is>
      </c>
      <c r="D538" t="inlineStr">
        <is>
          <t>Primer Liso</t>
        </is>
      </c>
      <c r="E538" t="n">
        <v>1</v>
      </c>
      <c r="F538" t="inlineStr">
        <is>
          <t>2025-09-16</t>
        </is>
      </c>
      <c r="G538" t="n">
        <v>291</v>
      </c>
      <c r="H538" t="inlineStr">
        <is>
          <t>Y</t>
        </is>
      </c>
      <c r="I538">
        <f>HYPERLINK("https://admin.shopify.com/store/ge-beauty-cosmeticos/customers/9672237908288","abrir")</f>
        <v/>
      </c>
      <c r="J538">
        <f>HYPERLINK("https://www.gebeauty.com.br/products/primer-liso-intacto?ref=review","review")</f>
        <v/>
      </c>
      <c r="K538" t="inlineStr">
        <is>
          <t>SEND</t>
        </is>
      </c>
    </row>
    <row r="539">
      <c r="B539" t="inlineStr">
        <is>
          <t>+5548988072300</t>
        </is>
      </c>
      <c r="C539" t="inlineStr">
        <is>
          <t>Refill</t>
        </is>
      </c>
      <c r="D539" t="inlineStr">
        <is>
          <t>Primer Liso</t>
        </is>
      </c>
      <c r="E539" t="n">
        <v>1</v>
      </c>
      <c r="F539" t="inlineStr">
        <is>
          <t>2025-09-16</t>
        </is>
      </c>
      <c r="G539" t="n">
        <v>291</v>
      </c>
      <c r="H539" t="inlineStr">
        <is>
          <t>Y</t>
        </is>
      </c>
      <c r="I539">
        <f>HYPERLINK("https://admin.shopify.com/store/ge-beauty-cosmeticos/customers/9672544321856","abrir")</f>
        <v/>
      </c>
      <c r="J539">
        <f>HYPERLINK("https://www.gebeauty.com.br/products/primer-liso-intacto?ref=review","review")</f>
        <v/>
      </c>
      <c r="K539" t="inlineStr">
        <is>
          <t>SEND</t>
        </is>
      </c>
    </row>
    <row r="540">
      <c r="A540" t="inlineStr">
        <is>
          <t>Ana</t>
        </is>
      </c>
      <c r="B540" t="inlineStr">
        <is>
          <t>+5581988025016</t>
        </is>
      </c>
      <c r="C540" t="inlineStr">
        <is>
          <t>Refill</t>
        </is>
      </c>
      <c r="D540" t="inlineStr">
        <is>
          <t>Primer Liso</t>
        </is>
      </c>
      <c r="E540" t="n">
        <v>1</v>
      </c>
      <c r="F540" t="inlineStr">
        <is>
          <t>2025-09-16</t>
        </is>
      </c>
      <c r="G540" t="n">
        <v>291</v>
      </c>
      <c r="H540" t="inlineStr">
        <is>
          <t>Y</t>
        </is>
      </c>
      <c r="I540">
        <f>HYPERLINK("https://admin.shopify.com/store/ge-beauty-cosmeticos/customers/9672731918656","abrir")</f>
        <v/>
      </c>
      <c r="J540">
        <f>HYPERLINK("https://www.gebeauty.com.br/products/primer-liso-intacto?ref=review","review")</f>
        <v/>
      </c>
      <c r="K540" t="inlineStr">
        <is>
          <t>SEND</t>
        </is>
      </c>
    </row>
    <row r="541">
      <c r="A541" t="inlineStr">
        <is>
          <t>Barbara</t>
        </is>
      </c>
      <c r="B541" t="inlineStr">
        <is>
          <t>+5581997413443</t>
        </is>
      </c>
      <c r="C541" t="inlineStr">
        <is>
          <t>Refill</t>
        </is>
      </c>
      <c r="D541" t="inlineStr">
        <is>
          <t>Primer Liso</t>
        </is>
      </c>
      <c r="E541" t="n">
        <v>1</v>
      </c>
      <c r="F541" t="inlineStr">
        <is>
          <t>2025-09-17</t>
        </is>
      </c>
      <c r="G541" t="n">
        <v>290</v>
      </c>
      <c r="H541" t="inlineStr">
        <is>
          <t>Y</t>
        </is>
      </c>
      <c r="I541">
        <f>HYPERLINK("https://admin.shopify.com/store/ge-beauty-cosmeticos/customers/9674595107136","abrir")</f>
        <v/>
      </c>
      <c r="J541">
        <f>HYPERLINK("https://www.gebeauty.com.br/products/primer-liso-intacto?ref=review","review")</f>
        <v/>
      </c>
      <c r="K541" t="inlineStr">
        <is>
          <t>SEND</t>
        </is>
      </c>
    </row>
    <row r="542">
      <c r="A542" t="inlineStr">
        <is>
          <t>Debora</t>
        </is>
      </c>
      <c r="B542" t="inlineStr">
        <is>
          <t>+5511999658949</t>
        </is>
      </c>
      <c r="C542" t="inlineStr">
        <is>
          <t>Refill</t>
        </is>
      </c>
      <c r="D542" t="inlineStr">
        <is>
          <t>Primer Liso</t>
        </is>
      </c>
      <c r="E542" t="n">
        <v>1</v>
      </c>
      <c r="F542" t="inlineStr">
        <is>
          <t>2025-09-17</t>
        </is>
      </c>
      <c r="G542" t="n">
        <v>290</v>
      </c>
      <c r="H542" t="inlineStr">
        <is>
          <t>Y</t>
        </is>
      </c>
      <c r="I542">
        <f>HYPERLINK("https://admin.shopify.com/store/ge-beauty-cosmeticos/customers/9674674438464","abrir")</f>
        <v/>
      </c>
      <c r="J542">
        <f>HYPERLINK("https://www.gebeauty.com.br/products/primer-liso-intacto?ref=review","review")</f>
        <v/>
      </c>
      <c r="K542" t="inlineStr">
        <is>
          <t>SEND</t>
        </is>
      </c>
    </row>
    <row r="543">
      <c r="A543" t="inlineStr">
        <is>
          <t>Taís</t>
        </is>
      </c>
      <c r="B543" t="inlineStr">
        <is>
          <t>+5511968659239</t>
        </is>
      </c>
      <c r="C543" t="inlineStr">
        <is>
          <t>Refill</t>
        </is>
      </c>
      <c r="D543" t="inlineStr">
        <is>
          <t>Primer Liso</t>
        </is>
      </c>
      <c r="E543" t="n">
        <v>1</v>
      </c>
      <c r="F543" t="inlineStr">
        <is>
          <t>2025-09-17</t>
        </is>
      </c>
      <c r="G543" t="n">
        <v>290</v>
      </c>
      <c r="H543" t="inlineStr">
        <is>
          <t>Y</t>
        </is>
      </c>
      <c r="I543">
        <f>HYPERLINK("https://admin.shopify.com/store/ge-beauty-cosmeticos/customers/9674755080512","abrir")</f>
        <v/>
      </c>
      <c r="J543">
        <f>HYPERLINK("https://www.gebeauty.com.br/products/primer-liso-intacto?ref=review","review")</f>
        <v/>
      </c>
      <c r="K543" t="inlineStr">
        <is>
          <t>SEND</t>
        </is>
      </c>
    </row>
    <row r="544">
      <c r="A544" t="inlineStr">
        <is>
          <t>Priscila</t>
        </is>
      </c>
      <c r="B544" t="inlineStr">
        <is>
          <t>+5521988778610</t>
        </is>
      </c>
      <c r="C544" t="inlineStr">
        <is>
          <t>Refill</t>
        </is>
      </c>
      <c r="D544" t="inlineStr">
        <is>
          <t>Primer Liso</t>
        </is>
      </c>
      <c r="E544" t="n">
        <v>1</v>
      </c>
      <c r="F544" t="inlineStr">
        <is>
          <t>2025-09-17</t>
        </is>
      </c>
      <c r="G544" t="n">
        <v>290</v>
      </c>
      <c r="H544" t="inlineStr">
        <is>
          <t>Y</t>
        </is>
      </c>
      <c r="I544">
        <f>HYPERLINK("https://admin.shopify.com/store/ge-beauty-cosmeticos/customers/9485873512768","abrir")</f>
        <v/>
      </c>
      <c r="J544">
        <f>HYPERLINK("https://www.gebeauty.com.br/products/primer-liso-intacto?ref=review","review")</f>
        <v/>
      </c>
      <c r="K544" t="inlineStr">
        <is>
          <t>SEND</t>
        </is>
      </c>
    </row>
    <row r="545">
      <c r="A545" t="inlineStr">
        <is>
          <t>Laisa Lorena</t>
        </is>
      </c>
      <c r="B545" t="inlineStr">
        <is>
          <t>+5562998759253</t>
        </is>
      </c>
      <c r="C545" t="inlineStr">
        <is>
          <t>Refill</t>
        </is>
      </c>
      <c r="D545" t="inlineStr">
        <is>
          <t>Primer Liso</t>
        </is>
      </c>
      <c r="E545" t="n">
        <v>1</v>
      </c>
      <c r="F545" t="inlineStr">
        <is>
          <t>2025-09-18</t>
        </is>
      </c>
      <c r="G545" t="n">
        <v>289</v>
      </c>
      <c r="H545" t="inlineStr">
        <is>
          <t>Y</t>
        </is>
      </c>
      <c r="I545">
        <f>HYPERLINK("https://admin.shopify.com/store/ge-beauty-cosmeticos/customers/9676484542784","abrir")</f>
        <v/>
      </c>
      <c r="J545">
        <f>HYPERLINK("https://www.gebeauty.com.br/products/primer-liso-intacto?ref=review","review")</f>
        <v/>
      </c>
      <c r="K545" t="inlineStr">
        <is>
          <t>SEND</t>
        </is>
      </c>
    </row>
    <row r="546">
      <c r="A546" t="inlineStr">
        <is>
          <t>Franciele</t>
        </is>
      </c>
      <c r="B546" t="inlineStr">
        <is>
          <t>+5554981268919</t>
        </is>
      </c>
      <c r="C546" t="inlineStr">
        <is>
          <t>Refill</t>
        </is>
      </c>
      <c r="D546" t="inlineStr">
        <is>
          <t>Primer Liso</t>
        </is>
      </c>
      <c r="E546" t="n">
        <v>1</v>
      </c>
      <c r="F546" t="inlineStr">
        <is>
          <t>2025-09-18</t>
        </is>
      </c>
      <c r="G546" t="n">
        <v>289</v>
      </c>
      <c r="H546" t="inlineStr">
        <is>
          <t>Y</t>
        </is>
      </c>
      <c r="I546">
        <f>HYPERLINK("https://admin.shopify.com/store/ge-beauty-cosmeticos/customers/9676546376000","abrir")</f>
        <v/>
      </c>
      <c r="J546">
        <f>HYPERLINK("https://www.gebeauty.com.br/products/primer-liso-intacto?ref=review","review")</f>
        <v/>
      </c>
      <c r="K546" t="inlineStr">
        <is>
          <t>SEND</t>
        </is>
      </c>
    </row>
    <row r="547">
      <c r="A547" t="inlineStr">
        <is>
          <t>Lígia</t>
        </is>
      </c>
      <c r="B547" t="inlineStr">
        <is>
          <t>+5519992297834</t>
        </is>
      </c>
      <c r="C547" t="inlineStr">
        <is>
          <t>Refill</t>
        </is>
      </c>
      <c r="D547" t="inlineStr">
        <is>
          <t>Primer Liso</t>
        </is>
      </c>
      <c r="E547" t="n">
        <v>1</v>
      </c>
      <c r="F547" t="inlineStr">
        <is>
          <t>2025-09-18</t>
        </is>
      </c>
      <c r="G547" t="n">
        <v>289</v>
      </c>
      <c r="H547" t="inlineStr">
        <is>
          <t>Y</t>
        </is>
      </c>
      <c r="I547">
        <f>HYPERLINK("https://admin.shopify.com/store/ge-beauty-cosmeticos/customers/7762342347072","abrir")</f>
        <v/>
      </c>
      <c r="J547">
        <f>HYPERLINK("https://www.gebeauty.com.br/products/primer-liso-intacto?ref=review","review")</f>
        <v/>
      </c>
      <c r="K547" t="inlineStr">
        <is>
          <t>SEND</t>
        </is>
      </c>
    </row>
    <row r="548">
      <c r="A548" t="inlineStr">
        <is>
          <t>Raissa</t>
        </is>
      </c>
      <c r="B548" t="inlineStr">
        <is>
          <t>+5581996601007</t>
        </is>
      </c>
      <c r="C548" t="inlineStr">
        <is>
          <t>Refill</t>
        </is>
      </c>
      <c r="D548" t="inlineStr">
        <is>
          <t>Primer Liso</t>
        </is>
      </c>
      <c r="E548" t="n">
        <v>1</v>
      </c>
      <c r="F548" t="inlineStr">
        <is>
          <t>2025-09-18</t>
        </is>
      </c>
      <c r="G548" t="n">
        <v>289</v>
      </c>
      <c r="H548" t="inlineStr">
        <is>
          <t>N</t>
        </is>
      </c>
      <c r="I548">
        <f>HYPERLINK("https://admin.shopify.com/store/ge-beauty-cosmeticos/customers/9486235763008","abrir")</f>
        <v/>
      </c>
      <c r="J548">
        <f>HYPERLINK("https://www.gebeauty.com.br/products/primer-liso-intacto?ref=review","review")</f>
        <v/>
      </c>
      <c r="K548" t="inlineStr">
        <is>
          <t>HOLDOUT</t>
        </is>
      </c>
    </row>
    <row r="549">
      <c r="A549" t="inlineStr">
        <is>
          <t>Katia</t>
        </is>
      </c>
      <c r="B549" t="inlineStr">
        <is>
          <t>+5583998811000</t>
        </is>
      </c>
      <c r="C549" t="inlineStr">
        <is>
          <t>Refill</t>
        </is>
      </c>
      <c r="D549" t="inlineStr">
        <is>
          <t>Primer Liso</t>
        </is>
      </c>
      <c r="E549" t="n">
        <v>1</v>
      </c>
      <c r="F549" t="inlineStr">
        <is>
          <t>2025-09-18</t>
        </is>
      </c>
      <c r="G549" t="n">
        <v>289</v>
      </c>
      <c r="H549" t="inlineStr">
        <is>
          <t>Y</t>
        </is>
      </c>
      <c r="I549">
        <f>HYPERLINK("https://admin.shopify.com/store/ge-beauty-cosmeticos/customers/9486327054656","abrir")</f>
        <v/>
      </c>
      <c r="J549">
        <f>HYPERLINK("https://www.gebeauty.com.br/products/primer-liso-intacto?ref=review","review")</f>
        <v/>
      </c>
      <c r="K549" t="inlineStr">
        <is>
          <t>SEND</t>
        </is>
      </c>
    </row>
    <row r="550">
      <c r="A550" t="inlineStr">
        <is>
          <t>Fernanda</t>
        </is>
      </c>
      <c r="B550" t="inlineStr">
        <is>
          <t>+5548999287595</t>
        </is>
      </c>
      <c r="C550" t="inlineStr">
        <is>
          <t>Refill</t>
        </is>
      </c>
      <c r="D550" t="inlineStr">
        <is>
          <t>Primer Liso</t>
        </is>
      </c>
      <c r="E550" t="n">
        <v>1</v>
      </c>
      <c r="F550" t="inlineStr">
        <is>
          <t>2025-09-18</t>
        </is>
      </c>
      <c r="G550" t="n">
        <v>289</v>
      </c>
      <c r="H550" t="inlineStr">
        <is>
          <t>Y</t>
        </is>
      </c>
      <c r="I550">
        <f>HYPERLINK("https://admin.shopify.com/store/ge-beauty-cosmeticos/customers/9677056278848","abrir")</f>
        <v/>
      </c>
      <c r="J550">
        <f>HYPERLINK("https://www.gebeauty.com.br/products/primer-liso-intacto?ref=review","review")</f>
        <v/>
      </c>
      <c r="K550" t="inlineStr">
        <is>
          <t>SEND</t>
        </is>
      </c>
    </row>
    <row r="551">
      <c r="A551" t="inlineStr">
        <is>
          <t>Tuanni</t>
        </is>
      </c>
      <c r="B551" t="inlineStr">
        <is>
          <t>+5521995269660</t>
        </is>
      </c>
      <c r="C551" t="inlineStr">
        <is>
          <t>Refill</t>
        </is>
      </c>
      <c r="D551" t="inlineStr">
        <is>
          <t>Primer Liso</t>
        </is>
      </c>
      <c r="E551" t="n">
        <v>1</v>
      </c>
      <c r="F551" t="inlineStr">
        <is>
          <t>2025-09-19</t>
        </is>
      </c>
      <c r="G551" t="n">
        <v>288</v>
      </c>
      <c r="H551" t="inlineStr">
        <is>
          <t>N</t>
        </is>
      </c>
      <c r="I551">
        <f>HYPERLINK("https://admin.shopify.com/store/ge-beauty-cosmeticos/customers/9677274284352","abrir")</f>
        <v/>
      </c>
      <c r="J551">
        <f>HYPERLINK("https://www.gebeauty.com.br/products/primer-liso-intacto?ref=review","review")</f>
        <v/>
      </c>
      <c r="K551" t="inlineStr">
        <is>
          <t>SEND</t>
        </is>
      </c>
    </row>
    <row r="552">
      <c r="A552" t="inlineStr">
        <is>
          <t>Mariah</t>
        </is>
      </c>
      <c r="B552" t="inlineStr">
        <is>
          <t>+5592991423971</t>
        </is>
      </c>
      <c r="C552" t="inlineStr">
        <is>
          <t>Refill</t>
        </is>
      </c>
      <c r="D552" t="inlineStr">
        <is>
          <t>Primer Liso</t>
        </is>
      </c>
      <c r="E552" t="n">
        <v>1</v>
      </c>
      <c r="F552" t="inlineStr">
        <is>
          <t>2025-09-19</t>
        </is>
      </c>
      <c r="G552" t="n">
        <v>288</v>
      </c>
      <c r="H552" t="inlineStr">
        <is>
          <t>Y</t>
        </is>
      </c>
      <c r="I552">
        <f>HYPERLINK("https://admin.shopify.com/store/ge-beauty-cosmeticos/customers/9678360641856","abrir")</f>
        <v/>
      </c>
      <c r="J552">
        <f>HYPERLINK("https://www.gebeauty.com.br/products/primer-liso-intacto?ref=review","review")</f>
        <v/>
      </c>
      <c r="K552" t="inlineStr">
        <is>
          <t>SEND</t>
        </is>
      </c>
    </row>
    <row r="553">
      <c r="A553" t="inlineStr">
        <is>
          <t>Bruna</t>
        </is>
      </c>
      <c r="B553" t="inlineStr">
        <is>
          <t>+5561999829682</t>
        </is>
      </c>
      <c r="C553" t="inlineStr">
        <is>
          <t>Refill</t>
        </is>
      </c>
      <c r="D553" t="inlineStr">
        <is>
          <t>Primer Liso</t>
        </is>
      </c>
      <c r="E553" t="n">
        <v>1</v>
      </c>
      <c r="F553" t="inlineStr">
        <is>
          <t>2025-09-19</t>
        </is>
      </c>
      <c r="G553" t="n">
        <v>288</v>
      </c>
      <c r="H553" t="inlineStr">
        <is>
          <t>Y</t>
        </is>
      </c>
      <c r="I553">
        <f>HYPERLINK("https://admin.shopify.com/store/ge-beauty-cosmeticos/customers/9676306219328","abrir")</f>
        <v/>
      </c>
      <c r="J553">
        <f>HYPERLINK("https://www.gebeauty.com.br/products/primer-liso-intacto?ref=review","review")</f>
        <v/>
      </c>
      <c r="K553" t="inlineStr">
        <is>
          <t>SEND</t>
        </is>
      </c>
    </row>
    <row r="554">
      <c r="A554" t="inlineStr">
        <is>
          <t>Danielly</t>
        </is>
      </c>
      <c r="B554" t="inlineStr">
        <is>
          <t>+5511961520188</t>
        </is>
      </c>
      <c r="C554" t="inlineStr">
        <is>
          <t>Refill</t>
        </is>
      </c>
      <c r="D554" t="inlineStr">
        <is>
          <t>Primer Liso</t>
        </is>
      </c>
      <c r="E554" t="n">
        <v>1</v>
      </c>
      <c r="F554" t="inlineStr">
        <is>
          <t>2025-09-19</t>
        </is>
      </c>
      <c r="G554" t="n">
        <v>288</v>
      </c>
      <c r="H554" t="inlineStr">
        <is>
          <t>Y</t>
        </is>
      </c>
      <c r="I554">
        <f>HYPERLINK("https://admin.shopify.com/store/ge-beauty-cosmeticos/customers/9677292536128","abrir")</f>
        <v/>
      </c>
      <c r="J554">
        <f>HYPERLINK("https://www.gebeauty.com.br/products/primer-liso-intacto?ref=review","review")</f>
        <v/>
      </c>
      <c r="K554" t="inlineStr">
        <is>
          <t>SEND</t>
        </is>
      </c>
    </row>
    <row r="555">
      <c r="A555" t="inlineStr">
        <is>
          <t>Alana</t>
        </is>
      </c>
      <c r="B555" t="inlineStr">
        <is>
          <t>+5561981449740</t>
        </is>
      </c>
      <c r="C555" t="inlineStr">
        <is>
          <t>Refill</t>
        </is>
      </c>
      <c r="D555" t="inlineStr">
        <is>
          <t>Primer Liso</t>
        </is>
      </c>
      <c r="E555" t="n">
        <v>1</v>
      </c>
      <c r="F555" t="inlineStr">
        <is>
          <t>2025-09-19</t>
        </is>
      </c>
      <c r="G555" t="n">
        <v>288</v>
      </c>
      <c r="H555" t="inlineStr">
        <is>
          <t>Y</t>
        </is>
      </c>
      <c r="I555">
        <f>HYPERLINK("https://admin.shopify.com/store/ge-beauty-cosmeticos/customers/9486551646528","abrir")</f>
        <v/>
      </c>
      <c r="J555">
        <f>HYPERLINK("https://www.gebeauty.com.br/products/primer-liso-intacto?ref=review","review")</f>
        <v/>
      </c>
      <c r="K555" t="inlineStr">
        <is>
          <t>SEND</t>
        </is>
      </c>
    </row>
    <row r="556">
      <c r="A556" t="inlineStr">
        <is>
          <t>Felipe</t>
        </is>
      </c>
      <c r="B556" t="inlineStr">
        <is>
          <t>+5511971872112</t>
        </is>
      </c>
      <c r="C556" t="inlineStr">
        <is>
          <t>Refill</t>
        </is>
      </c>
      <c r="D556" t="inlineStr">
        <is>
          <t>Primer Liso</t>
        </is>
      </c>
      <c r="E556" t="n">
        <v>1</v>
      </c>
      <c r="F556" t="inlineStr">
        <is>
          <t>2025-09-19</t>
        </is>
      </c>
      <c r="G556" t="n">
        <v>288</v>
      </c>
      <c r="H556" t="inlineStr">
        <is>
          <t>Y</t>
        </is>
      </c>
      <c r="I556">
        <f>HYPERLINK("https://admin.shopify.com/store/ge-beauty-cosmeticos/customers/9662407999808","abrir")</f>
        <v/>
      </c>
      <c r="J556">
        <f>HYPERLINK("https://www.gebeauty.com.br/products/primer-liso-intacto?ref=review","review")</f>
        <v/>
      </c>
      <c r="K556" t="inlineStr">
        <is>
          <t>SEND</t>
        </is>
      </c>
    </row>
    <row r="557">
      <c r="A557" t="inlineStr">
        <is>
          <t>Gabriella</t>
        </is>
      </c>
      <c r="B557" t="inlineStr">
        <is>
          <t>+5519993637260</t>
        </is>
      </c>
      <c r="C557" t="inlineStr">
        <is>
          <t>Refill</t>
        </is>
      </c>
      <c r="D557" t="inlineStr">
        <is>
          <t>Primer Liso</t>
        </is>
      </c>
      <c r="E557" t="n">
        <v>1</v>
      </c>
      <c r="F557" t="inlineStr">
        <is>
          <t>2025-09-19</t>
        </is>
      </c>
      <c r="G557" t="n">
        <v>288</v>
      </c>
      <c r="H557" t="inlineStr">
        <is>
          <t>Y</t>
        </is>
      </c>
      <c r="I557">
        <f>HYPERLINK("https://admin.shopify.com/store/ge-beauty-cosmeticos/customers/9652693565760","abrir")</f>
        <v/>
      </c>
      <c r="J557">
        <f>HYPERLINK("https://www.gebeauty.com.br/products/primer-liso-intacto?ref=review","review")</f>
        <v/>
      </c>
      <c r="K557" t="inlineStr">
        <is>
          <t>SEND</t>
        </is>
      </c>
    </row>
    <row r="558">
      <c r="A558" t="inlineStr">
        <is>
          <t>Thayse</t>
        </is>
      </c>
      <c r="B558" t="inlineStr">
        <is>
          <t>+5581991049440</t>
        </is>
      </c>
      <c r="C558" t="inlineStr">
        <is>
          <t>Refill</t>
        </is>
      </c>
      <c r="D558" t="inlineStr">
        <is>
          <t>Primer Liso</t>
        </is>
      </c>
      <c r="E558" t="n">
        <v>1</v>
      </c>
      <c r="F558" t="inlineStr">
        <is>
          <t>2025-09-19</t>
        </is>
      </c>
      <c r="G558" t="n">
        <v>288</v>
      </c>
      <c r="H558" t="inlineStr">
        <is>
          <t>Y</t>
        </is>
      </c>
      <c r="I558">
        <f>HYPERLINK("https://admin.shopify.com/store/ge-beauty-cosmeticos/customers/8143516696896","abrir")</f>
        <v/>
      </c>
      <c r="J558">
        <f>HYPERLINK("https://www.gebeauty.com.br/products/primer-liso-intacto?ref=review","review")</f>
        <v/>
      </c>
      <c r="K558" t="inlineStr">
        <is>
          <t>SEND</t>
        </is>
      </c>
    </row>
    <row r="559">
      <c r="A559" t="inlineStr">
        <is>
          <t>Stephanie</t>
        </is>
      </c>
      <c r="B559" t="inlineStr">
        <is>
          <t>+5511960320002</t>
        </is>
      </c>
      <c r="C559" t="inlineStr">
        <is>
          <t>Refill</t>
        </is>
      </c>
      <c r="D559" t="inlineStr">
        <is>
          <t>Primer Liso</t>
        </is>
      </c>
      <c r="E559" t="n">
        <v>1</v>
      </c>
      <c r="F559" t="inlineStr">
        <is>
          <t>2025-09-19</t>
        </is>
      </c>
      <c r="G559" t="n">
        <v>288</v>
      </c>
      <c r="H559" t="inlineStr">
        <is>
          <t>Y</t>
        </is>
      </c>
      <c r="I559">
        <f>HYPERLINK("https://admin.shopify.com/store/ge-beauty-cosmeticos/customers/9486083326272","abrir")</f>
        <v/>
      </c>
      <c r="J559">
        <f>HYPERLINK("https://www.gebeauty.com.br/products/primer-liso-intacto?ref=review","review")</f>
        <v/>
      </c>
      <c r="K559" t="inlineStr">
        <is>
          <t>HOLDOUT</t>
        </is>
      </c>
    </row>
    <row r="560">
      <c r="A560" t="inlineStr">
        <is>
          <t>Debora</t>
        </is>
      </c>
      <c r="B560" t="inlineStr">
        <is>
          <t>+5521992229920</t>
        </is>
      </c>
      <c r="C560" t="inlineStr">
        <is>
          <t>Refill</t>
        </is>
      </c>
      <c r="D560" t="inlineStr">
        <is>
          <t>Primer Liso</t>
        </is>
      </c>
      <c r="E560" t="n">
        <v>1</v>
      </c>
      <c r="F560" t="inlineStr">
        <is>
          <t>2025-09-19</t>
        </is>
      </c>
      <c r="G560" t="n">
        <v>288</v>
      </c>
      <c r="H560" t="inlineStr">
        <is>
          <t>Y</t>
        </is>
      </c>
      <c r="I560">
        <f>HYPERLINK("https://admin.shopify.com/store/ge-beauty-cosmeticos/customers/7761478123840","abrir")</f>
        <v/>
      </c>
      <c r="J560">
        <f>HYPERLINK("https://www.gebeauty.com.br/products/primer-liso-intacto?ref=review","review")</f>
        <v/>
      </c>
      <c r="K560" t="inlineStr">
        <is>
          <t>SEND</t>
        </is>
      </c>
    </row>
    <row r="561">
      <c r="A561" t="inlineStr">
        <is>
          <t>Elisangela</t>
        </is>
      </c>
      <c r="B561" t="inlineStr">
        <is>
          <t>+5511981553551</t>
        </is>
      </c>
      <c r="C561" t="inlineStr">
        <is>
          <t>Refill</t>
        </is>
      </c>
      <c r="D561" t="inlineStr">
        <is>
          <t>Primer Liso</t>
        </is>
      </c>
      <c r="E561" t="n">
        <v>1</v>
      </c>
      <c r="F561" t="inlineStr">
        <is>
          <t>2025-09-19</t>
        </is>
      </c>
      <c r="G561" t="n">
        <v>288</v>
      </c>
      <c r="H561" t="inlineStr">
        <is>
          <t>Y</t>
        </is>
      </c>
      <c r="I561">
        <f>HYPERLINK("https://admin.shopify.com/store/ge-beauty-cosmeticos/customers/9678965244224","abrir")</f>
        <v/>
      </c>
      <c r="J561">
        <f>HYPERLINK("https://www.gebeauty.com.br/products/primer-liso-intacto?ref=review","review")</f>
        <v/>
      </c>
      <c r="K561" t="inlineStr">
        <is>
          <t>SEND</t>
        </is>
      </c>
    </row>
    <row r="562">
      <c r="A562" t="inlineStr">
        <is>
          <t>Júlia</t>
        </is>
      </c>
      <c r="B562" t="inlineStr">
        <is>
          <t>+5521975697686</t>
        </is>
      </c>
      <c r="C562" t="inlineStr">
        <is>
          <t>Refill</t>
        </is>
      </c>
      <c r="D562" t="inlineStr">
        <is>
          <t>Primer Liso</t>
        </is>
      </c>
      <c r="E562" t="n">
        <v>1</v>
      </c>
      <c r="F562" t="inlineStr">
        <is>
          <t>2025-09-19</t>
        </is>
      </c>
      <c r="G562" t="n">
        <v>288</v>
      </c>
      <c r="H562" t="inlineStr">
        <is>
          <t>Y</t>
        </is>
      </c>
      <c r="I562">
        <f>HYPERLINK("https://admin.shopify.com/store/ge-beauty-cosmeticos/customers/9296960815424","abrir")</f>
        <v/>
      </c>
      <c r="J562">
        <f>HYPERLINK("https://www.gebeauty.com.br/products/primer-liso-intacto?ref=review","review")</f>
        <v/>
      </c>
      <c r="K562" t="inlineStr">
        <is>
          <t>HOLDOUT</t>
        </is>
      </c>
    </row>
    <row r="563">
      <c r="A563" t="inlineStr">
        <is>
          <t>Tamara</t>
        </is>
      </c>
      <c r="B563" t="inlineStr">
        <is>
          <t>+5511975916435</t>
        </is>
      </c>
      <c r="C563" t="inlineStr">
        <is>
          <t>Refill</t>
        </is>
      </c>
      <c r="D563" t="inlineStr">
        <is>
          <t>Primer Liso</t>
        </is>
      </c>
      <c r="E563" t="n">
        <v>1</v>
      </c>
      <c r="F563" t="inlineStr">
        <is>
          <t>2025-09-20</t>
        </is>
      </c>
      <c r="G563" t="n">
        <v>287</v>
      </c>
      <c r="H563" t="inlineStr">
        <is>
          <t>Y</t>
        </is>
      </c>
      <c r="I563">
        <f>HYPERLINK("https://admin.shopify.com/store/ge-beauty-cosmeticos/customers/9181029204288","abrir")</f>
        <v/>
      </c>
      <c r="J563">
        <f>HYPERLINK("https://www.gebeauty.com.br/products/primer-liso-intacto?ref=review","review")</f>
        <v/>
      </c>
      <c r="K563" t="inlineStr">
        <is>
          <t>SEND</t>
        </is>
      </c>
    </row>
    <row r="564">
      <c r="A564" t="inlineStr">
        <is>
          <t>Letícia</t>
        </is>
      </c>
      <c r="B564" t="inlineStr">
        <is>
          <t>+5581989136767</t>
        </is>
      </c>
      <c r="C564" t="inlineStr">
        <is>
          <t>Refill</t>
        </is>
      </c>
      <c r="D564" t="inlineStr">
        <is>
          <t>Primer Liso</t>
        </is>
      </c>
      <c r="E564" t="n">
        <v>1</v>
      </c>
      <c r="F564" t="inlineStr">
        <is>
          <t>2025-09-20</t>
        </is>
      </c>
      <c r="G564" t="n">
        <v>287</v>
      </c>
      <c r="H564" t="inlineStr">
        <is>
          <t>Y</t>
        </is>
      </c>
      <c r="I564">
        <f>HYPERLINK("https://admin.shopify.com/store/ge-beauty-cosmeticos/customers/9485164249408","abrir")</f>
        <v/>
      </c>
      <c r="J564">
        <f>HYPERLINK("https://www.gebeauty.com.br/products/primer-liso-intacto?ref=review","review")</f>
        <v/>
      </c>
      <c r="K564" t="inlineStr">
        <is>
          <t>SEND</t>
        </is>
      </c>
    </row>
    <row r="565">
      <c r="A565" t="inlineStr">
        <is>
          <t>Barbara</t>
        </is>
      </c>
      <c r="B565" t="inlineStr">
        <is>
          <t>+5522981180789</t>
        </is>
      </c>
      <c r="C565" t="inlineStr">
        <is>
          <t>Refill</t>
        </is>
      </c>
      <c r="D565" t="inlineStr">
        <is>
          <t>Primer Liso</t>
        </is>
      </c>
      <c r="E565" t="n">
        <v>1</v>
      </c>
      <c r="F565" t="inlineStr">
        <is>
          <t>2025-09-20</t>
        </is>
      </c>
      <c r="G565" t="n">
        <v>287</v>
      </c>
      <c r="H565" t="inlineStr">
        <is>
          <t>Y</t>
        </is>
      </c>
      <c r="I565">
        <f>HYPERLINK("https://admin.shopify.com/store/ge-beauty-cosmeticos/customers/9102657749312","abrir")</f>
        <v/>
      </c>
      <c r="J565">
        <f>HYPERLINK("https://www.gebeauty.com.br/products/primer-liso-intacto?ref=review","review")</f>
        <v/>
      </c>
      <c r="K565" t="inlineStr">
        <is>
          <t>SEND</t>
        </is>
      </c>
    </row>
    <row r="566">
      <c r="A566" t="inlineStr">
        <is>
          <t>Jéssica</t>
        </is>
      </c>
      <c r="B566" t="inlineStr">
        <is>
          <t>+5515996779107</t>
        </is>
      </c>
      <c r="C566" t="inlineStr">
        <is>
          <t>Refill</t>
        </is>
      </c>
      <c r="D566" t="inlineStr">
        <is>
          <t>Primer Liso</t>
        </is>
      </c>
      <c r="E566" t="n">
        <v>1</v>
      </c>
      <c r="F566" t="inlineStr">
        <is>
          <t>2025-09-20</t>
        </is>
      </c>
      <c r="G566" t="n">
        <v>287</v>
      </c>
      <c r="H566" t="inlineStr">
        <is>
          <t>Y</t>
        </is>
      </c>
      <c r="I566">
        <f>HYPERLINK("https://admin.shopify.com/store/ge-beauty-cosmeticos/customers/9680638738752","abrir")</f>
        <v/>
      </c>
      <c r="J566">
        <f>HYPERLINK("https://www.gebeauty.com.br/products/primer-liso-intacto?ref=review","review")</f>
        <v/>
      </c>
      <c r="K566" t="inlineStr">
        <is>
          <t>SEND</t>
        </is>
      </c>
    </row>
    <row r="567">
      <c r="A567" t="inlineStr">
        <is>
          <t>Damaris</t>
        </is>
      </c>
      <c r="B567" t="inlineStr">
        <is>
          <t>+5562996891555</t>
        </is>
      </c>
      <c r="C567" t="inlineStr">
        <is>
          <t>Refill</t>
        </is>
      </c>
      <c r="D567" t="inlineStr">
        <is>
          <t>Primer Liso</t>
        </is>
      </c>
      <c r="E567" t="n">
        <v>1</v>
      </c>
      <c r="F567" t="inlineStr">
        <is>
          <t>2025-09-20</t>
        </is>
      </c>
      <c r="G567" t="n">
        <v>287</v>
      </c>
      <c r="H567" t="inlineStr">
        <is>
          <t>Y</t>
        </is>
      </c>
      <c r="I567">
        <f>HYPERLINK("https://admin.shopify.com/store/ge-beauty-cosmeticos/customers/9680745529664","abrir")</f>
        <v/>
      </c>
      <c r="J567">
        <f>HYPERLINK("https://www.gebeauty.com.br/products/primer-liso-intacto?ref=review","review")</f>
        <v/>
      </c>
      <c r="K567" t="inlineStr">
        <is>
          <t>SEND</t>
        </is>
      </c>
    </row>
    <row r="568">
      <c r="A568" t="inlineStr">
        <is>
          <t>Louise</t>
        </is>
      </c>
      <c r="B568" t="inlineStr">
        <is>
          <t>+5511975897923</t>
        </is>
      </c>
      <c r="C568" t="inlineStr">
        <is>
          <t>Refill</t>
        </is>
      </c>
      <c r="D568" t="inlineStr">
        <is>
          <t>Primer Liso</t>
        </is>
      </c>
      <c r="E568" t="n">
        <v>1</v>
      </c>
      <c r="F568" t="inlineStr">
        <is>
          <t>2025-09-20</t>
        </is>
      </c>
      <c r="G568" t="n">
        <v>287</v>
      </c>
      <c r="H568" t="inlineStr">
        <is>
          <t>Y</t>
        </is>
      </c>
      <c r="I568">
        <f>HYPERLINK("https://admin.shopify.com/store/ge-beauty-cosmeticos/customers/9486071071040","abrir")</f>
        <v/>
      </c>
      <c r="J568">
        <f>HYPERLINK("https://www.gebeauty.com.br/products/primer-liso-intacto?ref=review","review")</f>
        <v/>
      </c>
      <c r="K568" t="inlineStr">
        <is>
          <t>SEND</t>
        </is>
      </c>
    </row>
    <row r="569">
      <c r="A569" t="inlineStr">
        <is>
          <t>Erika</t>
        </is>
      </c>
      <c r="B569" t="inlineStr">
        <is>
          <t>+5512991626387</t>
        </is>
      </c>
      <c r="C569" t="inlineStr">
        <is>
          <t>Refill</t>
        </is>
      </c>
      <c r="D569" t="inlineStr">
        <is>
          <t>Primer Liso</t>
        </is>
      </c>
      <c r="E569" t="n">
        <v>1</v>
      </c>
      <c r="F569" t="inlineStr">
        <is>
          <t>2025-09-20</t>
        </is>
      </c>
      <c r="G569" t="n">
        <v>287</v>
      </c>
      <c r="H569" t="inlineStr">
        <is>
          <t>Y</t>
        </is>
      </c>
      <c r="I569">
        <f>HYPERLINK("https://admin.shopify.com/store/ge-beauty-cosmeticos/customers/9680851861824","abrir")</f>
        <v/>
      </c>
      <c r="J569">
        <f>HYPERLINK("https://www.gebeauty.com.br/products/primer-liso-intacto?ref=review","review")</f>
        <v/>
      </c>
      <c r="K569" t="inlineStr">
        <is>
          <t>SEND</t>
        </is>
      </c>
    </row>
    <row r="570">
      <c r="A570" t="inlineStr">
        <is>
          <t>Thais</t>
        </is>
      </c>
      <c r="B570" t="inlineStr">
        <is>
          <t>+5511996719972</t>
        </is>
      </c>
      <c r="C570" t="inlineStr">
        <is>
          <t>Refill</t>
        </is>
      </c>
      <c r="D570" t="inlineStr">
        <is>
          <t>Primer Liso</t>
        </is>
      </c>
      <c r="E570" t="n">
        <v>1</v>
      </c>
      <c r="F570" t="inlineStr">
        <is>
          <t>2025-09-21</t>
        </is>
      </c>
      <c r="G570" t="n">
        <v>286</v>
      </c>
      <c r="H570" t="inlineStr">
        <is>
          <t>Y</t>
        </is>
      </c>
      <c r="I570">
        <f>HYPERLINK("https://admin.shopify.com/store/ge-beauty-cosmeticos/customers/9682110415168","abrir")</f>
        <v/>
      </c>
      <c r="J570">
        <f>HYPERLINK("https://www.gebeauty.com.br/products/primer-liso-intacto?ref=review","review")</f>
        <v/>
      </c>
      <c r="K570" t="inlineStr">
        <is>
          <t>SEND</t>
        </is>
      </c>
    </row>
    <row r="571">
      <c r="A571" t="inlineStr">
        <is>
          <t>Tainá</t>
        </is>
      </c>
      <c r="B571" t="inlineStr">
        <is>
          <t>+5519999099819</t>
        </is>
      </c>
      <c r="C571" t="inlineStr">
        <is>
          <t>Refill</t>
        </is>
      </c>
      <c r="D571" t="inlineStr">
        <is>
          <t>Primer Liso</t>
        </is>
      </c>
      <c r="E571" t="n">
        <v>1</v>
      </c>
      <c r="F571" t="inlineStr">
        <is>
          <t>2025-09-21</t>
        </is>
      </c>
      <c r="G571" t="n">
        <v>286</v>
      </c>
      <c r="H571" t="inlineStr">
        <is>
          <t>Y</t>
        </is>
      </c>
      <c r="I571">
        <f>HYPERLINK("https://admin.shopify.com/store/ge-beauty-cosmeticos/customers/9593640714560","abrir")</f>
        <v/>
      </c>
      <c r="J571">
        <f>HYPERLINK("https://www.gebeauty.com.br/products/primer-liso-intacto?ref=review","review")</f>
        <v/>
      </c>
      <c r="K571" t="inlineStr">
        <is>
          <t>SEND</t>
        </is>
      </c>
    </row>
    <row r="572">
      <c r="A572" t="inlineStr">
        <is>
          <t>Maria Teresa</t>
        </is>
      </c>
      <c r="B572" t="inlineStr">
        <is>
          <t>+5511984575803</t>
        </is>
      </c>
      <c r="C572" t="inlineStr">
        <is>
          <t>Refill</t>
        </is>
      </c>
      <c r="D572" t="inlineStr">
        <is>
          <t>Primer Liso</t>
        </is>
      </c>
      <c r="E572" t="n">
        <v>1</v>
      </c>
      <c r="F572" t="inlineStr">
        <is>
          <t>2025-09-21</t>
        </is>
      </c>
      <c r="G572" t="n">
        <v>286</v>
      </c>
      <c r="H572" t="inlineStr">
        <is>
          <t>Y</t>
        </is>
      </c>
      <c r="I572">
        <f>HYPERLINK("https://admin.shopify.com/store/ge-beauty-cosmeticos/customers/9486135787840","abrir")</f>
        <v/>
      </c>
      <c r="J572">
        <f>HYPERLINK("https://www.gebeauty.com.br/products/primer-liso-intacto?ref=review","review")</f>
        <v/>
      </c>
      <c r="K572" t="inlineStr">
        <is>
          <t>SEND</t>
        </is>
      </c>
    </row>
    <row r="573">
      <c r="A573" t="inlineStr">
        <is>
          <t>Thalita</t>
        </is>
      </c>
      <c r="B573" t="inlineStr">
        <is>
          <t>+5519997353428</t>
        </is>
      </c>
      <c r="C573" t="inlineStr">
        <is>
          <t>Refill</t>
        </is>
      </c>
      <c r="D573" t="inlineStr">
        <is>
          <t>Primer Liso</t>
        </is>
      </c>
      <c r="E573" t="n">
        <v>1</v>
      </c>
      <c r="F573" t="inlineStr">
        <is>
          <t>2025-09-21</t>
        </is>
      </c>
      <c r="G573" t="n">
        <v>286</v>
      </c>
      <c r="H573" t="inlineStr">
        <is>
          <t>Y</t>
        </is>
      </c>
      <c r="I573">
        <f>HYPERLINK("https://admin.shopify.com/store/ge-beauty-cosmeticos/customers/9681963974976","abrir")</f>
        <v/>
      </c>
      <c r="J573">
        <f>HYPERLINK("https://www.gebeauty.com.br/products/primer-liso-intacto?ref=review","review")</f>
        <v/>
      </c>
      <c r="K573" t="inlineStr">
        <is>
          <t>SEND</t>
        </is>
      </c>
    </row>
    <row r="574">
      <c r="A574" t="inlineStr">
        <is>
          <t>Fabian</t>
        </is>
      </c>
      <c r="B574" t="inlineStr">
        <is>
          <t>+5511947149469</t>
        </is>
      </c>
      <c r="C574" t="inlineStr">
        <is>
          <t>Refill</t>
        </is>
      </c>
      <c r="D574" t="inlineStr">
        <is>
          <t>Primer Liso</t>
        </is>
      </c>
      <c r="E574" t="n">
        <v>1</v>
      </c>
      <c r="F574" t="inlineStr">
        <is>
          <t>2025-09-21</t>
        </is>
      </c>
      <c r="G574" t="n">
        <v>286</v>
      </c>
      <c r="H574" t="inlineStr">
        <is>
          <t>Y</t>
        </is>
      </c>
      <c r="I574">
        <f>HYPERLINK("https://admin.shopify.com/store/ge-beauty-cosmeticos/customers/9486445281600","abrir")</f>
        <v/>
      </c>
      <c r="J574">
        <f>HYPERLINK("https://www.gebeauty.com.br/products/primer-liso-intacto?ref=review","review")</f>
        <v/>
      </c>
      <c r="K574" t="inlineStr">
        <is>
          <t>SEND</t>
        </is>
      </c>
    </row>
    <row r="575">
      <c r="A575" t="inlineStr">
        <is>
          <t>Clara</t>
        </is>
      </c>
      <c r="B575" t="inlineStr">
        <is>
          <t>+5521994034205</t>
        </is>
      </c>
      <c r="C575" t="inlineStr">
        <is>
          <t>Refill</t>
        </is>
      </c>
      <c r="D575" t="inlineStr">
        <is>
          <t>Primer Liso</t>
        </is>
      </c>
      <c r="E575" t="n">
        <v>1</v>
      </c>
      <c r="F575" t="inlineStr">
        <is>
          <t>2025-09-22</t>
        </is>
      </c>
      <c r="G575" t="n">
        <v>285</v>
      </c>
      <c r="H575" t="inlineStr">
        <is>
          <t>Y</t>
        </is>
      </c>
      <c r="I575">
        <f>HYPERLINK("https://admin.shopify.com/store/ge-beauty-cosmeticos/customers/7760045113664","abrir")</f>
        <v/>
      </c>
      <c r="J575">
        <f>HYPERLINK("https://www.gebeauty.com.br/products/primer-liso-intacto?ref=review","review")</f>
        <v/>
      </c>
      <c r="K575" t="inlineStr">
        <is>
          <t>SEND</t>
        </is>
      </c>
    </row>
    <row r="576">
      <c r="A576" t="inlineStr">
        <is>
          <t>Tayssa</t>
        </is>
      </c>
      <c r="B576" t="inlineStr">
        <is>
          <t>+5562999822108</t>
        </is>
      </c>
      <c r="C576" t="inlineStr">
        <is>
          <t>Refill</t>
        </is>
      </c>
      <c r="D576" t="inlineStr">
        <is>
          <t>Primer Liso</t>
        </is>
      </c>
      <c r="E576" t="n">
        <v>1</v>
      </c>
      <c r="F576" t="inlineStr">
        <is>
          <t>2025-09-22</t>
        </is>
      </c>
      <c r="G576" t="n">
        <v>285</v>
      </c>
      <c r="H576" t="inlineStr">
        <is>
          <t>Y</t>
        </is>
      </c>
      <c r="I576">
        <f>HYPERLINK("https://admin.shopify.com/store/ge-beauty-cosmeticos/customers/9684005847360","abrir")</f>
        <v/>
      </c>
      <c r="J576">
        <f>HYPERLINK("https://www.gebeauty.com.br/products/primer-liso-intacto?ref=review","review")</f>
        <v/>
      </c>
      <c r="K576" t="inlineStr">
        <is>
          <t>SEND</t>
        </is>
      </c>
    </row>
    <row r="577">
      <c r="A577" t="inlineStr">
        <is>
          <t>Vicky</t>
        </is>
      </c>
      <c r="B577" t="inlineStr">
        <is>
          <t>+5521993263403</t>
        </is>
      </c>
      <c r="C577" t="inlineStr">
        <is>
          <t>Refill</t>
        </is>
      </c>
      <c r="D577" t="inlineStr">
        <is>
          <t>Primer Liso</t>
        </is>
      </c>
      <c r="E577" t="n">
        <v>1</v>
      </c>
      <c r="F577" t="inlineStr">
        <is>
          <t>2025-09-22</t>
        </is>
      </c>
      <c r="G577" t="n">
        <v>285</v>
      </c>
      <c r="H577" t="inlineStr">
        <is>
          <t>Y</t>
        </is>
      </c>
      <c r="I577">
        <f>HYPERLINK("https://admin.shopify.com/store/ge-beauty-cosmeticos/customers/9484530581824","abrir")</f>
        <v/>
      </c>
      <c r="J577">
        <f>HYPERLINK("https://www.gebeauty.com.br/products/primer-liso-intacto?ref=review","review")</f>
        <v/>
      </c>
      <c r="K577" t="inlineStr">
        <is>
          <t>SEND</t>
        </is>
      </c>
    </row>
    <row r="578">
      <c r="A578" t="inlineStr">
        <is>
          <t>Ana</t>
        </is>
      </c>
      <c r="B578" t="inlineStr">
        <is>
          <t>+5521998510102</t>
        </is>
      </c>
      <c r="C578" t="inlineStr">
        <is>
          <t>Refill</t>
        </is>
      </c>
      <c r="D578" t="inlineStr">
        <is>
          <t>Primer Liso</t>
        </is>
      </c>
      <c r="E578" t="n">
        <v>1</v>
      </c>
      <c r="F578" t="inlineStr">
        <is>
          <t>2025-09-22</t>
        </is>
      </c>
      <c r="G578" t="n">
        <v>285</v>
      </c>
      <c r="H578" t="inlineStr">
        <is>
          <t>Y</t>
        </is>
      </c>
      <c r="I578">
        <f>HYPERLINK("https://admin.shopify.com/store/ge-beauty-cosmeticos/customers/7761388798272","abrir")</f>
        <v/>
      </c>
      <c r="J578">
        <f>HYPERLINK("https://www.gebeauty.com.br/products/primer-liso-intacto?ref=review","review")</f>
        <v/>
      </c>
      <c r="K578" t="inlineStr">
        <is>
          <t>SEND</t>
        </is>
      </c>
    </row>
    <row r="579">
      <c r="A579" t="inlineStr">
        <is>
          <t>Cristiane</t>
        </is>
      </c>
      <c r="B579" t="inlineStr">
        <is>
          <t>+5513997117924</t>
        </is>
      </c>
      <c r="C579" t="inlineStr">
        <is>
          <t>Refill</t>
        </is>
      </c>
      <c r="D579" t="inlineStr">
        <is>
          <t>Primer Liso</t>
        </is>
      </c>
      <c r="E579" t="n">
        <v>1</v>
      </c>
      <c r="F579" t="inlineStr">
        <is>
          <t>2025-09-22</t>
        </is>
      </c>
      <c r="G579" t="n">
        <v>285</v>
      </c>
      <c r="H579" t="inlineStr">
        <is>
          <t>Y</t>
        </is>
      </c>
      <c r="I579">
        <f>HYPERLINK("https://admin.shopify.com/store/ge-beauty-cosmeticos/customers/9685634842944","abrir")</f>
        <v/>
      </c>
      <c r="J579">
        <f>HYPERLINK("https://www.gebeauty.com.br/products/primer-liso-intacto?ref=review","review")</f>
        <v/>
      </c>
      <c r="K579" t="inlineStr">
        <is>
          <t>SEND</t>
        </is>
      </c>
    </row>
    <row r="580">
      <c r="A580" t="inlineStr">
        <is>
          <t>Camila</t>
        </is>
      </c>
      <c r="B580" t="inlineStr">
        <is>
          <t>+5585996557536</t>
        </is>
      </c>
      <c r="C580" t="inlineStr">
        <is>
          <t>Refill</t>
        </is>
      </c>
      <c r="D580" t="inlineStr">
        <is>
          <t>Primer Liso</t>
        </is>
      </c>
      <c r="E580" t="n">
        <v>1</v>
      </c>
      <c r="F580" t="inlineStr">
        <is>
          <t>2025-09-23</t>
        </is>
      </c>
      <c r="G580" t="n">
        <v>284</v>
      </c>
      <c r="H580" t="inlineStr">
        <is>
          <t>Y</t>
        </is>
      </c>
      <c r="I580">
        <f>HYPERLINK("https://admin.shopify.com/store/ge-beauty-cosmeticos/customers/9685868282176","abrir")</f>
        <v/>
      </c>
      <c r="J580">
        <f>HYPERLINK("https://www.gebeauty.com.br/products/primer-liso-intacto?ref=review","review")</f>
        <v/>
      </c>
      <c r="K580" t="inlineStr">
        <is>
          <t>HOLDOUT</t>
        </is>
      </c>
    </row>
    <row r="581">
      <c r="A581" t="inlineStr">
        <is>
          <t>Bruna</t>
        </is>
      </c>
      <c r="B581" t="inlineStr">
        <is>
          <t>+5541999176747</t>
        </is>
      </c>
      <c r="C581" t="inlineStr">
        <is>
          <t>Refill</t>
        </is>
      </c>
      <c r="D581" t="inlineStr">
        <is>
          <t>Primer Liso</t>
        </is>
      </c>
      <c r="E581" t="n">
        <v>1</v>
      </c>
      <c r="F581" t="inlineStr">
        <is>
          <t>2025-09-23</t>
        </is>
      </c>
      <c r="G581" t="n">
        <v>284</v>
      </c>
      <c r="H581" t="inlineStr">
        <is>
          <t>Y</t>
        </is>
      </c>
      <c r="I581">
        <f>HYPERLINK("https://admin.shopify.com/store/ge-beauty-cosmeticos/customers/9687260660032","abrir")</f>
        <v/>
      </c>
      <c r="J581">
        <f>HYPERLINK("https://www.gebeauty.com.br/products/primer-liso-intacto?ref=review","review")</f>
        <v/>
      </c>
      <c r="K581" t="inlineStr">
        <is>
          <t>SEND</t>
        </is>
      </c>
    </row>
    <row r="582">
      <c r="A582" t="inlineStr">
        <is>
          <t>Claudia</t>
        </is>
      </c>
      <c r="B582" t="inlineStr">
        <is>
          <t>+5521988663484</t>
        </is>
      </c>
      <c r="C582" t="inlineStr">
        <is>
          <t>Refill</t>
        </is>
      </c>
      <c r="D582" t="inlineStr">
        <is>
          <t>Primer Liso</t>
        </is>
      </c>
      <c r="E582" t="n">
        <v>1</v>
      </c>
      <c r="F582" t="inlineStr">
        <is>
          <t>2025-09-23</t>
        </is>
      </c>
      <c r="G582" t="n">
        <v>284</v>
      </c>
      <c r="H582" t="inlineStr">
        <is>
          <t>Y</t>
        </is>
      </c>
      <c r="I582">
        <f>HYPERLINK("https://admin.shopify.com/store/ge-beauty-cosmeticos/customers/9687362601280","abrir")</f>
        <v/>
      </c>
      <c r="J582">
        <f>HYPERLINK("https://www.gebeauty.com.br/products/primer-liso-intacto?ref=review","review")</f>
        <v/>
      </c>
      <c r="K582" t="inlineStr">
        <is>
          <t>SEND</t>
        </is>
      </c>
    </row>
    <row r="583">
      <c r="A583" t="inlineStr">
        <is>
          <t>Catherine</t>
        </is>
      </c>
      <c r="B583" t="inlineStr">
        <is>
          <t>+5511940571505</t>
        </is>
      </c>
      <c r="C583" t="inlineStr">
        <is>
          <t>Refill</t>
        </is>
      </c>
      <c r="D583" t="inlineStr">
        <is>
          <t>Primer Liso</t>
        </is>
      </c>
      <c r="E583" t="n">
        <v>1</v>
      </c>
      <c r="F583" t="inlineStr">
        <is>
          <t>2025-09-23</t>
        </is>
      </c>
      <c r="G583" t="n">
        <v>284</v>
      </c>
      <c r="H583" t="inlineStr">
        <is>
          <t>Y</t>
        </is>
      </c>
      <c r="I583">
        <f>HYPERLINK("https://admin.shopify.com/store/ge-beauty-cosmeticos/customers/9669989499200","abrir")</f>
        <v/>
      </c>
      <c r="J583">
        <f>HYPERLINK("https://www.gebeauty.com.br/products/primer-liso-intacto?ref=review","review")</f>
        <v/>
      </c>
      <c r="K583" t="inlineStr">
        <is>
          <t>SEND</t>
        </is>
      </c>
    </row>
    <row r="584">
      <c r="A584" t="inlineStr">
        <is>
          <t>Ana</t>
        </is>
      </c>
      <c r="B584" t="inlineStr">
        <is>
          <t>+5511949954435</t>
        </is>
      </c>
      <c r="C584" t="inlineStr">
        <is>
          <t>Refill</t>
        </is>
      </c>
      <c r="D584" t="inlineStr">
        <is>
          <t>Primer Liso</t>
        </is>
      </c>
      <c r="E584" t="n">
        <v>1</v>
      </c>
      <c r="F584" t="inlineStr">
        <is>
          <t>2025-09-23</t>
        </is>
      </c>
      <c r="G584" t="n">
        <v>284</v>
      </c>
      <c r="H584" t="inlineStr">
        <is>
          <t>Y</t>
        </is>
      </c>
      <c r="I584">
        <f>HYPERLINK("https://admin.shopify.com/store/ge-beauty-cosmeticos/customers/9687598432576","abrir")</f>
        <v/>
      </c>
      <c r="J584">
        <f>HYPERLINK("https://www.gebeauty.com.br/products/primer-liso-intacto?ref=review","review")</f>
        <v/>
      </c>
      <c r="K584" t="inlineStr">
        <is>
          <t>SEND</t>
        </is>
      </c>
    </row>
    <row r="585">
      <c r="A585" t="inlineStr">
        <is>
          <t>Larissa</t>
        </is>
      </c>
      <c r="B585" t="inlineStr">
        <is>
          <t>+5521988678482</t>
        </is>
      </c>
      <c r="C585" t="inlineStr">
        <is>
          <t>Refill</t>
        </is>
      </c>
      <c r="D585" t="inlineStr">
        <is>
          <t>Primer Liso</t>
        </is>
      </c>
      <c r="E585" t="n">
        <v>1</v>
      </c>
      <c r="F585" t="inlineStr">
        <is>
          <t>2025-09-24</t>
        </is>
      </c>
      <c r="G585" t="n">
        <v>283</v>
      </c>
      <c r="H585" t="inlineStr">
        <is>
          <t>Y</t>
        </is>
      </c>
      <c r="I585">
        <f>HYPERLINK("https://admin.shopify.com/store/ge-beauty-cosmeticos/customers/9624074060096","abrir")</f>
        <v/>
      </c>
      <c r="J585">
        <f>HYPERLINK("https://www.gebeauty.com.br/products/primer-liso-intacto?ref=review","review")</f>
        <v/>
      </c>
      <c r="K585" t="inlineStr">
        <is>
          <t>SEND</t>
        </is>
      </c>
    </row>
    <row r="586">
      <c r="A586" t="inlineStr">
        <is>
          <t>Fernanda</t>
        </is>
      </c>
      <c r="B586" t="inlineStr">
        <is>
          <t>+5561981319849</t>
        </is>
      </c>
      <c r="C586" t="inlineStr">
        <is>
          <t>Refill</t>
        </is>
      </c>
      <c r="D586" t="inlineStr">
        <is>
          <t>Primer Liso</t>
        </is>
      </c>
      <c r="E586" t="n">
        <v>1</v>
      </c>
      <c r="F586" t="inlineStr">
        <is>
          <t>2025-09-24</t>
        </is>
      </c>
      <c r="G586" t="n">
        <v>283</v>
      </c>
      <c r="H586" t="inlineStr">
        <is>
          <t>Y</t>
        </is>
      </c>
      <c r="I586">
        <f>HYPERLINK("https://admin.shopify.com/store/ge-beauty-cosmeticos/customers/9689031868736","abrir")</f>
        <v/>
      </c>
      <c r="J586">
        <f>HYPERLINK("https://www.gebeauty.com.br/products/primer-liso-intacto?ref=review","review")</f>
        <v/>
      </c>
      <c r="K586" t="inlineStr">
        <is>
          <t>SEND</t>
        </is>
      </c>
    </row>
    <row r="587">
      <c r="A587" t="inlineStr">
        <is>
          <t>Andréa</t>
        </is>
      </c>
      <c r="B587" t="inlineStr">
        <is>
          <t>+5511997538775</t>
        </is>
      </c>
      <c r="C587" t="inlineStr">
        <is>
          <t>Refill</t>
        </is>
      </c>
      <c r="D587" t="inlineStr">
        <is>
          <t>Primer Liso</t>
        </is>
      </c>
      <c r="E587" t="n">
        <v>1</v>
      </c>
      <c r="F587" t="inlineStr">
        <is>
          <t>2025-09-24</t>
        </is>
      </c>
      <c r="G587" t="n">
        <v>283</v>
      </c>
      <c r="H587" t="inlineStr">
        <is>
          <t>Y</t>
        </is>
      </c>
      <c r="I587">
        <f>HYPERLINK("https://admin.shopify.com/store/ge-beauty-cosmeticos/customers/9689218810176","abrir")</f>
        <v/>
      </c>
      <c r="J587">
        <f>HYPERLINK("https://www.gebeauty.com.br/products/primer-liso-intacto?ref=review","review")</f>
        <v/>
      </c>
      <c r="K587" t="inlineStr">
        <is>
          <t>SEND</t>
        </is>
      </c>
    </row>
    <row r="588">
      <c r="A588" t="inlineStr">
        <is>
          <t>Marcela</t>
        </is>
      </c>
      <c r="B588" t="inlineStr">
        <is>
          <t>+5521976605765</t>
        </is>
      </c>
      <c r="C588" t="inlineStr">
        <is>
          <t>Refill</t>
        </is>
      </c>
      <c r="D588" t="inlineStr">
        <is>
          <t>Primer Liso</t>
        </is>
      </c>
      <c r="E588" t="n">
        <v>1</v>
      </c>
      <c r="F588" t="inlineStr">
        <is>
          <t>2025-09-24</t>
        </is>
      </c>
      <c r="G588" t="n">
        <v>283</v>
      </c>
      <c r="H588" t="inlineStr">
        <is>
          <t>Y</t>
        </is>
      </c>
      <c r="I588">
        <f>HYPERLINK("https://admin.shopify.com/store/ge-beauty-cosmeticos/customers/9689385763136","abrir")</f>
        <v/>
      </c>
      <c r="J588">
        <f>HYPERLINK("https://www.gebeauty.com.br/products/primer-liso-intacto?ref=review","review")</f>
        <v/>
      </c>
      <c r="K588" t="inlineStr">
        <is>
          <t>SEND</t>
        </is>
      </c>
    </row>
    <row r="589">
      <c r="A589" t="inlineStr">
        <is>
          <t>Nathalia</t>
        </is>
      </c>
      <c r="B589" t="inlineStr">
        <is>
          <t>+5531998143148</t>
        </is>
      </c>
      <c r="C589" t="inlineStr">
        <is>
          <t>Refill</t>
        </is>
      </c>
      <c r="D589" t="inlineStr">
        <is>
          <t>Primer Liso</t>
        </is>
      </c>
      <c r="E589" t="n">
        <v>1</v>
      </c>
      <c r="F589" t="inlineStr">
        <is>
          <t>2025-09-24</t>
        </is>
      </c>
      <c r="G589" t="n">
        <v>283</v>
      </c>
      <c r="H589" t="inlineStr">
        <is>
          <t>Y</t>
        </is>
      </c>
      <c r="I589">
        <f>HYPERLINK("https://admin.shopify.com/store/ge-beauty-cosmeticos/customers/9689555042624","abrir")</f>
        <v/>
      </c>
      <c r="J589">
        <f>HYPERLINK("https://www.gebeauty.com.br/products/primer-liso-intacto?ref=review","review")</f>
        <v/>
      </c>
      <c r="K589" t="inlineStr">
        <is>
          <t>SEND</t>
        </is>
      </c>
    </row>
    <row r="590">
      <c r="A590" t="inlineStr">
        <is>
          <t>Andreia</t>
        </is>
      </c>
      <c r="B590" t="inlineStr">
        <is>
          <t>+5511983081231</t>
        </is>
      </c>
      <c r="C590" t="inlineStr">
        <is>
          <t>Refill</t>
        </is>
      </c>
      <c r="D590" t="inlineStr">
        <is>
          <t>Primer Liso</t>
        </is>
      </c>
      <c r="E590" t="n">
        <v>1</v>
      </c>
      <c r="F590" t="inlineStr">
        <is>
          <t>2025-09-24</t>
        </is>
      </c>
      <c r="G590" t="n">
        <v>283</v>
      </c>
      <c r="H590" t="inlineStr">
        <is>
          <t>Y</t>
        </is>
      </c>
      <c r="I590">
        <f>HYPERLINK("https://admin.shopify.com/store/ge-beauty-cosmeticos/customers/8965947588928","abrir")</f>
        <v/>
      </c>
      <c r="J590">
        <f>HYPERLINK("https://www.gebeauty.com.br/products/primer-liso-intacto?ref=review","review")</f>
        <v/>
      </c>
      <c r="K590" t="inlineStr">
        <is>
          <t>SEND</t>
        </is>
      </c>
    </row>
    <row r="591">
      <c r="A591" t="inlineStr">
        <is>
          <t>Thais</t>
        </is>
      </c>
      <c r="B591" t="inlineStr">
        <is>
          <t>+5595981110273</t>
        </is>
      </c>
      <c r="C591" t="inlineStr">
        <is>
          <t>Refill</t>
        </is>
      </c>
      <c r="D591" t="inlineStr">
        <is>
          <t>Primer Liso</t>
        </is>
      </c>
      <c r="E591" t="n">
        <v>1</v>
      </c>
      <c r="F591" t="inlineStr">
        <is>
          <t>2025-09-25</t>
        </is>
      </c>
      <c r="G591" t="n">
        <v>282</v>
      </c>
      <c r="H591" t="inlineStr">
        <is>
          <t>Y</t>
        </is>
      </c>
      <c r="I591">
        <f>HYPERLINK("https://admin.shopify.com/store/ge-beauty-cosmeticos/customers/9022722670912","abrir")</f>
        <v/>
      </c>
      <c r="J591">
        <f>HYPERLINK("https://www.gebeauty.com.br/products/primer-liso-intacto?ref=review","review")</f>
        <v/>
      </c>
      <c r="K591" t="inlineStr">
        <is>
          <t>SEND</t>
        </is>
      </c>
    </row>
    <row r="592">
      <c r="A592" t="inlineStr">
        <is>
          <t>Paula</t>
        </is>
      </c>
      <c r="B592" t="inlineStr">
        <is>
          <t>+5511999412220</t>
        </is>
      </c>
      <c r="C592" t="inlineStr">
        <is>
          <t>Refill</t>
        </is>
      </c>
      <c r="D592" t="inlineStr">
        <is>
          <t>Primer Liso</t>
        </is>
      </c>
      <c r="E592" t="n">
        <v>1</v>
      </c>
      <c r="F592" t="inlineStr">
        <is>
          <t>2025-09-25</t>
        </is>
      </c>
      <c r="G592" t="n">
        <v>282</v>
      </c>
      <c r="H592" t="inlineStr">
        <is>
          <t>Y</t>
        </is>
      </c>
      <c r="I592">
        <f>HYPERLINK("https://admin.shopify.com/store/ge-beauty-cosmeticos/customers/9691875705152","abrir")</f>
        <v/>
      </c>
      <c r="J592">
        <f>HYPERLINK("https://www.gebeauty.com.br/products/primer-liso-intacto?ref=review","review")</f>
        <v/>
      </c>
      <c r="K592" t="inlineStr">
        <is>
          <t>SEND</t>
        </is>
      </c>
    </row>
    <row r="593">
      <c r="A593" t="inlineStr">
        <is>
          <t>Rita</t>
        </is>
      </c>
      <c r="B593" t="inlineStr">
        <is>
          <t>+5511995481112</t>
        </is>
      </c>
      <c r="C593" t="inlineStr">
        <is>
          <t>Refill</t>
        </is>
      </c>
      <c r="D593" t="inlineStr">
        <is>
          <t>Primer Liso</t>
        </is>
      </c>
      <c r="E593" t="n">
        <v>1</v>
      </c>
      <c r="F593" t="inlineStr">
        <is>
          <t>2025-09-25</t>
        </is>
      </c>
      <c r="G593" t="n">
        <v>282</v>
      </c>
      <c r="H593" t="inlineStr">
        <is>
          <t>Y</t>
        </is>
      </c>
      <c r="I593">
        <f>HYPERLINK("https://admin.shopify.com/store/ge-beauty-cosmeticos/customers/9672135934272","abrir")</f>
        <v/>
      </c>
      <c r="J593">
        <f>HYPERLINK("https://www.gebeauty.com.br/products/primer-liso-intacto?ref=review","review")</f>
        <v/>
      </c>
      <c r="K593" t="inlineStr">
        <is>
          <t>SEND</t>
        </is>
      </c>
    </row>
    <row r="594">
      <c r="A594" t="inlineStr">
        <is>
          <t>Juliana</t>
        </is>
      </c>
      <c r="B594" t="inlineStr">
        <is>
          <t>+5519982938079</t>
        </is>
      </c>
      <c r="C594" t="inlineStr">
        <is>
          <t>Refill</t>
        </is>
      </c>
      <c r="D594" t="inlineStr">
        <is>
          <t>Primer Liso</t>
        </is>
      </c>
      <c r="E594" t="n">
        <v>1</v>
      </c>
      <c r="F594" t="inlineStr">
        <is>
          <t>2025-09-26</t>
        </is>
      </c>
      <c r="G594" t="n">
        <v>281</v>
      </c>
      <c r="H594" t="inlineStr">
        <is>
          <t>Y</t>
        </is>
      </c>
      <c r="I594">
        <f>HYPERLINK("https://admin.shopify.com/store/ge-beauty-cosmeticos/customers/9693790241088","abrir")</f>
        <v/>
      </c>
      <c r="J594">
        <f>HYPERLINK("https://www.gebeauty.com.br/products/primer-liso-intacto?ref=review","review")</f>
        <v/>
      </c>
      <c r="K594" t="inlineStr">
        <is>
          <t>SEND</t>
        </is>
      </c>
    </row>
    <row r="595">
      <c r="A595" t="inlineStr">
        <is>
          <t>Bárbara</t>
        </is>
      </c>
      <c r="B595" t="inlineStr">
        <is>
          <t>+5561998161004</t>
        </is>
      </c>
      <c r="C595" t="inlineStr">
        <is>
          <t>Refill</t>
        </is>
      </c>
      <c r="D595" t="inlineStr">
        <is>
          <t>Primer Liso</t>
        </is>
      </c>
      <c r="E595" t="n">
        <v>1</v>
      </c>
      <c r="F595" t="inlineStr">
        <is>
          <t>2025-09-26</t>
        </is>
      </c>
      <c r="G595" t="n">
        <v>281</v>
      </c>
      <c r="H595" t="inlineStr">
        <is>
          <t>Y</t>
        </is>
      </c>
      <c r="I595">
        <f>HYPERLINK("https://admin.shopify.com/store/ge-beauty-cosmeticos/customers/9485524762944","abrir")</f>
        <v/>
      </c>
      <c r="J595">
        <f>HYPERLINK("https://www.gebeauty.com.br/products/primer-liso-intacto?ref=review","review")</f>
        <v/>
      </c>
      <c r="K595" t="inlineStr">
        <is>
          <t>SEND</t>
        </is>
      </c>
    </row>
    <row r="596">
      <c r="A596" t="inlineStr">
        <is>
          <t>Wangna</t>
        </is>
      </c>
      <c r="B596" t="inlineStr">
        <is>
          <t>+5511995767759</t>
        </is>
      </c>
      <c r="C596" t="inlineStr">
        <is>
          <t>Refill</t>
        </is>
      </c>
      <c r="D596" t="inlineStr">
        <is>
          <t>Primer Liso</t>
        </is>
      </c>
      <c r="E596" t="n">
        <v>1</v>
      </c>
      <c r="F596" t="inlineStr">
        <is>
          <t>2025-09-26</t>
        </is>
      </c>
      <c r="G596" t="n">
        <v>281</v>
      </c>
      <c r="H596" t="inlineStr">
        <is>
          <t>Y</t>
        </is>
      </c>
      <c r="I596">
        <f>HYPERLINK("https://admin.shopify.com/store/ge-beauty-cosmeticos/customers/9699334750528","abrir")</f>
        <v/>
      </c>
      <c r="J596">
        <f>HYPERLINK("https://www.gebeauty.com.br/products/primer-liso-intacto?ref=review","review")</f>
        <v/>
      </c>
      <c r="K596" t="inlineStr">
        <is>
          <t>SEND</t>
        </is>
      </c>
    </row>
    <row r="597">
      <c r="A597" t="inlineStr">
        <is>
          <t>Mariana</t>
        </is>
      </c>
      <c r="B597" t="inlineStr">
        <is>
          <t>+5511970722906</t>
        </is>
      </c>
      <c r="C597" t="inlineStr">
        <is>
          <t>Refill</t>
        </is>
      </c>
      <c r="D597" t="inlineStr">
        <is>
          <t>Primer Liso</t>
        </is>
      </c>
      <c r="E597" t="n">
        <v>1</v>
      </c>
      <c r="F597" t="inlineStr">
        <is>
          <t>2025-09-26</t>
        </is>
      </c>
      <c r="G597" t="n">
        <v>281</v>
      </c>
      <c r="H597" t="inlineStr">
        <is>
          <t>Y</t>
        </is>
      </c>
      <c r="I597">
        <f>HYPERLINK("https://admin.shopify.com/store/ge-beauty-cosmeticos/customers/8618445078848","abrir")</f>
        <v/>
      </c>
      <c r="J597">
        <f>HYPERLINK("https://www.gebeauty.com.br/products/primer-liso-intacto?ref=review","review")</f>
        <v/>
      </c>
      <c r="K597" t="inlineStr">
        <is>
          <t>SEND</t>
        </is>
      </c>
    </row>
    <row r="598">
      <c r="A598" t="inlineStr">
        <is>
          <t>Larissa</t>
        </is>
      </c>
      <c r="B598" t="inlineStr">
        <is>
          <t>+5511985483187</t>
        </is>
      </c>
      <c r="C598" t="inlineStr">
        <is>
          <t>Refill</t>
        </is>
      </c>
      <c r="D598" t="inlineStr">
        <is>
          <t>Primer Liso</t>
        </is>
      </c>
      <c r="E598" t="n">
        <v>1</v>
      </c>
      <c r="F598" t="inlineStr">
        <is>
          <t>2025-09-26</t>
        </is>
      </c>
      <c r="G598" t="n">
        <v>281</v>
      </c>
      <c r="H598" t="inlineStr">
        <is>
          <t>Y</t>
        </is>
      </c>
      <c r="I598">
        <f>HYPERLINK("https://admin.shopify.com/store/ge-beauty-cosmeticos/customers/8322256011584","abrir")</f>
        <v/>
      </c>
      <c r="J598">
        <f>HYPERLINK("https://www.gebeauty.com.br/products/primer-liso-intacto?ref=review","review")</f>
        <v/>
      </c>
      <c r="K598" t="inlineStr">
        <is>
          <t>SEND</t>
        </is>
      </c>
    </row>
    <row r="599">
      <c r="A599" t="inlineStr">
        <is>
          <t>Carla</t>
        </is>
      </c>
      <c r="B599" t="inlineStr">
        <is>
          <t>+5521980119236</t>
        </is>
      </c>
      <c r="C599" t="inlineStr">
        <is>
          <t>Refill</t>
        </is>
      </c>
      <c r="D599" t="inlineStr">
        <is>
          <t>Primer Liso</t>
        </is>
      </c>
      <c r="E599" t="n">
        <v>1</v>
      </c>
      <c r="F599" t="inlineStr">
        <is>
          <t>2025-09-26</t>
        </is>
      </c>
      <c r="G599" t="n">
        <v>281</v>
      </c>
      <c r="H599" t="inlineStr">
        <is>
          <t>Y</t>
        </is>
      </c>
      <c r="I599">
        <f>HYPERLINK("https://admin.shopify.com/store/ge-beauty-cosmeticos/customers/9699573694784","abrir")</f>
        <v/>
      </c>
      <c r="J599">
        <f>HYPERLINK("https://www.gebeauty.com.br/products/primer-liso-intacto?ref=review","review")</f>
        <v/>
      </c>
      <c r="K599" t="inlineStr">
        <is>
          <t>SEND</t>
        </is>
      </c>
    </row>
    <row r="600">
      <c r="A600" t="inlineStr">
        <is>
          <t>Ana Paula</t>
        </is>
      </c>
      <c r="B600" t="inlineStr">
        <is>
          <t>+5521981645515</t>
        </is>
      </c>
      <c r="C600" t="inlineStr">
        <is>
          <t>Refill</t>
        </is>
      </c>
      <c r="D600" t="inlineStr">
        <is>
          <t>Primer Liso</t>
        </is>
      </c>
      <c r="E600" t="n">
        <v>1</v>
      </c>
      <c r="F600" t="inlineStr">
        <is>
          <t>2025-09-26</t>
        </is>
      </c>
      <c r="G600" t="n">
        <v>281</v>
      </c>
      <c r="H600" t="inlineStr">
        <is>
          <t>Y</t>
        </is>
      </c>
      <c r="I600">
        <f>HYPERLINK("https://admin.shopify.com/store/ge-beauty-cosmeticos/customers/9699755065664","abrir")</f>
        <v/>
      </c>
      <c r="J600">
        <f>HYPERLINK("https://www.gebeauty.com.br/products/primer-liso-intacto?ref=review","review")</f>
        <v/>
      </c>
      <c r="K600" t="inlineStr">
        <is>
          <t>SEND</t>
        </is>
      </c>
    </row>
    <row r="601">
      <c r="A601" t="inlineStr">
        <is>
          <t>Thainá</t>
        </is>
      </c>
      <c r="B601" t="inlineStr">
        <is>
          <t>+5511998000783</t>
        </is>
      </c>
      <c r="C601" t="inlineStr">
        <is>
          <t>Refill</t>
        </is>
      </c>
      <c r="D601" t="inlineStr">
        <is>
          <t>Primer Liso</t>
        </is>
      </c>
      <c r="E601" t="n">
        <v>1</v>
      </c>
      <c r="F601" t="inlineStr">
        <is>
          <t>2025-09-26</t>
        </is>
      </c>
      <c r="G601" t="n">
        <v>281</v>
      </c>
      <c r="H601" t="inlineStr">
        <is>
          <t>Y</t>
        </is>
      </c>
      <c r="I601">
        <f>HYPERLINK("https://admin.shopify.com/store/ge-beauty-cosmeticos/customers/8131086188864","abrir")</f>
        <v/>
      </c>
      <c r="J601">
        <f>HYPERLINK("https://www.gebeauty.com.br/products/primer-liso-intacto?ref=review","review")</f>
        <v/>
      </c>
      <c r="K601" t="inlineStr">
        <is>
          <t>SEND</t>
        </is>
      </c>
    </row>
    <row r="602">
      <c r="A602" t="inlineStr">
        <is>
          <t>Flávia</t>
        </is>
      </c>
      <c r="B602" t="inlineStr">
        <is>
          <t>+5562982123808</t>
        </is>
      </c>
      <c r="C602" t="inlineStr">
        <is>
          <t>Refill</t>
        </is>
      </c>
      <c r="D602" t="inlineStr">
        <is>
          <t>Primer Liso</t>
        </is>
      </c>
      <c r="E602" t="n">
        <v>1</v>
      </c>
      <c r="F602" t="inlineStr">
        <is>
          <t>2025-09-26</t>
        </is>
      </c>
      <c r="G602" t="n">
        <v>281</v>
      </c>
      <c r="H602" t="inlineStr">
        <is>
          <t>Y</t>
        </is>
      </c>
      <c r="I602">
        <f>HYPERLINK("https://admin.shopify.com/store/ge-beauty-cosmeticos/customers/8806735577408","abrir")</f>
        <v/>
      </c>
      <c r="J602">
        <f>HYPERLINK("https://www.gebeauty.com.br/products/primer-liso-intacto?ref=review","review")</f>
        <v/>
      </c>
      <c r="K602" t="inlineStr">
        <is>
          <t>SEND</t>
        </is>
      </c>
    </row>
    <row r="603">
      <c r="A603" t="inlineStr">
        <is>
          <t>Veronica</t>
        </is>
      </c>
      <c r="B603" t="inlineStr">
        <is>
          <t>+5513997434343</t>
        </is>
      </c>
      <c r="C603" t="inlineStr">
        <is>
          <t>Refill</t>
        </is>
      </c>
      <c r="D603" t="inlineStr">
        <is>
          <t>Primer Liso</t>
        </is>
      </c>
      <c r="E603" t="n">
        <v>1</v>
      </c>
      <c r="F603" t="inlineStr">
        <is>
          <t>2025-09-26</t>
        </is>
      </c>
      <c r="G603" t="n">
        <v>281</v>
      </c>
      <c r="H603" t="inlineStr">
        <is>
          <t>Y</t>
        </is>
      </c>
      <c r="I603">
        <f>HYPERLINK("https://admin.shopify.com/store/ge-beauty-cosmeticos/customers/9699999154496","abrir")</f>
        <v/>
      </c>
      <c r="J603">
        <f>HYPERLINK("https://www.gebeauty.com.br/products/primer-liso-intacto?ref=review","review")</f>
        <v/>
      </c>
      <c r="K603" t="inlineStr">
        <is>
          <t>SEND</t>
        </is>
      </c>
    </row>
    <row r="604">
      <c r="A604" t="inlineStr">
        <is>
          <t>Yana</t>
        </is>
      </c>
      <c r="B604" t="inlineStr">
        <is>
          <t>+5511954399874</t>
        </is>
      </c>
      <c r="C604" t="inlineStr">
        <is>
          <t>Refill</t>
        </is>
      </c>
      <c r="D604" t="inlineStr">
        <is>
          <t>Primer Liso</t>
        </is>
      </c>
      <c r="E604" t="n">
        <v>1</v>
      </c>
      <c r="F604" t="inlineStr">
        <is>
          <t>2025-09-26</t>
        </is>
      </c>
      <c r="G604" t="n">
        <v>281</v>
      </c>
      <c r="H604" t="inlineStr">
        <is>
          <t>Y</t>
        </is>
      </c>
      <c r="I604">
        <f>HYPERLINK("https://admin.shopify.com/store/ge-beauty-cosmeticos/customers/7762083807552","abrir")</f>
        <v/>
      </c>
      <c r="J604">
        <f>HYPERLINK("https://www.gebeauty.com.br/products/primer-liso-intacto?ref=review","review")</f>
        <v/>
      </c>
      <c r="K604" t="inlineStr">
        <is>
          <t>SEND</t>
        </is>
      </c>
    </row>
    <row r="605">
      <c r="A605" t="inlineStr">
        <is>
          <t>Gabriela</t>
        </is>
      </c>
      <c r="B605" t="inlineStr">
        <is>
          <t>+5585988151551</t>
        </is>
      </c>
      <c r="C605" t="inlineStr">
        <is>
          <t>Refill</t>
        </is>
      </c>
      <c r="D605" t="inlineStr">
        <is>
          <t>Primer Liso</t>
        </is>
      </c>
      <c r="E605" t="n">
        <v>1</v>
      </c>
      <c r="F605" t="inlineStr">
        <is>
          <t>2025-09-26</t>
        </is>
      </c>
      <c r="G605" t="n">
        <v>281</v>
      </c>
      <c r="H605" t="inlineStr">
        <is>
          <t>Y</t>
        </is>
      </c>
      <c r="I605">
        <f>HYPERLINK("https://admin.shopify.com/store/ge-beauty-cosmeticos/customers/9492542718272","abrir")</f>
        <v/>
      </c>
      <c r="J605">
        <f>HYPERLINK("https://www.gebeauty.com.br/products/primer-liso-intacto?ref=review","review")</f>
        <v/>
      </c>
      <c r="K605" t="inlineStr">
        <is>
          <t>SEND</t>
        </is>
      </c>
    </row>
    <row r="606">
      <c r="A606" t="inlineStr">
        <is>
          <t>Luciana</t>
        </is>
      </c>
      <c r="B606" t="inlineStr">
        <is>
          <t>+5511917328448</t>
        </is>
      </c>
      <c r="C606" t="inlineStr">
        <is>
          <t>Refill</t>
        </is>
      </c>
      <c r="D606" t="inlineStr">
        <is>
          <t>Primer Liso</t>
        </is>
      </c>
      <c r="E606" t="n">
        <v>1</v>
      </c>
      <c r="F606" t="inlineStr">
        <is>
          <t>2025-09-26</t>
        </is>
      </c>
      <c r="G606" t="n">
        <v>281</v>
      </c>
      <c r="H606" t="inlineStr">
        <is>
          <t>Y</t>
        </is>
      </c>
      <c r="I606">
        <f>HYPERLINK("https://admin.shopify.com/store/ge-beauty-cosmeticos/customers/9700156080448","abrir")</f>
        <v/>
      </c>
      <c r="J606">
        <f>HYPERLINK("https://www.gebeauty.com.br/products/primer-liso-intacto?ref=review","review")</f>
        <v/>
      </c>
      <c r="K606" t="inlineStr">
        <is>
          <t>HOLDOUT</t>
        </is>
      </c>
    </row>
    <row r="607">
      <c r="A607" t="inlineStr">
        <is>
          <t>Camila</t>
        </is>
      </c>
      <c r="B607" t="inlineStr">
        <is>
          <t>+5511992457007</t>
        </is>
      </c>
      <c r="C607" t="inlineStr">
        <is>
          <t>Refill</t>
        </is>
      </c>
      <c r="D607" t="inlineStr">
        <is>
          <t>Primer Liso</t>
        </is>
      </c>
      <c r="E607" t="n">
        <v>1</v>
      </c>
      <c r="F607" t="inlineStr">
        <is>
          <t>2025-09-26</t>
        </is>
      </c>
      <c r="G607" t="n">
        <v>281</v>
      </c>
      <c r="H607" t="inlineStr">
        <is>
          <t>Y</t>
        </is>
      </c>
      <c r="I607">
        <f>HYPERLINK("https://admin.shopify.com/store/ge-beauty-cosmeticos/customers/8495588344128","abrir")</f>
        <v/>
      </c>
      <c r="J607">
        <f>HYPERLINK("https://www.gebeauty.com.br/products/primer-liso-intacto?ref=review","review")</f>
        <v/>
      </c>
      <c r="K607" t="inlineStr">
        <is>
          <t>HOLDOUT</t>
        </is>
      </c>
    </row>
    <row r="608">
      <c r="A608" t="inlineStr">
        <is>
          <t>Erick</t>
        </is>
      </c>
      <c r="B608" t="inlineStr">
        <is>
          <t>+5591991123399</t>
        </is>
      </c>
      <c r="C608" t="inlineStr">
        <is>
          <t>Refill</t>
        </is>
      </c>
      <c r="D608" t="inlineStr">
        <is>
          <t>Primer Liso</t>
        </is>
      </c>
      <c r="E608" t="n">
        <v>1</v>
      </c>
      <c r="F608" t="inlineStr">
        <is>
          <t>2025-09-27</t>
        </is>
      </c>
      <c r="G608" t="n">
        <v>280</v>
      </c>
      <c r="H608" t="inlineStr">
        <is>
          <t>Y</t>
        </is>
      </c>
      <c r="I608">
        <f>HYPERLINK("https://admin.shopify.com/store/ge-beauty-cosmeticos/customers/9418099917120","abrir")</f>
        <v/>
      </c>
      <c r="J608">
        <f>HYPERLINK("https://www.gebeauty.com.br/products/primer-liso-intacto?ref=review","review")</f>
        <v/>
      </c>
      <c r="K608" t="inlineStr">
        <is>
          <t>SEND</t>
        </is>
      </c>
    </row>
    <row r="609">
      <c r="A609" t="inlineStr">
        <is>
          <t>Heloisa Beatriz</t>
        </is>
      </c>
      <c r="B609" t="inlineStr">
        <is>
          <t>+5562999517060</t>
        </is>
      </c>
      <c r="C609" t="inlineStr">
        <is>
          <t>Refill</t>
        </is>
      </c>
      <c r="D609" t="inlineStr">
        <is>
          <t>Primer Liso</t>
        </is>
      </c>
      <c r="E609" t="n">
        <v>1</v>
      </c>
      <c r="F609" t="inlineStr">
        <is>
          <t>2025-09-27</t>
        </is>
      </c>
      <c r="G609" t="n">
        <v>280</v>
      </c>
      <c r="H609" t="inlineStr">
        <is>
          <t>Y</t>
        </is>
      </c>
      <c r="I609">
        <f>HYPERLINK("https://admin.shopify.com/store/ge-beauty-cosmeticos/customers/9701920375104","abrir")</f>
        <v/>
      </c>
      <c r="J609">
        <f>HYPERLINK("https://www.gebeauty.com.br/products/primer-liso-intacto?ref=review","review")</f>
        <v/>
      </c>
      <c r="K609" t="inlineStr">
        <is>
          <t>SEND</t>
        </is>
      </c>
    </row>
    <row r="610">
      <c r="A610" t="inlineStr">
        <is>
          <t>Michelle</t>
        </is>
      </c>
      <c r="B610" t="inlineStr">
        <is>
          <t>+5531998831757</t>
        </is>
      </c>
      <c r="C610" t="inlineStr">
        <is>
          <t>Refill</t>
        </is>
      </c>
      <c r="D610" t="inlineStr">
        <is>
          <t>Primer Liso</t>
        </is>
      </c>
      <c r="E610" t="n">
        <v>1</v>
      </c>
      <c r="F610" t="inlineStr">
        <is>
          <t>2025-09-27</t>
        </is>
      </c>
      <c r="G610" t="n">
        <v>280</v>
      </c>
      <c r="H610" t="inlineStr">
        <is>
          <t>Y</t>
        </is>
      </c>
      <c r="I610">
        <f>HYPERLINK("https://admin.shopify.com/store/ge-beauty-cosmeticos/customers/9702068683072","abrir")</f>
        <v/>
      </c>
      <c r="J610">
        <f>HYPERLINK("https://www.gebeauty.com.br/products/primer-liso-intacto?ref=review","review")</f>
        <v/>
      </c>
      <c r="K610" t="inlineStr">
        <is>
          <t>SEND</t>
        </is>
      </c>
    </row>
    <row r="611">
      <c r="A611" t="inlineStr">
        <is>
          <t>Bruna</t>
        </is>
      </c>
      <c r="B611" t="inlineStr">
        <is>
          <t>+5521982515067</t>
        </is>
      </c>
      <c r="C611" t="inlineStr">
        <is>
          <t>Refill</t>
        </is>
      </c>
      <c r="D611" t="inlineStr">
        <is>
          <t>Primer Liso</t>
        </is>
      </c>
      <c r="E611" t="n">
        <v>1</v>
      </c>
      <c r="F611" t="inlineStr">
        <is>
          <t>2025-09-27</t>
        </is>
      </c>
      <c r="G611" t="n">
        <v>280</v>
      </c>
      <c r="H611" t="inlineStr">
        <is>
          <t>Y</t>
        </is>
      </c>
      <c r="I611">
        <f>HYPERLINK("https://admin.shopify.com/store/ge-beauty-cosmeticos/customers/9646504804672","abrir")</f>
        <v/>
      </c>
      <c r="J611">
        <f>HYPERLINK("https://www.gebeauty.com.br/products/primer-liso-intacto?ref=review","review")</f>
        <v/>
      </c>
      <c r="K611" t="inlineStr">
        <is>
          <t>HOLDOUT</t>
        </is>
      </c>
    </row>
    <row r="612">
      <c r="A612" t="inlineStr">
        <is>
          <t>Jeanne</t>
        </is>
      </c>
      <c r="B612" t="inlineStr">
        <is>
          <t>+5584981269587</t>
        </is>
      </c>
      <c r="C612" t="inlineStr">
        <is>
          <t>Refill</t>
        </is>
      </c>
      <c r="D612" t="inlineStr">
        <is>
          <t>Primer Liso</t>
        </is>
      </c>
      <c r="E612" t="n">
        <v>1</v>
      </c>
      <c r="F612" t="inlineStr">
        <is>
          <t>2025-09-27</t>
        </is>
      </c>
      <c r="G612" t="n">
        <v>280</v>
      </c>
      <c r="H612" t="inlineStr">
        <is>
          <t>Y</t>
        </is>
      </c>
      <c r="I612">
        <f>HYPERLINK("https://admin.shopify.com/store/ge-beauty-cosmeticos/customers/9390325956928","abrir")</f>
        <v/>
      </c>
      <c r="J612">
        <f>HYPERLINK("https://www.gebeauty.com.br/products/primer-liso-intacto?ref=review","review")</f>
        <v/>
      </c>
      <c r="K612" t="inlineStr">
        <is>
          <t>SEND</t>
        </is>
      </c>
    </row>
    <row r="613">
      <c r="A613" t="inlineStr">
        <is>
          <t>Lyane</t>
        </is>
      </c>
      <c r="B613" t="inlineStr">
        <is>
          <t>+5586999363941</t>
        </is>
      </c>
      <c r="C613" t="inlineStr">
        <is>
          <t>Refill</t>
        </is>
      </c>
      <c r="D613" t="inlineStr">
        <is>
          <t>Primer Liso</t>
        </is>
      </c>
      <c r="E613" t="n">
        <v>1</v>
      </c>
      <c r="F613" t="inlineStr">
        <is>
          <t>2025-09-27</t>
        </is>
      </c>
      <c r="G613" t="n">
        <v>280</v>
      </c>
      <c r="H613" t="inlineStr">
        <is>
          <t>Y</t>
        </is>
      </c>
      <c r="I613">
        <f>HYPERLINK("https://admin.shopify.com/store/ge-beauty-cosmeticos/customers/9702969147712","abrir")</f>
        <v/>
      </c>
      <c r="J613">
        <f>HYPERLINK("https://www.gebeauty.com.br/products/primer-liso-intacto?ref=review","review")</f>
        <v/>
      </c>
      <c r="K613" t="inlineStr">
        <is>
          <t>SEND</t>
        </is>
      </c>
    </row>
    <row r="614">
      <c r="A614" t="inlineStr">
        <is>
          <t>Mariana</t>
        </is>
      </c>
      <c r="B614" t="inlineStr">
        <is>
          <t>+5561984454399</t>
        </is>
      </c>
      <c r="C614" t="inlineStr">
        <is>
          <t>Refill</t>
        </is>
      </c>
      <c r="D614" t="inlineStr">
        <is>
          <t>Primer Liso</t>
        </is>
      </c>
      <c r="E614" t="n">
        <v>1</v>
      </c>
      <c r="F614" t="inlineStr">
        <is>
          <t>2025-09-27</t>
        </is>
      </c>
      <c r="G614" t="n">
        <v>280</v>
      </c>
      <c r="H614" t="inlineStr">
        <is>
          <t>Y</t>
        </is>
      </c>
      <c r="I614">
        <f>HYPERLINK("https://admin.shopify.com/store/ge-beauty-cosmeticos/customers/9703250657600","abrir")</f>
        <v/>
      </c>
      <c r="J614">
        <f>HYPERLINK("https://www.gebeauty.com.br/products/primer-liso-intacto?ref=review","review")</f>
        <v/>
      </c>
      <c r="K614" t="inlineStr">
        <is>
          <t>SEND</t>
        </is>
      </c>
    </row>
    <row r="615">
      <c r="A615" t="inlineStr">
        <is>
          <t>Fabiana</t>
        </is>
      </c>
      <c r="B615" t="inlineStr">
        <is>
          <t>+5531987516516</t>
        </is>
      </c>
      <c r="C615" t="inlineStr">
        <is>
          <t>Refill</t>
        </is>
      </c>
      <c r="D615" t="inlineStr">
        <is>
          <t>Primer Liso</t>
        </is>
      </c>
      <c r="E615" t="n">
        <v>1</v>
      </c>
      <c r="F615" t="inlineStr">
        <is>
          <t>2025-09-27</t>
        </is>
      </c>
      <c r="G615" t="n">
        <v>280</v>
      </c>
      <c r="H615" t="inlineStr">
        <is>
          <t>Y</t>
        </is>
      </c>
      <c r="I615">
        <f>HYPERLINK("https://admin.shopify.com/store/ge-beauty-cosmeticos/customers/9486058815808","abrir")</f>
        <v/>
      </c>
      <c r="J615">
        <f>HYPERLINK("https://www.gebeauty.com.br/products/primer-liso-intacto?ref=review","review")</f>
        <v/>
      </c>
      <c r="K615" t="inlineStr">
        <is>
          <t>SEND</t>
        </is>
      </c>
    </row>
    <row r="616">
      <c r="A616" t="inlineStr">
        <is>
          <t>Luiza</t>
        </is>
      </c>
      <c r="B616" t="inlineStr">
        <is>
          <t>+5527993282323</t>
        </is>
      </c>
      <c r="C616" t="inlineStr">
        <is>
          <t>Refill</t>
        </is>
      </c>
      <c r="D616" t="inlineStr">
        <is>
          <t>Primer Liso</t>
        </is>
      </c>
      <c r="E616" t="n">
        <v>1</v>
      </c>
      <c r="F616" t="inlineStr">
        <is>
          <t>2025-09-27</t>
        </is>
      </c>
      <c r="G616" t="n">
        <v>280</v>
      </c>
      <c r="H616" t="inlineStr">
        <is>
          <t>Y</t>
        </is>
      </c>
      <c r="I616">
        <f>HYPERLINK("https://admin.shopify.com/store/ge-beauty-cosmeticos/customers/9484628918592","abrir")</f>
        <v/>
      </c>
      <c r="J616">
        <f>HYPERLINK("https://www.gebeauty.com.br/products/primer-liso-intacto?ref=review","review")</f>
        <v/>
      </c>
      <c r="K616" t="inlineStr">
        <is>
          <t>SEND</t>
        </is>
      </c>
    </row>
    <row r="617">
      <c r="A617" t="inlineStr">
        <is>
          <t>Viviane</t>
        </is>
      </c>
      <c r="B617" t="inlineStr">
        <is>
          <t>+5581995081629</t>
        </is>
      </c>
      <c r="C617" t="inlineStr">
        <is>
          <t>Refill</t>
        </is>
      </c>
      <c r="D617" t="inlineStr">
        <is>
          <t>Primer Liso</t>
        </is>
      </c>
      <c r="E617" t="n">
        <v>1</v>
      </c>
      <c r="F617" t="inlineStr">
        <is>
          <t>2025-09-27</t>
        </is>
      </c>
      <c r="G617" t="n">
        <v>280</v>
      </c>
      <c r="H617" t="inlineStr">
        <is>
          <t>Y</t>
        </is>
      </c>
      <c r="I617">
        <f>HYPERLINK("https://admin.shopify.com/store/ge-beauty-cosmeticos/customers/9703411777856","abrir")</f>
        <v/>
      </c>
      <c r="J617">
        <f>HYPERLINK("https://www.gebeauty.com.br/products/primer-liso-intacto?ref=review","review")</f>
        <v/>
      </c>
      <c r="K617" t="inlineStr">
        <is>
          <t>SEND</t>
        </is>
      </c>
    </row>
    <row r="618">
      <c r="A618" t="inlineStr">
        <is>
          <t>Luana</t>
        </is>
      </c>
      <c r="B618" t="inlineStr">
        <is>
          <t>+5511991390699</t>
        </is>
      </c>
      <c r="C618" t="inlineStr">
        <is>
          <t>Refill</t>
        </is>
      </c>
      <c r="D618" t="inlineStr">
        <is>
          <t>Primer Liso</t>
        </is>
      </c>
      <c r="E618" t="n">
        <v>1</v>
      </c>
      <c r="F618" t="inlineStr">
        <is>
          <t>2025-09-27</t>
        </is>
      </c>
      <c r="G618" t="n">
        <v>280</v>
      </c>
      <c r="H618" t="inlineStr">
        <is>
          <t>Y</t>
        </is>
      </c>
      <c r="I618">
        <f>HYPERLINK("https://admin.shopify.com/store/ge-beauty-cosmeticos/customers/9703407190336","abrir")</f>
        <v/>
      </c>
      <c r="J618">
        <f>HYPERLINK("https://www.gebeauty.com.br/products/primer-liso-intacto?ref=review","review")</f>
        <v/>
      </c>
      <c r="K618" t="inlineStr">
        <is>
          <t>SEND</t>
        </is>
      </c>
    </row>
    <row r="619">
      <c r="A619" t="inlineStr">
        <is>
          <t>Graziela</t>
        </is>
      </c>
      <c r="B619" t="inlineStr">
        <is>
          <t>+5574991212505</t>
        </is>
      </c>
      <c r="C619" t="inlineStr">
        <is>
          <t>Refill</t>
        </is>
      </c>
      <c r="D619" t="inlineStr">
        <is>
          <t>Primer Liso</t>
        </is>
      </c>
      <c r="E619" t="n">
        <v>1</v>
      </c>
      <c r="F619" t="inlineStr">
        <is>
          <t>2025-09-27</t>
        </is>
      </c>
      <c r="G619" t="n">
        <v>280</v>
      </c>
      <c r="H619" t="inlineStr">
        <is>
          <t>Y</t>
        </is>
      </c>
      <c r="I619">
        <f>HYPERLINK("https://admin.shopify.com/store/ge-beauty-cosmeticos/customers/9703820001600","abrir")</f>
        <v/>
      </c>
      <c r="J619">
        <f>HYPERLINK("https://www.gebeauty.com.br/products/primer-liso-intacto?ref=review","review")</f>
        <v/>
      </c>
      <c r="K619" t="inlineStr">
        <is>
          <t>SEND</t>
        </is>
      </c>
    </row>
    <row r="620">
      <c r="A620" t="inlineStr">
        <is>
          <t>Fernanda</t>
        </is>
      </c>
      <c r="B620" t="inlineStr">
        <is>
          <t>+5511948999369</t>
        </is>
      </c>
      <c r="C620" t="inlineStr">
        <is>
          <t>Refill</t>
        </is>
      </c>
      <c r="D620" t="inlineStr">
        <is>
          <t>Primer Liso</t>
        </is>
      </c>
      <c r="E620" t="n">
        <v>1</v>
      </c>
      <c r="F620" t="inlineStr">
        <is>
          <t>2025-09-27</t>
        </is>
      </c>
      <c r="G620" t="n">
        <v>280</v>
      </c>
      <c r="H620" t="inlineStr">
        <is>
          <t>Y</t>
        </is>
      </c>
      <c r="I620">
        <f>HYPERLINK("https://admin.shopify.com/store/ge-beauty-cosmeticos/customers/8355928703296","abrir")</f>
        <v/>
      </c>
      <c r="J620">
        <f>HYPERLINK("https://www.gebeauty.com.br/products/primer-liso-intacto?ref=review","review")</f>
        <v/>
      </c>
      <c r="K620" t="inlineStr">
        <is>
          <t>HOLDOUT</t>
        </is>
      </c>
    </row>
    <row r="621">
      <c r="A621" t="inlineStr">
        <is>
          <t>Adriana</t>
        </is>
      </c>
      <c r="B621" t="inlineStr">
        <is>
          <t>+5535997482388</t>
        </is>
      </c>
      <c r="C621" t="inlineStr">
        <is>
          <t>Refill</t>
        </is>
      </c>
      <c r="D621" t="inlineStr">
        <is>
          <t>Primer Liso</t>
        </is>
      </c>
      <c r="E621" t="n">
        <v>1</v>
      </c>
      <c r="F621" t="inlineStr">
        <is>
          <t>2025-09-27</t>
        </is>
      </c>
      <c r="G621" t="n">
        <v>280</v>
      </c>
      <c r="H621" t="inlineStr">
        <is>
          <t>Y</t>
        </is>
      </c>
      <c r="I621">
        <f>HYPERLINK("https://admin.shopify.com/store/ge-beauty-cosmeticos/customers/9704292581696","abrir")</f>
        <v/>
      </c>
      <c r="J621">
        <f>HYPERLINK("https://www.gebeauty.com.br/products/primer-liso-intacto?ref=review","review")</f>
        <v/>
      </c>
      <c r="K621" t="inlineStr">
        <is>
          <t>SEND</t>
        </is>
      </c>
    </row>
    <row r="622">
      <c r="A622" t="inlineStr">
        <is>
          <t>Ana</t>
        </is>
      </c>
      <c r="B622" t="inlineStr">
        <is>
          <t>+5535999933754</t>
        </is>
      </c>
      <c r="C622" t="inlineStr">
        <is>
          <t>Refill</t>
        </is>
      </c>
      <c r="D622" t="inlineStr">
        <is>
          <t>Primer Liso</t>
        </is>
      </c>
      <c r="E622" t="n">
        <v>1</v>
      </c>
      <c r="F622" t="inlineStr">
        <is>
          <t>2025-09-27</t>
        </is>
      </c>
      <c r="G622" t="n">
        <v>280</v>
      </c>
      <c r="H622" t="inlineStr">
        <is>
          <t>Y</t>
        </is>
      </c>
      <c r="I622">
        <f>HYPERLINK("https://admin.shopify.com/store/ge-beauty-cosmeticos/customers/9704310767936","abrir")</f>
        <v/>
      </c>
      <c r="J622">
        <f>HYPERLINK("https://www.gebeauty.com.br/products/primer-liso-intacto?ref=review","review")</f>
        <v/>
      </c>
      <c r="K622" t="inlineStr">
        <is>
          <t>SEND</t>
        </is>
      </c>
    </row>
    <row r="623">
      <c r="A623" t="inlineStr">
        <is>
          <t>Kaysa</t>
        </is>
      </c>
      <c r="B623" t="inlineStr">
        <is>
          <t>+5565996355051</t>
        </is>
      </c>
      <c r="C623" t="inlineStr">
        <is>
          <t>Refill</t>
        </is>
      </c>
      <c r="D623" t="inlineStr">
        <is>
          <t>Primer Liso</t>
        </is>
      </c>
      <c r="E623" t="n">
        <v>1</v>
      </c>
      <c r="F623" t="inlineStr">
        <is>
          <t>2025-09-28</t>
        </is>
      </c>
      <c r="G623" t="n">
        <v>279</v>
      </c>
      <c r="H623" t="inlineStr">
        <is>
          <t>Y</t>
        </is>
      </c>
      <c r="I623">
        <f>HYPERLINK("https://admin.shopify.com/store/ge-beauty-cosmeticos/customers/9567495520576","abrir")</f>
        <v/>
      </c>
      <c r="J623">
        <f>HYPERLINK("https://www.gebeauty.com.br/products/primer-liso-intacto?ref=review","review")</f>
        <v/>
      </c>
      <c r="K623" t="inlineStr">
        <is>
          <t>SEND</t>
        </is>
      </c>
    </row>
    <row r="624">
      <c r="A624" t="inlineStr">
        <is>
          <t>Maria Eduarda</t>
        </is>
      </c>
      <c r="B624" t="inlineStr">
        <is>
          <t>+5521998808785</t>
        </is>
      </c>
      <c r="C624" t="inlineStr">
        <is>
          <t>Refill</t>
        </is>
      </c>
      <c r="D624" t="inlineStr">
        <is>
          <t>Primer Liso</t>
        </is>
      </c>
      <c r="E624" t="n">
        <v>1</v>
      </c>
      <c r="F624" t="inlineStr">
        <is>
          <t>2025-09-28</t>
        </is>
      </c>
      <c r="G624" t="n">
        <v>279</v>
      </c>
      <c r="H624" t="inlineStr">
        <is>
          <t>Y</t>
        </is>
      </c>
      <c r="I624">
        <f>HYPERLINK("https://admin.shopify.com/store/ge-beauty-cosmeticos/customers/9707056103744","abrir")</f>
        <v/>
      </c>
      <c r="J624">
        <f>HYPERLINK("https://www.gebeauty.com.br/products/primer-liso-intacto?ref=review","review")</f>
        <v/>
      </c>
      <c r="K624" t="inlineStr">
        <is>
          <t>SEND</t>
        </is>
      </c>
    </row>
    <row r="625">
      <c r="A625" t="inlineStr">
        <is>
          <t>Marina</t>
        </is>
      </c>
      <c r="B625" t="inlineStr">
        <is>
          <t>+5545991010712</t>
        </is>
      </c>
      <c r="C625" t="inlineStr">
        <is>
          <t>Refill</t>
        </is>
      </c>
      <c r="D625" t="inlineStr">
        <is>
          <t>Primer Liso</t>
        </is>
      </c>
      <c r="E625" t="n">
        <v>1</v>
      </c>
      <c r="F625" t="inlineStr">
        <is>
          <t>2025-09-28</t>
        </is>
      </c>
      <c r="G625" t="n">
        <v>279</v>
      </c>
      <c r="H625" t="inlineStr">
        <is>
          <t>Y</t>
        </is>
      </c>
      <c r="I625">
        <f>HYPERLINK("https://admin.shopify.com/store/ge-beauty-cosmeticos/customers/9707087429952","abrir")</f>
        <v/>
      </c>
      <c r="J625">
        <f>HYPERLINK("https://www.gebeauty.com.br/products/primer-liso-intacto?ref=review","review")</f>
        <v/>
      </c>
      <c r="K625" t="inlineStr">
        <is>
          <t>SEND</t>
        </is>
      </c>
    </row>
    <row r="626">
      <c r="A626" t="inlineStr">
        <is>
          <t>Marianna</t>
        </is>
      </c>
      <c r="B626" t="inlineStr">
        <is>
          <t>+5511982061998</t>
        </is>
      </c>
      <c r="C626" t="inlineStr">
        <is>
          <t>Refill</t>
        </is>
      </c>
      <c r="D626" t="inlineStr">
        <is>
          <t>Primer Liso</t>
        </is>
      </c>
      <c r="E626" t="n">
        <v>1</v>
      </c>
      <c r="F626" t="inlineStr">
        <is>
          <t>2025-09-28</t>
        </is>
      </c>
      <c r="G626" t="n">
        <v>279</v>
      </c>
      <c r="H626" t="inlineStr">
        <is>
          <t>Y</t>
        </is>
      </c>
      <c r="I626">
        <f>HYPERLINK("https://admin.shopify.com/store/ge-beauty-cosmeticos/customers/9707157881152","abrir")</f>
        <v/>
      </c>
      <c r="J626">
        <f>HYPERLINK("https://www.gebeauty.com.br/products/primer-liso-intacto?ref=review","review")</f>
        <v/>
      </c>
      <c r="K626" t="inlineStr">
        <is>
          <t>SEND</t>
        </is>
      </c>
    </row>
    <row r="627">
      <c r="A627" t="inlineStr">
        <is>
          <t>Samantha</t>
        </is>
      </c>
      <c r="B627" t="inlineStr">
        <is>
          <t>+5584988052928</t>
        </is>
      </c>
      <c r="C627" t="inlineStr">
        <is>
          <t>Refill</t>
        </is>
      </c>
      <c r="D627" t="inlineStr">
        <is>
          <t>Primer Liso</t>
        </is>
      </c>
      <c r="E627" t="n">
        <v>1</v>
      </c>
      <c r="F627" t="inlineStr">
        <is>
          <t>2025-09-28</t>
        </is>
      </c>
      <c r="G627" t="n">
        <v>279</v>
      </c>
      <c r="H627" t="inlineStr">
        <is>
          <t>Y</t>
        </is>
      </c>
      <c r="I627">
        <f>HYPERLINK("https://admin.shopify.com/store/ge-beauty-cosmeticos/customers/9707479204160","abrir")</f>
        <v/>
      </c>
      <c r="J627">
        <f>HYPERLINK("https://www.gebeauty.com.br/products/primer-liso-intacto?ref=review","review")</f>
        <v/>
      </c>
      <c r="K627" t="inlineStr">
        <is>
          <t>SEND</t>
        </is>
      </c>
    </row>
    <row r="628">
      <c r="A628" t="inlineStr">
        <is>
          <t>Geisla</t>
        </is>
      </c>
      <c r="B628" t="inlineStr">
        <is>
          <t>+5548999071920</t>
        </is>
      </c>
      <c r="C628" t="inlineStr">
        <is>
          <t>Refill</t>
        </is>
      </c>
      <c r="D628" t="inlineStr">
        <is>
          <t>Primer Liso</t>
        </is>
      </c>
      <c r="E628" t="n">
        <v>1</v>
      </c>
      <c r="F628" t="inlineStr">
        <is>
          <t>2025-09-28</t>
        </is>
      </c>
      <c r="G628" t="n">
        <v>279</v>
      </c>
      <c r="H628" t="inlineStr">
        <is>
          <t>Y</t>
        </is>
      </c>
      <c r="I628">
        <f>HYPERLINK("https://admin.shopify.com/store/ge-beauty-cosmeticos/customers/9708451037504","abrir")</f>
        <v/>
      </c>
      <c r="J628">
        <f>HYPERLINK("https://www.gebeauty.com.br/products/primer-liso-intacto?ref=review","review")</f>
        <v/>
      </c>
      <c r="K628" t="inlineStr">
        <is>
          <t>SEND</t>
        </is>
      </c>
    </row>
    <row r="629">
      <c r="A629" t="inlineStr">
        <is>
          <t>Gabriela</t>
        </is>
      </c>
      <c r="B629" t="inlineStr">
        <is>
          <t>+5531999921396</t>
        </is>
      </c>
      <c r="C629" t="inlineStr">
        <is>
          <t>Refill</t>
        </is>
      </c>
      <c r="D629" t="inlineStr">
        <is>
          <t>Primer Liso</t>
        </is>
      </c>
      <c r="E629" t="n">
        <v>1</v>
      </c>
      <c r="F629" t="inlineStr">
        <is>
          <t>2025-09-29</t>
        </is>
      </c>
      <c r="G629" t="n">
        <v>278</v>
      </c>
      <c r="H629" t="inlineStr">
        <is>
          <t>Y</t>
        </is>
      </c>
      <c r="I629">
        <f>HYPERLINK("https://admin.shopify.com/store/ge-beauty-cosmeticos/customers/9484516589888","abrir")</f>
        <v/>
      </c>
      <c r="J629">
        <f>HYPERLINK("https://www.gebeauty.com.br/products/primer-liso-intacto?ref=review","review")</f>
        <v/>
      </c>
      <c r="K629" t="inlineStr">
        <is>
          <t>SEND</t>
        </is>
      </c>
    </row>
    <row r="630">
      <c r="A630" t="inlineStr">
        <is>
          <t>Leticia</t>
        </is>
      </c>
      <c r="B630" t="inlineStr">
        <is>
          <t>+5531984865205</t>
        </is>
      </c>
      <c r="C630" t="inlineStr">
        <is>
          <t>Refill</t>
        </is>
      </c>
      <c r="D630" t="inlineStr">
        <is>
          <t>Primer Liso</t>
        </is>
      </c>
      <c r="E630" t="n">
        <v>1</v>
      </c>
      <c r="F630" t="inlineStr">
        <is>
          <t>2025-09-29</t>
        </is>
      </c>
      <c r="G630" t="n">
        <v>278</v>
      </c>
      <c r="H630" t="inlineStr">
        <is>
          <t>Y</t>
        </is>
      </c>
      <c r="I630">
        <f>HYPERLINK("https://admin.shopify.com/store/ge-beauty-cosmeticos/customers/9709343965504","abrir")</f>
        <v/>
      </c>
      <c r="J630">
        <f>HYPERLINK("https://www.gebeauty.com.br/products/primer-liso-intacto?ref=review","review")</f>
        <v/>
      </c>
      <c r="K630" t="inlineStr">
        <is>
          <t>SEND</t>
        </is>
      </c>
    </row>
    <row r="631">
      <c r="A631" t="inlineStr">
        <is>
          <t>Fernanda</t>
        </is>
      </c>
      <c r="B631" t="inlineStr">
        <is>
          <t>+5548996012120</t>
        </is>
      </c>
      <c r="C631" t="inlineStr">
        <is>
          <t>Refill</t>
        </is>
      </c>
      <c r="D631" t="inlineStr">
        <is>
          <t>Primer Liso</t>
        </is>
      </c>
      <c r="E631" t="n">
        <v>1</v>
      </c>
      <c r="F631" t="inlineStr">
        <is>
          <t>2025-09-29</t>
        </is>
      </c>
      <c r="G631" t="n">
        <v>278</v>
      </c>
      <c r="H631" t="inlineStr">
        <is>
          <t>Y</t>
        </is>
      </c>
      <c r="I631">
        <f>HYPERLINK("https://admin.shopify.com/store/ge-beauty-cosmeticos/customers/9713416307008","abrir")</f>
        <v/>
      </c>
      <c r="J631">
        <f>HYPERLINK("https://www.gebeauty.com.br/products/primer-liso-intacto?ref=review","review")</f>
        <v/>
      </c>
      <c r="K631" t="inlineStr">
        <is>
          <t>HOLDOUT</t>
        </is>
      </c>
    </row>
    <row r="632">
      <c r="A632" t="inlineStr">
        <is>
          <t>Kelly</t>
        </is>
      </c>
      <c r="B632" t="inlineStr">
        <is>
          <t>+5511992805149</t>
        </is>
      </c>
      <c r="C632" t="inlineStr">
        <is>
          <t>Refill</t>
        </is>
      </c>
      <c r="D632" t="inlineStr">
        <is>
          <t>Primer Liso</t>
        </is>
      </c>
      <c r="E632" t="n">
        <v>1</v>
      </c>
      <c r="F632" t="inlineStr">
        <is>
          <t>2025-09-29</t>
        </is>
      </c>
      <c r="G632" t="n">
        <v>278</v>
      </c>
      <c r="H632" t="inlineStr">
        <is>
          <t>Y</t>
        </is>
      </c>
      <c r="I632">
        <f>HYPERLINK("https://admin.shopify.com/store/ge-beauty-cosmeticos/customers/9714208964928","abrir")</f>
        <v/>
      </c>
      <c r="J632">
        <f>HYPERLINK("https://www.gebeauty.com.br/products/primer-liso-intacto?ref=review","review")</f>
        <v/>
      </c>
      <c r="K632" t="inlineStr">
        <is>
          <t>SEND</t>
        </is>
      </c>
    </row>
    <row r="633">
      <c r="A633" t="inlineStr">
        <is>
          <t>Jose</t>
        </is>
      </c>
      <c r="B633" t="inlineStr">
        <is>
          <t>+5543991071994</t>
        </is>
      </c>
      <c r="C633" t="inlineStr">
        <is>
          <t>Refill</t>
        </is>
      </c>
      <c r="D633" t="inlineStr">
        <is>
          <t>Primer Liso</t>
        </is>
      </c>
      <c r="E633" t="n">
        <v>1</v>
      </c>
      <c r="F633" t="inlineStr">
        <is>
          <t>2025-09-29</t>
        </is>
      </c>
      <c r="G633" t="n">
        <v>278</v>
      </c>
      <c r="H633" t="inlineStr">
        <is>
          <t>Y</t>
        </is>
      </c>
      <c r="I633">
        <f>HYPERLINK("https://admin.shopify.com/store/ge-beauty-cosmeticos/customers/9688830771520","abrir")</f>
        <v/>
      </c>
      <c r="J633">
        <f>HYPERLINK("https://www.gebeauty.com.br/products/primer-liso-intacto?ref=review","review")</f>
        <v/>
      </c>
      <c r="K633" t="inlineStr">
        <is>
          <t>SEND</t>
        </is>
      </c>
    </row>
    <row r="634">
      <c r="A634" t="inlineStr">
        <is>
          <t>Adriana</t>
        </is>
      </c>
      <c r="B634" t="inlineStr">
        <is>
          <t>+5511986874741</t>
        </is>
      </c>
      <c r="C634" t="inlineStr">
        <is>
          <t>Refill</t>
        </is>
      </c>
      <c r="D634" t="inlineStr">
        <is>
          <t>Primer Liso</t>
        </is>
      </c>
      <c r="E634" t="n">
        <v>1</v>
      </c>
      <c r="F634" t="inlineStr">
        <is>
          <t>2025-09-29</t>
        </is>
      </c>
      <c r="G634" t="n">
        <v>278</v>
      </c>
      <c r="H634" t="inlineStr">
        <is>
          <t>Y</t>
        </is>
      </c>
      <c r="I634">
        <f>HYPERLINK("https://admin.shopify.com/store/ge-beauty-cosmeticos/customers/9715573588288","abrir")</f>
        <v/>
      </c>
      <c r="J634">
        <f>HYPERLINK("https://www.gebeauty.com.br/products/primer-liso-intacto?ref=review","review")</f>
        <v/>
      </c>
      <c r="K634" t="inlineStr">
        <is>
          <t>SEND</t>
        </is>
      </c>
    </row>
    <row r="635">
      <c r="A635" t="inlineStr">
        <is>
          <t>Elcilaine</t>
        </is>
      </c>
      <c r="B635" t="inlineStr">
        <is>
          <t>+5532988392770</t>
        </is>
      </c>
      <c r="C635" t="inlineStr">
        <is>
          <t>Refill</t>
        </is>
      </c>
      <c r="D635" t="inlineStr">
        <is>
          <t>Primer Liso</t>
        </is>
      </c>
      <c r="E635" t="n">
        <v>1</v>
      </c>
      <c r="F635" t="inlineStr">
        <is>
          <t>2025-09-29</t>
        </is>
      </c>
      <c r="G635" t="n">
        <v>278</v>
      </c>
      <c r="H635" t="inlineStr">
        <is>
          <t>Y</t>
        </is>
      </c>
      <c r="I635">
        <f>HYPERLINK("https://admin.shopify.com/store/ge-beauty-cosmeticos/customers/7760247030080","abrir")</f>
        <v/>
      </c>
      <c r="J635">
        <f>HYPERLINK("https://www.gebeauty.com.br/products/primer-liso-intacto?ref=review","review")</f>
        <v/>
      </c>
      <c r="K635" t="inlineStr">
        <is>
          <t>SEND</t>
        </is>
      </c>
    </row>
    <row r="636">
      <c r="A636" t="inlineStr">
        <is>
          <t>Daniela</t>
        </is>
      </c>
      <c r="B636" t="inlineStr">
        <is>
          <t>+5515981169618</t>
        </is>
      </c>
      <c r="C636" t="inlineStr">
        <is>
          <t>Refill</t>
        </is>
      </c>
      <c r="D636" t="inlineStr">
        <is>
          <t>Primer Liso</t>
        </is>
      </c>
      <c r="E636" t="n">
        <v>1</v>
      </c>
      <c r="F636" t="inlineStr">
        <is>
          <t>2025-09-29</t>
        </is>
      </c>
      <c r="G636" t="n">
        <v>278</v>
      </c>
      <c r="H636" t="inlineStr">
        <is>
          <t>Y</t>
        </is>
      </c>
      <c r="I636">
        <f>HYPERLINK("https://admin.shopify.com/store/ge-beauty-cosmeticos/customers/9607550959936","abrir")</f>
        <v/>
      </c>
      <c r="J636">
        <f>HYPERLINK("https://www.gebeauty.com.br/products/primer-liso-intacto?ref=review","review")</f>
        <v/>
      </c>
      <c r="K636" t="inlineStr">
        <is>
          <t>SEND</t>
        </is>
      </c>
    </row>
    <row r="637">
      <c r="A637" t="inlineStr">
        <is>
          <t>Brenda</t>
        </is>
      </c>
      <c r="B637" t="inlineStr">
        <is>
          <t>+5581982205408</t>
        </is>
      </c>
      <c r="C637" t="inlineStr">
        <is>
          <t>Refill</t>
        </is>
      </c>
      <c r="D637" t="inlineStr">
        <is>
          <t>Primer Liso</t>
        </is>
      </c>
      <c r="E637" t="n">
        <v>1</v>
      </c>
      <c r="F637" t="inlineStr">
        <is>
          <t>2025-09-29</t>
        </is>
      </c>
      <c r="G637" t="n">
        <v>278</v>
      </c>
      <c r="H637" t="inlineStr">
        <is>
          <t>Y</t>
        </is>
      </c>
      <c r="I637">
        <f>HYPERLINK("https://admin.shopify.com/store/ge-beauty-cosmeticos/customers/9716062617920","abrir")</f>
        <v/>
      </c>
      <c r="J637">
        <f>HYPERLINK("https://www.gebeauty.com.br/products/primer-liso-intacto?ref=review","review")</f>
        <v/>
      </c>
      <c r="K637" t="inlineStr">
        <is>
          <t>SEND</t>
        </is>
      </c>
    </row>
    <row r="638">
      <c r="A638" t="inlineStr">
        <is>
          <t>Sônia</t>
        </is>
      </c>
      <c r="B638" t="inlineStr">
        <is>
          <t>+5585988091463</t>
        </is>
      </c>
      <c r="C638" t="inlineStr">
        <is>
          <t>Refill</t>
        </is>
      </c>
      <c r="D638" t="inlineStr">
        <is>
          <t>Primer Liso</t>
        </is>
      </c>
      <c r="E638" t="n">
        <v>1</v>
      </c>
      <c r="F638" t="inlineStr">
        <is>
          <t>2025-09-29</t>
        </is>
      </c>
      <c r="G638" t="n">
        <v>278</v>
      </c>
      <c r="H638" t="inlineStr">
        <is>
          <t>Y</t>
        </is>
      </c>
      <c r="I638">
        <f>HYPERLINK("https://admin.shopify.com/store/ge-beauty-cosmeticos/customers/9486625866048","abrir")</f>
        <v/>
      </c>
      <c r="J638">
        <f>HYPERLINK("https://www.gebeauty.com.br/products/primer-liso-intacto?ref=review","review")</f>
        <v/>
      </c>
      <c r="K638" t="inlineStr">
        <is>
          <t>SEND</t>
        </is>
      </c>
    </row>
    <row r="639">
      <c r="A639" t="inlineStr">
        <is>
          <t>Ariel</t>
        </is>
      </c>
      <c r="B639" t="inlineStr">
        <is>
          <t>+5511912965666</t>
        </is>
      </c>
      <c r="C639" t="inlineStr">
        <is>
          <t>Refill</t>
        </is>
      </c>
      <c r="D639" t="inlineStr">
        <is>
          <t>Primer Liso</t>
        </is>
      </c>
      <c r="E639" t="n">
        <v>1</v>
      </c>
      <c r="F639" t="inlineStr">
        <is>
          <t>2025-09-29</t>
        </is>
      </c>
      <c r="G639" t="n">
        <v>278</v>
      </c>
      <c r="H639" t="inlineStr">
        <is>
          <t>Y</t>
        </is>
      </c>
      <c r="I639">
        <f>HYPERLINK("https://admin.shopify.com/store/ge-beauty-cosmeticos/customers/9716368802112","abrir")</f>
        <v/>
      </c>
      <c r="J639">
        <f>HYPERLINK("https://www.gebeauty.com.br/products/primer-liso-intacto?ref=review","review")</f>
        <v/>
      </c>
      <c r="K639" t="inlineStr">
        <is>
          <t>SEND</t>
        </is>
      </c>
    </row>
    <row r="640">
      <c r="A640" t="inlineStr">
        <is>
          <t>Eugênia</t>
        </is>
      </c>
      <c r="B640" t="inlineStr">
        <is>
          <t>+5511961874216</t>
        </is>
      </c>
      <c r="C640" t="inlineStr">
        <is>
          <t>Refill</t>
        </is>
      </c>
      <c r="D640" t="inlineStr">
        <is>
          <t>Primer Liso</t>
        </is>
      </c>
      <c r="E640" t="n">
        <v>1</v>
      </c>
      <c r="F640" t="inlineStr">
        <is>
          <t>2025-09-29</t>
        </is>
      </c>
      <c r="G640" t="n">
        <v>278</v>
      </c>
      <c r="H640" t="inlineStr">
        <is>
          <t>Y</t>
        </is>
      </c>
      <c r="I640">
        <f>HYPERLINK("https://admin.shopify.com/store/ge-beauty-cosmeticos/customers/9716535951680","abrir")</f>
        <v/>
      </c>
      <c r="J640">
        <f>HYPERLINK("https://www.gebeauty.com.br/products/primer-liso-intacto?ref=review","review")</f>
        <v/>
      </c>
      <c r="K640" t="inlineStr">
        <is>
          <t>SEND</t>
        </is>
      </c>
    </row>
    <row r="641">
      <c r="A641" t="inlineStr">
        <is>
          <t>Danieli</t>
        </is>
      </c>
      <c r="B641" t="inlineStr">
        <is>
          <t>+5513997127804</t>
        </is>
      </c>
      <c r="C641" t="inlineStr">
        <is>
          <t>Refill</t>
        </is>
      </c>
      <c r="D641" t="inlineStr">
        <is>
          <t>Primer Liso</t>
        </is>
      </c>
      <c r="E641" t="n">
        <v>1</v>
      </c>
      <c r="F641" t="inlineStr">
        <is>
          <t>2025-09-29</t>
        </is>
      </c>
      <c r="G641" t="n">
        <v>278</v>
      </c>
      <c r="H641" t="inlineStr">
        <is>
          <t>Y</t>
        </is>
      </c>
      <c r="I641">
        <f>HYPERLINK("https://admin.shopify.com/store/ge-beauty-cosmeticos/customers/9716566065472","abrir")</f>
        <v/>
      </c>
      <c r="J641">
        <f>HYPERLINK("https://www.gebeauty.com.br/products/primer-liso-intacto?ref=review","review")</f>
        <v/>
      </c>
      <c r="K641" t="inlineStr">
        <is>
          <t>SEND</t>
        </is>
      </c>
    </row>
    <row r="642">
      <c r="A642" t="inlineStr">
        <is>
          <t>Talita</t>
        </is>
      </c>
      <c r="B642" t="inlineStr">
        <is>
          <t>+5581981374405</t>
        </is>
      </c>
      <c r="C642" t="inlineStr">
        <is>
          <t>Refill</t>
        </is>
      </c>
      <c r="D642" t="inlineStr">
        <is>
          <t>Primer Liso</t>
        </is>
      </c>
      <c r="E642" t="n">
        <v>1</v>
      </c>
      <c r="F642" t="inlineStr">
        <is>
          <t>2025-09-29</t>
        </is>
      </c>
      <c r="G642" t="n">
        <v>278</v>
      </c>
      <c r="H642" t="inlineStr">
        <is>
          <t>Y</t>
        </is>
      </c>
      <c r="I642">
        <f>HYPERLINK("https://admin.shopify.com/store/ge-beauty-cosmeticos/customers/9486132216128","abrir")</f>
        <v/>
      </c>
      <c r="J642">
        <f>HYPERLINK("https://www.gebeauty.com.br/products/primer-liso-intacto?ref=review","review")</f>
        <v/>
      </c>
      <c r="K642" t="inlineStr">
        <is>
          <t>SEND</t>
        </is>
      </c>
    </row>
    <row r="643">
      <c r="A643" t="inlineStr">
        <is>
          <t>Aline</t>
        </is>
      </c>
      <c r="B643" t="inlineStr">
        <is>
          <t>+5581991980362</t>
        </is>
      </c>
      <c r="C643" t="inlineStr">
        <is>
          <t>Refill</t>
        </is>
      </c>
      <c r="D643" t="inlineStr">
        <is>
          <t>Primer Liso</t>
        </is>
      </c>
      <c r="E643" t="n">
        <v>1</v>
      </c>
      <c r="F643" t="inlineStr">
        <is>
          <t>2025-09-29</t>
        </is>
      </c>
      <c r="G643" t="n">
        <v>278</v>
      </c>
      <c r="H643" t="inlineStr">
        <is>
          <t>Y</t>
        </is>
      </c>
      <c r="I643">
        <f>HYPERLINK("https://admin.shopify.com/store/ge-beauty-cosmeticos/customers/9717149204800","abrir")</f>
        <v/>
      </c>
      <c r="J643">
        <f>HYPERLINK("https://www.gebeauty.com.br/products/primer-liso-intacto?ref=review","review")</f>
        <v/>
      </c>
      <c r="K643" t="inlineStr">
        <is>
          <t>SEND</t>
        </is>
      </c>
    </row>
    <row r="644">
      <c r="A644" t="inlineStr">
        <is>
          <t>Sarah</t>
        </is>
      </c>
      <c r="B644" t="inlineStr">
        <is>
          <t>+5511985097777</t>
        </is>
      </c>
      <c r="C644" t="inlineStr">
        <is>
          <t>Refill</t>
        </is>
      </c>
      <c r="D644" t="inlineStr">
        <is>
          <t>Primer Liso</t>
        </is>
      </c>
      <c r="E644" t="n">
        <v>1</v>
      </c>
      <c r="F644" t="inlineStr">
        <is>
          <t>2025-09-29</t>
        </is>
      </c>
      <c r="G644" t="n">
        <v>278</v>
      </c>
      <c r="H644" t="inlineStr">
        <is>
          <t>Y</t>
        </is>
      </c>
      <c r="I644">
        <f>HYPERLINK("https://admin.shopify.com/store/ge-beauty-cosmeticos/customers/7761839751488","abrir")</f>
        <v/>
      </c>
      <c r="J644">
        <f>HYPERLINK("https://www.gebeauty.com.br/products/primer-liso-intacto?ref=review","review")</f>
        <v/>
      </c>
      <c r="K644" t="inlineStr">
        <is>
          <t>SEND</t>
        </is>
      </c>
    </row>
    <row r="645">
      <c r="A645" t="inlineStr">
        <is>
          <t>Aniele</t>
        </is>
      </c>
      <c r="B645" t="inlineStr">
        <is>
          <t>+5511954594443</t>
        </is>
      </c>
      <c r="C645" t="inlineStr">
        <is>
          <t>Refill</t>
        </is>
      </c>
      <c r="D645" t="inlineStr">
        <is>
          <t>Primer Liso</t>
        </is>
      </c>
      <c r="E645" t="n">
        <v>1</v>
      </c>
      <c r="F645" t="inlineStr">
        <is>
          <t>2025-09-29</t>
        </is>
      </c>
      <c r="G645" t="n">
        <v>278</v>
      </c>
      <c r="H645" t="inlineStr">
        <is>
          <t>Y</t>
        </is>
      </c>
      <c r="I645">
        <f>HYPERLINK("https://admin.shopify.com/store/ge-beauty-cosmeticos/customers/7760884793664","abrir")</f>
        <v/>
      </c>
      <c r="J645">
        <f>HYPERLINK("https://www.gebeauty.com.br/products/primer-liso-intacto?ref=review","review")</f>
        <v/>
      </c>
      <c r="K645" t="inlineStr">
        <is>
          <t>SEND</t>
        </is>
      </c>
    </row>
    <row r="646">
      <c r="A646" t="inlineStr">
        <is>
          <t>Renata</t>
        </is>
      </c>
      <c r="B646" t="inlineStr">
        <is>
          <t>+5591988020369</t>
        </is>
      </c>
      <c r="C646" t="inlineStr">
        <is>
          <t>Refill</t>
        </is>
      </c>
      <c r="D646" t="inlineStr">
        <is>
          <t>Primer Liso</t>
        </is>
      </c>
      <c r="E646" t="n">
        <v>1</v>
      </c>
      <c r="F646" t="inlineStr">
        <is>
          <t>2025-09-29</t>
        </is>
      </c>
      <c r="G646" t="n">
        <v>278</v>
      </c>
      <c r="H646" t="inlineStr">
        <is>
          <t>Y</t>
        </is>
      </c>
      <c r="I646">
        <f>HYPERLINK("https://admin.shopify.com/store/ge-beauty-cosmeticos/customers/9717835563328","abrir")</f>
        <v/>
      </c>
      <c r="J646">
        <f>HYPERLINK("https://www.gebeauty.com.br/products/primer-liso-intacto?ref=review","review")</f>
        <v/>
      </c>
      <c r="K646" t="inlineStr">
        <is>
          <t>SEND</t>
        </is>
      </c>
    </row>
    <row r="647">
      <c r="A647" t="inlineStr">
        <is>
          <t>Luciana</t>
        </is>
      </c>
      <c r="B647" t="inlineStr">
        <is>
          <t>+5511999463942</t>
        </is>
      </c>
      <c r="C647" t="inlineStr">
        <is>
          <t>Refill</t>
        </is>
      </c>
      <c r="D647" t="inlineStr">
        <is>
          <t>Primer Liso</t>
        </is>
      </c>
      <c r="E647" t="n">
        <v>1</v>
      </c>
      <c r="F647" t="inlineStr">
        <is>
          <t>2025-09-29</t>
        </is>
      </c>
      <c r="G647" t="n">
        <v>278</v>
      </c>
      <c r="H647" t="inlineStr">
        <is>
          <t>Y</t>
        </is>
      </c>
      <c r="I647">
        <f>HYPERLINK("https://admin.shopify.com/store/ge-beauty-cosmeticos/customers/9717846638912","abrir")</f>
        <v/>
      </c>
      <c r="J647">
        <f>HYPERLINK("https://www.gebeauty.com.br/products/primer-liso-intacto?ref=review","review")</f>
        <v/>
      </c>
      <c r="K647" t="inlineStr">
        <is>
          <t>SEND</t>
        </is>
      </c>
    </row>
    <row r="648">
      <c r="A648" t="inlineStr">
        <is>
          <t>Rayssa</t>
        </is>
      </c>
      <c r="B648" t="inlineStr">
        <is>
          <t>+5581996395053</t>
        </is>
      </c>
      <c r="C648" t="inlineStr">
        <is>
          <t>Refill</t>
        </is>
      </c>
      <c r="D648" t="inlineStr">
        <is>
          <t>Primer Liso</t>
        </is>
      </c>
      <c r="E648" t="n">
        <v>1</v>
      </c>
      <c r="F648" t="inlineStr">
        <is>
          <t>2025-09-29</t>
        </is>
      </c>
      <c r="G648" t="n">
        <v>278</v>
      </c>
      <c r="H648" t="inlineStr">
        <is>
          <t>Y</t>
        </is>
      </c>
      <c r="I648">
        <f>HYPERLINK("https://admin.shopify.com/store/ge-beauty-cosmeticos/customers/9708946719040","abrir")</f>
        <v/>
      </c>
      <c r="J648">
        <f>HYPERLINK("https://www.gebeauty.com.br/products/primer-liso-intacto?ref=review","review")</f>
        <v/>
      </c>
      <c r="K648" t="inlineStr">
        <is>
          <t>SEND</t>
        </is>
      </c>
    </row>
    <row r="649">
      <c r="A649" t="inlineStr">
        <is>
          <t>Patricia</t>
        </is>
      </c>
      <c r="B649" t="inlineStr">
        <is>
          <t>+5511999981060</t>
        </is>
      </c>
      <c r="C649" t="inlineStr">
        <is>
          <t>Refill</t>
        </is>
      </c>
      <c r="D649" t="inlineStr">
        <is>
          <t>Primer Liso</t>
        </is>
      </c>
      <c r="E649" t="n">
        <v>1</v>
      </c>
      <c r="F649" t="inlineStr">
        <is>
          <t>2025-09-29</t>
        </is>
      </c>
      <c r="G649" t="n">
        <v>278</v>
      </c>
      <c r="H649" t="inlineStr">
        <is>
          <t>Y</t>
        </is>
      </c>
      <c r="I649">
        <f>HYPERLINK("https://admin.shopify.com/store/ge-beauty-cosmeticos/customers/9718000943424","abrir")</f>
        <v/>
      </c>
      <c r="J649">
        <f>HYPERLINK("https://www.gebeauty.com.br/products/primer-liso-intacto?ref=review","review")</f>
        <v/>
      </c>
      <c r="K649" t="inlineStr">
        <is>
          <t>SEND</t>
        </is>
      </c>
    </row>
    <row r="650">
      <c r="A650" t="inlineStr">
        <is>
          <t>Fernanda</t>
        </is>
      </c>
      <c r="B650" t="inlineStr">
        <is>
          <t>+5519993480987</t>
        </is>
      </c>
      <c r="C650" t="inlineStr">
        <is>
          <t>Refill</t>
        </is>
      </c>
      <c r="D650" t="inlineStr">
        <is>
          <t>Primer Liso</t>
        </is>
      </c>
      <c r="E650" t="n">
        <v>1</v>
      </c>
      <c r="F650" t="inlineStr">
        <is>
          <t>2025-09-30</t>
        </is>
      </c>
      <c r="G650" t="n">
        <v>277</v>
      </c>
      <c r="H650" t="inlineStr">
        <is>
          <t>Y</t>
        </is>
      </c>
      <c r="I650">
        <f>HYPERLINK("https://admin.shopify.com/store/ge-beauty-cosmeticos/customers/9718125396288","abrir")</f>
        <v/>
      </c>
      <c r="J650">
        <f>HYPERLINK("https://www.gebeauty.com.br/products/primer-liso-intacto?ref=review","review")</f>
        <v/>
      </c>
      <c r="K650" t="inlineStr">
        <is>
          <t>SEND</t>
        </is>
      </c>
    </row>
    <row r="651">
      <c r="A651" t="inlineStr">
        <is>
          <t>Ana</t>
        </is>
      </c>
      <c r="B651" t="inlineStr">
        <is>
          <t>+5511981280298</t>
        </is>
      </c>
      <c r="C651" t="inlineStr">
        <is>
          <t>Refill</t>
        </is>
      </c>
      <c r="D651" t="inlineStr">
        <is>
          <t>Primer Liso</t>
        </is>
      </c>
      <c r="E651" t="n">
        <v>1</v>
      </c>
      <c r="F651" t="inlineStr">
        <is>
          <t>2025-09-30</t>
        </is>
      </c>
      <c r="G651" t="n">
        <v>277</v>
      </c>
      <c r="H651" t="inlineStr">
        <is>
          <t>Y</t>
        </is>
      </c>
      <c r="I651">
        <f>HYPERLINK("https://admin.shopify.com/store/ge-beauty-cosmeticos/customers/7762668552512","abrir")</f>
        <v/>
      </c>
      <c r="J651">
        <f>HYPERLINK("https://www.gebeauty.com.br/products/primer-liso-intacto?ref=review","review")</f>
        <v/>
      </c>
      <c r="K651" t="inlineStr">
        <is>
          <t>SEND</t>
        </is>
      </c>
    </row>
    <row r="652">
      <c r="A652" t="inlineStr">
        <is>
          <t>Jaqueline</t>
        </is>
      </c>
      <c r="B652" t="inlineStr">
        <is>
          <t>+5521991694478</t>
        </is>
      </c>
      <c r="C652" t="inlineStr">
        <is>
          <t>Refill</t>
        </is>
      </c>
      <c r="D652" t="inlineStr">
        <is>
          <t>Primer Liso</t>
        </is>
      </c>
      <c r="E652" t="n">
        <v>1</v>
      </c>
      <c r="F652" t="inlineStr">
        <is>
          <t>2025-09-30</t>
        </is>
      </c>
      <c r="G652" t="n">
        <v>277</v>
      </c>
      <c r="H652" t="inlineStr">
        <is>
          <t>Y</t>
        </is>
      </c>
      <c r="I652">
        <f>HYPERLINK("https://admin.shopify.com/store/ge-beauty-cosmeticos/customers/9718160392512","abrir")</f>
        <v/>
      </c>
      <c r="J652">
        <f>HYPERLINK("https://www.gebeauty.com.br/products/primer-liso-intacto?ref=review","review")</f>
        <v/>
      </c>
      <c r="K652" t="inlineStr">
        <is>
          <t>SEND</t>
        </is>
      </c>
    </row>
    <row r="653">
      <c r="A653" t="inlineStr">
        <is>
          <t>Carolina</t>
        </is>
      </c>
      <c r="B653" t="inlineStr">
        <is>
          <t>+5571997322062</t>
        </is>
      </c>
      <c r="C653" t="inlineStr">
        <is>
          <t>Refill</t>
        </is>
      </c>
      <c r="D653" t="inlineStr">
        <is>
          <t>Primer Liso</t>
        </is>
      </c>
      <c r="E653" t="n">
        <v>1</v>
      </c>
      <c r="F653" t="inlineStr">
        <is>
          <t>2025-09-30</t>
        </is>
      </c>
      <c r="G653" t="n">
        <v>277</v>
      </c>
      <c r="H653" t="inlineStr">
        <is>
          <t>Y</t>
        </is>
      </c>
      <c r="I653">
        <f>HYPERLINK("https://admin.shopify.com/store/ge-beauty-cosmeticos/customers/9664492372288","abrir")</f>
        <v/>
      </c>
      <c r="J653">
        <f>HYPERLINK("https://www.gebeauty.com.br/products/primer-liso-intacto?ref=review","review")</f>
        <v/>
      </c>
      <c r="K653" t="inlineStr">
        <is>
          <t>SEND</t>
        </is>
      </c>
    </row>
    <row r="654">
      <c r="A654" t="inlineStr">
        <is>
          <t>Fernanda</t>
        </is>
      </c>
      <c r="B654" t="inlineStr">
        <is>
          <t>+5531984553474</t>
        </is>
      </c>
      <c r="C654" t="inlineStr">
        <is>
          <t>Refill</t>
        </is>
      </c>
      <c r="D654" t="inlineStr">
        <is>
          <t>Primer Liso</t>
        </is>
      </c>
      <c r="E654" t="n">
        <v>1</v>
      </c>
      <c r="F654" t="inlineStr">
        <is>
          <t>2025-09-30</t>
        </is>
      </c>
      <c r="G654" t="n">
        <v>277</v>
      </c>
      <c r="H654" t="inlineStr">
        <is>
          <t>Y</t>
        </is>
      </c>
      <c r="I654">
        <f>HYPERLINK("https://admin.shopify.com/store/ge-beauty-cosmeticos/customers/9718373056832","abrir")</f>
        <v/>
      </c>
      <c r="J654">
        <f>HYPERLINK("https://www.gebeauty.com.br/products/primer-liso-intacto?ref=review","review")</f>
        <v/>
      </c>
      <c r="K654" t="inlineStr">
        <is>
          <t>SEND</t>
        </is>
      </c>
    </row>
    <row r="655">
      <c r="A655" t="inlineStr">
        <is>
          <t>Alessandra</t>
        </is>
      </c>
      <c r="B655" t="inlineStr">
        <is>
          <t>+5511981420276</t>
        </is>
      </c>
      <c r="C655" t="inlineStr">
        <is>
          <t>Refill</t>
        </is>
      </c>
      <c r="D655" t="inlineStr">
        <is>
          <t>Primer Liso</t>
        </is>
      </c>
      <c r="E655" t="n">
        <v>1</v>
      </c>
      <c r="F655" t="inlineStr">
        <is>
          <t>2025-09-30</t>
        </is>
      </c>
      <c r="G655" t="n">
        <v>277</v>
      </c>
      <c r="H655" t="inlineStr">
        <is>
          <t>Y</t>
        </is>
      </c>
      <c r="I655">
        <f>HYPERLINK("https://admin.shopify.com/store/ge-beauty-cosmeticos/customers/9718536929600","abrir")</f>
        <v/>
      </c>
      <c r="J655">
        <f>HYPERLINK("https://www.gebeauty.com.br/products/primer-liso-intacto?ref=review","review")</f>
        <v/>
      </c>
      <c r="K655" t="inlineStr">
        <is>
          <t>SEND</t>
        </is>
      </c>
    </row>
    <row r="656">
      <c r="A656" t="inlineStr">
        <is>
          <t>Carolina</t>
        </is>
      </c>
      <c r="B656" t="inlineStr">
        <is>
          <t>+5511976693437</t>
        </is>
      </c>
      <c r="C656" t="inlineStr">
        <is>
          <t>Refill</t>
        </is>
      </c>
      <c r="D656" t="inlineStr">
        <is>
          <t>Primer Liso</t>
        </is>
      </c>
      <c r="E656" t="n">
        <v>1</v>
      </c>
      <c r="F656" t="inlineStr">
        <is>
          <t>2025-09-30</t>
        </is>
      </c>
      <c r="G656" t="n">
        <v>277</v>
      </c>
      <c r="H656" t="inlineStr">
        <is>
          <t>Y</t>
        </is>
      </c>
      <c r="I656">
        <f>HYPERLINK("https://admin.shopify.com/store/ge-beauty-cosmeticos/customers/9485201539392","abrir")</f>
        <v/>
      </c>
      <c r="J656">
        <f>HYPERLINK("https://www.gebeauty.com.br/products/primer-liso-intacto?ref=review","review")</f>
        <v/>
      </c>
      <c r="K656" t="inlineStr">
        <is>
          <t>HOLDOUT</t>
        </is>
      </c>
    </row>
    <row r="657">
      <c r="A657" t="inlineStr">
        <is>
          <t>Thais</t>
        </is>
      </c>
      <c r="B657" t="inlineStr">
        <is>
          <t>+5521999819991</t>
        </is>
      </c>
      <c r="C657" t="inlineStr">
        <is>
          <t>Refill</t>
        </is>
      </c>
      <c r="D657" t="inlineStr">
        <is>
          <t>Primer Liso</t>
        </is>
      </c>
      <c r="E657" t="n">
        <v>1</v>
      </c>
      <c r="F657" t="inlineStr">
        <is>
          <t>2025-09-30</t>
        </is>
      </c>
      <c r="G657" t="n">
        <v>277</v>
      </c>
      <c r="H657" t="inlineStr">
        <is>
          <t>Y</t>
        </is>
      </c>
      <c r="I657">
        <f>HYPERLINK("https://admin.shopify.com/store/ge-beauty-cosmeticos/customers/9720250335552","abrir")</f>
        <v/>
      </c>
      <c r="J657">
        <f>HYPERLINK("https://www.gebeauty.com.br/products/primer-liso-intacto?ref=review","review")</f>
        <v/>
      </c>
      <c r="K657" t="inlineStr">
        <is>
          <t>SEND</t>
        </is>
      </c>
    </row>
    <row r="658">
      <c r="A658" t="inlineStr">
        <is>
          <t>Paula</t>
        </is>
      </c>
      <c r="B658" t="inlineStr">
        <is>
          <t>+5511985917923</t>
        </is>
      </c>
      <c r="C658" t="inlineStr">
        <is>
          <t>Refill</t>
        </is>
      </c>
      <c r="D658" t="inlineStr">
        <is>
          <t>Primer Liso</t>
        </is>
      </c>
      <c r="E658" t="n">
        <v>1</v>
      </c>
      <c r="F658" t="inlineStr">
        <is>
          <t>2025-09-30</t>
        </is>
      </c>
      <c r="G658" t="n">
        <v>277</v>
      </c>
      <c r="H658" t="inlineStr">
        <is>
          <t>Y</t>
        </is>
      </c>
      <c r="I658">
        <f>HYPERLINK("https://admin.shopify.com/store/ge-beauty-cosmeticos/customers/7761937137984","abrir")</f>
        <v/>
      </c>
      <c r="J658">
        <f>HYPERLINK("https://www.gebeauty.com.br/products/primer-liso-intacto?ref=review","review")</f>
        <v/>
      </c>
      <c r="K658" t="inlineStr">
        <is>
          <t>SEND</t>
        </is>
      </c>
    </row>
    <row r="659">
      <c r="A659" t="inlineStr">
        <is>
          <t>Irenedantas</t>
        </is>
      </c>
      <c r="B659" t="inlineStr">
        <is>
          <t>+5521980848080</t>
        </is>
      </c>
      <c r="C659" t="inlineStr">
        <is>
          <t>Refill</t>
        </is>
      </c>
      <c r="D659" t="inlineStr">
        <is>
          <t>Primer Liso</t>
        </is>
      </c>
      <c r="E659" t="n">
        <v>1</v>
      </c>
      <c r="F659" t="inlineStr">
        <is>
          <t>2025-09-30</t>
        </is>
      </c>
      <c r="G659" t="n">
        <v>277</v>
      </c>
      <c r="H659" t="inlineStr">
        <is>
          <t>Y</t>
        </is>
      </c>
      <c r="I659">
        <f>HYPERLINK("https://admin.shopify.com/store/ge-beauty-cosmeticos/customers/9720548884800","abrir")</f>
        <v/>
      </c>
      <c r="J659">
        <f>HYPERLINK("https://www.gebeauty.com.br/products/primer-liso-intacto?ref=review","review")</f>
        <v/>
      </c>
      <c r="K659" t="inlineStr">
        <is>
          <t>SEND</t>
        </is>
      </c>
    </row>
    <row r="660">
      <c r="A660" t="inlineStr">
        <is>
          <t>Juliana</t>
        </is>
      </c>
      <c r="B660" t="inlineStr">
        <is>
          <t>+5511950520054</t>
        </is>
      </c>
      <c r="C660" t="inlineStr">
        <is>
          <t>Refill</t>
        </is>
      </c>
      <c r="D660" t="inlineStr">
        <is>
          <t>Primer Liso</t>
        </is>
      </c>
      <c r="E660" t="n">
        <v>1</v>
      </c>
      <c r="F660" t="inlineStr">
        <is>
          <t>2025-09-30</t>
        </is>
      </c>
      <c r="G660" t="n">
        <v>277</v>
      </c>
      <c r="H660" t="inlineStr">
        <is>
          <t>Y</t>
        </is>
      </c>
      <c r="I660">
        <f>HYPERLINK("https://admin.shopify.com/store/ge-beauty-cosmeticos/customers/9721527435584","abrir")</f>
        <v/>
      </c>
      <c r="J660">
        <f>HYPERLINK("https://www.gebeauty.com.br/products/primer-liso-intacto?ref=review","review")</f>
        <v/>
      </c>
      <c r="K660" t="inlineStr">
        <is>
          <t>SEND</t>
        </is>
      </c>
    </row>
    <row r="661">
      <c r="A661" t="inlineStr">
        <is>
          <t>Patricia</t>
        </is>
      </c>
      <c r="B661" t="inlineStr">
        <is>
          <t>+5511940405113</t>
        </is>
      </c>
      <c r="C661" t="inlineStr">
        <is>
          <t>Refill</t>
        </is>
      </c>
      <c r="D661" t="inlineStr">
        <is>
          <t>Primer Liso</t>
        </is>
      </c>
      <c r="E661" t="n">
        <v>1</v>
      </c>
      <c r="F661" t="inlineStr">
        <is>
          <t>2025-09-30</t>
        </is>
      </c>
      <c r="G661" t="n">
        <v>277</v>
      </c>
      <c r="H661" t="inlineStr">
        <is>
          <t>Y</t>
        </is>
      </c>
      <c r="I661">
        <f>HYPERLINK("https://admin.shopify.com/store/ge-beauty-cosmeticos/customers/9486325219648","abrir")</f>
        <v/>
      </c>
      <c r="J661">
        <f>HYPERLINK("https://www.gebeauty.com.br/products/primer-liso-intacto?ref=review","review")</f>
        <v/>
      </c>
      <c r="K661" t="inlineStr">
        <is>
          <t>SEND</t>
        </is>
      </c>
    </row>
    <row r="662">
      <c r="A662" t="inlineStr">
        <is>
          <t>Mariana</t>
        </is>
      </c>
      <c r="B662" t="inlineStr">
        <is>
          <t>+5585992292772</t>
        </is>
      </c>
      <c r="C662" t="inlineStr">
        <is>
          <t>Refill</t>
        </is>
      </c>
      <c r="D662" t="inlineStr">
        <is>
          <t>Primer Liso</t>
        </is>
      </c>
      <c r="E662" t="n">
        <v>1</v>
      </c>
      <c r="F662" t="inlineStr">
        <is>
          <t>2025-09-30</t>
        </is>
      </c>
      <c r="G662" t="n">
        <v>277</v>
      </c>
      <c r="H662" t="inlineStr">
        <is>
          <t>Y</t>
        </is>
      </c>
      <c r="I662">
        <f>HYPERLINK("https://admin.shopify.com/store/ge-beauty-cosmeticos/customers/9721856852288","abrir")</f>
        <v/>
      </c>
      <c r="J662">
        <f>HYPERLINK("https://www.gebeauty.com.br/products/primer-liso-intacto?ref=review","review")</f>
        <v/>
      </c>
      <c r="K662" t="inlineStr">
        <is>
          <t>SEND</t>
        </is>
      </c>
    </row>
    <row r="663">
      <c r="A663" t="inlineStr">
        <is>
          <t>Mélane</t>
        </is>
      </c>
      <c r="B663" t="inlineStr">
        <is>
          <t>+5579999595468</t>
        </is>
      </c>
      <c r="C663" t="inlineStr">
        <is>
          <t>Refill</t>
        </is>
      </c>
      <c r="D663" t="inlineStr">
        <is>
          <t>Primer Liso</t>
        </is>
      </c>
      <c r="E663" t="n">
        <v>1</v>
      </c>
      <c r="F663" t="inlineStr">
        <is>
          <t>2025-09-30</t>
        </is>
      </c>
      <c r="G663" t="n">
        <v>277</v>
      </c>
      <c r="H663" t="inlineStr">
        <is>
          <t>Y</t>
        </is>
      </c>
      <c r="I663">
        <f>HYPERLINK("https://admin.shopify.com/store/ge-beauty-cosmeticos/customers/9486590083392","abrir")</f>
        <v/>
      </c>
      <c r="J663">
        <f>HYPERLINK("https://www.gebeauty.com.br/products/primer-liso-intacto?ref=review","review")</f>
        <v/>
      </c>
      <c r="K663" t="inlineStr">
        <is>
          <t>SEND</t>
        </is>
      </c>
    </row>
    <row r="664">
      <c r="A664" t="inlineStr">
        <is>
          <t>Areta</t>
        </is>
      </c>
      <c r="B664" t="inlineStr">
        <is>
          <t>+5521999342890</t>
        </is>
      </c>
      <c r="C664" t="inlineStr">
        <is>
          <t>Refill</t>
        </is>
      </c>
      <c r="D664" t="inlineStr">
        <is>
          <t>Primer Liso</t>
        </is>
      </c>
      <c r="E664" t="n">
        <v>1</v>
      </c>
      <c r="F664" t="inlineStr">
        <is>
          <t>2025-09-30</t>
        </is>
      </c>
      <c r="G664" t="n">
        <v>277</v>
      </c>
      <c r="H664" t="inlineStr">
        <is>
          <t>Y</t>
        </is>
      </c>
      <c r="I664">
        <f>HYPERLINK("https://admin.shopify.com/store/ge-beauty-cosmeticos/customers/8747379065152","abrir")</f>
        <v/>
      </c>
      <c r="J664">
        <f>HYPERLINK("https://www.gebeauty.com.br/products/primer-liso-intacto?ref=review","review")</f>
        <v/>
      </c>
      <c r="K664" t="inlineStr">
        <is>
          <t>SEND</t>
        </is>
      </c>
    </row>
    <row r="665">
      <c r="A665" t="inlineStr">
        <is>
          <t>Julia</t>
        </is>
      </c>
      <c r="B665" t="inlineStr">
        <is>
          <t>+5551999120341</t>
        </is>
      </c>
      <c r="C665" t="inlineStr">
        <is>
          <t>Refill</t>
        </is>
      </c>
      <c r="D665" t="inlineStr">
        <is>
          <t>Primer Liso</t>
        </is>
      </c>
      <c r="E665" t="n">
        <v>1</v>
      </c>
      <c r="F665" t="inlineStr">
        <is>
          <t>2025-09-30</t>
        </is>
      </c>
      <c r="G665" t="n">
        <v>277</v>
      </c>
      <c r="H665" t="inlineStr">
        <is>
          <t>Y</t>
        </is>
      </c>
      <c r="I665">
        <f>HYPERLINK("https://admin.shopify.com/store/ge-beauty-cosmeticos/customers/8967390134592","abrir")</f>
        <v/>
      </c>
      <c r="J665">
        <f>HYPERLINK("https://www.gebeauty.com.br/products/primer-liso-intacto?ref=review","review")</f>
        <v/>
      </c>
      <c r="K665" t="inlineStr">
        <is>
          <t>SEND</t>
        </is>
      </c>
    </row>
    <row r="666">
      <c r="A666" t="inlineStr">
        <is>
          <t>Isabela</t>
        </is>
      </c>
      <c r="B666" t="inlineStr">
        <is>
          <t>+5511981124664</t>
        </is>
      </c>
      <c r="C666" t="inlineStr">
        <is>
          <t>Refill</t>
        </is>
      </c>
      <c r="D666" t="inlineStr">
        <is>
          <t>Primer Liso</t>
        </is>
      </c>
      <c r="E666" t="n">
        <v>1</v>
      </c>
      <c r="F666" t="inlineStr">
        <is>
          <t>2025-10-01</t>
        </is>
      </c>
      <c r="G666" t="n">
        <v>276</v>
      </c>
      <c r="H666" t="inlineStr">
        <is>
          <t>Y</t>
        </is>
      </c>
      <c r="I666">
        <f>HYPERLINK("https://admin.shopify.com/store/ge-beauty-cosmeticos/customers/9486432436544","abrir")</f>
        <v/>
      </c>
      <c r="J666">
        <f>HYPERLINK("https://www.gebeauty.com.br/products/primer-liso-intacto?ref=review","review")</f>
        <v/>
      </c>
      <c r="K666" t="inlineStr">
        <is>
          <t>SEND</t>
        </is>
      </c>
    </row>
    <row r="667">
      <c r="A667" t="inlineStr">
        <is>
          <t>Elissa</t>
        </is>
      </c>
      <c r="B667" t="inlineStr">
        <is>
          <t>+5511981064679</t>
        </is>
      </c>
      <c r="C667" t="inlineStr">
        <is>
          <t>Refill</t>
        </is>
      </c>
      <c r="D667" t="inlineStr">
        <is>
          <t>Primer Liso</t>
        </is>
      </c>
      <c r="E667" t="n">
        <v>1</v>
      </c>
      <c r="F667" t="inlineStr">
        <is>
          <t>2025-10-01</t>
        </is>
      </c>
      <c r="G667" t="n">
        <v>276</v>
      </c>
      <c r="H667" t="inlineStr">
        <is>
          <t>Y</t>
        </is>
      </c>
      <c r="I667">
        <f>HYPERLINK("https://admin.shopify.com/store/ge-beauty-cosmeticos/customers/9254814941504","abrir")</f>
        <v/>
      </c>
      <c r="J667">
        <f>HYPERLINK("https://www.gebeauty.com.br/products/primer-liso-intacto?ref=review","review")</f>
        <v/>
      </c>
      <c r="K667" t="inlineStr">
        <is>
          <t>SEND</t>
        </is>
      </c>
    </row>
    <row r="668">
      <c r="A668" t="inlineStr">
        <is>
          <t>Bruna</t>
        </is>
      </c>
      <c r="B668" t="inlineStr">
        <is>
          <t>+5511962284142</t>
        </is>
      </c>
      <c r="C668" t="inlineStr">
        <is>
          <t>Refill</t>
        </is>
      </c>
      <c r="D668" t="inlineStr">
        <is>
          <t>Primer Liso</t>
        </is>
      </c>
      <c r="E668" t="n">
        <v>1</v>
      </c>
      <c r="F668" t="inlineStr">
        <is>
          <t>2025-10-01</t>
        </is>
      </c>
      <c r="G668" t="n">
        <v>276</v>
      </c>
      <c r="H668" t="inlineStr">
        <is>
          <t>Y</t>
        </is>
      </c>
      <c r="I668">
        <f>HYPERLINK("https://admin.shopify.com/store/ge-beauty-cosmeticos/customers/9666640052544","abrir")</f>
        <v/>
      </c>
      <c r="J668">
        <f>HYPERLINK("https://www.gebeauty.com.br/products/primer-liso-intacto?ref=review","review")</f>
        <v/>
      </c>
      <c r="K668" t="inlineStr">
        <is>
          <t>SEND</t>
        </is>
      </c>
    </row>
    <row r="669">
      <c r="A669" t="inlineStr">
        <is>
          <t>Eduarda</t>
        </is>
      </c>
      <c r="B669" t="inlineStr">
        <is>
          <t>+5581991725971</t>
        </is>
      </c>
      <c r="C669" t="inlineStr">
        <is>
          <t>Refill</t>
        </is>
      </c>
      <c r="D669" t="inlineStr">
        <is>
          <t>Primer Liso</t>
        </is>
      </c>
      <c r="E669" t="n">
        <v>1</v>
      </c>
      <c r="F669" t="inlineStr">
        <is>
          <t>2025-10-01</t>
        </is>
      </c>
      <c r="G669" t="n">
        <v>276</v>
      </c>
      <c r="H669" t="inlineStr">
        <is>
          <t>Y</t>
        </is>
      </c>
      <c r="I669">
        <f>HYPERLINK("https://admin.shopify.com/store/ge-beauty-cosmeticos/customers/9722696139072","abrir")</f>
        <v/>
      </c>
      <c r="J669">
        <f>HYPERLINK("https://www.gebeauty.com.br/products/primer-liso-intacto?ref=review","review")</f>
        <v/>
      </c>
      <c r="K669" t="inlineStr">
        <is>
          <t>SEND</t>
        </is>
      </c>
    </row>
    <row r="670">
      <c r="A670" t="inlineStr">
        <is>
          <t>Camila</t>
        </is>
      </c>
      <c r="B670" t="inlineStr">
        <is>
          <t>+5511999281866</t>
        </is>
      </c>
      <c r="C670" t="inlineStr">
        <is>
          <t>Refill</t>
        </is>
      </c>
      <c r="D670" t="inlineStr">
        <is>
          <t>Primer Liso</t>
        </is>
      </c>
      <c r="E670" t="n">
        <v>1</v>
      </c>
      <c r="F670" t="inlineStr">
        <is>
          <t>2025-10-01</t>
        </is>
      </c>
      <c r="G670" t="n">
        <v>276</v>
      </c>
      <c r="H670" t="inlineStr">
        <is>
          <t>Y</t>
        </is>
      </c>
      <c r="I670">
        <f>HYPERLINK("https://admin.shopify.com/store/ge-beauty-cosmeticos/customers/7759264842048","abrir")</f>
        <v/>
      </c>
      <c r="J670">
        <f>HYPERLINK("https://www.gebeauty.com.br/products/primer-liso-intacto?ref=review","review")</f>
        <v/>
      </c>
      <c r="K670" t="inlineStr">
        <is>
          <t>SEND</t>
        </is>
      </c>
    </row>
    <row r="671">
      <c r="A671" t="inlineStr">
        <is>
          <t>Geisa</t>
        </is>
      </c>
      <c r="B671" t="inlineStr">
        <is>
          <t>+5571991849068</t>
        </is>
      </c>
      <c r="C671" t="inlineStr">
        <is>
          <t>Refill</t>
        </is>
      </c>
      <c r="D671" t="inlineStr">
        <is>
          <t>Primer Liso</t>
        </is>
      </c>
      <c r="E671" t="n">
        <v>1</v>
      </c>
      <c r="F671" t="inlineStr">
        <is>
          <t>2025-10-01</t>
        </is>
      </c>
      <c r="G671" t="n">
        <v>276</v>
      </c>
      <c r="H671" t="inlineStr">
        <is>
          <t>Y</t>
        </is>
      </c>
      <c r="I671">
        <f>HYPERLINK("https://admin.shopify.com/store/ge-beauty-cosmeticos/customers/9725929816384","abrir")</f>
        <v/>
      </c>
      <c r="J671">
        <f>HYPERLINK("https://www.gebeauty.com.br/products/primer-liso-intacto?ref=review","review")</f>
        <v/>
      </c>
      <c r="K671" t="inlineStr">
        <is>
          <t>SEND</t>
        </is>
      </c>
    </row>
    <row r="672">
      <c r="A672" t="inlineStr">
        <is>
          <t>Mariana</t>
        </is>
      </c>
      <c r="B672" t="inlineStr">
        <is>
          <t>+5585981535445</t>
        </is>
      </c>
      <c r="C672" t="inlineStr">
        <is>
          <t>Refill</t>
        </is>
      </c>
      <c r="D672" t="inlineStr">
        <is>
          <t>Primer Liso</t>
        </is>
      </c>
      <c r="E672" t="n">
        <v>1</v>
      </c>
      <c r="F672" t="inlineStr">
        <is>
          <t>2025-10-01</t>
        </is>
      </c>
      <c r="G672" t="n">
        <v>276</v>
      </c>
      <c r="H672" t="inlineStr">
        <is>
          <t>Y</t>
        </is>
      </c>
      <c r="I672">
        <f>HYPERLINK("https://admin.shopify.com/store/ge-beauty-cosmeticos/customers/9726162338112","abrir")</f>
        <v/>
      </c>
      <c r="J672">
        <f>HYPERLINK("https://www.gebeauty.com.br/products/primer-liso-intacto?ref=review","review")</f>
        <v/>
      </c>
      <c r="K672" t="inlineStr">
        <is>
          <t>HOLDOUT</t>
        </is>
      </c>
    </row>
    <row r="673">
      <c r="A673" t="inlineStr">
        <is>
          <t>Dione</t>
        </is>
      </c>
      <c r="B673" t="inlineStr">
        <is>
          <t>+5581999791969</t>
        </is>
      </c>
      <c r="C673" t="inlineStr">
        <is>
          <t>Refill</t>
        </is>
      </c>
      <c r="D673" t="inlineStr">
        <is>
          <t>Primer Liso</t>
        </is>
      </c>
      <c r="E673" t="n">
        <v>1</v>
      </c>
      <c r="F673" t="inlineStr">
        <is>
          <t>2025-10-01</t>
        </is>
      </c>
      <c r="G673" t="n">
        <v>276</v>
      </c>
      <c r="H673" t="inlineStr">
        <is>
          <t>Y</t>
        </is>
      </c>
      <c r="I673">
        <f>HYPERLINK("https://admin.shopify.com/store/ge-beauty-cosmeticos/customers/9726251794752","abrir")</f>
        <v/>
      </c>
      <c r="J673">
        <f>HYPERLINK("https://www.gebeauty.com.br/products/primer-liso-intacto?ref=review","review")</f>
        <v/>
      </c>
      <c r="K673" t="inlineStr">
        <is>
          <t>SEND</t>
        </is>
      </c>
    </row>
    <row r="674">
      <c r="A674" t="inlineStr">
        <is>
          <t>Luciana</t>
        </is>
      </c>
      <c r="B674" t="inlineStr">
        <is>
          <t>+5511970482547</t>
        </is>
      </c>
      <c r="C674" t="inlineStr">
        <is>
          <t>Refill</t>
        </is>
      </c>
      <c r="D674" t="inlineStr">
        <is>
          <t>Primer Liso</t>
        </is>
      </c>
      <c r="E674" t="n">
        <v>1</v>
      </c>
      <c r="F674" t="inlineStr">
        <is>
          <t>2025-10-01</t>
        </is>
      </c>
      <c r="G674" t="n">
        <v>276</v>
      </c>
      <c r="H674" t="inlineStr">
        <is>
          <t>Y</t>
        </is>
      </c>
      <c r="I674">
        <f>HYPERLINK("https://admin.shopify.com/store/ge-beauty-cosmeticos/customers/9486330003776","abrir")</f>
        <v/>
      </c>
      <c r="J674">
        <f>HYPERLINK("https://www.gebeauty.com.br/products/primer-liso-intacto?ref=review","review")</f>
        <v/>
      </c>
      <c r="K674" t="inlineStr">
        <is>
          <t>HOLDOUT</t>
        </is>
      </c>
    </row>
    <row r="675">
      <c r="A675" t="inlineStr">
        <is>
          <t>Adriane</t>
        </is>
      </c>
      <c r="B675" t="inlineStr">
        <is>
          <t>+5511982028464</t>
        </is>
      </c>
      <c r="C675" t="inlineStr">
        <is>
          <t>Refill</t>
        </is>
      </c>
      <c r="D675" t="inlineStr">
        <is>
          <t>Primer Liso</t>
        </is>
      </c>
      <c r="E675" t="n">
        <v>1</v>
      </c>
      <c r="F675" t="inlineStr">
        <is>
          <t>2025-10-02</t>
        </is>
      </c>
      <c r="G675" t="n">
        <v>275</v>
      </c>
      <c r="H675" t="inlineStr">
        <is>
          <t>Y</t>
        </is>
      </c>
      <c r="I675">
        <f>HYPERLINK("https://admin.shopify.com/store/ge-beauty-cosmeticos/customers/9727416336704","abrir")</f>
        <v/>
      </c>
      <c r="J675">
        <f>HYPERLINK("https://www.gebeauty.com.br/products/primer-liso-intacto?ref=review","review")</f>
        <v/>
      </c>
      <c r="K675" t="inlineStr">
        <is>
          <t>SEND</t>
        </is>
      </c>
    </row>
    <row r="676">
      <c r="A676" t="inlineStr">
        <is>
          <t>Cecilia</t>
        </is>
      </c>
      <c r="B676" t="inlineStr">
        <is>
          <t>+5522998483302</t>
        </is>
      </c>
      <c r="C676" t="inlineStr">
        <is>
          <t>Refill</t>
        </is>
      </c>
      <c r="D676" t="inlineStr">
        <is>
          <t>Primer Liso</t>
        </is>
      </c>
      <c r="E676" t="n">
        <v>1</v>
      </c>
      <c r="F676" t="inlineStr">
        <is>
          <t>2025-10-02</t>
        </is>
      </c>
      <c r="G676" t="n">
        <v>275</v>
      </c>
      <c r="H676" t="inlineStr">
        <is>
          <t>Y</t>
        </is>
      </c>
      <c r="I676">
        <f>HYPERLINK("https://admin.shopify.com/store/ge-beauty-cosmeticos/customers/9596028944704","abrir")</f>
        <v/>
      </c>
      <c r="J676">
        <f>HYPERLINK("https://www.gebeauty.com.br/products/primer-liso-intacto?ref=review","review")</f>
        <v/>
      </c>
      <c r="K676" t="inlineStr">
        <is>
          <t>SEND</t>
        </is>
      </c>
    </row>
    <row r="677">
      <c r="A677" t="inlineStr">
        <is>
          <t>Francesca</t>
        </is>
      </c>
      <c r="B677" t="inlineStr">
        <is>
          <t>+5547992244885</t>
        </is>
      </c>
      <c r="C677" t="inlineStr">
        <is>
          <t>Refill</t>
        </is>
      </c>
      <c r="D677" t="inlineStr">
        <is>
          <t>Primer Liso</t>
        </is>
      </c>
      <c r="E677" t="n">
        <v>1</v>
      </c>
      <c r="F677" t="inlineStr">
        <is>
          <t>2025-10-02</t>
        </is>
      </c>
      <c r="G677" t="n">
        <v>275</v>
      </c>
      <c r="H677" t="inlineStr">
        <is>
          <t>Y</t>
        </is>
      </c>
      <c r="I677">
        <f>HYPERLINK("https://admin.shopify.com/store/ge-beauty-cosmeticos/customers/9730860515648","abrir")</f>
        <v/>
      </c>
      <c r="J677">
        <f>HYPERLINK("https://www.gebeauty.com.br/products/primer-liso-intacto?ref=review","review")</f>
        <v/>
      </c>
      <c r="K677" t="inlineStr">
        <is>
          <t>SEND</t>
        </is>
      </c>
    </row>
    <row r="678">
      <c r="A678" t="inlineStr">
        <is>
          <t>Camilla</t>
        </is>
      </c>
      <c r="B678" t="inlineStr">
        <is>
          <t>+5522999237958</t>
        </is>
      </c>
      <c r="C678" t="inlineStr">
        <is>
          <t>Refill</t>
        </is>
      </c>
      <c r="D678" t="inlineStr">
        <is>
          <t>Primer Liso</t>
        </is>
      </c>
      <c r="E678" t="n">
        <v>1</v>
      </c>
      <c r="F678" t="inlineStr">
        <is>
          <t>2025-10-02</t>
        </is>
      </c>
      <c r="G678" t="n">
        <v>275</v>
      </c>
      <c r="H678" t="inlineStr">
        <is>
          <t>Y</t>
        </is>
      </c>
      <c r="I678">
        <f>HYPERLINK("https://admin.shopify.com/store/ge-beauty-cosmeticos/customers/9731759243584","abrir")</f>
        <v/>
      </c>
      <c r="J678">
        <f>HYPERLINK("https://www.gebeauty.com.br/products/primer-liso-intacto?ref=review","review")</f>
        <v/>
      </c>
      <c r="K678" t="inlineStr">
        <is>
          <t>SEND</t>
        </is>
      </c>
    </row>
    <row r="679">
      <c r="A679" t="inlineStr">
        <is>
          <t>Julia</t>
        </is>
      </c>
      <c r="B679" t="inlineStr">
        <is>
          <t>+5511963050015</t>
        </is>
      </c>
      <c r="C679" t="inlineStr">
        <is>
          <t>Refill</t>
        </is>
      </c>
      <c r="D679" t="inlineStr">
        <is>
          <t>Primer Liso</t>
        </is>
      </c>
      <c r="E679" t="n">
        <v>1</v>
      </c>
      <c r="F679" t="inlineStr">
        <is>
          <t>2025-10-02</t>
        </is>
      </c>
      <c r="G679" t="n">
        <v>275</v>
      </c>
      <c r="H679" t="inlineStr">
        <is>
          <t>Y</t>
        </is>
      </c>
      <c r="I679">
        <f>HYPERLINK("https://admin.shopify.com/store/ge-beauty-cosmeticos/customers/8355763814720","abrir")</f>
        <v/>
      </c>
      <c r="J679">
        <f>HYPERLINK("https://www.gebeauty.com.br/products/primer-liso-intacto?ref=review","review")</f>
        <v/>
      </c>
      <c r="K679" t="inlineStr">
        <is>
          <t>SEND</t>
        </is>
      </c>
    </row>
    <row r="680">
      <c r="A680" t="inlineStr">
        <is>
          <t>Gisele</t>
        </is>
      </c>
      <c r="B680" t="inlineStr">
        <is>
          <t>+5581997973796</t>
        </is>
      </c>
      <c r="C680" t="inlineStr">
        <is>
          <t>Refill</t>
        </is>
      </c>
      <c r="D680" t="inlineStr">
        <is>
          <t>Primer Liso</t>
        </is>
      </c>
      <c r="E680" t="n">
        <v>1</v>
      </c>
      <c r="F680" t="inlineStr">
        <is>
          <t>2025-10-02</t>
        </is>
      </c>
      <c r="G680" t="n">
        <v>275</v>
      </c>
      <c r="H680" t="inlineStr">
        <is>
          <t>Y</t>
        </is>
      </c>
      <c r="I680">
        <f>HYPERLINK("https://admin.shopify.com/store/ge-beauty-cosmeticos/customers/9732399399232","abrir")</f>
        <v/>
      </c>
      <c r="J680">
        <f>HYPERLINK("https://www.gebeauty.com.br/products/primer-liso-intacto?ref=review","review")</f>
        <v/>
      </c>
      <c r="K680" t="inlineStr">
        <is>
          <t>SEND</t>
        </is>
      </c>
    </row>
    <row r="681">
      <c r="A681" t="inlineStr">
        <is>
          <t>Caroline</t>
        </is>
      </c>
      <c r="B681" t="inlineStr">
        <is>
          <t>+5511984803988</t>
        </is>
      </c>
      <c r="C681" t="inlineStr">
        <is>
          <t>Refill</t>
        </is>
      </c>
      <c r="D681" t="inlineStr">
        <is>
          <t>Primer Liso</t>
        </is>
      </c>
      <c r="E681" t="n">
        <v>1</v>
      </c>
      <c r="F681" t="inlineStr">
        <is>
          <t>2025-10-03</t>
        </is>
      </c>
      <c r="G681" t="n">
        <v>274</v>
      </c>
      <c r="H681" t="inlineStr">
        <is>
          <t>Y</t>
        </is>
      </c>
      <c r="I681">
        <f>HYPERLINK("https://admin.shopify.com/store/ge-beauty-cosmeticos/customers/9732485906752","abrir")</f>
        <v/>
      </c>
      <c r="J681">
        <f>HYPERLINK("https://www.gebeauty.com.br/products/primer-liso-intacto?ref=review","review")</f>
        <v/>
      </c>
      <c r="K681" t="inlineStr">
        <is>
          <t>SEND</t>
        </is>
      </c>
    </row>
    <row r="682">
      <c r="A682" t="inlineStr">
        <is>
          <t>Carolina</t>
        </is>
      </c>
      <c r="B682" t="inlineStr">
        <is>
          <t>+5513991728733</t>
        </is>
      </c>
      <c r="C682" t="inlineStr">
        <is>
          <t>Refill</t>
        </is>
      </c>
      <c r="D682" t="inlineStr">
        <is>
          <t>Primer Liso</t>
        </is>
      </c>
      <c r="E682" t="n">
        <v>1</v>
      </c>
      <c r="F682" t="inlineStr">
        <is>
          <t>2025-10-03</t>
        </is>
      </c>
      <c r="G682" t="n">
        <v>274</v>
      </c>
      <c r="H682" t="inlineStr">
        <is>
          <t>Y</t>
        </is>
      </c>
      <c r="I682">
        <f>HYPERLINK("https://admin.shopify.com/store/ge-beauty-cosmeticos/customers/9486245527872","abrir")</f>
        <v/>
      </c>
      <c r="J682">
        <f>HYPERLINK("https://www.gebeauty.com.br/products/primer-liso-intacto?ref=review","review")</f>
        <v/>
      </c>
      <c r="K682" t="inlineStr">
        <is>
          <t>SEND</t>
        </is>
      </c>
    </row>
    <row r="683">
      <c r="A683" t="inlineStr">
        <is>
          <t>Nathalia</t>
        </is>
      </c>
      <c r="B683" t="inlineStr">
        <is>
          <t>+5521997272262</t>
        </is>
      </c>
      <c r="C683" t="inlineStr">
        <is>
          <t>Refill</t>
        </is>
      </c>
      <c r="D683" t="inlineStr">
        <is>
          <t>Primer Liso</t>
        </is>
      </c>
      <c r="E683" t="n">
        <v>1</v>
      </c>
      <c r="F683" t="inlineStr">
        <is>
          <t>2025-10-03</t>
        </is>
      </c>
      <c r="G683" t="n">
        <v>274</v>
      </c>
      <c r="H683" t="inlineStr">
        <is>
          <t>Y</t>
        </is>
      </c>
      <c r="I683">
        <f>HYPERLINK("https://admin.shopify.com/store/ge-beauty-cosmeticos/customers/9485039403328","abrir")</f>
        <v/>
      </c>
      <c r="J683">
        <f>HYPERLINK("https://www.gebeauty.com.br/products/primer-liso-intacto?ref=review","review")</f>
        <v/>
      </c>
      <c r="K683" t="inlineStr">
        <is>
          <t>SEND</t>
        </is>
      </c>
    </row>
    <row r="684">
      <c r="A684" t="inlineStr">
        <is>
          <t>Jasmine</t>
        </is>
      </c>
      <c r="B684" t="inlineStr">
        <is>
          <t>+5511999534148</t>
        </is>
      </c>
      <c r="C684" t="inlineStr">
        <is>
          <t>Refill</t>
        </is>
      </c>
      <c r="D684" t="inlineStr">
        <is>
          <t>Primer Liso</t>
        </is>
      </c>
      <c r="E684" t="n">
        <v>1</v>
      </c>
      <c r="F684" t="inlineStr">
        <is>
          <t>2025-10-04</t>
        </is>
      </c>
      <c r="G684" t="n">
        <v>273</v>
      </c>
      <c r="H684" t="inlineStr">
        <is>
          <t>Y</t>
        </is>
      </c>
      <c r="I684">
        <f>HYPERLINK("https://admin.shopify.com/store/ge-beauty-cosmeticos/customers/9738646290752","abrir")</f>
        <v/>
      </c>
      <c r="J684">
        <f>HYPERLINK("https://www.gebeauty.com.br/products/primer-liso-intacto?ref=review","review")</f>
        <v/>
      </c>
      <c r="K684" t="inlineStr">
        <is>
          <t>SEND</t>
        </is>
      </c>
    </row>
    <row r="685">
      <c r="A685" t="inlineStr">
        <is>
          <t>Tathiana</t>
        </is>
      </c>
      <c r="B685" t="inlineStr">
        <is>
          <t>+5511991822685</t>
        </is>
      </c>
      <c r="C685" t="inlineStr">
        <is>
          <t>Refill</t>
        </is>
      </c>
      <c r="D685" t="inlineStr">
        <is>
          <t>Primer Liso</t>
        </is>
      </c>
      <c r="E685" t="n">
        <v>1</v>
      </c>
      <c r="F685" t="inlineStr">
        <is>
          <t>2025-10-04</t>
        </is>
      </c>
      <c r="G685" t="n">
        <v>273</v>
      </c>
      <c r="H685" t="inlineStr">
        <is>
          <t>Y</t>
        </is>
      </c>
      <c r="I685">
        <f>HYPERLINK("https://admin.shopify.com/store/ge-beauty-cosmeticos/customers/9738773070144","abrir")</f>
        <v/>
      </c>
      <c r="J685">
        <f>HYPERLINK("https://www.gebeauty.com.br/products/primer-liso-intacto?ref=review","review")</f>
        <v/>
      </c>
      <c r="K685" t="inlineStr">
        <is>
          <t>SEND</t>
        </is>
      </c>
    </row>
    <row r="686">
      <c r="A686" t="inlineStr">
        <is>
          <t>Suzana</t>
        </is>
      </c>
      <c r="B686" t="inlineStr">
        <is>
          <t>+5521980642419</t>
        </is>
      </c>
      <c r="C686" t="inlineStr">
        <is>
          <t>Refill</t>
        </is>
      </c>
      <c r="D686" t="inlineStr">
        <is>
          <t>Primer Liso</t>
        </is>
      </c>
      <c r="E686" t="n">
        <v>1</v>
      </c>
      <c r="F686" t="inlineStr">
        <is>
          <t>2025-10-04</t>
        </is>
      </c>
      <c r="G686" t="n">
        <v>273</v>
      </c>
      <c r="H686" t="inlineStr">
        <is>
          <t>Y</t>
        </is>
      </c>
      <c r="I686">
        <f>HYPERLINK("https://admin.shopify.com/store/ge-beauty-cosmeticos/customers/9738927800640","abrir")</f>
        <v/>
      </c>
      <c r="J686">
        <f>HYPERLINK("https://www.gebeauty.com.br/products/primer-liso-intacto?ref=review","review")</f>
        <v/>
      </c>
      <c r="K686" t="inlineStr">
        <is>
          <t>SEND</t>
        </is>
      </c>
    </row>
    <row r="687">
      <c r="A687" t="inlineStr">
        <is>
          <t>Nancy</t>
        </is>
      </c>
      <c r="B687" t="inlineStr">
        <is>
          <t>+5511998525911</t>
        </is>
      </c>
      <c r="C687" t="inlineStr">
        <is>
          <t>Refill</t>
        </is>
      </c>
      <c r="D687" t="inlineStr">
        <is>
          <t>Primer Liso</t>
        </is>
      </c>
      <c r="E687" t="n">
        <v>1</v>
      </c>
      <c r="F687" t="inlineStr">
        <is>
          <t>2025-10-04</t>
        </is>
      </c>
      <c r="G687" t="n">
        <v>273</v>
      </c>
      <c r="H687" t="inlineStr">
        <is>
          <t>Y</t>
        </is>
      </c>
      <c r="I687">
        <f>HYPERLINK("https://admin.shopify.com/store/ge-beauty-cosmeticos/customers/9739049402688","abrir")</f>
        <v/>
      </c>
      <c r="J687">
        <f>HYPERLINK("https://www.gebeauty.com.br/products/primer-liso-intacto?ref=review","review")</f>
        <v/>
      </c>
      <c r="K687" t="inlineStr">
        <is>
          <t>SEND</t>
        </is>
      </c>
    </row>
    <row r="688">
      <c r="A688" t="inlineStr">
        <is>
          <t>Silvana</t>
        </is>
      </c>
      <c r="B688" t="inlineStr">
        <is>
          <t>+5519981235688</t>
        </is>
      </c>
      <c r="C688" t="inlineStr">
        <is>
          <t>Refill</t>
        </is>
      </c>
      <c r="D688" t="inlineStr">
        <is>
          <t>Primer Liso</t>
        </is>
      </c>
      <c r="E688" t="n">
        <v>1</v>
      </c>
      <c r="F688" t="inlineStr">
        <is>
          <t>2025-10-04</t>
        </is>
      </c>
      <c r="G688" t="n">
        <v>273</v>
      </c>
      <c r="H688" t="inlineStr">
        <is>
          <t>Y</t>
        </is>
      </c>
      <c r="I688">
        <f>HYPERLINK("https://admin.shopify.com/store/ge-beauty-cosmeticos/customers/9739473518912","abrir")</f>
        <v/>
      </c>
      <c r="J688">
        <f>HYPERLINK("https://www.gebeauty.com.br/products/primer-liso-intacto?ref=review","review")</f>
        <v/>
      </c>
      <c r="K688" t="inlineStr">
        <is>
          <t>SEND</t>
        </is>
      </c>
    </row>
    <row r="689">
      <c r="A689" t="inlineStr">
        <is>
          <t>Aline</t>
        </is>
      </c>
      <c r="B689" t="inlineStr">
        <is>
          <t>+5581988667274</t>
        </is>
      </c>
      <c r="C689" t="inlineStr">
        <is>
          <t>Refill</t>
        </is>
      </c>
      <c r="D689" t="inlineStr">
        <is>
          <t>Primer Liso</t>
        </is>
      </c>
      <c r="E689" t="n">
        <v>1</v>
      </c>
      <c r="F689" t="inlineStr">
        <is>
          <t>2025-10-04</t>
        </is>
      </c>
      <c r="G689" t="n">
        <v>273</v>
      </c>
      <c r="H689" t="inlineStr">
        <is>
          <t>Y</t>
        </is>
      </c>
      <c r="I689">
        <f>HYPERLINK("https://admin.shopify.com/store/ge-beauty-cosmeticos/customers/9739067130176","abrir")</f>
        <v/>
      </c>
      <c r="J689">
        <f>HYPERLINK("https://www.gebeauty.com.br/products/primer-liso-intacto?ref=review","review")</f>
        <v/>
      </c>
      <c r="K689" t="inlineStr">
        <is>
          <t>SEND</t>
        </is>
      </c>
    </row>
    <row r="690">
      <c r="A690" t="inlineStr">
        <is>
          <t>Stefania</t>
        </is>
      </c>
      <c r="B690" t="inlineStr">
        <is>
          <t>+5591981497972</t>
        </is>
      </c>
      <c r="C690" t="inlineStr">
        <is>
          <t>Refill</t>
        </is>
      </c>
      <c r="D690" t="inlineStr">
        <is>
          <t>Primer Liso</t>
        </is>
      </c>
      <c r="E690" t="n">
        <v>1</v>
      </c>
      <c r="F690" t="inlineStr">
        <is>
          <t>2025-10-04</t>
        </is>
      </c>
      <c r="G690" t="n">
        <v>273</v>
      </c>
      <c r="H690" t="inlineStr">
        <is>
          <t>Y</t>
        </is>
      </c>
      <c r="I690">
        <f>HYPERLINK("https://admin.shopify.com/store/ge-beauty-cosmeticos/customers/9740056494400","abrir")</f>
        <v/>
      </c>
      <c r="J690">
        <f>HYPERLINK("https://www.gebeauty.com.br/products/primer-liso-intacto?ref=review","review")</f>
        <v/>
      </c>
      <c r="K690" t="inlineStr">
        <is>
          <t>SEND</t>
        </is>
      </c>
    </row>
    <row r="691">
      <c r="A691" t="inlineStr">
        <is>
          <t>Aline</t>
        </is>
      </c>
      <c r="B691" t="inlineStr">
        <is>
          <t>+5592988060461</t>
        </is>
      </c>
      <c r="C691" t="inlineStr">
        <is>
          <t>Refill</t>
        </is>
      </c>
      <c r="D691" t="inlineStr">
        <is>
          <t>Primer Liso</t>
        </is>
      </c>
      <c r="E691" t="n">
        <v>1</v>
      </c>
      <c r="F691" t="inlineStr">
        <is>
          <t>2025-12-19</t>
        </is>
      </c>
      <c r="G691" t="n">
        <v>197</v>
      </c>
      <c r="H691" t="inlineStr">
        <is>
          <t>Y</t>
        </is>
      </c>
      <c r="I691">
        <f>HYPERLINK("https://admin.shopify.com/store/ge-beauty-cosmeticos/customers/7759895593280","abrir")</f>
        <v/>
      </c>
      <c r="J691">
        <f>HYPERLINK("https://www.gebeauty.com.br/products/primer-liso-intacto?ref=review","review")</f>
        <v/>
      </c>
      <c r="K691" t="inlineStr">
        <is>
          <t>SEND</t>
        </is>
      </c>
    </row>
    <row r="692">
      <c r="A692" t="inlineStr">
        <is>
          <t>Jessie</t>
        </is>
      </c>
      <c r="B692" t="inlineStr">
        <is>
          <t>+5548999696656</t>
        </is>
      </c>
      <c r="C692" t="inlineStr">
        <is>
          <t>Refill</t>
        </is>
      </c>
      <c r="D692" t="inlineStr">
        <is>
          <t>Primer Liso</t>
        </is>
      </c>
      <c r="E692" t="n">
        <v>1</v>
      </c>
      <c r="F692" t="inlineStr">
        <is>
          <t>2025-10-04</t>
        </is>
      </c>
      <c r="G692" t="n">
        <v>273</v>
      </c>
      <c r="H692" t="inlineStr">
        <is>
          <t>N</t>
        </is>
      </c>
      <c r="I692">
        <f>HYPERLINK("https://admin.shopify.com/store/ge-beauty-cosmeticos/customers/8655766389056","abrir")</f>
        <v/>
      </c>
      <c r="J692">
        <f>HYPERLINK("https://www.gebeauty.com.br/products/primer-liso-intacto?ref=review","review")</f>
        <v/>
      </c>
      <c r="K692" t="inlineStr">
        <is>
          <t>SEND</t>
        </is>
      </c>
    </row>
    <row r="693">
      <c r="A693" t="inlineStr">
        <is>
          <t>Myrna</t>
        </is>
      </c>
      <c r="B693" t="inlineStr">
        <is>
          <t>+5521969242692</t>
        </is>
      </c>
      <c r="C693" t="inlineStr">
        <is>
          <t>Refill</t>
        </is>
      </c>
      <c r="D693" t="inlineStr">
        <is>
          <t>Primer Liso</t>
        </is>
      </c>
      <c r="E693" t="n">
        <v>1</v>
      </c>
      <c r="F693" t="inlineStr">
        <is>
          <t>2025-10-04</t>
        </is>
      </c>
      <c r="G693" t="n">
        <v>273</v>
      </c>
      <c r="H693" t="inlineStr">
        <is>
          <t>Y</t>
        </is>
      </c>
      <c r="I693">
        <f>HYPERLINK("https://admin.shopify.com/store/ge-beauty-cosmeticos/customers/9486452228416","abrir")</f>
        <v/>
      </c>
      <c r="J693">
        <f>HYPERLINK("https://www.gebeauty.com.br/products/primer-liso-intacto?ref=review","review")</f>
        <v/>
      </c>
      <c r="K693" t="inlineStr">
        <is>
          <t>SEND</t>
        </is>
      </c>
    </row>
    <row r="694">
      <c r="A694" t="inlineStr">
        <is>
          <t>Taiana</t>
        </is>
      </c>
      <c r="B694" t="inlineStr">
        <is>
          <t>+5581999275098</t>
        </is>
      </c>
      <c r="C694" t="inlineStr">
        <is>
          <t>Refill</t>
        </is>
      </c>
      <c r="D694" t="inlineStr">
        <is>
          <t>Primer Liso</t>
        </is>
      </c>
      <c r="E694" t="n">
        <v>1</v>
      </c>
      <c r="F694" t="inlineStr">
        <is>
          <t>2025-10-05</t>
        </is>
      </c>
      <c r="G694" t="n">
        <v>272</v>
      </c>
      <c r="H694" t="inlineStr">
        <is>
          <t>Y</t>
        </is>
      </c>
      <c r="I694">
        <f>HYPERLINK("https://admin.shopify.com/store/ge-beauty-cosmeticos/customers/9740811370816","abrir")</f>
        <v/>
      </c>
      <c r="J694">
        <f>HYPERLINK("https://www.gebeauty.com.br/products/primer-liso-intacto?ref=review","review")</f>
        <v/>
      </c>
      <c r="K694" t="inlineStr">
        <is>
          <t>SEND</t>
        </is>
      </c>
    </row>
    <row r="695">
      <c r="A695" t="inlineStr">
        <is>
          <t>Monique</t>
        </is>
      </c>
      <c r="B695" t="inlineStr">
        <is>
          <t>+5587988262285</t>
        </is>
      </c>
      <c r="C695" t="inlineStr">
        <is>
          <t>Refill</t>
        </is>
      </c>
      <c r="D695" t="inlineStr">
        <is>
          <t>Primer Liso</t>
        </is>
      </c>
      <c r="E695" t="n">
        <v>1</v>
      </c>
      <c r="F695" t="inlineStr">
        <is>
          <t>2025-10-05</t>
        </is>
      </c>
      <c r="G695" t="n">
        <v>272</v>
      </c>
      <c r="H695" t="inlineStr">
        <is>
          <t>Y</t>
        </is>
      </c>
      <c r="I695">
        <f>HYPERLINK("https://admin.shopify.com/store/ge-beauty-cosmeticos/customers/9486361198912","abrir")</f>
        <v/>
      </c>
      <c r="J695">
        <f>HYPERLINK("https://www.gebeauty.com.br/products/primer-liso-intacto?ref=review","review")</f>
        <v/>
      </c>
      <c r="K695" t="inlineStr">
        <is>
          <t>SEND</t>
        </is>
      </c>
    </row>
    <row r="696">
      <c r="A696" t="inlineStr">
        <is>
          <t>Giovanna</t>
        </is>
      </c>
      <c r="B696" t="inlineStr">
        <is>
          <t>+5511999790280</t>
        </is>
      </c>
      <c r="C696" t="inlineStr">
        <is>
          <t>Refill</t>
        </is>
      </c>
      <c r="D696" t="inlineStr">
        <is>
          <t>Primer Liso</t>
        </is>
      </c>
      <c r="E696" t="n">
        <v>1</v>
      </c>
      <c r="F696" t="inlineStr">
        <is>
          <t>2025-10-05</t>
        </is>
      </c>
      <c r="G696" t="n">
        <v>272</v>
      </c>
      <c r="H696" t="inlineStr">
        <is>
          <t>Y</t>
        </is>
      </c>
      <c r="I696">
        <f>HYPERLINK("https://admin.shopify.com/store/ge-beauty-cosmeticos/customers/9742856094016","abrir")</f>
        <v/>
      </c>
      <c r="J696">
        <f>HYPERLINK("https://www.gebeauty.com.br/products/primer-liso-intacto?ref=review","review")</f>
        <v/>
      </c>
      <c r="K696" t="inlineStr">
        <is>
          <t>SEND</t>
        </is>
      </c>
    </row>
    <row r="697">
      <c r="A697" t="inlineStr">
        <is>
          <t>Adriana</t>
        </is>
      </c>
      <c r="B697" t="inlineStr">
        <is>
          <t>+5581994698992</t>
        </is>
      </c>
      <c r="C697" t="inlineStr">
        <is>
          <t>Refill</t>
        </is>
      </c>
      <c r="D697" t="inlineStr">
        <is>
          <t>Primer Liso</t>
        </is>
      </c>
      <c r="E697" t="n">
        <v>1</v>
      </c>
      <c r="F697" t="inlineStr">
        <is>
          <t>2025-10-05</t>
        </is>
      </c>
      <c r="G697" t="n">
        <v>272</v>
      </c>
      <c r="H697" t="inlineStr">
        <is>
          <t>Y</t>
        </is>
      </c>
      <c r="I697">
        <f>HYPERLINK("https://admin.shopify.com/store/ge-beauty-cosmeticos/customers/9743877177664","abrir")</f>
        <v/>
      </c>
      <c r="J697">
        <f>HYPERLINK("https://www.gebeauty.com.br/products/primer-liso-intacto?ref=review","review")</f>
        <v/>
      </c>
      <c r="K697" t="inlineStr">
        <is>
          <t>SEND</t>
        </is>
      </c>
    </row>
    <row r="698">
      <c r="A698" t="inlineStr">
        <is>
          <t>Izabella</t>
        </is>
      </c>
      <c r="B698" t="inlineStr">
        <is>
          <t>+5561999790340</t>
        </is>
      </c>
      <c r="C698" t="inlineStr">
        <is>
          <t>Refill</t>
        </is>
      </c>
      <c r="D698" t="inlineStr">
        <is>
          <t>Primer Liso</t>
        </is>
      </c>
      <c r="E698" t="n">
        <v>1</v>
      </c>
      <c r="F698" t="inlineStr">
        <is>
          <t>2025-10-06</t>
        </is>
      </c>
      <c r="G698" t="n">
        <v>271</v>
      </c>
      <c r="H698" t="inlineStr">
        <is>
          <t>Y</t>
        </is>
      </c>
      <c r="I698">
        <f>HYPERLINK("https://admin.shopify.com/store/ge-beauty-cosmeticos/customers/9744299262272","abrir")</f>
        <v/>
      </c>
      <c r="J698">
        <f>HYPERLINK("https://www.gebeauty.com.br/products/primer-liso-intacto?ref=review","review")</f>
        <v/>
      </c>
      <c r="K698" t="inlineStr">
        <is>
          <t>HOLDOUT</t>
        </is>
      </c>
    </row>
    <row r="699">
      <c r="A699" t="inlineStr">
        <is>
          <t>Patricia</t>
        </is>
      </c>
      <c r="B699" t="inlineStr">
        <is>
          <t>+5535984178255</t>
        </is>
      </c>
      <c r="C699" t="inlineStr">
        <is>
          <t>Refill</t>
        </is>
      </c>
      <c r="D699" t="inlineStr">
        <is>
          <t>Primer Liso</t>
        </is>
      </c>
      <c r="E699" t="n">
        <v>1</v>
      </c>
      <c r="F699" t="inlineStr">
        <is>
          <t>2025-10-06</t>
        </is>
      </c>
      <c r="G699" t="n">
        <v>271</v>
      </c>
      <c r="H699" t="inlineStr">
        <is>
          <t>Y</t>
        </is>
      </c>
      <c r="I699">
        <f>HYPERLINK("https://admin.shopify.com/store/ge-beauty-cosmeticos/customers/9744511959360","abrir")</f>
        <v/>
      </c>
      <c r="J699">
        <f>HYPERLINK("https://www.gebeauty.com.br/products/primer-liso-intacto?ref=review","review")</f>
        <v/>
      </c>
      <c r="K699" t="inlineStr">
        <is>
          <t>SEND</t>
        </is>
      </c>
    </row>
    <row r="700">
      <c r="A700" t="inlineStr">
        <is>
          <t>Luiza</t>
        </is>
      </c>
      <c r="B700" t="inlineStr">
        <is>
          <t>+5511998895722</t>
        </is>
      </c>
      <c r="C700" t="inlineStr">
        <is>
          <t>Refill</t>
        </is>
      </c>
      <c r="D700" t="inlineStr">
        <is>
          <t>Primer Liso</t>
        </is>
      </c>
      <c r="E700" t="n">
        <v>1</v>
      </c>
      <c r="F700" t="inlineStr">
        <is>
          <t>2025-10-06</t>
        </is>
      </c>
      <c r="G700" t="n">
        <v>271</v>
      </c>
      <c r="H700" t="inlineStr">
        <is>
          <t>Y</t>
        </is>
      </c>
      <c r="I700">
        <f>HYPERLINK("https://admin.shopify.com/store/ge-beauty-cosmeticos/customers/9745054236992","abrir")</f>
        <v/>
      </c>
      <c r="J700">
        <f>HYPERLINK("https://www.gebeauty.com.br/products/primer-liso-intacto?ref=review","review")</f>
        <v/>
      </c>
      <c r="K700" t="inlineStr">
        <is>
          <t>SEND</t>
        </is>
      </c>
    </row>
    <row r="701">
      <c r="A701" t="inlineStr">
        <is>
          <t>Luciana</t>
        </is>
      </c>
      <c r="B701" t="inlineStr">
        <is>
          <t>+5511986031953</t>
        </is>
      </c>
      <c r="C701" t="inlineStr">
        <is>
          <t>Refill</t>
        </is>
      </c>
      <c r="D701" t="inlineStr">
        <is>
          <t>Primer Liso</t>
        </is>
      </c>
      <c r="E701" t="n">
        <v>1</v>
      </c>
      <c r="F701" t="inlineStr">
        <is>
          <t>2025-10-06</t>
        </is>
      </c>
      <c r="G701" t="n">
        <v>271</v>
      </c>
      <c r="H701" t="inlineStr">
        <is>
          <t>Y</t>
        </is>
      </c>
      <c r="I701">
        <f>HYPERLINK("https://admin.shopify.com/store/ge-beauty-cosmeticos/customers/7761488904512","abrir")</f>
        <v/>
      </c>
      <c r="J701">
        <f>HYPERLINK("https://www.gebeauty.com.br/products/primer-liso-intacto?ref=review","review")</f>
        <v/>
      </c>
      <c r="K701" t="inlineStr">
        <is>
          <t>SEND</t>
        </is>
      </c>
    </row>
    <row r="702">
      <c r="A702" t="inlineStr">
        <is>
          <t>Estela</t>
        </is>
      </c>
      <c r="B702" t="inlineStr">
        <is>
          <t>+5511947344882</t>
        </is>
      </c>
      <c r="C702" t="inlineStr">
        <is>
          <t>Refill</t>
        </is>
      </c>
      <c r="D702" t="inlineStr">
        <is>
          <t>Primer Liso</t>
        </is>
      </c>
      <c r="E702" t="n">
        <v>1</v>
      </c>
      <c r="F702" t="inlineStr">
        <is>
          <t>2025-10-06</t>
        </is>
      </c>
      <c r="G702" t="n">
        <v>271</v>
      </c>
      <c r="H702" t="inlineStr">
        <is>
          <t>Y</t>
        </is>
      </c>
      <c r="I702">
        <f>HYPERLINK("https://admin.shopify.com/store/ge-beauty-cosmeticos/customers/9484687868224","abrir")</f>
        <v/>
      </c>
      <c r="J702">
        <f>HYPERLINK("https://www.gebeauty.com.br/products/primer-liso-intacto?ref=review","review")</f>
        <v/>
      </c>
      <c r="K702" t="inlineStr">
        <is>
          <t>SEND</t>
        </is>
      </c>
    </row>
    <row r="703">
      <c r="A703" t="inlineStr">
        <is>
          <t>Mireli</t>
        </is>
      </c>
      <c r="B703" t="inlineStr">
        <is>
          <t>+5565992333227</t>
        </is>
      </c>
      <c r="C703" t="inlineStr">
        <is>
          <t>Refill</t>
        </is>
      </c>
      <c r="D703" t="inlineStr">
        <is>
          <t>Primer Liso</t>
        </is>
      </c>
      <c r="E703" t="n">
        <v>1</v>
      </c>
      <c r="F703" t="inlineStr">
        <is>
          <t>2025-10-06</t>
        </is>
      </c>
      <c r="G703" t="n">
        <v>271</v>
      </c>
      <c r="H703" t="inlineStr">
        <is>
          <t>Y</t>
        </is>
      </c>
      <c r="I703">
        <f>HYPERLINK("https://admin.shopify.com/store/ge-beauty-cosmeticos/customers/9746080137536","abrir")</f>
        <v/>
      </c>
      <c r="J703">
        <f>HYPERLINK("https://www.gebeauty.com.br/products/primer-liso-intacto?ref=review","review")</f>
        <v/>
      </c>
      <c r="K703" t="inlineStr">
        <is>
          <t>SEND</t>
        </is>
      </c>
    </row>
    <row r="704">
      <c r="A704" t="inlineStr">
        <is>
          <t>Stephanie</t>
        </is>
      </c>
      <c r="B704" t="inlineStr">
        <is>
          <t>+5511976160606</t>
        </is>
      </c>
      <c r="C704" t="inlineStr">
        <is>
          <t>Refill</t>
        </is>
      </c>
      <c r="D704" t="inlineStr">
        <is>
          <t>Primer Liso</t>
        </is>
      </c>
      <c r="E704" t="n">
        <v>1</v>
      </c>
      <c r="F704" t="inlineStr">
        <is>
          <t>2025-10-06</t>
        </is>
      </c>
      <c r="G704" t="n">
        <v>271</v>
      </c>
      <c r="H704" t="inlineStr">
        <is>
          <t>Y</t>
        </is>
      </c>
      <c r="I704">
        <f>HYPERLINK("https://admin.shopify.com/store/ge-beauty-cosmeticos/customers/7761534681408","abrir")</f>
        <v/>
      </c>
      <c r="J704">
        <f>HYPERLINK("https://www.gebeauty.com.br/products/primer-liso-intacto?ref=review","review")</f>
        <v/>
      </c>
      <c r="K704" t="inlineStr">
        <is>
          <t>SEND</t>
        </is>
      </c>
    </row>
    <row r="705">
      <c r="A705" t="inlineStr">
        <is>
          <t>Ellen</t>
        </is>
      </c>
      <c r="B705" t="inlineStr">
        <is>
          <t>+5524988551429</t>
        </is>
      </c>
      <c r="C705" t="inlineStr">
        <is>
          <t>Refill</t>
        </is>
      </c>
      <c r="D705" t="inlineStr">
        <is>
          <t>Primer Liso</t>
        </is>
      </c>
      <c r="E705" t="n">
        <v>1</v>
      </c>
      <c r="F705" t="inlineStr">
        <is>
          <t>2025-10-06</t>
        </is>
      </c>
      <c r="G705" t="n">
        <v>271</v>
      </c>
      <c r="H705" t="inlineStr">
        <is>
          <t>Y</t>
        </is>
      </c>
      <c r="I705">
        <f>HYPERLINK("https://admin.shopify.com/store/ge-beauty-cosmeticos/customers/9484955484480","abrir")</f>
        <v/>
      </c>
      <c r="J705">
        <f>HYPERLINK("https://www.gebeauty.com.br/products/primer-liso-intacto?ref=review","review")</f>
        <v/>
      </c>
      <c r="K705" t="inlineStr">
        <is>
          <t>SEND</t>
        </is>
      </c>
    </row>
    <row r="706">
      <c r="A706" t="inlineStr">
        <is>
          <t>Isabela</t>
        </is>
      </c>
      <c r="B706" t="inlineStr">
        <is>
          <t>+5543996018888</t>
        </is>
      </c>
      <c r="C706" t="inlineStr">
        <is>
          <t>Refill</t>
        </is>
      </c>
      <c r="D706" t="inlineStr">
        <is>
          <t>Primer Liso</t>
        </is>
      </c>
      <c r="E706" t="n">
        <v>1</v>
      </c>
      <c r="F706" t="inlineStr">
        <is>
          <t>2025-10-07</t>
        </is>
      </c>
      <c r="G706" t="n">
        <v>270</v>
      </c>
      <c r="H706" t="inlineStr">
        <is>
          <t>Y</t>
        </is>
      </c>
      <c r="I706">
        <f>HYPERLINK("https://admin.shopify.com/store/ge-beauty-cosmeticos/customers/9746630934848","abrir")</f>
        <v/>
      </c>
      <c r="J706">
        <f>HYPERLINK("https://www.gebeauty.com.br/products/primer-liso-intacto?ref=review","review")</f>
        <v/>
      </c>
      <c r="K706" t="inlineStr">
        <is>
          <t>SEND</t>
        </is>
      </c>
    </row>
    <row r="707">
      <c r="A707" t="inlineStr">
        <is>
          <t>Inês</t>
        </is>
      </c>
      <c r="B707" t="inlineStr">
        <is>
          <t>+5511993111086</t>
        </is>
      </c>
      <c r="C707" t="inlineStr">
        <is>
          <t>Refill</t>
        </is>
      </c>
      <c r="D707" t="inlineStr">
        <is>
          <t>Primer Liso</t>
        </is>
      </c>
      <c r="E707" t="n">
        <v>1</v>
      </c>
      <c r="F707" t="inlineStr">
        <is>
          <t>2025-10-07</t>
        </is>
      </c>
      <c r="G707" t="n">
        <v>270</v>
      </c>
      <c r="H707" t="inlineStr">
        <is>
          <t>Y</t>
        </is>
      </c>
      <c r="I707">
        <f>HYPERLINK("https://admin.shopify.com/store/ge-beauty-cosmeticos/customers/7762613109056","abrir")</f>
        <v/>
      </c>
      <c r="J707">
        <f>HYPERLINK("https://www.gebeauty.com.br/products/primer-liso-intacto?ref=review","review")</f>
        <v/>
      </c>
      <c r="K707" t="inlineStr">
        <is>
          <t>SEND</t>
        </is>
      </c>
    </row>
    <row r="708">
      <c r="A708" t="inlineStr">
        <is>
          <t>Amanda</t>
        </is>
      </c>
      <c r="B708" t="inlineStr">
        <is>
          <t>+5561999158466</t>
        </is>
      </c>
      <c r="C708" t="inlineStr">
        <is>
          <t>Refill</t>
        </is>
      </c>
      <c r="D708" t="inlineStr">
        <is>
          <t>Primer Liso</t>
        </is>
      </c>
      <c r="E708" t="n">
        <v>1</v>
      </c>
      <c r="F708" t="inlineStr">
        <is>
          <t>2026-02-03</t>
        </is>
      </c>
      <c r="G708" t="n">
        <v>151</v>
      </c>
      <c r="H708" t="inlineStr">
        <is>
          <t>Y</t>
        </is>
      </c>
      <c r="I708">
        <f>HYPERLINK("https://admin.shopify.com/store/ge-beauty-cosmeticos/customers/7761150280000","abrir")</f>
        <v/>
      </c>
      <c r="J708">
        <f>HYPERLINK("https://www.gebeauty.com.br/products/primer-liso-intacto?ref=review","review")</f>
        <v/>
      </c>
      <c r="K708" t="inlineStr">
        <is>
          <t>SEND</t>
        </is>
      </c>
    </row>
    <row r="709">
      <c r="A709" t="inlineStr">
        <is>
          <t>Nara</t>
        </is>
      </c>
      <c r="B709" t="inlineStr">
        <is>
          <t>+5521999436126</t>
        </is>
      </c>
      <c r="C709" t="inlineStr">
        <is>
          <t>Refill</t>
        </is>
      </c>
      <c r="D709" t="inlineStr">
        <is>
          <t>Primer Liso</t>
        </is>
      </c>
      <c r="E709" t="n">
        <v>1</v>
      </c>
      <c r="F709" t="inlineStr">
        <is>
          <t>2025-10-07</t>
        </is>
      </c>
      <c r="G709" t="n">
        <v>270</v>
      </c>
      <c r="H709" t="inlineStr">
        <is>
          <t>Y</t>
        </is>
      </c>
      <c r="I709">
        <f>HYPERLINK("https://admin.shopify.com/store/ge-beauty-cosmeticos/customers/9748302102848","abrir")</f>
        <v/>
      </c>
      <c r="J709">
        <f>HYPERLINK("https://www.gebeauty.com.br/products/primer-liso-intacto?ref=review","review")</f>
        <v/>
      </c>
      <c r="K709" t="inlineStr">
        <is>
          <t>SEND</t>
        </is>
      </c>
    </row>
    <row r="710">
      <c r="A710" t="inlineStr">
        <is>
          <t>Ana Claudia</t>
        </is>
      </c>
      <c r="B710" t="inlineStr">
        <is>
          <t>+5511996311431</t>
        </is>
      </c>
      <c r="C710" t="inlineStr">
        <is>
          <t>Refill</t>
        </is>
      </c>
      <c r="D710" t="inlineStr">
        <is>
          <t>Primer Liso</t>
        </is>
      </c>
      <c r="E710" t="n">
        <v>1</v>
      </c>
      <c r="F710" t="inlineStr">
        <is>
          <t>2025-10-07</t>
        </is>
      </c>
      <c r="G710" t="n">
        <v>270</v>
      </c>
      <c r="H710" t="inlineStr">
        <is>
          <t>Y</t>
        </is>
      </c>
      <c r="I710">
        <f>HYPERLINK("https://admin.shopify.com/store/ge-beauty-cosmeticos/customers/9748828520768","abrir")</f>
        <v/>
      </c>
      <c r="J710">
        <f>HYPERLINK("https://www.gebeauty.com.br/products/primer-liso-intacto?ref=review","review")</f>
        <v/>
      </c>
      <c r="K710" t="inlineStr">
        <is>
          <t>SEND</t>
        </is>
      </c>
    </row>
    <row r="711">
      <c r="A711" t="inlineStr">
        <is>
          <t>João</t>
        </is>
      </c>
      <c r="B711" t="inlineStr">
        <is>
          <t>+5586999056635</t>
        </is>
      </c>
      <c r="C711" t="inlineStr">
        <is>
          <t>Refill</t>
        </is>
      </c>
      <c r="D711" t="inlineStr">
        <is>
          <t>Primer Liso</t>
        </is>
      </c>
      <c r="E711" t="n">
        <v>1</v>
      </c>
      <c r="F711" t="inlineStr">
        <is>
          <t>2025-10-07</t>
        </is>
      </c>
      <c r="G711" t="n">
        <v>270</v>
      </c>
      <c r="H711" t="inlineStr">
        <is>
          <t>Y</t>
        </is>
      </c>
      <c r="I711">
        <f>HYPERLINK("https://admin.shopify.com/store/ge-beauty-cosmeticos/customers/9748873085248","abrir")</f>
        <v/>
      </c>
      <c r="J711">
        <f>HYPERLINK("https://www.gebeauty.com.br/products/primer-liso-intacto?ref=review","review")</f>
        <v/>
      </c>
      <c r="K711" t="inlineStr">
        <is>
          <t>SEND</t>
        </is>
      </c>
    </row>
    <row r="712">
      <c r="A712" t="inlineStr">
        <is>
          <t>Francielle</t>
        </is>
      </c>
      <c r="B712" t="inlineStr">
        <is>
          <t>+5541991310016</t>
        </is>
      </c>
      <c r="C712" t="inlineStr">
        <is>
          <t>Refill</t>
        </is>
      </c>
      <c r="D712" t="inlineStr">
        <is>
          <t>Primer Liso</t>
        </is>
      </c>
      <c r="E712" t="n">
        <v>1</v>
      </c>
      <c r="F712" t="inlineStr">
        <is>
          <t>2025-10-07</t>
        </is>
      </c>
      <c r="G712" t="n">
        <v>270</v>
      </c>
      <c r="H712" t="inlineStr">
        <is>
          <t>Y</t>
        </is>
      </c>
      <c r="I712">
        <f>HYPERLINK("https://admin.shopify.com/store/ge-beauty-cosmeticos/customers/9748921811264","abrir")</f>
        <v/>
      </c>
      <c r="J712">
        <f>HYPERLINK("https://www.gebeauty.com.br/products/primer-liso-intacto?ref=review","review")</f>
        <v/>
      </c>
      <c r="K712" t="inlineStr">
        <is>
          <t>SEND</t>
        </is>
      </c>
    </row>
    <row r="713">
      <c r="A713" t="inlineStr">
        <is>
          <t>Gabriella</t>
        </is>
      </c>
      <c r="B713" t="inlineStr">
        <is>
          <t>+5511981363882</t>
        </is>
      </c>
      <c r="C713" t="inlineStr">
        <is>
          <t>Refill</t>
        </is>
      </c>
      <c r="D713" t="inlineStr">
        <is>
          <t>Primer Liso</t>
        </is>
      </c>
      <c r="E713" t="n">
        <v>1</v>
      </c>
      <c r="F713" t="inlineStr">
        <is>
          <t>2025-10-07</t>
        </is>
      </c>
      <c r="G713" t="n">
        <v>270</v>
      </c>
      <c r="H713" t="inlineStr">
        <is>
          <t>Y</t>
        </is>
      </c>
      <c r="I713">
        <f>HYPERLINK("https://admin.shopify.com/store/ge-beauty-cosmeticos/customers/9748964114752","abrir")</f>
        <v/>
      </c>
      <c r="J713">
        <f>HYPERLINK("https://www.gebeauty.com.br/products/primer-liso-intacto?ref=review","review")</f>
        <v/>
      </c>
      <c r="K713" t="inlineStr">
        <is>
          <t>SEND</t>
        </is>
      </c>
    </row>
    <row r="714">
      <c r="A714" t="inlineStr">
        <is>
          <t>Beatriz</t>
        </is>
      </c>
      <c r="B714" t="inlineStr">
        <is>
          <t>+5521996516624</t>
        </is>
      </c>
      <c r="C714" t="inlineStr">
        <is>
          <t>Refill</t>
        </is>
      </c>
      <c r="D714" t="inlineStr">
        <is>
          <t>Primer Liso</t>
        </is>
      </c>
      <c r="E714" t="n">
        <v>1</v>
      </c>
      <c r="F714" t="inlineStr">
        <is>
          <t>2025-10-08</t>
        </is>
      </c>
      <c r="G714" t="n">
        <v>269</v>
      </c>
      <c r="H714" t="inlineStr">
        <is>
          <t>Y</t>
        </is>
      </c>
      <c r="I714">
        <f>HYPERLINK("https://admin.shopify.com/store/ge-beauty-cosmeticos/customers/9749633532224","abrir")</f>
        <v/>
      </c>
      <c r="J714">
        <f>HYPERLINK("https://www.gebeauty.com.br/products/primer-liso-intacto?ref=review","review")</f>
        <v/>
      </c>
      <c r="K714" t="inlineStr">
        <is>
          <t>SEND</t>
        </is>
      </c>
    </row>
    <row r="715">
      <c r="A715" t="inlineStr">
        <is>
          <t>Vitoria</t>
        </is>
      </c>
      <c r="B715" t="inlineStr">
        <is>
          <t>+5561984814536</t>
        </is>
      </c>
      <c r="C715" t="inlineStr">
        <is>
          <t>Refill</t>
        </is>
      </c>
      <c r="D715" t="inlineStr">
        <is>
          <t>Primer Liso</t>
        </is>
      </c>
      <c r="E715" t="n">
        <v>1</v>
      </c>
      <c r="F715" t="inlineStr">
        <is>
          <t>2025-10-09</t>
        </is>
      </c>
      <c r="G715" t="n">
        <v>268</v>
      </c>
      <c r="H715" t="inlineStr">
        <is>
          <t>Y</t>
        </is>
      </c>
      <c r="I715">
        <f>HYPERLINK("https://admin.shopify.com/store/ge-beauty-cosmeticos/customers/9752174985536","abrir")</f>
        <v/>
      </c>
      <c r="J715">
        <f>HYPERLINK("https://www.gebeauty.com.br/products/primer-liso-intacto?ref=review","review")</f>
        <v/>
      </c>
      <c r="K715" t="inlineStr">
        <is>
          <t>HOLDOUT</t>
        </is>
      </c>
    </row>
    <row r="716">
      <c r="A716" t="inlineStr">
        <is>
          <t>Aline</t>
        </is>
      </c>
      <c r="B716" t="inlineStr">
        <is>
          <t>+5551999545192</t>
        </is>
      </c>
      <c r="C716" t="inlineStr">
        <is>
          <t>Refill</t>
        </is>
      </c>
      <c r="D716" t="inlineStr">
        <is>
          <t>Primer Liso</t>
        </is>
      </c>
      <c r="E716" t="n">
        <v>1</v>
      </c>
      <c r="F716" t="inlineStr">
        <is>
          <t>2025-10-09</t>
        </is>
      </c>
      <c r="G716" t="n">
        <v>268</v>
      </c>
      <c r="H716" t="inlineStr">
        <is>
          <t>Y</t>
        </is>
      </c>
      <c r="I716">
        <f>HYPERLINK("https://admin.shopify.com/store/ge-beauty-cosmeticos/customers/9752273027392","abrir")</f>
        <v/>
      </c>
      <c r="J716">
        <f>HYPERLINK("https://www.gebeauty.com.br/products/primer-liso-intacto?ref=review","review")</f>
        <v/>
      </c>
      <c r="K716" t="inlineStr">
        <is>
          <t>SEND</t>
        </is>
      </c>
    </row>
    <row r="717">
      <c r="A717" t="inlineStr">
        <is>
          <t>Helena</t>
        </is>
      </c>
      <c r="B717" t="inlineStr">
        <is>
          <t>+5511993084677</t>
        </is>
      </c>
      <c r="C717" t="inlineStr">
        <is>
          <t>Refill</t>
        </is>
      </c>
      <c r="D717" t="inlineStr">
        <is>
          <t>Primer Liso</t>
        </is>
      </c>
      <c r="E717" t="n">
        <v>1</v>
      </c>
      <c r="F717" t="inlineStr">
        <is>
          <t>2025-10-09</t>
        </is>
      </c>
      <c r="G717" t="n">
        <v>268</v>
      </c>
      <c r="H717" t="inlineStr">
        <is>
          <t>Y</t>
        </is>
      </c>
      <c r="I717">
        <f>HYPERLINK("https://admin.shopify.com/store/ge-beauty-cosmeticos/customers/9486239662400","abrir")</f>
        <v/>
      </c>
      <c r="J717">
        <f>HYPERLINK("https://www.gebeauty.com.br/products/primer-liso-intacto?ref=review","review")</f>
        <v/>
      </c>
      <c r="K717" t="inlineStr">
        <is>
          <t>SEND</t>
        </is>
      </c>
    </row>
    <row r="718">
      <c r="A718" t="inlineStr">
        <is>
          <t>Caroline</t>
        </is>
      </c>
      <c r="B718" t="inlineStr">
        <is>
          <t>+5551999712230</t>
        </is>
      </c>
      <c r="C718" t="inlineStr">
        <is>
          <t>Refill</t>
        </is>
      </c>
      <c r="D718" t="inlineStr">
        <is>
          <t>Primer Liso</t>
        </is>
      </c>
      <c r="E718" t="n">
        <v>1</v>
      </c>
      <c r="F718" t="inlineStr">
        <is>
          <t>2025-10-09</t>
        </is>
      </c>
      <c r="G718" t="n">
        <v>268</v>
      </c>
      <c r="H718" t="inlineStr">
        <is>
          <t>Y</t>
        </is>
      </c>
      <c r="I718">
        <f>HYPERLINK("https://admin.shopify.com/store/ge-beauty-cosmeticos/customers/9486374928704","abrir")</f>
        <v/>
      </c>
      <c r="J718">
        <f>HYPERLINK("https://www.gebeauty.com.br/products/primer-liso-intacto?ref=review","review")</f>
        <v/>
      </c>
      <c r="K718" t="inlineStr">
        <is>
          <t>SEND</t>
        </is>
      </c>
    </row>
    <row r="719">
      <c r="A719" t="inlineStr">
        <is>
          <t>Jacqueline</t>
        </is>
      </c>
      <c r="B719" t="inlineStr">
        <is>
          <t>+5511982363737</t>
        </is>
      </c>
      <c r="C719" t="inlineStr">
        <is>
          <t>Refill</t>
        </is>
      </c>
      <c r="D719" t="inlineStr">
        <is>
          <t>Primer Liso</t>
        </is>
      </c>
      <c r="E719" t="n">
        <v>1</v>
      </c>
      <c r="F719" t="inlineStr">
        <is>
          <t>2025-10-09</t>
        </is>
      </c>
      <c r="G719" t="n">
        <v>268</v>
      </c>
      <c r="H719" t="inlineStr">
        <is>
          <t>Y</t>
        </is>
      </c>
      <c r="I719">
        <f>HYPERLINK("https://admin.shopify.com/store/ge-beauty-cosmeticos/customers/9753210650944","abrir")</f>
        <v/>
      </c>
      <c r="J719">
        <f>HYPERLINK("https://www.gebeauty.com.br/products/primer-liso-intacto?ref=review","review")</f>
        <v/>
      </c>
      <c r="K719" t="inlineStr">
        <is>
          <t>HOLDOUT</t>
        </is>
      </c>
    </row>
    <row r="720">
      <c r="A720" t="inlineStr">
        <is>
          <t>Cynthia</t>
        </is>
      </c>
      <c r="B720" t="inlineStr">
        <is>
          <t>+5511997775165</t>
        </is>
      </c>
      <c r="C720" t="inlineStr">
        <is>
          <t>Refill</t>
        </is>
      </c>
      <c r="D720" t="inlineStr">
        <is>
          <t>Primer Liso</t>
        </is>
      </c>
      <c r="E720" t="n">
        <v>1</v>
      </c>
      <c r="F720" t="inlineStr">
        <is>
          <t>2025-10-10</t>
        </is>
      </c>
      <c r="G720" t="n">
        <v>267</v>
      </c>
      <c r="H720" t="inlineStr">
        <is>
          <t>Y</t>
        </is>
      </c>
      <c r="I720">
        <f>HYPERLINK("https://admin.shopify.com/store/ge-beauty-cosmeticos/customers/9650478874944","abrir")</f>
        <v/>
      </c>
      <c r="J720">
        <f>HYPERLINK("https://www.gebeauty.com.br/products/primer-liso-intacto?ref=review","review")</f>
        <v/>
      </c>
      <c r="K720" t="inlineStr">
        <is>
          <t>SEND</t>
        </is>
      </c>
    </row>
    <row r="721">
      <c r="A721" t="inlineStr">
        <is>
          <t>Daniela</t>
        </is>
      </c>
      <c r="B721" t="inlineStr">
        <is>
          <t>+5571996081105</t>
        </is>
      </c>
      <c r="C721" t="inlineStr">
        <is>
          <t>Refill</t>
        </is>
      </c>
      <c r="D721" t="inlineStr">
        <is>
          <t>Primer Liso</t>
        </is>
      </c>
      <c r="E721" t="n">
        <v>1</v>
      </c>
      <c r="F721" t="inlineStr">
        <is>
          <t>2025-10-10</t>
        </is>
      </c>
      <c r="G721" t="n">
        <v>267</v>
      </c>
      <c r="H721" t="inlineStr">
        <is>
          <t>Y</t>
        </is>
      </c>
      <c r="I721">
        <f>HYPERLINK("https://admin.shopify.com/store/ge-beauty-cosmeticos/customers/9700176658752","abrir")</f>
        <v/>
      </c>
      <c r="J721">
        <f>HYPERLINK("https://www.gebeauty.com.br/products/primer-liso-intacto?ref=review","review")</f>
        <v/>
      </c>
      <c r="K721" t="inlineStr">
        <is>
          <t>SEND</t>
        </is>
      </c>
    </row>
    <row r="722">
      <c r="A722" t="inlineStr">
        <is>
          <t>Ligia</t>
        </is>
      </c>
      <c r="B722" t="inlineStr">
        <is>
          <t>+5511992813077</t>
        </is>
      </c>
      <c r="C722" t="inlineStr">
        <is>
          <t>Refill</t>
        </is>
      </c>
      <c r="D722" t="inlineStr">
        <is>
          <t>Primer Liso</t>
        </is>
      </c>
      <c r="E722" t="n">
        <v>1</v>
      </c>
      <c r="F722" t="inlineStr">
        <is>
          <t>2025-10-10</t>
        </is>
      </c>
      <c r="G722" t="n">
        <v>267</v>
      </c>
      <c r="H722" t="inlineStr">
        <is>
          <t>Y</t>
        </is>
      </c>
      <c r="I722">
        <f>HYPERLINK("https://admin.shopify.com/store/ge-beauty-cosmeticos/customers/9754242875712","abrir")</f>
        <v/>
      </c>
      <c r="J722">
        <f>HYPERLINK("https://www.gebeauty.com.br/products/primer-liso-intacto?ref=review","review")</f>
        <v/>
      </c>
      <c r="K722" t="inlineStr">
        <is>
          <t>HOLDOUT</t>
        </is>
      </c>
    </row>
    <row r="723">
      <c r="A723" t="inlineStr">
        <is>
          <t>Marcia</t>
        </is>
      </c>
      <c r="B723" t="inlineStr">
        <is>
          <t>+5511985205200</t>
        </is>
      </c>
      <c r="C723" t="inlineStr">
        <is>
          <t>Refill</t>
        </is>
      </c>
      <c r="D723" t="inlineStr">
        <is>
          <t>Primer Liso</t>
        </is>
      </c>
      <c r="E723" t="n">
        <v>1</v>
      </c>
      <c r="F723" t="inlineStr">
        <is>
          <t>2025-10-10</t>
        </is>
      </c>
      <c r="G723" t="n">
        <v>267</v>
      </c>
      <c r="H723" t="inlineStr">
        <is>
          <t>Y</t>
        </is>
      </c>
      <c r="I723">
        <f>HYPERLINK("https://admin.shopify.com/store/ge-beauty-cosmeticos/customers/9218578710848","abrir")</f>
        <v/>
      </c>
      <c r="J723">
        <f>HYPERLINK("https://www.gebeauty.com.br/products/primer-liso-intacto?ref=review","review")</f>
        <v/>
      </c>
      <c r="K723" t="inlineStr">
        <is>
          <t>SEND</t>
        </is>
      </c>
    </row>
    <row r="724">
      <c r="A724" t="inlineStr">
        <is>
          <t>Cíntia</t>
        </is>
      </c>
      <c r="B724" t="inlineStr">
        <is>
          <t>+5521995311493</t>
        </is>
      </c>
      <c r="C724" t="inlineStr">
        <is>
          <t>Refill</t>
        </is>
      </c>
      <c r="D724" t="inlineStr">
        <is>
          <t>Primer Liso</t>
        </is>
      </c>
      <c r="E724" t="n">
        <v>1</v>
      </c>
      <c r="F724" t="inlineStr">
        <is>
          <t>2025-10-10</t>
        </is>
      </c>
      <c r="G724" t="n">
        <v>267</v>
      </c>
      <c r="H724" t="inlineStr">
        <is>
          <t>Y</t>
        </is>
      </c>
      <c r="I724">
        <f>HYPERLINK("https://admin.shopify.com/store/ge-beauty-cosmeticos/customers/9486269776192","abrir")</f>
        <v/>
      </c>
      <c r="J724">
        <f>HYPERLINK("https://www.gebeauty.com.br/products/primer-liso-intacto?ref=review","review")</f>
        <v/>
      </c>
      <c r="K724" t="inlineStr">
        <is>
          <t>SEND</t>
        </is>
      </c>
    </row>
    <row r="725">
      <c r="A725" t="inlineStr">
        <is>
          <t>Fernanda</t>
        </is>
      </c>
      <c r="B725" t="inlineStr">
        <is>
          <t>+5521999792230</t>
        </is>
      </c>
      <c r="C725" t="inlineStr">
        <is>
          <t>Refill</t>
        </is>
      </c>
      <c r="D725" t="inlineStr">
        <is>
          <t>Primer Liso</t>
        </is>
      </c>
      <c r="E725" t="n">
        <v>1</v>
      </c>
      <c r="F725" t="inlineStr">
        <is>
          <t>2025-10-11</t>
        </is>
      </c>
      <c r="G725" t="n">
        <v>266</v>
      </c>
      <c r="H725" t="inlineStr">
        <is>
          <t>Y</t>
        </is>
      </c>
      <c r="I725">
        <f>HYPERLINK("https://admin.shopify.com/store/ge-beauty-cosmeticos/customers/9755819835712","abrir")</f>
        <v/>
      </c>
      <c r="J725">
        <f>HYPERLINK("https://www.gebeauty.com.br/products/primer-liso-intacto?ref=review","review")</f>
        <v/>
      </c>
      <c r="K725" t="inlineStr">
        <is>
          <t>SEND</t>
        </is>
      </c>
    </row>
    <row r="726">
      <c r="A726" t="inlineStr">
        <is>
          <t>Nathalia</t>
        </is>
      </c>
      <c r="B726" t="inlineStr">
        <is>
          <t>+5511983763567</t>
        </is>
      </c>
      <c r="C726" t="inlineStr">
        <is>
          <t>Refill</t>
        </is>
      </c>
      <c r="D726" t="inlineStr">
        <is>
          <t>Primer Liso</t>
        </is>
      </c>
      <c r="E726" t="n">
        <v>1</v>
      </c>
      <c r="F726" t="inlineStr">
        <is>
          <t>2025-10-11</t>
        </is>
      </c>
      <c r="G726" t="n">
        <v>266</v>
      </c>
      <c r="H726" t="inlineStr">
        <is>
          <t>N</t>
        </is>
      </c>
      <c r="I726">
        <f>HYPERLINK("https://admin.shopify.com/store/ge-beauty-cosmeticos/customers/9486345634112","abrir")</f>
        <v/>
      </c>
      <c r="J726">
        <f>HYPERLINK("https://www.gebeauty.com.br/products/primer-liso-intacto?ref=review","review")</f>
        <v/>
      </c>
      <c r="K726" t="inlineStr">
        <is>
          <t>SEND</t>
        </is>
      </c>
    </row>
    <row r="727">
      <c r="A727" t="inlineStr">
        <is>
          <t>Fabiana</t>
        </is>
      </c>
      <c r="B727" t="inlineStr">
        <is>
          <t>+5511942254441</t>
        </is>
      </c>
      <c r="C727" t="inlineStr">
        <is>
          <t>Refill</t>
        </is>
      </c>
      <c r="D727" t="inlineStr">
        <is>
          <t>Primer Liso</t>
        </is>
      </c>
      <c r="E727" t="n">
        <v>1</v>
      </c>
      <c r="F727" t="inlineStr">
        <is>
          <t>2025-10-11</t>
        </is>
      </c>
      <c r="G727" t="n">
        <v>266</v>
      </c>
      <c r="H727" t="inlineStr">
        <is>
          <t>Y</t>
        </is>
      </c>
      <c r="I727">
        <f>HYPERLINK("https://admin.shopify.com/store/ge-beauty-cosmeticos/customers/9589061878080","abrir")</f>
        <v/>
      </c>
      <c r="J727">
        <f>HYPERLINK("https://www.gebeauty.com.br/products/primer-liso-intacto?ref=review","review")</f>
        <v/>
      </c>
      <c r="K727" t="inlineStr">
        <is>
          <t>SEND</t>
        </is>
      </c>
    </row>
    <row r="728">
      <c r="A728" t="inlineStr">
        <is>
          <t>Rossana</t>
        </is>
      </c>
      <c r="B728" t="inlineStr">
        <is>
          <t>+5581991778945</t>
        </is>
      </c>
      <c r="C728" t="inlineStr">
        <is>
          <t>Refill</t>
        </is>
      </c>
      <c r="D728" t="inlineStr">
        <is>
          <t>Primer Liso</t>
        </is>
      </c>
      <c r="E728" t="n">
        <v>1</v>
      </c>
      <c r="F728" t="inlineStr">
        <is>
          <t>2025-10-11</t>
        </is>
      </c>
      <c r="G728" t="n">
        <v>266</v>
      </c>
      <c r="H728" t="inlineStr">
        <is>
          <t>Y</t>
        </is>
      </c>
      <c r="I728">
        <f>HYPERLINK("https://admin.shopify.com/store/ge-beauty-cosmeticos/customers/8510924489024","abrir")</f>
        <v/>
      </c>
      <c r="J728">
        <f>HYPERLINK("https://www.gebeauty.com.br/products/primer-liso-intacto?ref=review","review")</f>
        <v/>
      </c>
      <c r="K728" t="inlineStr">
        <is>
          <t>SEND</t>
        </is>
      </c>
    </row>
    <row r="729">
      <c r="A729" t="inlineStr">
        <is>
          <t>Fernanda</t>
        </is>
      </c>
      <c r="B729" t="inlineStr">
        <is>
          <t>+5511983254362</t>
        </is>
      </c>
      <c r="C729" t="inlineStr">
        <is>
          <t>Refill</t>
        </is>
      </c>
      <c r="D729" t="inlineStr">
        <is>
          <t>Primer Liso</t>
        </is>
      </c>
      <c r="E729" t="n">
        <v>1</v>
      </c>
      <c r="F729" t="inlineStr">
        <is>
          <t>2025-10-11</t>
        </is>
      </c>
      <c r="G729" t="n">
        <v>266</v>
      </c>
      <c r="H729" t="inlineStr">
        <is>
          <t>Y</t>
        </is>
      </c>
      <c r="I729">
        <f>HYPERLINK("https://admin.shopify.com/store/ge-beauty-cosmeticos/customers/9485893927232","abrir")</f>
        <v/>
      </c>
      <c r="J729">
        <f>HYPERLINK("https://www.gebeauty.com.br/products/primer-liso-intacto?ref=review","review")</f>
        <v/>
      </c>
      <c r="K729" t="inlineStr">
        <is>
          <t>HOLDOUT</t>
        </is>
      </c>
    </row>
    <row r="730">
      <c r="A730" t="inlineStr">
        <is>
          <t>Fabiana</t>
        </is>
      </c>
      <c r="B730" t="inlineStr">
        <is>
          <t>+5581996009000</t>
        </is>
      </c>
      <c r="C730" t="inlineStr">
        <is>
          <t>Refill</t>
        </is>
      </c>
      <c r="D730" t="inlineStr">
        <is>
          <t>Primer Liso</t>
        </is>
      </c>
      <c r="E730" t="n">
        <v>1</v>
      </c>
      <c r="F730" t="inlineStr">
        <is>
          <t>2025-10-11</t>
        </is>
      </c>
      <c r="G730" t="n">
        <v>266</v>
      </c>
      <c r="H730" t="inlineStr">
        <is>
          <t>Y</t>
        </is>
      </c>
      <c r="I730">
        <f>HYPERLINK("https://admin.shopify.com/store/ge-beauty-cosmeticos/customers/7760942137664","abrir")</f>
        <v/>
      </c>
      <c r="J730">
        <f>HYPERLINK("https://www.gebeauty.com.br/products/primer-liso-intacto?ref=review","review")</f>
        <v/>
      </c>
      <c r="K730" t="inlineStr">
        <is>
          <t>SEND</t>
        </is>
      </c>
    </row>
    <row r="731">
      <c r="A731" t="inlineStr">
        <is>
          <t>Lara</t>
        </is>
      </c>
      <c r="B731" t="inlineStr">
        <is>
          <t>+5547992322409</t>
        </is>
      </c>
      <c r="C731" t="inlineStr">
        <is>
          <t>Refill</t>
        </is>
      </c>
      <c r="D731" t="inlineStr">
        <is>
          <t>Primer Liso</t>
        </is>
      </c>
      <c r="E731" t="n">
        <v>1</v>
      </c>
      <c r="F731" t="inlineStr">
        <is>
          <t>2025-10-11</t>
        </is>
      </c>
      <c r="G731" t="n">
        <v>266</v>
      </c>
      <c r="H731" t="inlineStr">
        <is>
          <t>Y</t>
        </is>
      </c>
      <c r="I731">
        <f>HYPERLINK("https://admin.shopify.com/store/ge-beauty-cosmeticos/customers/9757493756224","abrir")</f>
        <v/>
      </c>
      <c r="J731">
        <f>HYPERLINK("https://www.gebeauty.com.br/products/primer-liso-intacto?ref=review","review")</f>
        <v/>
      </c>
      <c r="K731" t="inlineStr">
        <is>
          <t>SEND</t>
        </is>
      </c>
    </row>
    <row r="732">
      <c r="A732" t="inlineStr">
        <is>
          <t>Beatriz</t>
        </is>
      </c>
      <c r="B732" t="inlineStr">
        <is>
          <t>+5511973416292</t>
        </is>
      </c>
      <c r="C732" t="inlineStr">
        <is>
          <t>Refill</t>
        </is>
      </c>
      <c r="D732" t="inlineStr">
        <is>
          <t>Primer Liso</t>
        </is>
      </c>
      <c r="E732" t="n">
        <v>1</v>
      </c>
      <c r="F732" t="inlineStr">
        <is>
          <t>2025-10-12</t>
        </is>
      </c>
      <c r="G732" t="n">
        <v>265</v>
      </c>
      <c r="H732" t="inlineStr">
        <is>
          <t>Y</t>
        </is>
      </c>
      <c r="I732">
        <f>HYPERLINK("https://admin.shopify.com/store/ge-beauty-cosmeticos/customers/9757784080704","abrir")</f>
        <v/>
      </c>
      <c r="J732">
        <f>HYPERLINK("https://www.gebeauty.com.br/products/primer-liso-intacto?ref=review","review")</f>
        <v/>
      </c>
      <c r="K732" t="inlineStr">
        <is>
          <t>SEND</t>
        </is>
      </c>
    </row>
    <row r="733">
      <c r="A733" t="inlineStr">
        <is>
          <t>Marcia</t>
        </is>
      </c>
      <c r="B733" t="inlineStr">
        <is>
          <t>+5541988614380</t>
        </is>
      </c>
      <c r="C733" t="inlineStr">
        <is>
          <t>Refill</t>
        </is>
      </c>
      <c r="D733" t="inlineStr">
        <is>
          <t>Primer Liso</t>
        </is>
      </c>
      <c r="E733" t="n">
        <v>1</v>
      </c>
      <c r="F733" t="inlineStr">
        <is>
          <t>2025-10-12</t>
        </is>
      </c>
      <c r="G733" t="n">
        <v>265</v>
      </c>
      <c r="H733" t="inlineStr">
        <is>
          <t>Y</t>
        </is>
      </c>
      <c r="I733">
        <f>HYPERLINK("https://admin.shopify.com/store/ge-beauty-cosmeticos/customers/9757995401536","abrir")</f>
        <v/>
      </c>
      <c r="J733">
        <f>HYPERLINK("https://www.gebeauty.com.br/products/primer-liso-intacto?ref=review","review")</f>
        <v/>
      </c>
      <c r="K733" t="inlineStr">
        <is>
          <t>SEND</t>
        </is>
      </c>
    </row>
    <row r="734">
      <c r="A734" t="inlineStr">
        <is>
          <t>Bárbara</t>
        </is>
      </c>
      <c r="B734" t="inlineStr">
        <is>
          <t>+5551984079121</t>
        </is>
      </c>
      <c r="C734" t="inlineStr">
        <is>
          <t>Refill</t>
        </is>
      </c>
      <c r="D734" t="inlineStr">
        <is>
          <t>Primer Liso</t>
        </is>
      </c>
      <c r="E734" t="n">
        <v>1</v>
      </c>
      <c r="F734" t="inlineStr">
        <is>
          <t>2025-10-12</t>
        </is>
      </c>
      <c r="G734" t="n">
        <v>265</v>
      </c>
      <c r="H734" t="inlineStr">
        <is>
          <t>Y</t>
        </is>
      </c>
      <c r="I734">
        <f>HYPERLINK("https://admin.shopify.com/store/ge-beauty-cosmeticos/customers/8209926717760","abrir")</f>
        <v/>
      </c>
      <c r="J734">
        <f>HYPERLINK("https://www.gebeauty.com.br/products/primer-liso-intacto?ref=review","review")</f>
        <v/>
      </c>
      <c r="K734" t="inlineStr">
        <is>
          <t>SEND</t>
        </is>
      </c>
    </row>
    <row r="735">
      <c r="A735" t="inlineStr">
        <is>
          <t>Lara</t>
        </is>
      </c>
      <c r="B735" t="inlineStr">
        <is>
          <t>+5527995166616</t>
        </is>
      </c>
      <c r="C735" t="inlineStr">
        <is>
          <t>Refill</t>
        </is>
      </c>
      <c r="D735" t="inlineStr">
        <is>
          <t>Primer Liso</t>
        </is>
      </c>
      <c r="E735" t="n">
        <v>1</v>
      </c>
      <c r="F735" t="inlineStr">
        <is>
          <t>2025-10-12</t>
        </is>
      </c>
      <c r="G735" t="n">
        <v>265</v>
      </c>
      <c r="H735" t="inlineStr">
        <is>
          <t>Y</t>
        </is>
      </c>
      <c r="I735">
        <f>HYPERLINK("https://admin.shopify.com/store/ge-beauty-cosmeticos/customers/9758574281024","abrir")</f>
        <v/>
      </c>
      <c r="J735">
        <f>HYPERLINK("https://www.gebeauty.com.br/products/primer-liso-intacto?ref=review","review")</f>
        <v/>
      </c>
      <c r="K735" t="inlineStr">
        <is>
          <t>SEND</t>
        </is>
      </c>
    </row>
    <row r="736">
      <c r="A736" t="inlineStr">
        <is>
          <t>Anita</t>
        </is>
      </c>
      <c r="B736" t="inlineStr">
        <is>
          <t>+5562981180203</t>
        </is>
      </c>
      <c r="C736" t="inlineStr">
        <is>
          <t>Refill</t>
        </is>
      </c>
      <c r="D736" t="inlineStr">
        <is>
          <t>Primer Liso</t>
        </is>
      </c>
      <c r="E736" t="n">
        <v>1</v>
      </c>
      <c r="F736" t="inlineStr">
        <is>
          <t>2025-10-12</t>
        </is>
      </c>
      <c r="G736" t="n">
        <v>265</v>
      </c>
      <c r="H736" t="inlineStr">
        <is>
          <t>Y</t>
        </is>
      </c>
      <c r="I736">
        <f>HYPERLINK("https://admin.shopify.com/store/ge-beauty-cosmeticos/customers/9758587060544","abrir")</f>
        <v/>
      </c>
      <c r="J736">
        <f>HYPERLINK("https://www.gebeauty.com.br/products/primer-liso-intacto?ref=review","review")</f>
        <v/>
      </c>
      <c r="K736" t="inlineStr">
        <is>
          <t>SEND</t>
        </is>
      </c>
    </row>
    <row r="737">
      <c r="A737" t="inlineStr">
        <is>
          <t>Tatiana</t>
        </is>
      </c>
      <c r="B737" t="inlineStr">
        <is>
          <t>+5511995288486</t>
        </is>
      </c>
      <c r="C737" t="inlineStr">
        <is>
          <t>Refill</t>
        </is>
      </c>
      <c r="D737" t="inlineStr">
        <is>
          <t>Primer Liso</t>
        </is>
      </c>
      <c r="E737" t="n">
        <v>1</v>
      </c>
      <c r="F737" t="inlineStr">
        <is>
          <t>2025-10-12</t>
        </is>
      </c>
      <c r="G737" t="n">
        <v>265</v>
      </c>
      <c r="H737" t="inlineStr">
        <is>
          <t>Y</t>
        </is>
      </c>
      <c r="I737">
        <f>HYPERLINK("https://admin.shopify.com/store/ge-beauty-cosmeticos/customers/9758695096640","abrir")</f>
        <v/>
      </c>
      <c r="J737">
        <f>HYPERLINK("https://www.gebeauty.com.br/products/primer-liso-intacto?ref=review","review")</f>
        <v/>
      </c>
      <c r="K737" t="inlineStr">
        <is>
          <t>SEND</t>
        </is>
      </c>
    </row>
    <row r="738">
      <c r="A738" t="inlineStr">
        <is>
          <t>Julia</t>
        </is>
      </c>
      <c r="B738" t="inlineStr">
        <is>
          <t>+5547988744101</t>
        </is>
      </c>
      <c r="C738" t="inlineStr">
        <is>
          <t>Refill</t>
        </is>
      </c>
      <c r="D738" t="inlineStr">
        <is>
          <t>Primer Liso</t>
        </is>
      </c>
      <c r="E738" t="n">
        <v>1</v>
      </c>
      <c r="F738" t="inlineStr">
        <is>
          <t>2025-10-12</t>
        </is>
      </c>
      <c r="G738" t="n">
        <v>265</v>
      </c>
      <c r="H738" t="inlineStr">
        <is>
          <t>Y</t>
        </is>
      </c>
      <c r="I738">
        <f>HYPERLINK("https://admin.shopify.com/store/ge-beauty-cosmeticos/customers/9759081660736","abrir")</f>
        <v/>
      </c>
      <c r="J738">
        <f>HYPERLINK("https://www.gebeauty.com.br/products/primer-liso-intacto?ref=review","review")</f>
        <v/>
      </c>
      <c r="K738" t="inlineStr">
        <is>
          <t>SEND</t>
        </is>
      </c>
    </row>
    <row r="739">
      <c r="A739" t="inlineStr">
        <is>
          <t>Ana Maria</t>
        </is>
      </c>
      <c r="B739" t="inlineStr">
        <is>
          <t>+5591984077499</t>
        </is>
      </c>
      <c r="C739" t="inlineStr">
        <is>
          <t>Refill</t>
        </is>
      </c>
      <c r="D739" t="inlineStr">
        <is>
          <t>Primer Liso</t>
        </is>
      </c>
      <c r="E739" t="n">
        <v>1</v>
      </c>
      <c r="F739" t="inlineStr">
        <is>
          <t>2025-10-12</t>
        </is>
      </c>
      <c r="G739" t="n">
        <v>265</v>
      </c>
      <c r="H739" t="inlineStr">
        <is>
          <t>Y</t>
        </is>
      </c>
      <c r="I739">
        <f>HYPERLINK("https://admin.shopify.com/store/ge-beauty-cosmeticos/customers/9759268241728","abrir")</f>
        <v/>
      </c>
      <c r="J739">
        <f>HYPERLINK("https://www.gebeauty.com.br/products/primer-liso-intacto?ref=review","review")</f>
        <v/>
      </c>
      <c r="K739" t="inlineStr">
        <is>
          <t>SEND</t>
        </is>
      </c>
    </row>
    <row r="740">
      <c r="A740" t="inlineStr">
        <is>
          <t>Neuza</t>
        </is>
      </c>
      <c r="B740" t="inlineStr">
        <is>
          <t>+5543999949369</t>
        </is>
      </c>
      <c r="C740" t="inlineStr">
        <is>
          <t>Refill</t>
        </is>
      </c>
      <c r="D740" t="inlineStr">
        <is>
          <t>Primer Liso</t>
        </is>
      </c>
      <c r="E740" t="n">
        <v>1</v>
      </c>
      <c r="F740" t="inlineStr">
        <is>
          <t>2025-10-12</t>
        </is>
      </c>
      <c r="G740" t="n">
        <v>265</v>
      </c>
      <c r="H740" t="inlineStr">
        <is>
          <t>Y</t>
        </is>
      </c>
      <c r="I740">
        <f>HYPERLINK("https://admin.shopify.com/store/ge-beauty-cosmeticos/customers/9759572197696","abrir")</f>
        <v/>
      </c>
      <c r="J740">
        <f>HYPERLINK("https://www.gebeauty.com.br/products/primer-liso-intacto?ref=review","review")</f>
        <v/>
      </c>
      <c r="K740" t="inlineStr">
        <is>
          <t>SEND</t>
        </is>
      </c>
    </row>
    <row r="741">
      <c r="A741" t="inlineStr">
        <is>
          <t>Fátima</t>
        </is>
      </c>
      <c r="B741" t="inlineStr">
        <is>
          <t>+5521997700481</t>
        </is>
      </c>
      <c r="C741" t="inlineStr">
        <is>
          <t>Refill</t>
        </is>
      </c>
      <c r="D741" t="inlineStr">
        <is>
          <t>Primer Liso</t>
        </is>
      </c>
      <c r="E741" t="n">
        <v>1</v>
      </c>
      <c r="F741" t="inlineStr">
        <is>
          <t>2025-10-13</t>
        </is>
      </c>
      <c r="G741" t="n">
        <v>264</v>
      </c>
      <c r="H741" t="inlineStr">
        <is>
          <t>Y</t>
        </is>
      </c>
      <c r="I741">
        <f>HYPERLINK("https://admin.shopify.com/store/ge-beauty-cosmeticos/customers/9759721521472","abrir")</f>
        <v/>
      </c>
      <c r="J741">
        <f>HYPERLINK("https://www.gebeauty.com.br/products/primer-liso-intacto?ref=review","review")</f>
        <v/>
      </c>
      <c r="K741" t="inlineStr">
        <is>
          <t>SEND</t>
        </is>
      </c>
    </row>
    <row r="742">
      <c r="A742" t="inlineStr">
        <is>
          <t>Iara</t>
        </is>
      </c>
      <c r="B742" t="inlineStr">
        <is>
          <t>+5531992082910</t>
        </is>
      </c>
      <c r="C742" t="inlineStr">
        <is>
          <t>Refill</t>
        </is>
      </c>
      <c r="D742" t="inlineStr">
        <is>
          <t>Primer Liso</t>
        </is>
      </c>
      <c r="E742" t="n">
        <v>1</v>
      </c>
      <c r="F742" t="inlineStr">
        <is>
          <t>2025-10-13</t>
        </is>
      </c>
      <c r="G742" t="n">
        <v>264</v>
      </c>
      <c r="H742" t="inlineStr">
        <is>
          <t>Y</t>
        </is>
      </c>
      <c r="I742">
        <f>HYPERLINK("https://admin.shopify.com/store/ge-beauty-cosmeticos/customers/9759769559360","abrir")</f>
        <v/>
      </c>
      <c r="J742">
        <f>HYPERLINK("https://www.gebeauty.com.br/products/primer-liso-intacto?ref=review","review")</f>
        <v/>
      </c>
      <c r="K742" t="inlineStr">
        <is>
          <t>SEND</t>
        </is>
      </c>
    </row>
    <row r="743">
      <c r="A743" t="inlineStr">
        <is>
          <t>Adalia Raissa</t>
        </is>
      </c>
      <c r="B743" t="inlineStr">
        <is>
          <t>+5561982365792</t>
        </is>
      </c>
      <c r="C743" t="inlineStr">
        <is>
          <t>Refill</t>
        </is>
      </c>
      <c r="D743" t="inlineStr">
        <is>
          <t>Primer Liso</t>
        </is>
      </c>
      <c r="E743" t="n">
        <v>1</v>
      </c>
      <c r="F743" t="inlineStr">
        <is>
          <t>2025-10-13</t>
        </is>
      </c>
      <c r="G743" t="n">
        <v>264</v>
      </c>
      <c r="H743" t="inlineStr">
        <is>
          <t>Y</t>
        </is>
      </c>
      <c r="I743">
        <f>HYPERLINK("https://admin.shopify.com/store/ge-beauty-cosmeticos/customers/9707789779264","abrir")</f>
        <v/>
      </c>
      <c r="J743">
        <f>HYPERLINK("https://www.gebeauty.com.br/products/primer-liso-intacto?ref=review","review")</f>
        <v/>
      </c>
      <c r="K743" t="inlineStr">
        <is>
          <t>SEND</t>
        </is>
      </c>
    </row>
    <row r="744">
      <c r="A744" t="inlineStr">
        <is>
          <t>Katia</t>
        </is>
      </c>
      <c r="B744" t="inlineStr">
        <is>
          <t>+5511992051382</t>
        </is>
      </c>
      <c r="C744" t="inlineStr">
        <is>
          <t>Refill</t>
        </is>
      </c>
      <c r="D744" t="inlineStr">
        <is>
          <t>Primer Liso</t>
        </is>
      </c>
      <c r="E744" t="n">
        <v>1</v>
      </c>
      <c r="F744" t="inlineStr">
        <is>
          <t>2025-10-13</t>
        </is>
      </c>
      <c r="G744" t="n">
        <v>264</v>
      </c>
      <c r="H744" t="inlineStr">
        <is>
          <t>Y</t>
        </is>
      </c>
      <c r="I744">
        <f>HYPERLINK("https://admin.shopify.com/store/ge-beauty-cosmeticos/customers/9760600654144","abrir")</f>
        <v/>
      </c>
      <c r="J744">
        <f>HYPERLINK("https://www.gebeauty.com.br/products/primer-liso-intacto?ref=review","review")</f>
        <v/>
      </c>
      <c r="K744" t="inlineStr">
        <is>
          <t>SEND</t>
        </is>
      </c>
    </row>
    <row r="745">
      <c r="A745" t="inlineStr">
        <is>
          <t>Giulia</t>
        </is>
      </c>
      <c r="B745" t="inlineStr">
        <is>
          <t>+5541996301394</t>
        </is>
      </c>
      <c r="C745" t="inlineStr">
        <is>
          <t>Refill</t>
        </is>
      </c>
      <c r="D745" t="inlineStr">
        <is>
          <t>Primer Liso</t>
        </is>
      </c>
      <c r="E745" t="n">
        <v>1</v>
      </c>
      <c r="F745" t="inlineStr">
        <is>
          <t>2025-10-13</t>
        </is>
      </c>
      <c r="G745" t="n">
        <v>264</v>
      </c>
      <c r="H745" t="inlineStr">
        <is>
          <t>Y</t>
        </is>
      </c>
      <c r="I745">
        <f>HYPERLINK("https://admin.shopify.com/store/ge-beauty-cosmeticos/customers/9687286415680","abrir")</f>
        <v/>
      </c>
      <c r="J745">
        <f>HYPERLINK("https://www.gebeauty.com.br/products/primer-liso-intacto?ref=review","review")</f>
        <v/>
      </c>
      <c r="K745" t="inlineStr">
        <is>
          <t>HOLDOUT</t>
        </is>
      </c>
    </row>
    <row r="746">
      <c r="A746" t="inlineStr">
        <is>
          <t>Silvia</t>
        </is>
      </c>
      <c r="B746" t="inlineStr">
        <is>
          <t>+5586988422437</t>
        </is>
      </c>
      <c r="C746" t="inlineStr">
        <is>
          <t>Refill</t>
        </is>
      </c>
      <c r="D746" t="inlineStr">
        <is>
          <t>Primer Liso</t>
        </is>
      </c>
      <c r="E746" t="n">
        <v>1</v>
      </c>
      <c r="F746" t="inlineStr">
        <is>
          <t>2025-10-13</t>
        </is>
      </c>
      <c r="G746" t="n">
        <v>264</v>
      </c>
      <c r="H746" t="inlineStr">
        <is>
          <t>Y</t>
        </is>
      </c>
      <c r="I746">
        <f>HYPERLINK("https://admin.shopify.com/store/ge-beauty-cosmeticos/customers/9761234354496","abrir")</f>
        <v/>
      </c>
      <c r="J746">
        <f>HYPERLINK("https://www.gebeauty.com.br/products/primer-liso-intacto?ref=review","review")</f>
        <v/>
      </c>
      <c r="K746" t="inlineStr">
        <is>
          <t>SEND</t>
        </is>
      </c>
    </row>
    <row r="747">
      <c r="A747" t="inlineStr">
        <is>
          <t>Livia</t>
        </is>
      </c>
      <c r="B747" t="inlineStr">
        <is>
          <t>+5569981120300</t>
        </is>
      </c>
      <c r="C747" t="inlineStr">
        <is>
          <t>Refill</t>
        </is>
      </c>
      <c r="D747" t="inlineStr">
        <is>
          <t>Primer Liso</t>
        </is>
      </c>
      <c r="E747" t="n">
        <v>1</v>
      </c>
      <c r="F747" t="inlineStr">
        <is>
          <t>2025-10-13</t>
        </is>
      </c>
      <c r="G747" t="n">
        <v>264</v>
      </c>
      <c r="H747" t="inlineStr">
        <is>
          <t>Y</t>
        </is>
      </c>
      <c r="I747">
        <f>HYPERLINK("https://admin.shopify.com/store/ge-beauty-cosmeticos/customers/9761283866944","abrir")</f>
        <v/>
      </c>
      <c r="J747">
        <f>HYPERLINK("https://www.gebeauty.com.br/products/primer-liso-intacto?ref=review","review")</f>
        <v/>
      </c>
      <c r="K747" t="inlineStr">
        <is>
          <t>SEND</t>
        </is>
      </c>
    </row>
    <row r="748">
      <c r="A748" t="inlineStr">
        <is>
          <t>Nayara</t>
        </is>
      </c>
      <c r="B748" t="inlineStr">
        <is>
          <t>+5585981336890</t>
        </is>
      </c>
      <c r="C748" t="inlineStr">
        <is>
          <t>Refill</t>
        </is>
      </c>
      <c r="D748" t="inlineStr">
        <is>
          <t>Primer Liso</t>
        </is>
      </c>
      <c r="E748" t="n">
        <v>1</v>
      </c>
      <c r="F748" t="inlineStr">
        <is>
          <t>2025-10-13</t>
        </is>
      </c>
      <c r="G748" t="n">
        <v>264</v>
      </c>
      <c r="H748" t="inlineStr">
        <is>
          <t>Y</t>
        </is>
      </c>
      <c r="I748">
        <f>HYPERLINK("https://admin.shopify.com/store/ge-beauty-cosmeticos/customers/9761477361984","abrir")</f>
        <v/>
      </c>
      <c r="J748">
        <f>HYPERLINK("https://www.gebeauty.com.br/products/primer-liso-intacto?ref=review","review")</f>
        <v/>
      </c>
      <c r="K748" t="inlineStr">
        <is>
          <t>SEND</t>
        </is>
      </c>
    </row>
    <row r="749">
      <c r="A749" t="inlineStr">
        <is>
          <t>Janaina</t>
        </is>
      </c>
      <c r="B749" t="inlineStr">
        <is>
          <t>+5521980109930</t>
        </is>
      </c>
      <c r="C749" t="inlineStr">
        <is>
          <t>Refill</t>
        </is>
      </c>
      <c r="D749" t="inlineStr">
        <is>
          <t>Primer Liso</t>
        </is>
      </c>
      <c r="E749" t="n">
        <v>1</v>
      </c>
      <c r="F749" t="inlineStr">
        <is>
          <t>2025-10-13</t>
        </is>
      </c>
      <c r="G749" t="n">
        <v>264</v>
      </c>
      <c r="H749" t="inlineStr">
        <is>
          <t>Y</t>
        </is>
      </c>
      <c r="I749">
        <f>HYPERLINK("https://admin.shopify.com/store/ge-beauty-cosmeticos/customers/9753334448448","abrir")</f>
        <v/>
      </c>
      <c r="J749">
        <f>HYPERLINK("https://www.gebeauty.com.br/products/primer-liso-intacto?ref=review","review")</f>
        <v/>
      </c>
      <c r="K749" t="inlineStr">
        <is>
          <t>SEND</t>
        </is>
      </c>
    </row>
    <row r="750">
      <c r="A750" t="inlineStr">
        <is>
          <t>Ana</t>
        </is>
      </c>
      <c r="B750" t="inlineStr">
        <is>
          <t>+5581988261072</t>
        </is>
      </c>
      <c r="C750" t="inlineStr">
        <is>
          <t>Refill</t>
        </is>
      </c>
      <c r="D750" t="inlineStr">
        <is>
          <t>Primer Liso</t>
        </is>
      </c>
      <c r="E750" t="n">
        <v>1</v>
      </c>
      <c r="F750" t="inlineStr">
        <is>
          <t>2025-10-14</t>
        </is>
      </c>
      <c r="G750" t="n">
        <v>263</v>
      </c>
      <c r="H750" t="inlineStr">
        <is>
          <t>Y</t>
        </is>
      </c>
      <c r="I750">
        <f>HYPERLINK("https://admin.shopify.com/store/ge-beauty-cosmeticos/customers/8861857284416","abrir")</f>
        <v/>
      </c>
      <c r="J750">
        <f>HYPERLINK("https://www.gebeauty.com.br/products/primer-liso-intacto?ref=review","review")</f>
        <v/>
      </c>
      <c r="K750" t="inlineStr">
        <is>
          <t>SEND</t>
        </is>
      </c>
    </row>
    <row r="751">
      <c r="A751" t="inlineStr">
        <is>
          <t>Marcia</t>
        </is>
      </c>
      <c r="B751" t="inlineStr">
        <is>
          <t>+5585996685275</t>
        </is>
      </c>
      <c r="C751" t="inlineStr">
        <is>
          <t>Refill</t>
        </is>
      </c>
      <c r="D751" t="inlineStr">
        <is>
          <t>Primer Liso</t>
        </is>
      </c>
      <c r="E751" t="n">
        <v>1</v>
      </c>
      <c r="F751" t="inlineStr">
        <is>
          <t>2025-10-14</t>
        </is>
      </c>
      <c r="G751" t="n">
        <v>263</v>
      </c>
      <c r="H751" t="inlineStr">
        <is>
          <t>Y</t>
        </is>
      </c>
      <c r="I751">
        <f>HYPERLINK("https://admin.shopify.com/store/ge-beauty-cosmeticos/customers/9763328229696","abrir")</f>
        <v/>
      </c>
      <c r="J751">
        <f>HYPERLINK("https://www.gebeauty.com.br/products/primer-liso-intacto?ref=review","review")</f>
        <v/>
      </c>
      <c r="K751" t="inlineStr">
        <is>
          <t>SEND</t>
        </is>
      </c>
    </row>
    <row r="752">
      <c r="A752" t="inlineStr">
        <is>
          <t>Manuela</t>
        </is>
      </c>
      <c r="B752" t="inlineStr">
        <is>
          <t>+5585996650609</t>
        </is>
      </c>
      <c r="C752" t="inlineStr">
        <is>
          <t>Refill</t>
        </is>
      </c>
      <c r="D752" t="inlineStr">
        <is>
          <t>Primer Liso</t>
        </is>
      </c>
      <c r="E752" t="n">
        <v>1</v>
      </c>
      <c r="F752" t="inlineStr">
        <is>
          <t>2025-10-14</t>
        </is>
      </c>
      <c r="G752" t="n">
        <v>263</v>
      </c>
      <c r="H752" t="inlineStr">
        <is>
          <t>Y</t>
        </is>
      </c>
      <c r="I752">
        <f>HYPERLINK("https://admin.shopify.com/store/ge-beauty-cosmeticos/customers/9763768467776","abrir")</f>
        <v/>
      </c>
      <c r="J752">
        <f>HYPERLINK("https://www.gebeauty.com.br/products/primer-liso-intacto?ref=review","review")</f>
        <v/>
      </c>
      <c r="K752" t="inlineStr">
        <is>
          <t>HOLDOUT</t>
        </is>
      </c>
    </row>
    <row r="753">
      <c r="A753" t="inlineStr">
        <is>
          <t>Mariana</t>
        </is>
      </c>
      <c r="B753" t="inlineStr">
        <is>
          <t>+5519989882320</t>
        </is>
      </c>
      <c r="C753" t="inlineStr">
        <is>
          <t>Refill</t>
        </is>
      </c>
      <c r="D753" t="inlineStr">
        <is>
          <t>Primer Liso</t>
        </is>
      </c>
      <c r="E753" t="n">
        <v>1</v>
      </c>
      <c r="F753" t="inlineStr">
        <is>
          <t>2025-10-15</t>
        </is>
      </c>
      <c r="G753" t="n">
        <v>262</v>
      </c>
      <c r="H753" t="inlineStr">
        <is>
          <t>Y</t>
        </is>
      </c>
      <c r="I753">
        <f>HYPERLINK("https://admin.shopify.com/store/ge-beauty-cosmeticos/customers/9766131368256","abrir")</f>
        <v/>
      </c>
      <c r="J753">
        <f>HYPERLINK("https://www.gebeauty.com.br/products/primer-liso-intacto?ref=review","review")</f>
        <v/>
      </c>
      <c r="K753" t="inlineStr">
        <is>
          <t>SEND</t>
        </is>
      </c>
    </row>
    <row r="754">
      <c r="A754" t="inlineStr">
        <is>
          <t>Larissa</t>
        </is>
      </c>
      <c r="B754" t="inlineStr">
        <is>
          <t>+5519981575085</t>
        </is>
      </c>
      <c r="C754" t="inlineStr">
        <is>
          <t>Refill</t>
        </is>
      </c>
      <c r="D754" t="inlineStr">
        <is>
          <t>Primer Liso</t>
        </is>
      </c>
      <c r="E754" t="n">
        <v>1</v>
      </c>
      <c r="F754" t="inlineStr">
        <is>
          <t>2025-10-15</t>
        </is>
      </c>
      <c r="G754" t="n">
        <v>262</v>
      </c>
      <c r="H754" t="inlineStr">
        <is>
          <t>Y</t>
        </is>
      </c>
      <c r="I754">
        <f>HYPERLINK("https://admin.shopify.com/store/ge-beauty-cosmeticos/customers/9767396278592","abrir")</f>
        <v/>
      </c>
      <c r="J754">
        <f>HYPERLINK("https://www.gebeauty.com.br/products/primer-liso-intacto?ref=review","review")</f>
        <v/>
      </c>
      <c r="K754" t="inlineStr">
        <is>
          <t>SEND</t>
        </is>
      </c>
    </row>
    <row r="755">
      <c r="A755" t="inlineStr">
        <is>
          <t>Patricia</t>
        </is>
      </c>
      <c r="B755" t="inlineStr">
        <is>
          <t>+5521987992467</t>
        </is>
      </c>
      <c r="C755" t="inlineStr">
        <is>
          <t>Refill</t>
        </is>
      </c>
      <c r="D755" t="inlineStr">
        <is>
          <t>Primer Liso</t>
        </is>
      </c>
      <c r="E755" t="n">
        <v>1</v>
      </c>
      <c r="F755" t="inlineStr">
        <is>
          <t>2025-10-15</t>
        </is>
      </c>
      <c r="G755" t="n">
        <v>262</v>
      </c>
      <c r="H755" t="inlineStr">
        <is>
          <t>Y</t>
        </is>
      </c>
      <c r="I755">
        <f>HYPERLINK("https://admin.shopify.com/store/ge-beauty-cosmeticos/customers/9767156121920","abrir")</f>
        <v/>
      </c>
      <c r="J755">
        <f>HYPERLINK("https://www.gebeauty.com.br/products/primer-liso-intacto?ref=review","review")</f>
        <v/>
      </c>
      <c r="K755" t="inlineStr">
        <is>
          <t>SEND</t>
        </is>
      </c>
    </row>
    <row r="756">
      <c r="A756" t="inlineStr">
        <is>
          <t>Juliana</t>
        </is>
      </c>
      <c r="B756" t="inlineStr">
        <is>
          <t>+5581999870828</t>
        </is>
      </c>
      <c r="C756" t="inlineStr">
        <is>
          <t>Refill</t>
        </is>
      </c>
      <c r="D756" t="inlineStr">
        <is>
          <t>Primer Liso</t>
        </is>
      </c>
      <c r="E756" t="n">
        <v>1</v>
      </c>
      <c r="F756" t="inlineStr">
        <is>
          <t>2025-10-15</t>
        </is>
      </c>
      <c r="G756" t="n">
        <v>262</v>
      </c>
      <c r="H756" t="inlineStr">
        <is>
          <t>Y</t>
        </is>
      </c>
      <c r="I756">
        <f>HYPERLINK("https://admin.shopify.com/store/ge-beauty-cosmeticos/customers/9768813822272","abrir")</f>
        <v/>
      </c>
      <c r="J756">
        <f>HYPERLINK("https://www.gebeauty.com.br/products/primer-liso-intacto?ref=review","review")</f>
        <v/>
      </c>
      <c r="K756" t="inlineStr">
        <is>
          <t>HOLDOUT</t>
        </is>
      </c>
    </row>
    <row r="757">
      <c r="A757" t="inlineStr">
        <is>
          <t>Sueli</t>
        </is>
      </c>
      <c r="B757" t="inlineStr">
        <is>
          <t>+5511981587232</t>
        </is>
      </c>
      <c r="C757" t="inlineStr">
        <is>
          <t>Refill</t>
        </is>
      </c>
      <c r="D757" t="inlineStr">
        <is>
          <t>Primer Liso</t>
        </is>
      </c>
      <c r="E757" t="n">
        <v>1</v>
      </c>
      <c r="F757" t="inlineStr">
        <is>
          <t>2025-10-15</t>
        </is>
      </c>
      <c r="G757" t="n">
        <v>262</v>
      </c>
      <c r="H757" t="inlineStr">
        <is>
          <t>Y</t>
        </is>
      </c>
      <c r="I757">
        <f>HYPERLINK("https://admin.shopify.com/store/ge-beauty-cosmeticos/customers/9769083273536","abrir")</f>
        <v/>
      </c>
      <c r="J757">
        <f>HYPERLINK("https://www.gebeauty.com.br/products/primer-liso-intacto?ref=review","review")</f>
        <v/>
      </c>
      <c r="K757" t="inlineStr">
        <is>
          <t>SEND</t>
        </is>
      </c>
    </row>
    <row r="758">
      <c r="A758" t="inlineStr">
        <is>
          <t>Lais</t>
        </is>
      </c>
      <c r="B758" t="inlineStr">
        <is>
          <t>+5571992787507</t>
        </is>
      </c>
      <c r="C758" t="inlineStr">
        <is>
          <t>Refill</t>
        </is>
      </c>
      <c r="D758" t="inlineStr">
        <is>
          <t>Primer Liso</t>
        </is>
      </c>
      <c r="E758" t="n">
        <v>1</v>
      </c>
      <c r="F758" t="inlineStr">
        <is>
          <t>2025-10-16</t>
        </is>
      </c>
      <c r="G758" t="n">
        <v>261</v>
      </c>
      <c r="H758" t="inlineStr">
        <is>
          <t>N</t>
        </is>
      </c>
      <c r="I758">
        <f>HYPERLINK("https://admin.shopify.com/store/ge-beauty-cosmeticos/customers/9776140878144","abrir")</f>
        <v/>
      </c>
      <c r="J758">
        <f>HYPERLINK("https://www.gebeauty.com.br/products/primer-liso-intacto?ref=review","review")</f>
        <v/>
      </c>
      <c r="K758" t="inlineStr">
        <is>
          <t>SEND</t>
        </is>
      </c>
    </row>
    <row r="759">
      <c r="A759" t="inlineStr">
        <is>
          <t>Marina</t>
        </is>
      </c>
      <c r="B759" t="inlineStr">
        <is>
          <t>+5583988356600</t>
        </is>
      </c>
      <c r="C759" t="inlineStr">
        <is>
          <t>Refill</t>
        </is>
      </c>
      <c r="D759" t="inlineStr">
        <is>
          <t>Primer Liso</t>
        </is>
      </c>
      <c r="E759" t="n">
        <v>1</v>
      </c>
      <c r="F759" t="inlineStr">
        <is>
          <t>2025-10-16</t>
        </is>
      </c>
      <c r="G759" t="n">
        <v>261</v>
      </c>
      <c r="H759" t="inlineStr">
        <is>
          <t>Y</t>
        </is>
      </c>
      <c r="I759">
        <f>HYPERLINK("https://admin.shopify.com/store/ge-beauty-cosmeticos/customers/9776146743616","abrir")</f>
        <v/>
      </c>
      <c r="J759">
        <f>HYPERLINK("https://www.gebeauty.com.br/products/primer-liso-intacto?ref=review","review")</f>
        <v/>
      </c>
      <c r="K759" t="inlineStr">
        <is>
          <t>HOLDOUT</t>
        </is>
      </c>
    </row>
    <row r="760">
      <c r="A760" t="inlineStr">
        <is>
          <t>Lia</t>
        </is>
      </c>
      <c r="B760" t="inlineStr">
        <is>
          <t>+5585996346892</t>
        </is>
      </c>
      <c r="C760" t="inlineStr">
        <is>
          <t>Refill</t>
        </is>
      </c>
      <c r="D760" t="inlineStr">
        <is>
          <t>Primer Liso</t>
        </is>
      </c>
      <c r="E760" t="n">
        <v>1</v>
      </c>
      <c r="F760" t="inlineStr">
        <is>
          <t>2025-10-16</t>
        </is>
      </c>
      <c r="G760" t="n">
        <v>261</v>
      </c>
      <c r="H760" t="inlineStr">
        <is>
          <t>Y</t>
        </is>
      </c>
      <c r="I760">
        <f>HYPERLINK("https://admin.shopify.com/store/ge-beauty-cosmeticos/customers/9486284980544","abrir")</f>
        <v/>
      </c>
      <c r="J760">
        <f>HYPERLINK("https://www.gebeauty.com.br/products/primer-liso-intacto?ref=review","review")</f>
        <v/>
      </c>
      <c r="K760" t="inlineStr">
        <is>
          <t>SEND</t>
        </is>
      </c>
    </row>
    <row r="761">
      <c r="A761" t="inlineStr">
        <is>
          <t>Maria Clara</t>
        </is>
      </c>
      <c r="B761" t="inlineStr">
        <is>
          <t>+5581992972530</t>
        </is>
      </c>
      <c r="C761" t="inlineStr">
        <is>
          <t>Refill</t>
        </is>
      </c>
      <c r="D761" t="inlineStr">
        <is>
          <t>Primer Liso</t>
        </is>
      </c>
      <c r="E761" t="n">
        <v>1</v>
      </c>
      <c r="F761" t="inlineStr">
        <is>
          <t>2025-10-17</t>
        </is>
      </c>
      <c r="G761" t="n">
        <v>260</v>
      </c>
      <c r="H761" t="inlineStr">
        <is>
          <t>Y</t>
        </is>
      </c>
      <c r="I761">
        <f>HYPERLINK("https://admin.shopify.com/store/ge-beauty-cosmeticos/customers/9486288224576","abrir")</f>
        <v/>
      </c>
      <c r="J761">
        <f>HYPERLINK("https://www.gebeauty.com.br/products/primer-liso-intacto?ref=review","review")</f>
        <v/>
      </c>
      <c r="K761" t="inlineStr">
        <is>
          <t>SEND</t>
        </is>
      </c>
    </row>
    <row r="762">
      <c r="A762" t="inlineStr">
        <is>
          <t>Flavia</t>
        </is>
      </c>
      <c r="B762" t="inlineStr">
        <is>
          <t>+5511972277610</t>
        </is>
      </c>
      <c r="C762" t="inlineStr">
        <is>
          <t>Refill</t>
        </is>
      </c>
      <c r="D762" t="inlineStr">
        <is>
          <t>Primer Liso</t>
        </is>
      </c>
      <c r="E762" t="n">
        <v>1</v>
      </c>
      <c r="F762" t="inlineStr">
        <is>
          <t>2025-10-17</t>
        </is>
      </c>
      <c r="G762" t="n">
        <v>260</v>
      </c>
      <c r="H762" t="inlineStr">
        <is>
          <t>Y</t>
        </is>
      </c>
      <c r="I762">
        <f>HYPERLINK("https://admin.shopify.com/store/ge-beauty-cosmeticos/customers/9770481942848","abrir")</f>
        <v/>
      </c>
      <c r="J762">
        <f>HYPERLINK("https://www.gebeauty.com.br/products/primer-liso-intacto?ref=review","review")</f>
        <v/>
      </c>
      <c r="K762" t="inlineStr">
        <is>
          <t>SEND</t>
        </is>
      </c>
    </row>
    <row r="763">
      <c r="A763" t="inlineStr">
        <is>
          <t>Isabela</t>
        </is>
      </c>
      <c r="B763" t="inlineStr">
        <is>
          <t>+5581991230017</t>
        </is>
      </c>
      <c r="C763" t="inlineStr">
        <is>
          <t>Refill</t>
        </is>
      </c>
      <c r="D763" t="inlineStr">
        <is>
          <t>Primer Liso</t>
        </is>
      </c>
      <c r="E763" t="n">
        <v>1</v>
      </c>
      <c r="F763" t="inlineStr">
        <is>
          <t>2025-10-17</t>
        </is>
      </c>
      <c r="G763" t="n">
        <v>260</v>
      </c>
      <c r="H763" t="inlineStr">
        <is>
          <t>Y</t>
        </is>
      </c>
      <c r="I763">
        <f>HYPERLINK("https://admin.shopify.com/store/ge-beauty-cosmeticos/customers/9779422232896","abrir")</f>
        <v/>
      </c>
      <c r="J763">
        <f>HYPERLINK("https://www.gebeauty.com.br/products/primer-liso-intacto?ref=review","review")</f>
        <v/>
      </c>
      <c r="K763" t="inlineStr">
        <is>
          <t>SEND</t>
        </is>
      </c>
    </row>
    <row r="764">
      <c r="A764" t="inlineStr">
        <is>
          <t>Paola</t>
        </is>
      </c>
      <c r="B764" t="inlineStr">
        <is>
          <t>+5511911332706</t>
        </is>
      </c>
      <c r="C764" t="inlineStr">
        <is>
          <t>Refill</t>
        </is>
      </c>
      <c r="D764" t="inlineStr">
        <is>
          <t>Primer Liso</t>
        </is>
      </c>
      <c r="E764" t="n">
        <v>1</v>
      </c>
      <c r="F764" t="inlineStr">
        <is>
          <t>2025-10-18</t>
        </is>
      </c>
      <c r="G764" t="n">
        <v>259</v>
      </c>
      <c r="H764" t="inlineStr">
        <is>
          <t>Y</t>
        </is>
      </c>
      <c r="I764">
        <f>HYPERLINK("https://admin.shopify.com/store/ge-beauty-cosmeticos/customers/8377343213888","abrir")</f>
        <v/>
      </c>
      <c r="J764">
        <f>HYPERLINK("https://www.gebeauty.com.br/products/primer-liso-intacto?ref=review","review")</f>
        <v/>
      </c>
      <c r="K764" t="inlineStr">
        <is>
          <t>SEND</t>
        </is>
      </c>
    </row>
    <row r="765">
      <c r="A765" t="inlineStr">
        <is>
          <t>Camilla</t>
        </is>
      </c>
      <c r="B765" t="inlineStr">
        <is>
          <t>+5511993833880</t>
        </is>
      </c>
      <c r="C765" t="inlineStr">
        <is>
          <t>Refill</t>
        </is>
      </c>
      <c r="D765" t="inlineStr">
        <is>
          <t>Primer Liso</t>
        </is>
      </c>
      <c r="E765" t="n">
        <v>1</v>
      </c>
      <c r="F765" t="inlineStr">
        <is>
          <t>2025-10-18</t>
        </is>
      </c>
      <c r="G765" t="n">
        <v>259</v>
      </c>
      <c r="H765" t="inlineStr">
        <is>
          <t>Y</t>
        </is>
      </c>
      <c r="I765">
        <f>HYPERLINK("https://admin.shopify.com/store/ge-beauty-cosmeticos/customers/9781132788032","abrir")</f>
        <v/>
      </c>
      <c r="J765">
        <f>HYPERLINK("https://www.gebeauty.com.br/products/primer-liso-intacto?ref=review","review")</f>
        <v/>
      </c>
      <c r="K765" t="inlineStr">
        <is>
          <t>SEND</t>
        </is>
      </c>
    </row>
    <row r="766">
      <c r="A766" t="inlineStr">
        <is>
          <t>Rahya</t>
        </is>
      </c>
      <c r="B766" t="inlineStr">
        <is>
          <t>+5561984014881</t>
        </is>
      </c>
      <c r="C766" t="inlineStr">
        <is>
          <t>Refill</t>
        </is>
      </c>
      <c r="D766" t="inlineStr">
        <is>
          <t>Primer Liso</t>
        </is>
      </c>
      <c r="E766" t="n">
        <v>1</v>
      </c>
      <c r="F766" t="inlineStr">
        <is>
          <t>2025-10-18</t>
        </is>
      </c>
      <c r="G766" t="n">
        <v>259</v>
      </c>
      <c r="H766" t="inlineStr">
        <is>
          <t>Y</t>
        </is>
      </c>
      <c r="I766">
        <f>HYPERLINK("https://admin.shopify.com/store/ge-beauty-cosmeticos/customers/9781145403712","abrir")</f>
        <v/>
      </c>
      <c r="J766">
        <f>HYPERLINK("https://www.gebeauty.com.br/products/primer-liso-intacto?ref=review","review")</f>
        <v/>
      </c>
      <c r="K766" t="inlineStr">
        <is>
          <t>SEND</t>
        </is>
      </c>
    </row>
    <row r="767">
      <c r="A767" t="inlineStr">
        <is>
          <t>Bianca</t>
        </is>
      </c>
      <c r="B767" t="inlineStr">
        <is>
          <t>+5555999460485</t>
        </is>
      </c>
      <c r="C767" t="inlineStr">
        <is>
          <t>Refill</t>
        </is>
      </c>
      <c r="D767" t="inlineStr">
        <is>
          <t>Primer Liso</t>
        </is>
      </c>
      <c r="E767" t="n">
        <v>1</v>
      </c>
      <c r="F767" t="inlineStr">
        <is>
          <t>2025-10-18</t>
        </is>
      </c>
      <c r="G767" t="n">
        <v>259</v>
      </c>
      <c r="H767" t="inlineStr">
        <is>
          <t>Y</t>
        </is>
      </c>
      <c r="I767">
        <f>HYPERLINK("https://admin.shopify.com/store/ge-beauty-cosmeticos/customers/9781233713472","abrir")</f>
        <v/>
      </c>
      <c r="J767">
        <f>HYPERLINK("https://www.gebeauty.com.br/products/primer-liso-intacto?ref=review","review")</f>
        <v/>
      </c>
      <c r="K767" t="inlineStr">
        <is>
          <t>SEND</t>
        </is>
      </c>
    </row>
    <row r="768">
      <c r="A768" t="inlineStr">
        <is>
          <t>Ana</t>
        </is>
      </c>
      <c r="B768" t="inlineStr">
        <is>
          <t>+5511997559154</t>
        </is>
      </c>
      <c r="C768" t="inlineStr">
        <is>
          <t>Refill</t>
        </is>
      </c>
      <c r="D768" t="inlineStr">
        <is>
          <t>Primer Liso</t>
        </is>
      </c>
      <c r="E768" t="n">
        <v>1</v>
      </c>
      <c r="F768" t="inlineStr">
        <is>
          <t>2025-10-18</t>
        </is>
      </c>
      <c r="G768" t="n">
        <v>259</v>
      </c>
      <c r="H768" t="inlineStr">
        <is>
          <t>Y</t>
        </is>
      </c>
      <c r="I768">
        <f>HYPERLINK("https://admin.shopify.com/store/ge-beauty-cosmeticos/customers/9390622179648","abrir")</f>
        <v/>
      </c>
      <c r="J768">
        <f>HYPERLINK("https://www.gebeauty.com.br/products/primer-liso-intacto?ref=review","review")</f>
        <v/>
      </c>
      <c r="K768" t="inlineStr">
        <is>
          <t>SEND</t>
        </is>
      </c>
    </row>
    <row r="769">
      <c r="A769" t="inlineStr">
        <is>
          <t>Camilla</t>
        </is>
      </c>
      <c r="B769" t="inlineStr">
        <is>
          <t>+5571993822381</t>
        </is>
      </c>
      <c r="C769" t="inlineStr">
        <is>
          <t>Refill</t>
        </is>
      </c>
      <c r="D769" t="inlineStr">
        <is>
          <t>Primer Liso</t>
        </is>
      </c>
      <c r="E769" t="n">
        <v>1</v>
      </c>
      <c r="F769" t="inlineStr">
        <is>
          <t>2025-10-19</t>
        </is>
      </c>
      <c r="G769" t="n">
        <v>258</v>
      </c>
      <c r="H769" t="inlineStr">
        <is>
          <t>Y</t>
        </is>
      </c>
      <c r="I769">
        <f>HYPERLINK("https://admin.shopify.com/store/ge-beauty-cosmeticos/customers/9782754410816","abrir")</f>
        <v/>
      </c>
      <c r="J769">
        <f>HYPERLINK("https://www.gebeauty.com.br/products/primer-liso-intacto?ref=review","review")</f>
        <v/>
      </c>
      <c r="K769" t="inlineStr">
        <is>
          <t>SEND</t>
        </is>
      </c>
    </row>
    <row r="770">
      <c r="A770" t="inlineStr">
        <is>
          <t>Maria</t>
        </is>
      </c>
      <c r="B770" t="inlineStr">
        <is>
          <t>+5527995295048</t>
        </is>
      </c>
      <c r="C770" t="inlineStr">
        <is>
          <t>Refill</t>
        </is>
      </c>
      <c r="D770" t="inlineStr">
        <is>
          <t>Primer Liso</t>
        </is>
      </c>
      <c r="E770" t="n">
        <v>1</v>
      </c>
      <c r="F770" t="inlineStr">
        <is>
          <t>2025-10-19</t>
        </is>
      </c>
      <c r="G770" t="n">
        <v>258</v>
      </c>
      <c r="H770" t="inlineStr">
        <is>
          <t>Y</t>
        </is>
      </c>
      <c r="I770">
        <f>HYPERLINK("https://admin.shopify.com/store/ge-beauty-cosmeticos/customers/7759842574656","abrir")</f>
        <v/>
      </c>
      <c r="J770">
        <f>HYPERLINK("https://www.gebeauty.com.br/products/primer-liso-intacto?ref=review","review")</f>
        <v/>
      </c>
      <c r="K770" t="inlineStr">
        <is>
          <t>SEND</t>
        </is>
      </c>
    </row>
    <row r="771">
      <c r="A771" t="inlineStr">
        <is>
          <t>Raul</t>
        </is>
      </c>
      <c r="B771" t="inlineStr">
        <is>
          <t>+5516992020508</t>
        </is>
      </c>
      <c r="C771" t="inlineStr">
        <is>
          <t>Refill</t>
        </is>
      </c>
      <c r="D771" t="inlineStr">
        <is>
          <t>Primer Liso</t>
        </is>
      </c>
      <c r="E771" t="n">
        <v>1</v>
      </c>
      <c r="F771" t="inlineStr">
        <is>
          <t>2025-10-19</t>
        </is>
      </c>
      <c r="G771" t="n">
        <v>258</v>
      </c>
      <c r="H771" t="inlineStr">
        <is>
          <t>Y</t>
        </is>
      </c>
      <c r="I771">
        <f>HYPERLINK("https://admin.shopify.com/store/ge-beauty-cosmeticos/customers/9783063118144","abrir")</f>
        <v/>
      </c>
      <c r="J771">
        <f>HYPERLINK("https://www.gebeauty.com.br/products/primer-liso-intacto?ref=review","review")</f>
        <v/>
      </c>
      <c r="K771" t="inlineStr">
        <is>
          <t>SEND</t>
        </is>
      </c>
    </row>
    <row r="772">
      <c r="A772" t="inlineStr">
        <is>
          <t>Eduarda</t>
        </is>
      </c>
      <c r="B772" t="inlineStr">
        <is>
          <t>+5581982852219</t>
        </is>
      </c>
      <c r="C772" t="inlineStr">
        <is>
          <t>Refill</t>
        </is>
      </c>
      <c r="D772" t="inlineStr">
        <is>
          <t>Primer Liso</t>
        </is>
      </c>
      <c r="E772" t="n">
        <v>1</v>
      </c>
      <c r="F772" t="inlineStr">
        <is>
          <t>2025-10-19</t>
        </is>
      </c>
      <c r="G772" t="n">
        <v>258</v>
      </c>
      <c r="H772" t="inlineStr">
        <is>
          <t>Y</t>
        </is>
      </c>
      <c r="I772">
        <f>HYPERLINK("https://admin.shopify.com/store/ge-beauty-cosmeticos/customers/9783178690880","abrir")</f>
        <v/>
      </c>
      <c r="J772">
        <f>HYPERLINK("https://www.gebeauty.com.br/products/primer-liso-intacto?ref=review","review")</f>
        <v/>
      </c>
      <c r="K772" t="inlineStr">
        <is>
          <t>SEND</t>
        </is>
      </c>
    </row>
    <row r="773">
      <c r="A773" t="inlineStr">
        <is>
          <t>Marlene</t>
        </is>
      </c>
      <c r="B773" t="inlineStr">
        <is>
          <t>+5591996328863</t>
        </is>
      </c>
      <c r="C773" t="inlineStr">
        <is>
          <t>Refill</t>
        </is>
      </c>
      <c r="D773" t="inlineStr">
        <is>
          <t>Primer Liso</t>
        </is>
      </c>
      <c r="E773" t="n">
        <v>1</v>
      </c>
      <c r="F773" t="inlineStr">
        <is>
          <t>2025-10-20</t>
        </is>
      </c>
      <c r="G773" t="n">
        <v>257</v>
      </c>
      <c r="H773" t="inlineStr">
        <is>
          <t>Y</t>
        </is>
      </c>
      <c r="I773">
        <f>HYPERLINK("https://admin.shopify.com/store/ge-beauty-cosmeticos/customers/9779991675200","abrir")</f>
        <v/>
      </c>
      <c r="J773">
        <f>HYPERLINK("https://www.gebeauty.com.br/products/primer-liso-intacto?ref=review","review")</f>
        <v/>
      </c>
      <c r="K773" t="inlineStr">
        <is>
          <t>SEND</t>
        </is>
      </c>
    </row>
    <row r="774">
      <c r="A774" t="inlineStr">
        <is>
          <t>Eduarda</t>
        </is>
      </c>
      <c r="B774" t="inlineStr">
        <is>
          <t>+5521971384043</t>
        </is>
      </c>
      <c r="C774" t="inlineStr">
        <is>
          <t>Refill</t>
        </is>
      </c>
      <c r="D774" t="inlineStr">
        <is>
          <t>Primer Liso</t>
        </is>
      </c>
      <c r="E774" t="n">
        <v>1</v>
      </c>
      <c r="F774" t="inlineStr">
        <is>
          <t>2025-10-20</t>
        </is>
      </c>
      <c r="G774" t="n">
        <v>257</v>
      </c>
      <c r="H774" t="inlineStr">
        <is>
          <t>Y</t>
        </is>
      </c>
      <c r="I774">
        <f>HYPERLINK("https://admin.shopify.com/store/ge-beauty-cosmeticos/customers/9783490937152","abrir")</f>
        <v/>
      </c>
      <c r="J774">
        <f>HYPERLINK("https://www.gebeauty.com.br/products/primer-liso-intacto?ref=review","review")</f>
        <v/>
      </c>
      <c r="K774" t="inlineStr">
        <is>
          <t>HOLDOUT</t>
        </is>
      </c>
    </row>
    <row r="775">
      <c r="A775" t="inlineStr">
        <is>
          <t>Isabella</t>
        </is>
      </c>
      <c r="B775" t="inlineStr">
        <is>
          <t>+5592982062991</t>
        </is>
      </c>
      <c r="C775" t="inlineStr">
        <is>
          <t>Refill</t>
        </is>
      </c>
      <c r="D775" t="inlineStr">
        <is>
          <t>Primer Liso</t>
        </is>
      </c>
      <c r="E775" t="n">
        <v>1</v>
      </c>
      <c r="F775" t="inlineStr">
        <is>
          <t>2025-10-20</t>
        </is>
      </c>
      <c r="G775" t="n">
        <v>257</v>
      </c>
      <c r="H775" t="inlineStr">
        <is>
          <t>Y</t>
        </is>
      </c>
      <c r="I775">
        <f>HYPERLINK("https://admin.shopify.com/store/ge-beauty-cosmeticos/customers/9784753652032","abrir")</f>
        <v/>
      </c>
      <c r="J775">
        <f>HYPERLINK("https://www.gebeauty.com.br/products/primer-liso-intacto?ref=review","review")</f>
        <v/>
      </c>
      <c r="K775" t="inlineStr">
        <is>
          <t>SEND</t>
        </is>
      </c>
    </row>
    <row r="776">
      <c r="A776" t="inlineStr">
        <is>
          <t>Tania</t>
        </is>
      </c>
      <c r="B776" t="inlineStr">
        <is>
          <t>+5543999767273</t>
        </is>
      </c>
      <c r="C776" t="inlineStr">
        <is>
          <t>Refill</t>
        </is>
      </c>
      <c r="D776" t="inlineStr">
        <is>
          <t>Primer Liso</t>
        </is>
      </c>
      <c r="E776" t="n">
        <v>1</v>
      </c>
      <c r="F776" t="inlineStr">
        <is>
          <t>2025-10-20</t>
        </is>
      </c>
      <c r="G776" t="n">
        <v>257</v>
      </c>
      <c r="H776" t="inlineStr">
        <is>
          <t>Y</t>
        </is>
      </c>
      <c r="I776">
        <f>HYPERLINK("https://admin.shopify.com/store/ge-beauty-cosmeticos/customers/9784788549952","abrir")</f>
        <v/>
      </c>
      <c r="J776">
        <f>HYPERLINK("https://www.gebeauty.com.br/products/primer-liso-intacto?ref=review","review")</f>
        <v/>
      </c>
      <c r="K776" t="inlineStr">
        <is>
          <t>SEND</t>
        </is>
      </c>
    </row>
    <row r="777">
      <c r="A777" t="inlineStr">
        <is>
          <t>Maria</t>
        </is>
      </c>
      <c r="B777" t="inlineStr">
        <is>
          <t>+5532999875280</t>
        </is>
      </c>
      <c r="C777" t="inlineStr">
        <is>
          <t>Refill</t>
        </is>
      </c>
      <c r="D777" t="inlineStr">
        <is>
          <t>Primer Liso</t>
        </is>
      </c>
      <c r="E777" t="n">
        <v>1</v>
      </c>
      <c r="F777" t="inlineStr">
        <is>
          <t>2025-10-20</t>
        </is>
      </c>
      <c r="G777" t="n">
        <v>257</v>
      </c>
      <c r="H777" t="inlineStr">
        <is>
          <t>Y</t>
        </is>
      </c>
      <c r="I777">
        <f>HYPERLINK("https://admin.shopify.com/store/ge-beauty-cosmeticos/customers/9784894816576","abrir")</f>
        <v/>
      </c>
      <c r="J777">
        <f>HYPERLINK("https://www.gebeauty.com.br/products/primer-liso-intacto?ref=review","review")</f>
        <v/>
      </c>
      <c r="K777" t="inlineStr">
        <is>
          <t>SEND</t>
        </is>
      </c>
    </row>
    <row r="778">
      <c r="A778" t="inlineStr">
        <is>
          <t>Tatiana</t>
        </is>
      </c>
      <c r="B778" t="inlineStr">
        <is>
          <t>+5561993155335</t>
        </is>
      </c>
      <c r="C778" t="inlineStr">
        <is>
          <t>Refill</t>
        </is>
      </c>
      <c r="D778" t="inlineStr">
        <is>
          <t>Primer Liso</t>
        </is>
      </c>
      <c r="E778" t="n">
        <v>1</v>
      </c>
      <c r="F778" t="inlineStr">
        <is>
          <t>2025-10-22</t>
        </is>
      </c>
      <c r="G778" t="n">
        <v>255</v>
      </c>
      <c r="H778" t="inlineStr">
        <is>
          <t>Y</t>
        </is>
      </c>
      <c r="I778">
        <f>HYPERLINK("https://admin.shopify.com/store/ge-beauty-cosmeticos/customers/8450273149248","abrir")</f>
        <v/>
      </c>
      <c r="J778">
        <f>HYPERLINK("https://www.gebeauty.com.br/products/primer-liso-intacto?ref=review","review")</f>
        <v/>
      </c>
      <c r="K778" t="inlineStr">
        <is>
          <t>SEND</t>
        </is>
      </c>
    </row>
    <row r="779">
      <c r="A779" t="inlineStr">
        <is>
          <t>Franciane</t>
        </is>
      </c>
      <c r="B779" t="inlineStr">
        <is>
          <t>+5585991043022</t>
        </is>
      </c>
      <c r="C779" t="inlineStr">
        <is>
          <t>Refill</t>
        </is>
      </c>
      <c r="D779" t="inlineStr">
        <is>
          <t>Primer Liso</t>
        </is>
      </c>
      <c r="E779" t="n">
        <v>1</v>
      </c>
      <c r="F779" t="inlineStr">
        <is>
          <t>2025-10-21</t>
        </is>
      </c>
      <c r="G779" t="n">
        <v>256</v>
      </c>
      <c r="H779" t="inlineStr">
        <is>
          <t>Y</t>
        </is>
      </c>
      <c r="I779">
        <f>HYPERLINK("https://admin.shopify.com/store/ge-beauty-cosmeticos/customers/9786853949760","abrir")</f>
        <v/>
      </c>
      <c r="J779">
        <f>HYPERLINK("https://www.gebeauty.com.br/products/primer-liso-intacto?ref=review","review")</f>
        <v/>
      </c>
      <c r="K779" t="inlineStr">
        <is>
          <t>SEND</t>
        </is>
      </c>
    </row>
    <row r="780">
      <c r="A780" t="inlineStr">
        <is>
          <t>Aninhalpssrj</t>
        </is>
      </c>
      <c r="B780" t="inlineStr">
        <is>
          <t>+5521975797104</t>
        </is>
      </c>
      <c r="C780" t="inlineStr">
        <is>
          <t>Refill</t>
        </is>
      </c>
      <c r="D780" t="inlineStr">
        <is>
          <t>Primer Liso</t>
        </is>
      </c>
      <c r="E780" t="n">
        <v>1</v>
      </c>
      <c r="F780" t="inlineStr">
        <is>
          <t>2025-10-22</t>
        </is>
      </c>
      <c r="G780" t="n">
        <v>255</v>
      </c>
      <c r="H780" t="inlineStr">
        <is>
          <t>Y</t>
        </is>
      </c>
      <c r="I780">
        <f>HYPERLINK("https://admin.shopify.com/store/ge-beauty-cosmeticos/customers/9787342913856","abrir")</f>
        <v/>
      </c>
      <c r="J780">
        <f>HYPERLINK("https://www.gebeauty.com.br/products/primer-liso-intacto?ref=review","review")</f>
        <v/>
      </c>
      <c r="K780" t="inlineStr">
        <is>
          <t>SEND</t>
        </is>
      </c>
    </row>
    <row r="781">
      <c r="A781" t="inlineStr">
        <is>
          <t>Chirley</t>
        </is>
      </c>
      <c r="B781" t="inlineStr">
        <is>
          <t>+5583993369875</t>
        </is>
      </c>
      <c r="C781" t="inlineStr">
        <is>
          <t>Refill</t>
        </is>
      </c>
      <c r="D781" t="inlineStr">
        <is>
          <t>Primer Liso</t>
        </is>
      </c>
      <c r="E781" t="n">
        <v>1</v>
      </c>
      <c r="F781" t="inlineStr">
        <is>
          <t>2025-10-22</t>
        </is>
      </c>
      <c r="G781" t="n">
        <v>255</v>
      </c>
      <c r="H781" t="inlineStr">
        <is>
          <t>Y</t>
        </is>
      </c>
      <c r="I781">
        <f>HYPERLINK("https://admin.shopify.com/store/ge-beauty-cosmeticos/customers/9787360215360","abrir")</f>
        <v/>
      </c>
      <c r="J781">
        <f>HYPERLINK("https://www.gebeauty.com.br/products/primer-liso-intacto?ref=review","review")</f>
        <v/>
      </c>
      <c r="K781" t="inlineStr">
        <is>
          <t>SEND</t>
        </is>
      </c>
    </row>
    <row r="782">
      <c r="A782" t="inlineStr">
        <is>
          <t>Michelle</t>
        </is>
      </c>
      <c r="B782" t="inlineStr">
        <is>
          <t>+5547997523097</t>
        </is>
      </c>
      <c r="C782" t="inlineStr">
        <is>
          <t>Refill</t>
        </is>
      </c>
      <c r="D782" t="inlineStr">
        <is>
          <t>Primer Liso</t>
        </is>
      </c>
      <c r="E782" t="n">
        <v>1</v>
      </c>
      <c r="F782" t="inlineStr">
        <is>
          <t>2025-10-22</t>
        </is>
      </c>
      <c r="G782" t="n">
        <v>255</v>
      </c>
      <c r="H782" t="inlineStr">
        <is>
          <t>Y</t>
        </is>
      </c>
      <c r="I782">
        <f>HYPERLINK("https://admin.shopify.com/store/ge-beauty-cosmeticos/customers/9787428700480","abrir")</f>
        <v/>
      </c>
      <c r="J782">
        <f>HYPERLINK("https://www.gebeauty.com.br/products/primer-liso-intacto?ref=review","review")</f>
        <v/>
      </c>
      <c r="K782" t="inlineStr">
        <is>
          <t>SEND</t>
        </is>
      </c>
    </row>
    <row r="783">
      <c r="A783" t="inlineStr">
        <is>
          <t>Lais</t>
        </is>
      </c>
      <c r="B783" t="inlineStr">
        <is>
          <t>+5511983038431</t>
        </is>
      </c>
      <c r="C783" t="inlineStr">
        <is>
          <t>Refill</t>
        </is>
      </c>
      <c r="D783" t="inlineStr">
        <is>
          <t>Primer Liso</t>
        </is>
      </c>
      <c r="E783" t="n">
        <v>1</v>
      </c>
      <c r="F783" t="inlineStr">
        <is>
          <t>2025-10-22</t>
        </is>
      </c>
      <c r="G783" t="n">
        <v>255</v>
      </c>
      <c r="H783" t="inlineStr">
        <is>
          <t>Y</t>
        </is>
      </c>
      <c r="I783">
        <f>HYPERLINK("https://admin.shopify.com/store/ge-beauty-cosmeticos/customers/8130977333568","abrir")</f>
        <v/>
      </c>
      <c r="J783">
        <f>HYPERLINK("https://www.gebeauty.com.br/products/primer-liso-intacto?ref=review","review")</f>
        <v/>
      </c>
      <c r="K783" t="inlineStr">
        <is>
          <t>SEND</t>
        </is>
      </c>
    </row>
    <row r="784">
      <c r="A784" t="inlineStr">
        <is>
          <t>Cassandra</t>
        </is>
      </c>
      <c r="B784" t="inlineStr">
        <is>
          <t>+5581999286423</t>
        </is>
      </c>
      <c r="C784" t="inlineStr">
        <is>
          <t>Refill</t>
        </is>
      </c>
      <c r="D784" t="inlineStr">
        <is>
          <t>Primer Liso</t>
        </is>
      </c>
      <c r="E784" t="n">
        <v>1</v>
      </c>
      <c r="F784" t="inlineStr">
        <is>
          <t>2025-10-22</t>
        </is>
      </c>
      <c r="G784" t="n">
        <v>255</v>
      </c>
      <c r="H784" t="inlineStr">
        <is>
          <t>Y</t>
        </is>
      </c>
      <c r="I784">
        <f>HYPERLINK("https://admin.shopify.com/store/ge-beauty-cosmeticos/customers/9788102574400","abrir")</f>
        <v/>
      </c>
      <c r="J784">
        <f>HYPERLINK("https://www.gebeauty.com.br/products/primer-liso-intacto?ref=review","review")</f>
        <v/>
      </c>
      <c r="K784" t="inlineStr">
        <is>
          <t>SEND</t>
        </is>
      </c>
    </row>
    <row r="785">
      <c r="A785" t="inlineStr">
        <is>
          <t>Camila</t>
        </is>
      </c>
      <c r="B785" t="inlineStr">
        <is>
          <t>+5511948274997</t>
        </is>
      </c>
      <c r="C785" t="inlineStr">
        <is>
          <t>Refill</t>
        </is>
      </c>
      <c r="D785" t="inlineStr">
        <is>
          <t>Primer Liso</t>
        </is>
      </c>
      <c r="E785" t="n">
        <v>1</v>
      </c>
      <c r="F785" t="inlineStr">
        <is>
          <t>2025-10-22</t>
        </is>
      </c>
      <c r="G785" t="n">
        <v>255</v>
      </c>
      <c r="H785" t="inlineStr">
        <is>
          <t>Y</t>
        </is>
      </c>
      <c r="I785">
        <f>HYPERLINK("https://admin.shopify.com/store/ge-beauty-cosmeticos/customers/9788135801152","abrir")</f>
        <v/>
      </c>
      <c r="J785">
        <f>HYPERLINK("https://www.gebeauty.com.br/products/primer-liso-intacto?ref=review","review")</f>
        <v/>
      </c>
      <c r="K785" t="inlineStr">
        <is>
          <t>SEND</t>
        </is>
      </c>
    </row>
    <row r="786">
      <c r="A786" t="inlineStr">
        <is>
          <t>Cecilia</t>
        </is>
      </c>
      <c r="B786" t="inlineStr">
        <is>
          <t>+5581997421888</t>
        </is>
      </c>
      <c r="C786" t="inlineStr">
        <is>
          <t>Refill</t>
        </is>
      </c>
      <c r="D786" t="inlineStr">
        <is>
          <t>Primer Liso</t>
        </is>
      </c>
      <c r="E786" t="n">
        <v>1</v>
      </c>
      <c r="F786" t="inlineStr">
        <is>
          <t>2025-10-22</t>
        </is>
      </c>
      <c r="G786" t="n">
        <v>255</v>
      </c>
      <c r="H786" t="inlineStr">
        <is>
          <t>Y</t>
        </is>
      </c>
      <c r="I786">
        <f>HYPERLINK("https://admin.shopify.com/store/ge-beauty-cosmeticos/customers/9788151824704","abrir")</f>
        <v/>
      </c>
      <c r="J786">
        <f>HYPERLINK("https://www.gebeauty.com.br/products/primer-liso-intacto?ref=review","review")</f>
        <v/>
      </c>
      <c r="K786" t="inlineStr">
        <is>
          <t>SEND</t>
        </is>
      </c>
    </row>
    <row r="787">
      <c r="A787" t="inlineStr">
        <is>
          <t>Lorena</t>
        </is>
      </c>
      <c r="B787" t="inlineStr">
        <is>
          <t>+5581999182336</t>
        </is>
      </c>
      <c r="C787" t="inlineStr">
        <is>
          <t>Refill</t>
        </is>
      </c>
      <c r="D787" t="inlineStr">
        <is>
          <t>Primer Liso</t>
        </is>
      </c>
      <c r="E787" t="n">
        <v>1</v>
      </c>
      <c r="F787" t="inlineStr">
        <is>
          <t>2025-10-22</t>
        </is>
      </c>
      <c r="G787" t="n">
        <v>255</v>
      </c>
      <c r="H787" t="inlineStr">
        <is>
          <t>Y</t>
        </is>
      </c>
      <c r="I787">
        <f>HYPERLINK("https://admin.shopify.com/store/ge-beauty-cosmeticos/customers/9788303016256","abrir")</f>
        <v/>
      </c>
      <c r="J787">
        <f>HYPERLINK("https://www.gebeauty.com.br/products/primer-liso-intacto?ref=review","review")</f>
        <v/>
      </c>
      <c r="K787" t="inlineStr">
        <is>
          <t>SEND</t>
        </is>
      </c>
    </row>
    <row r="788">
      <c r="A788" t="inlineStr">
        <is>
          <t>Lucas</t>
        </is>
      </c>
      <c r="B788" t="inlineStr">
        <is>
          <t>+5511958952978</t>
        </is>
      </c>
      <c r="C788" t="inlineStr">
        <is>
          <t>Refill</t>
        </is>
      </c>
      <c r="D788" t="inlineStr">
        <is>
          <t>Primer Liso</t>
        </is>
      </c>
      <c r="E788" t="n">
        <v>1</v>
      </c>
      <c r="F788" t="inlineStr">
        <is>
          <t>2025-10-22</t>
        </is>
      </c>
      <c r="G788" t="n">
        <v>255</v>
      </c>
      <c r="H788" t="inlineStr">
        <is>
          <t>Y</t>
        </is>
      </c>
      <c r="I788">
        <f>HYPERLINK("https://admin.shopify.com/store/ge-beauty-cosmeticos/customers/8387532980544","abrir")</f>
        <v/>
      </c>
      <c r="J788">
        <f>HYPERLINK("https://www.gebeauty.com.br/products/primer-liso-intacto?ref=review","review")</f>
        <v/>
      </c>
      <c r="K788" t="inlineStr">
        <is>
          <t>SEND</t>
        </is>
      </c>
    </row>
    <row r="789">
      <c r="A789" t="inlineStr">
        <is>
          <t>Denise</t>
        </is>
      </c>
      <c r="B789" t="inlineStr">
        <is>
          <t>+5521966731771</t>
        </is>
      </c>
      <c r="C789" t="inlineStr">
        <is>
          <t>Refill</t>
        </is>
      </c>
      <c r="D789" t="inlineStr">
        <is>
          <t>Primer Liso</t>
        </is>
      </c>
      <c r="E789" t="n">
        <v>1</v>
      </c>
      <c r="F789" t="inlineStr">
        <is>
          <t>2025-10-22</t>
        </is>
      </c>
      <c r="G789" t="n">
        <v>255</v>
      </c>
      <c r="H789" t="inlineStr">
        <is>
          <t>Y</t>
        </is>
      </c>
      <c r="I789">
        <f>HYPERLINK("https://admin.shopify.com/store/ge-beauty-cosmeticos/customers/9788822487360","abrir")</f>
        <v/>
      </c>
      <c r="J789">
        <f>HYPERLINK("https://www.gebeauty.com.br/products/primer-liso-intacto?ref=review","review")</f>
        <v/>
      </c>
      <c r="K789" t="inlineStr">
        <is>
          <t>SEND</t>
        </is>
      </c>
    </row>
    <row r="790">
      <c r="A790" t="inlineStr">
        <is>
          <t>Malu</t>
        </is>
      </c>
      <c r="B790" t="inlineStr">
        <is>
          <t>+5511997911979</t>
        </is>
      </c>
      <c r="C790" t="inlineStr">
        <is>
          <t>Refill</t>
        </is>
      </c>
      <c r="D790" t="inlineStr">
        <is>
          <t>Primer Liso</t>
        </is>
      </c>
      <c r="E790" t="n">
        <v>1</v>
      </c>
      <c r="F790" t="inlineStr">
        <is>
          <t>2025-10-22</t>
        </is>
      </c>
      <c r="G790" t="n">
        <v>255</v>
      </c>
      <c r="H790" t="inlineStr">
        <is>
          <t>Y</t>
        </is>
      </c>
      <c r="I790">
        <f>HYPERLINK("https://admin.shopify.com/store/ge-beauty-cosmeticos/customers/9789080469824","abrir")</f>
        <v/>
      </c>
      <c r="J790">
        <f>HYPERLINK("https://www.gebeauty.com.br/products/primer-liso-intacto?ref=review","review")</f>
        <v/>
      </c>
      <c r="K790" t="inlineStr">
        <is>
          <t>SEND</t>
        </is>
      </c>
    </row>
    <row r="791">
      <c r="A791" t="inlineStr">
        <is>
          <t>Gabriela</t>
        </is>
      </c>
      <c r="B791" t="inlineStr">
        <is>
          <t>+5592992144870</t>
        </is>
      </c>
      <c r="C791" t="inlineStr">
        <is>
          <t>Refill</t>
        </is>
      </c>
      <c r="D791" t="inlineStr">
        <is>
          <t>Primer Liso</t>
        </is>
      </c>
      <c r="E791" t="n">
        <v>1</v>
      </c>
      <c r="F791" t="inlineStr">
        <is>
          <t>2025-10-23</t>
        </is>
      </c>
      <c r="G791" t="n">
        <v>254</v>
      </c>
      <c r="H791" t="inlineStr">
        <is>
          <t>Y</t>
        </is>
      </c>
      <c r="I791">
        <f>HYPERLINK("https://admin.shopify.com/store/ge-beauty-cosmeticos/customers/8259801841984","abrir")</f>
        <v/>
      </c>
      <c r="J791">
        <f>HYPERLINK("https://www.gebeauty.com.br/products/primer-liso-intacto?ref=review","review")</f>
        <v/>
      </c>
      <c r="K791" t="inlineStr">
        <is>
          <t>SEND</t>
        </is>
      </c>
    </row>
    <row r="792">
      <c r="A792" t="inlineStr">
        <is>
          <t>Livia</t>
        </is>
      </c>
      <c r="B792" t="inlineStr">
        <is>
          <t>+5521967789898</t>
        </is>
      </c>
      <c r="C792" t="inlineStr">
        <is>
          <t>Refill</t>
        </is>
      </c>
      <c r="D792" t="inlineStr">
        <is>
          <t>Primer Liso</t>
        </is>
      </c>
      <c r="E792" t="n">
        <v>1</v>
      </c>
      <c r="F792" t="inlineStr">
        <is>
          <t>2025-10-23</t>
        </is>
      </c>
      <c r="G792" t="n">
        <v>254</v>
      </c>
      <c r="H792" t="inlineStr">
        <is>
          <t>Y</t>
        </is>
      </c>
      <c r="I792">
        <f>HYPERLINK("https://admin.shopify.com/store/ge-beauty-cosmeticos/customers/9789858578752","abrir")</f>
        <v/>
      </c>
      <c r="J792">
        <f>HYPERLINK("https://www.gebeauty.com.br/products/primer-liso-intacto?ref=review","review")</f>
        <v/>
      </c>
      <c r="K792" t="inlineStr">
        <is>
          <t>SEND</t>
        </is>
      </c>
    </row>
    <row r="793">
      <c r="A793" t="inlineStr">
        <is>
          <t>Luciana</t>
        </is>
      </c>
      <c r="B793" t="inlineStr">
        <is>
          <t>+5581997193350</t>
        </is>
      </c>
      <c r="C793" t="inlineStr">
        <is>
          <t>Refill</t>
        </is>
      </c>
      <c r="D793" t="inlineStr">
        <is>
          <t>Primer Liso</t>
        </is>
      </c>
      <c r="E793" t="n">
        <v>1</v>
      </c>
      <c r="F793" t="inlineStr">
        <is>
          <t>2025-10-23</t>
        </is>
      </c>
      <c r="G793" t="n">
        <v>254</v>
      </c>
      <c r="H793" t="inlineStr">
        <is>
          <t>Y</t>
        </is>
      </c>
      <c r="I793">
        <f>HYPERLINK("https://admin.shopify.com/store/ge-beauty-cosmeticos/customers/9789851304256","abrir")</f>
        <v/>
      </c>
      <c r="J793">
        <f>HYPERLINK("https://www.gebeauty.com.br/products/primer-liso-intacto?ref=review","review")</f>
        <v/>
      </c>
      <c r="K793" t="inlineStr">
        <is>
          <t>SEND</t>
        </is>
      </c>
    </row>
    <row r="794">
      <c r="A794" t="inlineStr">
        <is>
          <t>Valeria</t>
        </is>
      </c>
      <c r="B794" t="inlineStr">
        <is>
          <t>+5581991591619</t>
        </is>
      </c>
      <c r="C794" t="inlineStr">
        <is>
          <t>Refill</t>
        </is>
      </c>
      <c r="D794" t="inlineStr">
        <is>
          <t>Primer Liso</t>
        </is>
      </c>
      <c r="E794" t="n">
        <v>1</v>
      </c>
      <c r="F794" t="inlineStr">
        <is>
          <t>2025-10-25</t>
        </is>
      </c>
      <c r="G794" t="n">
        <v>252</v>
      </c>
      <c r="H794" t="inlineStr">
        <is>
          <t>Y</t>
        </is>
      </c>
      <c r="I794">
        <f>HYPERLINK("https://admin.shopify.com/store/ge-beauty-cosmeticos/customers/9791079022912","abrir")</f>
        <v/>
      </c>
      <c r="J794">
        <f>HYPERLINK("https://www.gebeauty.com.br/products/primer-liso-intacto?ref=review","review")</f>
        <v/>
      </c>
      <c r="K794" t="inlineStr">
        <is>
          <t>SEND</t>
        </is>
      </c>
    </row>
    <row r="795">
      <c r="A795" t="inlineStr">
        <is>
          <t>Andreia</t>
        </is>
      </c>
      <c r="B795" t="inlineStr">
        <is>
          <t>+5581998819527</t>
        </is>
      </c>
      <c r="C795" t="inlineStr">
        <is>
          <t>Refill</t>
        </is>
      </c>
      <c r="D795" t="inlineStr">
        <is>
          <t>Primer Liso</t>
        </is>
      </c>
      <c r="E795" t="n">
        <v>1</v>
      </c>
      <c r="F795" t="inlineStr">
        <is>
          <t>2025-10-23</t>
        </is>
      </c>
      <c r="G795" t="n">
        <v>254</v>
      </c>
      <c r="H795" t="inlineStr">
        <is>
          <t>Y</t>
        </is>
      </c>
      <c r="I795">
        <f>HYPERLINK("https://admin.shopify.com/store/ge-beauty-cosmeticos/customers/9791172247872","abrir")</f>
        <v/>
      </c>
      <c r="J795">
        <f>HYPERLINK("https://www.gebeauty.com.br/products/primer-liso-intacto?ref=review","review")</f>
        <v/>
      </c>
      <c r="K795" t="inlineStr">
        <is>
          <t>SEND</t>
        </is>
      </c>
    </row>
    <row r="796">
      <c r="A796" t="inlineStr">
        <is>
          <t>Sofia</t>
        </is>
      </c>
      <c r="B796" t="inlineStr">
        <is>
          <t>+5515518042995</t>
        </is>
      </c>
      <c r="C796" t="inlineStr">
        <is>
          <t>Refill</t>
        </is>
      </c>
      <c r="D796" t="inlineStr">
        <is>
          <t>Primer Liso</t>
        </is>
      </c>
      <c r="E796" t="n">
        <v>1</v>
      </c>
      <c r="F796" t="inlineStr">
        <is>
          <t>2025-10-23</t>
        </is>
      </c>
      <c r="G796" t="n">
        <v>254</v>
      </c>
      <c r="H796" t="inlineStr">
        <is>
          <t>Y</t>
        </is>
      </c>
      <c r="I796">
        <f>HYPERLINK("https://admin.shopify.com/store/ge-beauty-cosmeticos/customers/9791213338944","abrir")</f>
        <v/>
      </c>
      <c r="J796">
        <f>HYPERLINK("https://www.gebeauty.com.br/products/primer-liso-intacto?ref=review","review")</f>
        <v/>
      </c>
      <c r="K796" t="inlineStr">
        <is>
          <t>SEND</t>
        </is>
      </c>
    </row>
    <row r="797">
      <c r="A797" t="inlineStr">
        <is>
          <t>Maria</t>
        </is>
      </c>
      <c r="B797" t="inlineStr">
        <is>
          <t>+5521972929092</t>
        </is>
      </c>
      <c r="C797" t="inlineStr">
        <is>
          <t>Refill</t>
        </is>
      </c>
      <c r="D797" t="inlineStr">
        <is>
          <t>Primer Liso</t>
        </is>
      </c>
      <c r="E797" t="n">
        <v>1</v>
      </c>
      <c r="F797" t="inlineStr">
        <is>
          <t>2025-10-24</t>
        </is>
      </c>
      <c r="G797" t="n">
        <v>253</v>
      </c>
      <c r="H797" t="inlineStr">
        <is>
          <t>Y</t>
        </is>
      </c>
      <c r="I797">
        <f>HYPERLINK("https://admin.shopify.com/store/ge-beauty-cosmeticos/customers/9791665078592","abrir")</f>
        <v/>
      </c>
      <c r="J797">
        <f>HYPERLINK("https://www.gebeauty.com.br/products/primer-liso-intacto?ref=review","review")</f>
        <v/>
      </c>
      <c r="K797" t="inlineStr">
        <is>
          <t>HOLDOUT</t>
        </is>
      </c>
    </row>
    <row r="798">
      <c r="A798" t="inlineStr">
        <is>
          <t>Maria</t>
        </is>
      </c>
      <c r="B798" t="inlineStr">
        <is>
          <t>+5585999816003</t>
        </is>
      </c>
      <c r="C798" t="inlineStr">
        <is>
          <t>Refill</t>
        </is>
      </c>
      <c r="D798" t="inlineStr">
        <is>
          <t>Primer Liso</t>
        </is>
      </c>
      <c r="E798" t="n">
        <v>1</v>
      </c>
      <c r="F798" t="inlineStr">
        <is>
          <t>2025-10-24</t>
        </is>
      </c>
      <c r="G798" t="n">
        <v>253</v>
      </c>
      <c r="H798" t="inlineStr">
        <is>
          <t>Y</t>
        </is>
      </c>
      <c r="I798">
        <f>HYPERLINK("https://admin.shopify.com/store/ge-beauty-cosmeticos/customers/9792590741824","abrir")</f>
        <v/>
      </c>
      <c r="J798">
        <f>HYPERLINK("https://www.gebeauty.com.br/products/primer-liso-intacto?ref=review","review")</f>
        <v/>
      </c>
      <c r="K798" t="inlineStr">
        <is>
          <t>SEND</t>
        </is>
      </c>
    </row>
    <row r="799">
      <c r="A799" t="inlineStr">
        <is>
          <t>Bárbara</t>
        </is>
      </c>
      <c r="B799" t="inlineStr">
        <is>
          <t>+5511974018820</t>
        </is>
      </c>
      <c r="C799" t="inlineStr">
        <is>
          <t>Refill</t>
        </is>
      </c>
      <c r="D799" t="inlineStr">
        <is>
          <t>Primer Liso</t>
        </is>
      </c>
      <c r="E799" t="n">
        <v>1</v>
      </c>
      <c r="F799" t="inlineStr">
        <is>
          <t>2025-10-24</t>
        </is>
      </c>
      <c r="G799" t="n">
        <v>253</v>
      </c>
      <c r="H799" t="inlineStr">
        <is>
          <t>Y</t>
        </is>
      </c>
      <c r="I799">
        <f>HYPERLINK("https://admin.shopify.com/store/ge-beauty-cosmeticos/customers/9792790856000","abrir")</f>
        <v/>
      </c>
      <c r="J799">
        <f>HYPERLINK("https://www.gebeauty.com.br/products/primer-liso-intacto?ref=review","review")</f>
        <v/>
      </c>
      <c r="K799" t="inlineStr">
        <is>
          <t>SEND</t>
        </is>
      </c>
    </row>
    <row r="800">
      <c r="A800" t="inlineStr">
        <is>
          <t>Camila</t>
        </is>
      </c>
      <c r="B800" t="inlineStr">
        <is>
          <t>+5561991969776</t>
        </is>
      </c>
      <c r="C800" t="inlineStr">
        <is>
          <t>Refill</t>
        </is>
      </c>
      <c r="D800" t="inlineStr">
        <is>
          <t>Primer Liso</t>
        </is>
      </c>
      <c r="E800" t="n">
        <v>1</v>
      </c>
      <c r="F800" t="inlineStr">
        <is>
          <t>2025-10-24</t>
        </is>
      </c>
      <c r="G800" t="n">
        <v>253</v>
      </c>
      <c r="H800" t="inlineStr">
        <is>
          <t>N</t>
        </is>
      </c>
      <c r="I800">
        <f>HYPERLINK("https://admin.shopify.com/store/ge-beauty-cosmeticos/customers/9793184268608","abrir")</f>
        <v/>
      </c>
      <c r="J800">
        <f>HYPERLINK("https://www.gebeauty.com.br/products/primer-liso-intacto?ref=review","review")</f>
        <v/>
      </c>
      <c r="K800" t="inlineStr">
        <is>
          <t>SEND</t>
        </is>
      </c>
    </row>
    <row r="801">
      <c r="A801" t="inlineStr">
        <is>
          <t>Luis</t>
        </is>
      </c>
      <c r="B801" t="inlineStr">
        <is>
          <t>+5585999605761</t>
        </is>
      </c>
      <c r="C801" t="inlineStr">
        <is>
          <t>Refill</t>
        </is>
      </c>
      <c r="D801" t="inlineStr">
        <is>
          <t>Primer Liso</t>
        </is>
      </c>
      <c r="E801" t="n">
        <v>1</v>
      </c>
      <c r="F801" t="inlineStr">
        <is>
          <t>2025-10-24</t>
        </is>
      </c>
      <c r="G801" t="n">
        <v>253</v>
      </c>
      <c r="H801" t="inlineStr">
        <is>
          <t>Y</t>
        </is>
      </c>
      <c r="I801">
        <f>HYPERLINK("https://admin.shopify.com/store/ge-beauty-cosmeticos/customers/9793542619456","abrir")</f>
        <v/>
      </c>
      <c r="J801">
        <f>HYPERLINK("https://www.gebeauty.com.br/products/primer-liso-intacto?ref=review","review")</f>
        <v/>
      </c>
      <c r="K801" t="inlineStr">
        <is>
          <t>HOLDOUT</t>
        </is>
      </c>
    </row>
    <row r="802">
      <c r="A802" t="inlineStr">
        <is>
          <t>Maria</t>
        </is>
      </c>
      <c r="B802" t="inlineStr">
        <is>
          <t>+5511913192687</t>
        </is>
      </c>
      <c r="C802" t="inlineStr">
        <is>
          <t>Refill</t>
        </is>
      </c>
      <c r="D802" t="inlineStr">
        <is>
          <t>Primer Liso</t>
        </is>
      </c>
      <c r="E802" t="n">
        <v>1</v>
      </c>
      <c r="F802" t="inlineStr">
        <is>
          <t>2025-10-25</t>
        </is>
      </c>
      <c r="G802" t="n">
        <v>252</v>
      </c>
      <c r="H802" t="inlineStr">
        <is>
          <t>Y</t>
        </is>
      </c>
      <c r="I802">
        <f>HYPERLINK("https://admin.shopify.com/store/ge-beauty-cosmeticos/customers/9794694283584","abrir")</f>
        <v/>
      </c>
      <c r="J802">
        <f>HYPERLINK("https://www.gebeauty.com.br/products/primer-liso-intacto?ref=review","review")</f>
        <v/>
      </c>
      <c r="K802" t="inlineStr">
        <is>
          <t>HOLDOUT</t>
        </is>
      </c>
    </row>
    <row r="803">
      <c r="A803" t="inlineStr">
        <is>
          <t>Juliana</t>
        </is>
      </c>
      <c r="B803" t="inlineStr">
        <is>
          <t>+5514981641777</t>
        </is>
      </c>
      <c r="C803" t="inlineStr">
        <is>
          <t>Refill</t>
        </is>
      </c>
      <c r="D803" t="inlineStr">
        <is>
          <t>Primer Liso</t>
        </is>
      </c>
      <c r="E803" t="n">
        <v>1</v>
      </c>
      <c r="F803" t="inlineStr">
        <is>
          <t>2025-10-25</t>
        </is>
      </c>
      <c r="G803" t="n">
        <v>252</v>
      </c>
      <c r="H803" t="inlineStr">
        <is>
          <t>Y</t>
        </is>
      </c>
      <c r="I803">
        <f>HYPERLINK("https://admin.shopify.com/store/ge-beauty-cosmeticos/customers/9794749268288","abrir")</f>
        <v/>
      </c>
      <c r="J803">
        <f>HYPERLINK("https://www.gebeauty.com.br/products/primer-liso-intacto?ref=review","review")</f>
        <v/>
      </c>
      <c r="K803" t="inlineStr">
        <is>
          <t>SEND</t>
        </is>
      </c>
    </row>
    <row r="804">
      <c r="A804" t="inlineStr">
        <is>
          <t>Liria</t>
        </is>
      </c>
      <c r="B804" t="inlineStr">
        <is>
          <t>+5571999025079</t>
        </is>
      </c>
      <c r="C804" t="inlineStr">
        <is>
          <t>Refill</t>
        </is>
      </c>
      <c r="D804" t="inlineStr">
        <is>
          <t>Primer Liso</t>
        </is>
      </c>
      <c r="E804" t="n">
        <v>1</v>
      </c>
      <c r="F804" t="inlineStr">
        <is>
          <t>2025-10-25</t>
        </is>
      </c>
      <c r="G804" t="n">
        <v>252</v>
      </c>
      <c r="H804" t="inlineStr">
        <is>
          <t>Y</t>
        </is>
      </c>
      <c r="I804">
        <f>HYPERLINK("https://admin.shopify.com/store/ge-beauty-cosmeticos/customers/7759575318848","abrir")</f>
        <v/>
      </c>
      <c r="J804">
        <f>HYPERLINK("https://www.gebeauty.com.br/products/primer-liso-intacto?ref=review","review")</f>
        <v/>
      </c>
      <c r="K804" t="inlineStr">
        <is>
          <t>HOLDOUT</t>
        </is>
      </c>
    </row>
    <row r="805">
      <c r="A805" t="inlineStr">
        <is>
          <t>Marcela</t>
        </is>
      </c>
      <c r="B805" t="inlineStr">
        <is>
          <t>+5585997376200</t>
        </is>
      </c>
      <c r="C805" t="inlineStr">
        <is>
          <t>Refill</t>
        </is>
      </c>
      <c r="D805" t="inlineStr">
        <is>
          <t>Primer Liso</t>
        </is>
      </c>
      <c r="E805" t="n">
        <v>1</v>
      </c>
      <c r="F805" t="inlineStr">
        <is>
          <t>2025-10-25</t>
        </is>
      </c>
      <c r="G805" t="n">
        <v>252</v>
      </c>
      <c r="H805" t="inlineStr">
        <is>
          <t>Y</t>
        </is>
      </c>
      <c r="I805">
        <f>HYPERLINK("https://admin.shopify.com/store/ge-beauty-cosmeticos/customers/9795168076096","abrir")</f>
        <v/>
      </c>
      <c r="J805">
        <f>HYPERLINK("https://www.gebeauty.com.br/products/primer-liso-intacto?ref=review","review")</f>
        <v/>
      </c>
      <c r="K805" t="inlineStr">
        <is>
          <t>SEND</t>
        </is>
      </c>
    </row>
    <row r="806">
      <c r="A806" t="inlineStr">
        <is>
          <t>Gabriella</t>
        </is>
      </c>
      <c r="B806" t="inlineStr">
        <is>
          <t>+5571999883739</t>
        </is>
      </c>
      <c r="C806" t="inlineStr">
        <is>
          <t>Refill</t>
        </is>
      </c>
      <c r="D806" t="inlineStr">
        <is>
          <t>Primer Liso</t>
        </is>
      </c>
      <c r="E806" t="n">
        <v>1</v>
      </c>
      <c r="F806" t="inlineStr">
        <is>
          <t>2025-10-25</t>
        </is>
      </c>
      <c r="G806" t="n">
        <v>252</v>
      </c>
      <c r="H806" t="inlineStr">
        <is>
          <t>Y</t>
        </is>
      </c>
      <c r="I806">
        <f>HYPERLINK("https://admin.shopify.com/store/ge-beauty-cosmeticos/customers/9795547529536","abrir")</f>
        <v/>
      </c>
      <c r="J806">
        <f>HYPERLINK("https://www.gebeauty.com.br/products/primer-liso-intacto?ref=review","review")</f>
        <v/>
      </c>
      <c r="K806" t="inlineStr">
        <is>
          <t>SEND</t>
        </is>
      </c>
    </row>
    <row r="807">
      <c r="A807" t="inlineStr">
        <is>
          <t>Luciana</t>
        </is>
      </c>
      <c r="B807" t="inlineStr">
        <is>
          <t>+5561992714859</t>
        </is>
      </c>
      <c r="C807" t="inlineStr">
        <is>
          <t>Refill</t>
        </is>
      </c>
      <c r="D807" t="inlineStr">
        <is>
          <t>Primer Liso</t>
        </is>
      </c>
      <c r="E807" t="n">
        <v>1</v>
      </c>
      <c r="F807" t="inlineStr">
        <is>
          <t>2025-10-26</t>
        </is>
      </c>
      <c r="G807" t="n">
        <v>251</v>
      </c>
      <c r="H807" t="inlineStr">
        <is>
          <t>Y</t>
        </is>
      </c>
      <c r="I807">
        <f>HYPERLINK("https://admin.shopify.com/store/ge-beauty-cosmeticos/customers/9485971947840","abrir")</f>
        <v/>
      </c>
      <c r="J807">
        <f>HYPERLINK("https://www.gebeauty.com.br/products/primer-liso-intacto?ref=review","review")</f>
        <v/>
      </c>
      <c r="K807" t="inlineStr">
        <is>
          <t>SEND</t>
        </is>
      </c>
    </row>
    <row r="808">
      <c r="A808" t="inlineStr">
        <is>
          <t>Ivana</t>
        </is>
      </c>
      <c r="B808" t="inlineStr">
        <is>
          <t>+5511991507253</t>
        </is>
      </c>
      <c r="C808" t="inlineStr">
        <is>
          <t>Refill</t>
        </is>
      </c>
      <c r="D808" t="inlineStr">
        <is>
          <t>Primer Liso</t>
        </is>
      </c>
      <c r="E808" t="n">
        <v>1</v>
      </c>
      <c r="F808" t="inlineStr">
        <is>
          <t>2025-10-26</t>
        </is>
      </c>
      <c r="G808" t="n">
        <v>251</v>
      </c>
      <c r="H808" t="inlineStr">
        <is>
          <t>Y</t>
        </is>
      </c>
      <c r="I808">
        <f>HYPERLINK("https://admin.shopify.com/store/ge-beauty-cosmeticos/customers/9796312498496","abrir")</f>
        <v/>
      </c>
      <c r="J808">
        <f>HYPERLINK("https://www.gebeauty.com.br/products/primer-liso-intacto?ref=review","review")</f>
        <v/>
      </c>
      <c r="K808" t="inlineStr">
        <is>
          <t>SEND</t>
        </is>
      </c>
    </row>
    <row r="809">
      <c r="A809" t="inlineStr">
        <is>
          <t>Larissa</t>
        </is>
      </c>
      <c r="B809" t="inlineStr">
        <is>
          <t>+5511973819072</t>
        </is>
      </c>
      <c r="C809" t="inlineStr">
        <is>
          <t>Refill</t>
        </is>
      </c>
      <c r="D809" t="inlineStr">
        <is>
          <t>Primer Liso</t>
        </is>
      </c>
      <c r="E809" t="n">
        <v>1</v>
      </c>
      <c r="F809" t="inlineStr">
        <is>
          <t>2025-10-26</t>
        </is>
      </c>
      <c r="G809" t="n">
        <v>251</v>
      </c>
      <c r="H809" t="inlineStr">
        <is>
          <t>Y</t>
        </is>
      </c>
      <c r="I809">
        <f>HYPERLINK("https://admin.shopify.com/store/ge-beauty-cosmeticos/customers/9471963005248","abrir")</f>
        <v/>
      </c>
      <c r="J809">
        <f>HYPERLINK("https://www.gebeauty.com.br/products/primer-liso-intacto?ref=review","review")</f>
        <v/>
      </c>
      <c r="K809" t="inlineStr">
        <is>
          <t>HOLDOUT</t>
        </is>
      </c>
    </row>
    <row r="810">
      <c r="A810" t="inlineStr">
        <is>
          <t>Maria Cecilia</t>
        </is>
      </c>
      <c r="B810" t="inlineStr">
        <is>
          <t>+5511996829272</t>
        </is>
      </c>
      <c r="C810" t="inlineStr">
        <is>
          <t>Refill</t>
        </is>
      </c>
      <c r="D810" t="inlineStr">
        <is>
          <t>Primer Liso</t>
        </is>
      </c>
      <c r="E810" t="n">
        <v>1</v>
      </c>
      <c r="F810" t="inlineStr">
        <is>
          <t>2025-10-26</t>
        </is>
      </c>
      <c r="G810" t="n">
        <v>251</v>
      </c>
      <c r="H810" t="inlineStr">
        <is>
          <t>Y</t>
        </is>
      </c>
      <c r="I810">
        <f>HYPERLINK("https://admin.shopify.com/store/ge-beauty-cosmeticos/customers/9796697751872","abrir")</f>
        <v/>
      </c>
      <c r="J810">
        <f>HYPERLINK("https://www.gebeauty.com.br/products/primer-liso-intacto?ref=review","review")</f>
        <v/>
      </c>
      <c r="K810" t="inlineStr">
        <is>
          <t>SEND</t>
        </is>
      </c>
    </row>
    <row r="811">
      <c r="A811" t="inlineStr">
        <is>
          <t>Andréa</t>
        </is>
      </c>
      <c r="B811" t="inlineStr">
        <is>
          <t>+5519981969607</t>
        </is>
      </c>
      <c r="C811" t="inlineStr">
        <is>
          <t>Refill</t>
        </is>
      </c>
      <c r="D811" t="inlineStr">
        <is>
          <t>Primer Liso</t>
        </is>
      </c>
      <c r="E811" t="n">
        <v>1</v>
      </c>
      <c r="F811" t="inlineStr">
        <is>
          <t>2025-10-26</t>
        </is>
      </c>
      <c r="G811" t="n">
        <v>251</v>
      </c>
      <c r="H811" t="inlineStr">
        <is>
          <t>Y</t>
        </is>
      </c>
      <c r="I811">
        <f>HYPERLINK("https://admin.shopify.com/store/ge-beauty-cosmeticos/customers/9484948930880","abrir")</f>
        <v/>
      </c>
      <c r="J811">
        <f>HYPERLINK("https://www.gebeauty.com.br/products/primer-liso-intacto?ref=review","review")</f>
        <v/>
      </c>
      <c r="K811" t="inlineStr">
        <is>
          <t>SEND</t>
        </is>
      </c>
    </row>
    <row r="812">
      <c r="A812" t="inlineStr">
        <is>
          <t>Amanda</t>
        </is>
      </c>
      <c r="B812" t="inlineStr">
        <is>
          <t>+5511970806089</t>
        </is>
      </c>
      <c r="C812" t="inlineStr">
        <is>
          <t>Refill</t>
        </is>
      </c>
      <c r="D812" t="inlineStr">
        <is>
          <t>Primer Liso</t>
        </is>
      </c>
      <c r="E812" t="n">
        <v>1</v>
      </c>
      <c r="F812" t="inlineStr">
        <is>
          <t>2025-10-26</t>
        </is>
      </c>
      <c r="G812" t="n">
        <v>251</v>
      </c>
      <c r="H812" t="inlineStr">
        <is>
          <t>Y</t>
        </is>
      </c>
      <c r="I812">
        <f>HYPERLINK("https://admin.shopify.com/store/ge-beauty-cosmeticos/customers/7759533769024","abrir")</f>
        <v/>
      </c>
      <c r="J812">
        <f>HYPERLINK("https://www.gebeauty.com.br/products/primer-liso-intacto?ref=review","review")</f>
        <v/>
      </c>
      <c r="K812" t="inlineStr">
        <is>
          <t>SEND</t>
        </is>
      </c>
    </row>
    <row r="813">
      <c r="A813" t="inlineStr">
        <is>
          <t>Giovana</t>
        </is>
      </c>
      <c r="B813" t="inlineStr">
        <is>
          <t>+5548999229123</t>
        </is>
      </c>
      <c r="C813" t="inlineStr">
        <is>
          <t>Refill</t>
        </is>
      </c>
      <c r="D813" t="inlineStr">
        <is>
          <t>Primer Liso</t>
        </is>
      </c>
      <c r="E813" t="n">
        <v>1</v>
      </c>
      <c r="F813" t="inlineStr">
        <is>
          <t>2025-10-26</t>
        </is>
      </c>
      <c r="G813" t="n">
        <v>251</v>
      </c>
      <c r="H813" t="inlineStr">
        <is>
          <t>Y</t>
        </is>
      </c>
      <c r="I813">
        <f>HYPERLINK("https://admin.shopify.com/store/ge-beauty-cosmeticos/customers/9486124187968","abrir")</f>
        <v/>
      </c>
      <c r="J813">
        <f>HYPERLINK("https://www.gebeauty.com.br/products/primer-liso-intacto?ref=review","review")</f>
        <v/>
      </c>
      <c r="K813" t="inlineStr">
        <is>
          <t>SEND</t>
        </is>
      </c>
    </row>
    <row r="814">
      <c r="A814" t="inlineStr">
        <is>
          <t>Camila</t>
        </is>
      </c>
      <c r="B814" t="inlineStr">
        <is>
          <t>+5583996412337</t>
        </is>
      </c>
      <c r="C814" t="inlineStr">
        <is>
          <t>Refill</t>
        </is>
      </c>
      <c r="D814" t="inlineStr">
        <is>
          <t>Primer Liso</t>
        </is>
      </c>
      <c r="E814" t="n">
        <v>1</v>
      </c>
      <c r="F814" t="inlineStr">
        <is>
          <t>2025-10-26</t>
        </is>
      </c>
      <c r="G814" t="n">
        <v>251</v>
      </c>
      <c r="H814" t="inlineStr">
        <is>
          <t>Y</t>
        </is>
      </c>
      <c r="I814">
        <f>HYPERLINK("https://admin.shopify.com/store/ge-beauty-cosmeticos/customers/9797123572032","abrir")</f>
        <v/>
      </c>
      <c r="J814">
        <f>HYPERLINK("https://www.gebeauty.com.br/products/primer-liso-intacto?ref=review","review")</f>
        <v/>
      </c>
      <c r="K814" t="inlineStr">
        <is>
          <t>SEND</t>
        </is>
      </c>
    </row>
    <row r="815">
      <c r="A815" t="inlineStr">
        <is>
          <t>Sofia</t>
        </is>
      </c>
      <c r="B815" t="inlineStr">
        <is>
          <t>+5581999152924</t>
        </is>
      </c>
      <c r="C815" t="inlineStr">
        <is>
          <t>Refill</t>
        </is>
      </c>
      <c r="D815" t="inlineStr">
        <is>
          <t>Primer Liso</t>
        </is>
      </c>
      <c r="E815" t="n">
        <v>1</v>
      </c>
      <c r="F815" t="inlineStr">
        <is>
          <t>2025-10-26</t>
        </is>
      </c>
      <c r="G815" t="n">
        <v>251</v>
      </c>
      <c r="H815" t="inlineStr">
        <is>
          <t>Y</t>
        </is>
      </c>
      <c r="I815">
        <f>HYPERLINK("https://admin.shopify.com/store/ge-beauty-cosmeticos/customers/9722304528704","abrir")</f>
        <v/>
      </c>
      <c r="J815">
        <f>HYPERLINK("https://www.gebeauty.com.br/products/primer-liso-intacto?ref=review","review")</f>
        <v/>
      </c>
      <c r="K815" t="inlineStr">
        <is>
          <t>SEND</t>
        </is>
      </c>
    </row>
    <row r="816">
      <c r="A816" t="inlineStr">
        <is>
          <t>Lorena</t>
        </is>
      </c>
      <c r="B816" t="inlineStr">
        <is>
          <t>+5527999438833</t>
        </is>
      </c>
      <c r="C816" t="inlineStr">
        <is>
          <t>Refill</t>
        </is>
      </c>
      <c r="D816" t="inlineStr">
        <is>
          <t>Primer Liso</t>
        </is>
      </c>
      <c r="E816" t="n">
        <v>1</v>
      </c>
      <c r="F816" t="inlineStr">
        <is>
          <t>2025-10-26</t>
        </is>
      </c>
      <c r="G816" t="n">
        <v>251</v>
      </c>
      <c r="H816" t="inlineStr">
        <is>
          <t>Y</t>
        </is>
      </c>
      <c r="I816">
        <f>HYPERLINK("https://admin.shopify.com/store/ge-beauty-cosmeticos/customers/9797355274560","abrir")</f>
        <v/>
      </c>
      <c r="J816">
        <f>HYPERLINK("https://www.gebeauty.com.br/products/primer-liso-intacto?ref=review","review")</f>
        <v/>
      </c>
      <c r="K816" t="inlineStr">
        <is>
          <t>SEND</t>
        </is>
      </c>
    </row>
    <row r="817">
      <c r="A817" t="inlineStr">
        <is>
          <t>Maria Clara</t>
        </is>
      </c>
      <c r="B817" t="inlineStr">
        <is>
          <t>+5534992335717</t>
        </is>
      </c>
      <c r="C817" t="inlineStr">
        <is>
          <t>Refill</t>
        </is>
      </c>
      <c r="D817" t="inlineStr">
        <is>
          <t>Primer Liso</t>
        </is>
      </c>
      <c r="E817" t="n">
        <v>1</v>
      </c>
      <c r="F817" t="inlineStr">
        <is>
          <t>2025-10-26</t>
        </is>
      </c>
      <c r="G817" t="n">
        <v>251</v>
      </c>
      <c r="H817" t="inlineStr">
        <is>
          <t>Y</t>
        </is>
      </c>
      <c r="I817">
        <f>HYPERLINK("https://admin.shopify.com/store/ge-beauty-cosmeticos/customers/9797437653312","abrir")</f>
        <v/>
      </c>
      <c r="J817">
        <f>HYPERLINK("https://www.gebeauty.com.br/products/primer-liso-intacto?ref=review","review")</f>
        <v/>
      </c>
      <c r="K817" t="inlineStr">
        <is>
          <t>SEND</t>
        </is>
      </c>
    </row>
    <row r="818">
      <c r="A818" t="inlineStr">
        <is>
          <t>Patricia</t>
        </is>
      </c>
      <c r="B818" t="inlineStr">
        <is>
          <t>+5531992140208</t>
        </is>
      </c>
      <c r="C818" t="inlineStr">
        <is>
          <t>Refill</t>
        </is>
      </c>
      <c r="D818" t="inlineStr">
        <is>
          <t>Primer Liso</t>
        </is>
      </c>
      <c r="E818" t="n">
        <v>1</v>
      </c>
      <c r="F818" t="inlineStr">
        <is>
          <t>2025-10-26</t>
        </is>
      </c>
      <c r="G818" t="n">
        <v>251</v>
      </c>
      <c r="H818" t="inlineStr">
        <is>
          <t>Y</t>
        </is>
      </c>
      <c r="I818">
        <f>HYPERLINK("https://admin.shopify.com/store/ge-beauty-cosmeticos/customers/9798005621056","abrir")</f>
        <v/>
      </c>
      <c r="J818">
        <f>HYPERLINK("https://www.gebeauty.com.br/products/primer-liso-intacto?ref=review","review")</f>
        <v/>
      </c>
      <c r="K818" t="inlineStr">
        <is>
          <t>SEND</t>
        </is>
      </c>
    </row>
    <row r="819">
      <c r="A819" t="inlineStr">
        <is>
          <t>Mariana</t>
        </is>
      </c>
      <c r="B819" t="inlineStr">
        <is>
          <t>+5516981530207</t>
        </is>
      </c>
      <c r="C819" t="inlineStr">
        <is>
          <t>Refill</t>
        </is>
      </c>
      <c r="D819" t="inlineStr">
        <is>
          <t>Primer Liso</t>
        </is>
      </c>
      <c r="E819" t="n">
        <v>1</v>
      </c>
      <c r="F819" t="inlineStr">
        <is>
          <t>2025-10-27</t>
        </is>
      </c>
      <c r="G819" t="n">
        <v>250</v>
      </c>
      <c r="H819" t="inlineStr">
        <is>
          <t>Y</t>
        </is>
      </c>
      <c r="I819">
        <f>HYPERLINK("https://admin.shopify.com/store/ge-beauty-cosmeticos/customers/9798460834112","abrir")</f>
        <v/>
      </c>
      <c r="J819">
        <f>HYPERLINK("https://www.gebeauty.com.br/products/primer-liso-intacto?ref=review","review")</f>
        <v/>
      </c>
      <c r="K819" t="inlineStr">
        <is>
          <t>SEND</t>
        </is>
      </c>
    </row>
    <row r="820">
      <c r="A820" t="inlineStr">
        <is>
          <t>Roberta</t>
        </is>
      </c>
      <c r="B820" t="inlineStr">
        <is>
          <t>+5548999855810</t>
        </is>
      </c>
      <c r="C820" t="inlineStr">
        <is>
          <t>Refill</t>
        </is>
      </c>
      <c r="D820" t="inlineStr">
        <is>
          <t>Primer Liso</t>
        </is>
      </c>
      <c r="E820" t="n">
        <v>1</v>
      </c>
      <c r="F820" t="inlineStr">
        <is>
          <t>2025-10-27</t>
        </is>
      </c>
      <c r="G820" t="n">
        <v>250</v>
      </c>
      <c r="H820" t="inlineStr">
        <is>
          <t>Y</t>
        </is>
      </c>
      <c r="I820">
        <f>HYPERLINK("https://admin.shopify.com/store/ge-beauty-cosmeticos/customers/9800366522688","abrir")</f>
        <v/>
      </c>
      <c r="J820">
        <f>HYPERLINK("https://www.gebeauty.com.br/products/primer-liso-intacto?ref=review","review")</f>
        <v/>
      </c>
      <c r="K820" t="inlineStr">
        <is>
          <t>SEND</t>
        </is>
      </c>
    </row>
    <row r="821">
      <c r="A821" t="inlineStr">
        <is>
          <t>Maria Victoria</t>
        </is>
      </c>
      <c r="B821" t="inlineStr">
        <is>
          <t>+5517981664255</t>
        </is>
      </c>
      <c r="C821" t="inlineStr">
        <is>
          <t>Refill</t>
        </is>
      </c>
      <c r="D821" t="inlineStr">
        <is>
          <t>Primer Liso</t>
        </is>
      </c>
      <c r="E821" t="n">
        <v>1</v>
      </c>
      <c r="F821" t="inlineStr">
        <is>
          <t>2025-10-27</t>
        </is>
      </c>
      <c r="G821" t="n">
        <v>250</v>
      </c>
      <c r="H821" t="inlineStr">
        <is>
          <t>Y</t>
        </is>
      </c>
      <c r="I821">
        <f>HYPERLINK("https://admin.shopify.com/store/ge-beauty-cosmeticos/customers/9796830101824","abrir")</f>
        <v/>
      </c>
      <c r="J821">
        <f>HYPERLINK("https://www.gebeauty.com.br/products/primer-liso-intacto?ref=review","review")</f>
        <v/>
      </c>
      <c r="K821" t="inlineStr">
        <is>
          <t>SEND</t>
        </is>
      </c>
    </row>
    <row r="822">
      <c r="A822" t="inlineStr">
        <is>
          <t>Karine</t>
        </is>
      </c>
      <c r="B822" t="inlineStr">
        <is>
          <t>+5581996161735</t>
        </is>
      </c>
      <c r="C822" t="inlineStr">
        <is>
          <t>Refill</t>
        </is>
      </c>
      <c r="D822" t="inlineStr">
        <is>
          <t>Primer Liso</t>
        </is>
      </c>
      <c r="E822" t="n">
        <v>1</v>
      </c>
      <c r="F822" t="inlineStr">
        <is>
          <t>2025-10-27</t>
        </is>
      </c>
      <c r="G822" t="n">
        <v>250</v>
      </c>
      <c r="H822" t="inlineStr">
        <is>
          <t>Y</t>
        </is>
      </c>
      <c r="I822">
        <f>HYPERLINK("https://admin.shopify.com/store/ge-beauty-cosmeticos/customers/9800785199424","abrir")</f>
        <v/>
      </c>
      <c r="J822">
        <f>HYPERLINK("https://www.gebeauty.com.br/products/primer-liso-intacto?ref=review","review")</f>
        <v/>
      </c>
      <c r="K822" t="inlineStr">
        <is>
          <t>SEND</t>
        </is>
      </c>
    </row>
    <row r="823">
      <c r="A823" t="inlineStr">
        <is>
          <t>Julia</t>
        </is>
      </c>
      <c r="B823" t="inlineStr">
        <is>
          <t>+5551998610021</t>
        </is>
      </c>
      <c r="C823" t="inlineStr">
        <is>
          <t>Refill</t>
        </is>
      </c>
      <c r="D823" t="inlineStr">
        <is>
          <t>Primer Liso</t>
        </is>
      </c>
      <c r="E823" t="n">
        <v>1</v>
      </c>
      <c r="F823" t="inlineStr">
        <is>
          <t>2025-10-27</t>
        </is>
      </c>
      <c r="G823" t="n">
        <v>250</v>
      </c>
      <c r="H823" t="inlineStr">
        <is>
          <t>Y</t>
        </is>
      </c>
      <c r="I823">
        <f>HYPERLINK("https://admin.shopify.com/store/ge-beauty-cosmeticos/customers/9486376075584","abrir")</f>
        <v/>
      </c>
      <c r="J823">
        <f>HYPERLINK("https://www.gebeauty.com.br/products/primer-liso-intacto?ref=review","review")</f>
        <v/>
      </c>
      <c r="K823" t="inlineStr">
        <is>
          <t>SEND</t>
        </is>
      </c>
    </row>
    <row r="824">
      <c r="A824" t="inlineStr">
        <is>
          <t>Carol</t>
        </is>
      </c>
      <c r="B824" t="inlineStr">
        <is>
          <t>+5581991939340</t>
        </is>
      </c>
      <c r="C824" t="inlineStr">
        <is>
          <t>Refill</t>
        </is>
      </c>
      <c r="D824" t="inlineStr">
        <is>
          <t>Primer Liso</t>
        </is>
      </c>
      <c r="E824" t="n">
        <v>1</v>
      </c>
      <c r="F824" t="inlineStr">
        <is>
          <t>2025-10-28</t>
        </is>
      </c>
      <c r="G824" t="n">
        <v>249</v>
      </c>
      <c r="H824" t="inlineStr">
        <is>
          <t>Y</t>
        </is>
      </c>
      <c r="I824">
        <f>HYPERLINK("https://admin.shopify.com/store/ge-beauty-cosmeticos/customers/8541344629056","abrir")</f>
        <v/>
      </c>
      <c r="J824">
        <f>HYPERLINK("https://www.gebeauty.com.br/products/primer-liso-intacto?ref=review","review")</f>
        <v/>
      </c>
      <c r="K824" t="inlineStr">
        <is>
          <t>SEND</t>
        </is>
      </c>
    </row>
    <row r="825">
      <c r="A825" t="inlineStr">
        <is>
          <t>Vanessa</t>
        </is>
      </c>
      <c r="B825" t="inlineStr">
        <is>
          <t>+5549991643519</t>
        </is>
      </c>
      <c r="C825" t="inlineStr">
        <is>
          <t>Refill</t>
        </is>
      </c>
      <c r="D825" t="inlineStr">
        <is>
          <t>Primer Liso</t>
        </is>
      </c>
      <c r="E825" t="n">
        <v>1</v>
      </c>
      <c r="F825" t="inlineStr">
        <is>
          <t>2025-10-28</t>
        </is>
      </c>
      <c r="G825" t="n">
        <v>249</v>
      </c>
      <c r="H825" t="inlineStr">
        <is>
          <t>Y</t>
        </is>
      </c>
      <c r="I825">
        <f>HYPERLINK("https://admin.shopify.com/store/ge-beauty-cosmeticos/customers/9786832781632","abrir")</f>
        <v/>
      </c>
      <c r="J825">
        <f>HYPERLINK("https://www.gebeauty.com.br/products/primer-liso-intacto?ref=review","review")</f>
        <v/>
      </c>
      <c r="K825" t="inlineStr">
        <is>
          <t>SEND</t>
        </is>
      </c>
    </row>
    <row r="826">
      <c r="A826" t="inlineStr">
        <is>
          <t>Michelle</t>
        </is>
      </c>
      <c r="B826" t="inlineStr">
        <is>
          <t>+5514991428187</t>
        </is>
      </c>
      <c r="C826" t="inlineStr">
        <is>
          <t>Refill</t>
        </is>
      </c>
      <c r="D826" t="inlineStr">
        <is>
          <t>Primer Liso</t>
        </is>
      </c>
      <c r="E826" t="n">
        <v>1</v>
      </c>
      <c r="F826" t="inlineStr">
        <is>
          <t>2025-10-28</t>
        </is>
      </c>
      <c r="G826" t="n">
        <v>249</v>
      </c>
      <c r="H826" t="inlineStr">
        <is>
          <t>Y</t>
        </is>
      </c>
      <c r="I826">
        <f>HYPERLINK("https://admin.shopify.com/store/ge-beauty-cosmeticos/customers/9806502134080","abrir")</f>
        <v/>
      </c>
      <c r="J826">
        <f>HYPERLINK("https://www.gebeauty.com.br/products/primer-liso-intacto?ref=review","review")</f>
        <v/>
      </c>
      <c r="K826" t="inlineStr">
        <is>
          <t>SEND</t>
        </is>
      </c>
    </row>
    <row r="827">
      <c r="A827" t="inlineStr">
        <is>
          <t>Naiara</t>
        </is>
      </c>
      <c r="B827" t="inlineStr">
        <is>
          <t>+5511976538829</t>
        </is>
      </c>
      <c r="C827" t="inlineStr">
        <is>
          <t>Refill</t>
        </is>
      </c>
      <c r="D827" t="inlineStr">
        <is>
          <t>Primer Liso</t>
        </is>
      </c>
      <c r="E827" t="n">
        <v>1</v>
      </c>
      <c r="F827" t="inlineStr">
        <is>
          <t>2025-10-28</t>
        </is>
      </c>
      <c r="G827" t="n">
        <v>249</v>
      </c>
      <c r="H827" t="inlineStr">
        <is>
          <t>Y</t>
        </is>
      </c>
      <c r="I827">
        <f>HYPERLINK("https://admin.shopify.com/store/ge-beauty-cosmeticos/customers/9806549713216","abrir")</f>
        <v/>
      </c>
      <c r="J827">
        <f>HYPERLINK("https://www.gebeauty.com.br/products/primer-liso-intacto?ref=review","review")</f>
        <v/>
      </c>
      <c r="K827" t="inlineStr">
        <is>
          <t>SEND</t>
        </is>
      </c>
    </row>
    <row r="828">
      <c r="A828" t="inlineStr">
        <is>
          <t>Nanny</t>
        </is>
      </c>
      <c r="B828" t="inlineStr">
        <is>
          <t>+5563984511901</t>
        </is>
      </c>
      <c r="C828" t="inlineStr">
        <is>
          <t>Refill</t>
        </is>
      </c>
      <c r="D828" t="inlineStr">
        <is>
          <t>Primer Liso</t>
        </is>
      </c>
      <c r="E828" t="n">
        <v>1</v>
      </c>
      <c r="F828" t="inlineStr">
        <is>
          <t>2025-10-28</t>
        </is>
      </c>
      <c r="G828" t="n">
        <v>249</v>
      </c>
      <c r="H828" t="inlineStr">
        <is>
          <t>Y</t>
        </is>
      </c>
      <c r="I828">
        <f>HYPERLINK("https://admin.shopify.com/store/ge-beauty-cosmeticos/customers/9806586216768","abrir")</f>
        <v/>
      </c>
      <c r="J828">
        <f>HYPERLINK("https://www.gebeauty.com.br/products/primer-liso-intacto?ref=review","review")</f>
        <v/>
      </c>
      <c r="K828" t="inlineStr">
        <is>
          <t>HOLDOUT</t>
        </is>
      </c>
    </row>
    <row r="829">
      <c r="B829" t="inlineStr">
        <is>
          <t>+5583996216297</t>
        </is>
      </c>
      <c r="C829" t="inlineStr">
        <is>
          <t>Refill</t>
        </is>
      </c>
      <c r="D829" t="inlineStr">
        <is>
          <t>Primer Liso</t>
        </is>
      </c>
      <c r="E829" t="n">
        <v>1</v>
      </c>
      <c r="F829" t="inlineStr">
        <is>
          <t>2025-10-28</t>
        </is>
      </c>
      <c r="G829" t="n">
        <v>249</v>
      </c>
      <c r="H829" t="inlineStr">
        <is>
          <t>Y</t>
        </is>
      </c>
      <c r="I829">
        <f>HYPERLINK("https://admin.shopify.com/store/ge-beauty-cosmeticos/customers/9806593392960","abrir")</f>
        <v/>
      </c>
      <c r="J829">
        <f>HYPERLINK("https://www.gebeauty.com.br/products/primer-liso-intacto?ref=review","review")</f>
        <v/>
      </c>
      <c r="K829" t="inlineStr">
        <is>
          <t>SEND</t>
        </is>
      </c>
    </row>
    <row r="830">
      <c r="B830" t="inlineStr">
        <is>
          <t>+5562981181082</t>
        </is>
      </c>
      <c r="C830" t="inlineStr">
        <is>
          <t>Refill</t>
        </is>
      </c>
      <c r="D830" t="inlineStr">
        <is>
          <t>Primer Liso</t>
        </is>
      </c>
      <c r="E830" t="n">
        <v>1</v>
      </c>
      <c r="F830" t="inlineStr">
        <is>
          <t>2025-10-28</t>
        </is>
      </c>
      <c r="G830" t="n">
        <v>249</v>
      </c>
      <c r="H830" t="inlineStr">
        <is>
          <t>Y</t>
        </is>
      </c>
      <c r="I830">
        <f>HYPERLINK("https://admin.shopify.com/store/ge-beauty-cosmeticos/customers/9806623113536","abrir")</f>
        <v/>
      </c>
      <c r="J830">
        <f>HYPERLINK("https://www.gebeauty.com.br/products/primer-liso-intacto?ref=review","review")</f>
        <v/>
      </c>
      <c r="K830" t="inlineStr">
        <is>
          <t>SEND</t>
        </is>
      </c>
    </row>
    <row r="831">
      <c r="A831" t="inlineStr">
        <is>
          <t>Thaís</t>
        </is>
      </c>
      <c r="B831" t="inlineStr">
        <is>
          <t>+5511999438508</t>
        </is>
      </c>
      <c r="C831" t="inlineStr">
        <is>
          <t>Refill</t>
        </is>
      </c>
      <c r="D831" t="inlineStr">
        <is>
          <t>Primer Liso</t>
        </is>
      </c>
      <c r="E831" t="n">
        <v>1</v>
      </c>
      <c r="F831" t="inlineStr">
        <is>
          <t>2025-10-29</t>
        </is>
      </c>
      <c r="G831" t="n">
        <v>248</v>
      </c>
      <c r="H831" t="inlineStr">
        <is>
          <t>N</t>
        </is>
      </c>
      <c r="I831">
        <f>HYPERLINK("https://admin.shopify.com/store/ge-beauty-cosmeticos/customers/9485004374336","abrir")</f>
        <v/>
      </c>
      <c r="J831">
        <f>HYPERLINK("https://www.gebeauty.com.br/products/primer-liso-intacto?ref=review","review")</f>
        <v/>
      </c>
      <c r="K831" t="inlineStr">
        <is>
          <t>SEND</t>
        </is>
      </c>
    </row>
    <row r="832">
      <c r="A832" t="inlineStr">
        <is>
          <t>Letícia</t>
        </is>
      </c>
      <c r="B832" t="inlineStr">
        <is>
          <t>+5511997650681</t>
        </is>
      </c>
      <c r="C832" t="inlineStr">
        <is>
          <t>Refill</t>
        </is>
      </c>
      <c r="D832" t="inlineStr">
        <is>
          <t>Primer Liso</t>
        </is>
      </c>
      <c r="E832" t="n">
        <v>1</v>
      </c>
      <c r="F832" t="inlineStr">
        <is>
          <t>2025-10-29</t>
        </is>
      </c>
      <c r="G832" t="n">
        <v>248</v>
      </c>
      <c r="H832" t="inlineStr">
        <is>
          <t>Y</t>
        </is>
      </c>
      <c r="I832">
        <f>HYPERLINK("https://admin.shopify.com/store/ge-beauty-cosmeticos/customers/9810254889280","abrir")</f>
        <v/>
      </c>
      <c r="J832">
        <f>HYPERLINK("https://www.gebeauty.com.br/products/primer-liso-intacto?ref=review","review")</f>
        <v/>
      </c>
      <c r="K832" t="inlineStr">
        <is>
          <t>SEND</t>
        </is>
      </c>
    </row>
    <row r="833">
      <c r="A833" t="inlineStr">
        <is>
          <t>Paola</t>
        </is>
      </c>
      <c r="B833" t="inlineStr">
        <is>
          <t>+5521988288437</t>
        </is>
      </c>
      <c r="C833" t="inlineStr">
        <is>
          <t>Refill</t>
        </is>
      </c>
      <c r="D833" t="inlineStr">
        <is>
          <t>Primer Liso</t>
        </is>
      </c>
      <c r="E833" t="n">
        <v>1</v>
      </c>
      <c r="F833" t="inlineStr">
        <is>
          <t>2025-10-29</t>
        </is>
      </c>
      <c r="G833" t="n">
        <v>248</v>
      </c>
      <c r="H833" t="inlineStr">
        <is>
          <t>Y</t>
        </is>
      </c>
      <c r="I833">
        <f>HYPERLINK("https://admin.shopify.com/store/ge-beauty-cosmeticos/customers/9810526077248","abrir")</f>
        <v/>
      </c>
      <c r="J833">
        <f>HYPERLINK("https://www.gebeauty.com.br/products/primer-liso-intacto?ref=review","review")</f>
        <v/>
      </c>
      <c r="K833" t="inlineStr">
        <is>
          <t>SEND</t>
        </is>
      </c>
    </row>
    <row r="834">
      <c r="A834" t="inlineStr">
        <is>
          <t>Joana</t>
        </is>
      </c>
      <c r="B834" t="inlineStr">
        <is>
          <t>+5581999986251</t>
        </is>
      </c>
      <c r="C834" t="inlineStr">
        <is>
          <t>Refill</t>
        </is>
      </c>
      <c r="D834" t="inlineStr">
        <is>
          <t>Primer Liso</t>
        </is>
      </c>
      <c r="E834" t="n">
        <v>1</v>
      </c>
      <c r="F834" t="inlineStr">
        <is>
          <t>2025-10-29</t>
        </is>
      </c>
      <c r="G834" t="n">
        <v>248</v>
      </c>
      <c r="H834" t="inlineStr">
        <is>
          <t>Y</t>
        </is>
      </c>
      <c r="I834">
        <f>HYPERLINK("https://admin.shopify.com/store/ge-beauty-cosmeticos/customers/7761351672128","abrir")</f>
        <v/>
      </c>
      <c r="J834">
        <f>HYPERLINK("https://www.gebeauty.com.br/products/primer-liso-intacto?ref=review","review")</f>
        <v/>
      </c>
      <c r="K834" t="inlineStr">
        <is>
          <t>SEND</t>
        </is>
      </c>
    </row>
    <row r="835">
      <c r="A835" t="inlineStr">
        <is>
          <t>Jacqueline</t>
        </is>
      </c>
      <c r="B835" t="inlineStr">
        <is>
          <t>+5581992144155</t>
        </is>
      </c>
      <c r="C835" t="inlineStr">
        <is>
          <t>Refill</t>
        </is>
      </c>
      <c r="D835" t="inlineStr">
        <is>
          <t>Primer Liso</t>
        </is>
      </c>
      <c r="E835" t="n">
        <v>1</v>
      </c>
      <c r="F835" t="inlineStr">
        <is>
          <t>2025-10-29</t>
        </is>
      </c>
      <c r="G835" t="n">
        <v>248</v>
      </c>
      <c r="H835" t="inlineStr">
        <is>
          <t>Y</t>
        </is>
      </c>
      <c r="I835">
        <f>HYPERLINK("https://admin.shopify.com/store/ge-beauty-cosmeticos/customers/9484682264896","abrir")</f>
        <v/>
      </c>
      <c r="J835">
        <f>HYPERLINK("https://www.gebeauty.com.br/products/primer-liso-intacto?ref=review","review")</f>
        <v/>
      </c>
      <c r="K835" t="inlineStr">
        <is>
          <t>SEND</t>
        </is>
      </c>
    </row>
    <row r="836">
      <c r="A836" t="inlineStr">
        <is>
          <t>Cláudia</t>
        </is>
      </c>
      <c r="B836" t="inlineStr">
        <is>
          <t>+5511972008131</t>
        </is>
      </c>
      <c r="C836" t="inlineStr">
        <is>
          <t>Refill</t>
        </is>
      </c>
      <c r="D836" t="inlineStr">
        <is>
          <t>Primer Liso</t>
        </is>
      </c>
      <c r="E836" t="n">
        <v>1</v>
      </c>
      <c r="F836" t="inlineStr">
        <is>
          <t>2025-10-30</t>
        </is>
      </c>
      <c r="G836" t="n">
        <v>247</v>
      </c>
      <c r="H836" t="inlineStr">
        <is>
          <t>Y</t>
        </is>
      </c>
      <c r="I836">
        <f>HYPERLINK("https://admin.shopify.com/store/ge-beauty-cosmeticos/customers/7759700656448","abrir")</f>
        <v/>
      </c>
      <c r="J836">
        <f>HYPERLINK("https://www.gebeauty.com.br/products/primer-liso-intacto?ref=review","review")</f>
        <v/>
      </c>
      <c r="K836" t="inlineStr">
        <is>
          <t>SEND</t>
        </is>
      </c>
    </row>
    <row r="837">
      <c r="A837" t="inlineStr">
        <is>
          <t>Renata</t>
        </is>
      </c>
      <c r="B837" t="inlineStr">
        <is>
          <t>+5521996488502</t>
        </is>
      </c>
      <c r="C837" t="inlineStr">
        <is>
          <t>Refill</t>
        </is>
      </c>
      <c r="D837" t="inlineStr">
        <is>
          <t>Primer Liso</t>
        </is>
      </c>
      <c r="E837" t="n">
        <v>1</v>
      </c>
      <c r="F837" t="inlineStr">
        <is>
          <t>2025-10-30</t>
        </is>
      </c>
      <c r="G837" t="n">
        <v>247</v>
      </c>
      <c r="H837" t="inlineStr">
        <is>
          <t>Y</t>
        </is>
      </c>
      <c r="I837">
        <f>HYPERLINK("https://admin.shopify.com/store/ge-beauty-cosmeticos/customers/9436000584000","abrir")</f>
        <v/>
      </c>
      <c r="J837">
        <f>HYPERLINK("https://www.gebeauty.com.br/products/primer-liso-intacto?ref=review","review")</f>
        <v/>
      </c>
      <c r="K837" t="inlineStr">
        <is>
          <t>SEND</t>
        </is>
      </c>
    </row>
    <row r="838">
      <c r="A838" t="inlineStr">
        <is>
          <t>Carol</t>
        </is>
      </c>
      <c r="B838" t="inlineStr">
        <is>
          <t>+5561996500628</t>
        </is>
      </c>
      <c r="C838" t="inlineStr">
        <is>
          <t>Refill</t>
        </is>
      </c>
      <c r="D838" t="inlineStr">
        <is>
          <t>Primer Liso</t>
        </is>
      </c>
      <c r="E838" t="n">
        <v>1</v>
      </c>
      <c r="F838" t="inlineStr">
        <is>
          <t>2025-10-30</t>
        </is>
      </c>
      <c r="G838" t="n">
        <v>247</v>
      </c>
      <c r="H838" t="inlineStr">
        <is>
          <t>Y</t>
        </is>
      </c>
      <c r="I838">
        <f>HYPERLINK("https://admin.shopify.com/store/ge-beauty-cosmeticos/customers/9815454974272","abrir")</f>
        <v/>
      </c>
      <c r="J838">
        <f>HYPERLINK("https://www.gebeauty.com.br/products/primer-liso-intacto?ref=review","review")</f>
        <v/>
      </c>
      <c r="K838" t="inlineStr">
        <is>
          <t>SEND</t>
        </is>
      </c>
    </row>
    <row r="839">
      <c r="A839" t="inlineStr">
        <is>
          <t>Letícia</t>
        </is>
      </c>
      <c r="B839" t="inlineStr">
        <is>
          <t>+5531991034580</t>
        </is>
      </c>
      <c r="C839" t="inlineStr">
        <is>
          <t>Refill</t>
        </is>
      </c>
      <c r="D839" t="inlineStr">
        <is>
          <t>Primer Liso</t>
        </is>
      </c>
      <c r="E839" t="n">
        <v>1</v>
      </c>
      <c r="F839" t="inlineStr">
        <is>
          <t>2025-10-30</t>
        </is>
      </c>
      <c r="G839" t="n">
        <v>247</v>
      </c>
      <c r="H839" t="inlineStr">
        <is>
          <t>Y</t>
        </is>
      </c>
      <c r="I839">
        <f>HYPERLINK("https://admin.shopify.com/store/ge-beauty-cosmeticos/customers/9818041155904","abrir")</f>
        <v/>
      </c>
      <c r="J839">
        <f>HYPERLINK("https://www.gebeauty.com.br/products/primer-liso-intacto?ref=review","review")</f>
        <v/>
      </c>
      <c r="K839" t="inlineStr">
        <is>
          <t>SEND</t>
        </is>
      </c>
    </row>
    <row r="840">
      <c r="A840" t="inlineStr">
        <is>
          <t>Camila</t>
        </is>
      </c>
      <c r="B840" t="inlineStr">
        <is>
          <t>+5561981166417</t>
        </is>
      </c>
      <c r="C840" t="inlineStr">
        <is>
          <t>Refill</t>
        </is>
      </c>
      <c r="D840" t="inlineStr">
        <is>
          <t>Primer Liso</t>
        </is>
      </c>
      <c r="E840" t="n">
        <v>1</v>
      </c>
      <c r="F840" t="inlineStr">
        <is>
          <t>2025-10-30</t>
        </is>
      </c>
      <c r="G840" t="n">
        <v>247</v>
      </c>
      <c r="H840" t="inlineStr">
        <is>
          <t>Y</t>
        </is>
      </c>
      <c r="I840">
        <f>HYPERLINK("https://admin.shopify.com/store/ge-beauty-cosmeticos/customers/8298407854400","abrir")</f>
        <v/>
      </c>
      <c r="J840">
        <f>HYPERLINK("https://www.gebeauty.com.br/products/primer-liso-intacto?ref=review","review")</f>
        <v/>
      </c>
      <c r="K840" t="inlineStr">
        <is>
          <t>SEND</t>
        </is>
      </c>
    </row>
    <row r="841">
      <c r="A841" t="inlineStr">
        <is>
          <t>Gabriela</t>
        </is>
      </c>
      <c r="B841" t="inlineStr">
        <is>
          <t>+5511993836798</t>
        </is>
      </c>
      <c r="C841" t="inlineStr">
        <is>
          <t>Refill</t>
        </is>
      </c>
      <c r="D841" t="inlineStr">
        <is>
          <t>Primer Liso</t>
        </is>
      </c>
      <c r="E841" t="n">
        <v>1</v>
      </c>
      <c r="F841" t="inlineStr">
        <is>
          <t>2025-10-30</t>
        </is>
      </c>
      <c r="G841" t="n">
        <v>247</v>
      </c>
      <c r="H841" t="inlineStr">
        <is>
          <t>Y</t>
        </is>
      </c>
      <c r="I841">
        <f>HYPERLINK("https://admin.shopify.com/store/ge-beauty-cosmeticos/customers/9818933199168","abrir")</f>
        <v/>
      </c>
      <c r="J841">
        <f>HYPERLINK("https://www.gebeauty.com.br/products/primer-liso-intacto?ref=review","review")</f>
        <v/>
      </c>
      <c r="K841" t="inlineStr">
        <is>
          <t>SEND</t>
        </is>
      </c>
    </row>
    <row r="842">
      <c r="A842" t="inlineStr">
        <is>
          <t>Geovanna</t>
        </is>
      </c>
      <c r="B842" t="inlineStr">
        <is>
          <t>+5585996490982</t>
        </is>
      </c>
      <c r="C842" t="inlineStr">
        <is>
          <t>Refill</t>
        </is>
      </c>
      <c r="D842" t="inlineStr">
        <is>
          <t>Primer Liso</t>
        </is>
      </c>
      <c r="E842" t="n">
        <v>1</v>
      </c>
      <c r="F842" t="inlineStr">
        <is>
          <t>2025-10-30</t>
        </is>
      </c>
      <c r="G842" t="n">
        <v>247</v>
      </c>
      <c r="H842" t="inlineStr">
        <is>
          <t>Y</t>
        </is>
      </c>
      <c r="I842">
        <f>HYPERLINK("https://admin.shopify.com/store/ge-beauty-cosmeticos/customers/9485853655360","abrir")</f>
        <v/>
      </c>
      <c r="J842">
        <f>HYPERLINK("https://www.gebeauty.com.br/products/primer-liso-intacto?ref=review","review")</f>
        <v/>
      </c>
      <c r="K842" t="inlineStr">
        <is>
          <t>SEND</t>
        </is>
      </c>
    </row>
    <row r="843">
      <c r="A843" t="inlineStr">
        <is>
          <t>Amanda</t>
        </is>
      </c>
      <c r="B843" t="inlineStr">
        <is>
          <t>+5519988917370</t>
        </is>
      </c>
      <c r="C843" t="inlineStr">
        <is>
          <t>Refill</t>
        </is>
      </c>
      <c r="D843" t="inlineStr">
        <is>
          <t>Primer Liso</t>
        </is>
      </c>
      <c r="E843" t="n">
        <v>1</v>
      </c>
      <c r="F843" t="inlineStr">
        <is>
          <t>2025-10-31</t>
        </is>
      </c>
      <c r="G843" t="n">
        <v>246</v>
      </c>
      <c r="H843" t="inlineStr">
        <is>
          <t>Y</t>
        </is>
      </c>
      <c r="I843">
        <f>HYPERLINK("https://admin.shopify.com/store/ge-beauty-cosmeticos/customers/9629260513600","abrir")</f>
        <v/>
      </c>
      <c r="J843">
        <f>HYPERLINK("https://www.gebeauty.com.br/products/primer-liso-intacto?ref=review","review")</f>
        <v/>
      </c>
      <c r="K843" t="inlineStr">
        <is>
          <t>SEND</t>
        </is>
      </c>
    </row>
    <row r="844">
      <c r="A844" t="inlineStr">
        <is>
          <t>Sabrina</t>
        </is>
      </c>
      <c r="B844" t="inlineStr">
        <is>
          <t>+5517997094627</t>
        </is>
      </c>
      <c r="C844" t="inlineStr">
        <is>
          <t>Refill</t>
        </is>
      </c>
      <c r="D844" t="inlineStr">
        <is>
          <t>Primer Liso</t>
        </is>
      </c>
      <c r="E844" t="n">
        <v>1</v>
      </c>
      <c r="F844" t="inlineStr">
        <is>
          <t>2025-10-31</t>
        </is>
      </c>
      <c r="G844" t="n">
        <v>246</v>
      </c>
      <c r="H844" t="inlineStr">
        <is>
          <t>Y</t>
        </is>
      </c>
      <c r="I844">
        <f>HYPERLINK("https://admin.shopify.com/store/ge-beauty-cosmeticos/customers/9823921537344","abrir")</f>
        <v/>
      </c>
      <c r="J844">
        <f>HYPERLINK("https://www.gebeauty.com.br/products/primer-liso-intacto?ref=review","review")</f>
        <v/>
      </c>
      <c r="K844" t="inlineStr">
        <is>
          <t>SEND</t>
        </is>
      </c>
    </row>
    <row r="845">
      <c r="A845" t="inlineStr">
        <is>
          <t>Tatiana</t>
        </is>
      </c>
      <c r="B845" t="inlineStr">
        <is>
          <t>+5511971718035</t>
        </is>
      </c>
      <c r="C845" t="inlineStr">
        <is>
          <t>Refill</t>
        </is>
      </c>
      <c r="D845" t="inlineStr">
        <is>
          <t>Primer Liso</t>
        </is>
      </c>
      <c r="E845" t="n">
        <v>1</v>
      </c>
      <c r="F845" t="inlineStr">
        <is>
          <t>2025-10-31</t>
        </is>
      </c>
      <c r="G845" t="n">
        <v>246</v>
      </c>
      <c r="H845" t="inlineStr">
        <is>
          <t>Y</t>
        </is>
      </c>
      <c r="I845">
        <f>HYPERLINK("https://admin.shopify.com/store/ge-beauty-cosmeticos/customers/9486150992192","abrir")</f>
        <v/>
      </c>
      <c r="J845">
        <f>HYPERLINK("https://www.gebeauty.com.br/products/primer-liso-intacto?ref=review","review")</f>
        <v/>
      </c>
      <c r="K845" t="inlineStr">
        <is>
          <t>SEND</t>
        </is>
      </c>
    </row>
    <row r="846">
      <c r="A846" t="inlineStr">
        <is>
          <t>Livia</t>
        </is>
      </c>
      <c r="B846" t="inlineStr">
        <is>
          <t>+5531991984000</t>
        </is>
      </c>
      <c r="C846" t="inlineStr">
        <is>
          <t>Refill</t>
        </is>
      </c>
      <c r="D846" t="inlineStr">
        <is>
          <t>Primer Liso</t>
        </is>
      </c>
      <c r="E846" t="n">
        <v>1</v>
      </c>
      <c r="F846" t="inlineStr">
        <is>
          <t>2025-10-31</t>
        </is>
      </c>
      <c r="G846" t="n">
        <v>246</v>
      </c>
      <c r="H846" t="inlineStr">
        <is>
          <t>Y</t>
        </is>
      </c>
      <c r="I846">
        <f>HYPERLINK("https://admin.shopify.com/store/ge-beauty-cosmeticos/customers/9824852803904","abrir")</f>
        <v/>
      </c>
      <c r="J846">
        <f>HYPERLINK("https://www.gebeauty.com.br/products/primer-liso-intacto?ref=review","review")</f>
        <v/>
      </c>
      <c r="K846" t="inlineStr">
        <is>
          <t>SEND</t>
        </is>
      </c>
    </row>
    <row r="847">
      <c r="A847" t="inlineStr">
        <is>
          <t>Maria</t>
        </is>
      </c>
      <c r="B847" t="inlineStr">
        <is>
          <t>+5561999833132</t>
        </is>
      </c>
      <c r="C847" t="inlineStr">
        <is>
          <t>Refill</t>
        </is>
      </c>
      <c r="D847" t="inlineStr">
        <is>
          <t>Primer Liso</t>
        </is>
      </c>
      <c r="E847" t="n">
        <v>1</v>
      </c>
      <c r="F847" t="inlineStr">
        <is>
          <t>2025-10-31</t>
        </is>
      </c>
      <c r="G847" t="n">
        <v>246</v>
      </c>
      <c r="H847" t="inlineStr">
        <is>
          <t>Y</t>
        </is>
      </c>
      <c r="I847">
        <f>HYPERLINK("https://admin.shopify.com/store/ge-beauty-cosmeticos/customers/9824891765056","abrir")</f>
        <v/>
      </c>
      <c r="J847">
        <f>HYPERLINK("https://www.gebeauty.com.br/products/primer-liso-intacto?ref=review","review")</f>
        <v/>
      </c>
      <c r="K847" t="inlineStr">
        <is>
          <t>SEND</t>
        </is>
      </c>
    </row>
    <row r="848">
      <c r="A848" t="inlineStr">
        <is>
          <t>Priscila</t>
        </is>
      </c>
      <c r="B848" t="inlineStr">
        <is>
          <t>+5511982945000</t>
        </is>
      </c>
      <c r="C848" t="inlineStr">
        <is>
          <t>Refill</t>
        </is>
      </c>
      <c r="D848" t="inlineStr">
        <is>
          <t>Primer Liso</t>
        </is>
      </c>
      <c r="E848" t="n">
        <v>1</v>
      </c>
      <c r="F848" t="inlineStr">
        <is>
          <t>2025-11-01</t>
        </is>
      </c>
      <c r="G848" t="n">
        <v>245</v>
      </c>
      <c r="H848" t="inlineStr">
        <is>
          <t>Y</t>
        </is>
      </c>
      <c r="I848">
        <f>HYPERLINK("https://admin.shopify.com/store/ge-beauty-cosmeticos/customers/9825257619776","abrir")</f>
        <v/>
      </c>
      <c r="J848">
        <f>HYPERLINK("https://www.gebeauty.com.br/products/primer-liso-intacto?ref=review","review")</f>
        <v/>
      </c>
      <c r="K848" t="inlineStr">
        <is>
          <t>SEND</t>
        </is>
      </c>
    </row>
    <row r="849">
      <c r="A849" t="inlineStr">
        <is>
          <t>Joana</t>
        </is>
      </c>
      <c r="B849" t="inlineStr">
        <is>
          <t>+5519981436888</t>
        </is>
      </c>
      <c r="C849" t="inlineStr">
        <is>
          <t>Refill</t>
        </is>
      </c>
      <c r="D849" t="inlineStr">
        <is>
          <t>Primer Liso</t>
        </is>
      </c>
      <c r="E849" t="n">
        <v>1</v>
      </c>
      <c r="F849" t="inlineStr">
        <is>
          <t>2025-11-01</t>
        </is>
      </c>
      <c r="G849" t="n">
        <v>245</v>
      </c>
      <c r="H849" t="inlineStr">
        <is>
          <t>Y</t>
        </is>
      </c>
      <c r="I849">
        <f>HYPERLINK("https://admin.shopify.com/store/ge-beauty-cosmeticos/customers/9485818691904","abrir")</f>
        <v/>
      </c>
      <c r="J849">
        <f>HYPERLINK("https://www.gebeauty.com.br/products/primer-liso-intacto?ref=review","review")</f>
        <v/>
      </c>
      <c r="K849" t="inlineStr">
        <is>
          <t>SEND</t>
        </is>
      </c>
    </row>
    <row r="850">
      <c r="A850" t="inlineStr">
        <is>
          <t>Giulia</t>
        </is>
      </c>
      <c r="B850" t="inlineStr">
        <is>
          <t>+5521964164121</t>
        </is>
      </c>
      <c r="C850" t="inlineStr">
        <is>
          <t>Refill</t>
        </is>
      </c>
      <c r="D850" t="inlineStr">
        <is>
          <t>Primer Liso</t>
        </is>
      </c>
      <c r="E850" t="n">
        <v>1</v>
      </c>
      <c r="F850" t="inlineStr">
        <is>
          <t>2025-11-01</t>
        </is>
      </c>
      <c r="G850" t="n">
        <v>245</v>
      </c>
      <c r="H850" t="inlineStr">
        <is>
          <t>Y</t>
        </is>
      </c>
      <c r="I850">
        <f>HYPERLINK("https://admin.shopify.com/store/ge-beauty-cosmeticos/customers/9796576051520","abrir")</f>
        <v/>
      </c>
      <c r="J850">
        <f>HYPERLINK("https://www.gebeauty.com.br/products/primer-liso-intacto?ref=review","review")</f>
        <v/>
      </c>
      <c r="K850" t="inlineStr">
        <is>
          <t>SEND</t>
        </is>
      </c>
    </row>
    <row r="851">
      <c r="A851" t="inlineStr">
        <is>
          <t>Camila</t>
        </is>
      </c>
      <c r="B851" t="inlineStr">
        <is>
          <t>+5581996935282</t>
        </is>
      </c>
      <c r="C851" t="inlineStr">
        <is>
          <t>Refill</t>
        </is>
      </c>
      <c r="D851" t="inlineStr">
        <is>
          <t>Primer Liso</t>
        </is>
      </c>
      <c r="E851" t="n">
        <v>1</v>
      </c>
      <c r="F851" t="inlineStr">
        <is>
          <t>2025-11-01</t>
        </is>
      </c>
      <c r="G851" t="n">
        <v>245</v>
      </c>
      <c r="H851" t="inlineStr">
        <is>
          <t>Y</t>
        </is>
      </c>
      <c r="I851">
        <f>HYPERLINK("https://admin.shopify.com/store/ge-beauty-cosmeticos/customers/9825987264832","abrir")</f>
        <v/>
      </c>
      <c r="J851">
        <f>HYPERLINK("https://www.gebeauty.com.br/products/primer-liso-intacto?ref=review","review")</f>
        <v/>
      </c>
      <c r="K851" t="inlineStr">
        <is>
          <t>HOLDOUT</t>
        </is>
      </c>
    </row>
    <row r="852">
      <c r="A852" t="inlineStr">
        <is>
          <t>Anna Cecilia</t>
        </is>
      </c>
      <c r="B852" t="inlineStr">
        <is>
          <t>+5538991244667</t>
        </is>
      </c>
      <c r="C852" t="inlineStr">
        <is>
          <t>Refill</t>
        </is>
      </c>
      <c r="D852" t="inlineStr">
        <is>
          <t>Primer Liso</t>
        </is>
      </c>
      <c r="E852" t="n">
        <v>1</v>
      </c>
      <c r="F852" t="inlineStr">
        <is>
          <t>2025-11-01</t>
        </is>
      </c>
      <c r="G852" t="n">
        <v>245</v>
      </c>
      <c r="H852" t="inlineStr">
        <is>
          <t>Y</t>
        </is>
      </c>
      <c r="I852">
        <f>HYPERLINK("https://admin.shopify.com/store/ge-beauty-cosmeticos/customers/9826129019200","abrir")</f>
        <v/>
      </c>
      <c r="J852">
        <f>HYPERLINK("https://www.gebeauty.com.br/products/primer-liso-intacto?ref=review","review")</f>
        <v/>
      </c>
      <c r="K852" t="inlineStr">
        <is>
          <t>SEND</t>
        </is>
      </c>
    </row>
    <row r="853">
      <c r="A853" t="inlineStr">
        <is>
          <t>Juliana</t>
        </is>
      </c>
      <c r="B853" t="inlineStr">
        <is>
          <t>+5511994228266</t>
        </is>
      </c>
      <c r="C853" t="inlineStr">
        <is>
          <t>Refill</t>
        </is>
      </c>
      <c r="D853" t="inlineStr">
        <is>
          <t>Primer Liso</t>
        </is>
      </c>
      <c r="E853" t="n">
        <v>1</v>
      </c>
      <c r="F853" t="inlineStr">
        <is>
          <t>2025-11-01</t>
        </is>
      </c>
      <c r="G853" t="n">
        <v>245</v>
      </c>
      <c r="H853" t="inlineStr">
        <is>
          <t>Y</t>
        </is>
      </c>
      <c r="I853">
        <f>HYPERLINK("https://admin.shopify.com/store/ge-beauty-cosmeticos/customers/9485944848704","abrir")</f>
        <v/>
      </c>
      <c r="J853">
        <f>HYPERLINK("https://www.gebeauty.com.br/products/primer-liso-intacto?ref=review","review")</f>
        <v/>
      </c>
      <c r="K853" t="inlineStr">
        <is>
          <t>SEND</t>
        </is>
      </c>
    </row>
    <row r="854">
      <c r="A854" t="inlineStr">
        <is>
          <t>Camila</t>
        </is>
      </c>
      <c r="B854" t="inlineStr">
        <is>
          <t>+5516174139652</t>
        </is>
      </c>
      <c r="C854" t="inlineStr">
        <is>
          <t>Refill</t>
        </is>
      </c>
      <c r="D854" t="inlineStr">
        <is>
          <t>Primer Liso</t>
        </is>
      </c>
      <c r="E854" t="n">
        <v>1</v>
      </c>
      <c r="F854" t="inlineStr">
        <is>
          <t>2025-11-01</t>
        </is>
      </c>
      <c r="G854" t="n">
        <v>245</v>
      </c>
      <c r="H854" t="inlineStr">
        <is>
          <t>Y</t>
        </is>
      </c>
      <c r="I854">
        <f>HYPERLINK("https://admin.shopify.com/store/ge-beauty-cosmeticos/customers/9512627929408","abrir")</f>
        <v/>
      </c>
      <c r="J854">
        <f>HYPERLINK("https://www.gebeauty.com.br/products/primer-liso-intacto?ref=review","review")</f>
        <v/>
      </c>
      <c r="K854" t="inlineStr">
        <is>
          <t>SEND</t>
        </is>
      </c>
    </row>
    <row r="855">
      <c r="A855" t="inlineStr">
        <is>
          <t>Nathália</t>
        </is>
      </c>
      <c r="B855" t="inlineStr">
        <is>
          <t>+5561981333829</t>
        </is>
      </c>
      <c r="C855" t="inlineStr">
        <is>
          <t>Refill</t>
        </is>
      </c>
      <c r="D855" t="inlineStr">
        <is>
          <t>Primer Liso</t>
        </is>
      </c>
      <c r="E855" t="n">
        <v>1</v>
      </c>
      <c r="F855" t="inlineStr">
        <is>
          <t>2025-11-01</t>
        </is>
      </c>
      <c r="G855" t="n">
        <v>245</v>
      </c>
      <c r="H855" t="inlineStr">
        <is>
          <t>Y</t>
        </is>
      </c>
      <c r="I855">
        <f>HYPERLINK("https://admin.shopify.com/store/ge-beauty-cosmeticos/customers/9826449686848","abrir")</f>
        <v/>
      </c>
      <c r="J855">
        <f>HYPERLINK("https://www.gebeauty.com.br/products/primer-liso-intacto?ref=review","review")</f>
        <v/>
      </c>
      <c r="K855" t="inlineStr">
        <is>
          <t>SEND</t>
        </is>
      </c>
    </row>
    <row r="856">
      <c r="A856" t="inlineStr">
        <is>
          <t>Alana</t>
        </is>
      </c>
      <c r="B856" t="inlineStr">
        <is>
          <t>+5511968311511</t>
        </is>
      </c>
      <c r="C856" t="inlineStr">
        <is>
          <t>Refill</t>
        </is>
      </c>
      <c r="D856" t="inlineStr">
        <is>
          <t>Primer Liso</t>
        </is>
      </c>
      <c r="E856" t="n">
        <v>1</v>
      </c>
      <c r="F856" t="inlineStr">
        <is>
          <t>2025-11-01</t>
        </is>
      </c>
      <c r="G856" t="n">
        <v>245</v>
      </c>
      <c r="H856" t="inlineStr">
        <is>
          <t>Y</t>
        </is>
      </c>
      <c r="I856">
        <f>HYPERLINK("https://admin.shopify.com/store/ge-beauty-cosmeticos/customers/9486263681344","abrir")</f>
        <v/>
      </c>
      <c r="J856">
        <f>HYPERLINK("https://www.gebeauty.com.br/products/primer-liso-intacto?ref=review","review")</f>
        <v/>
      </c>
      <c r="K856" t="inlineStr">
        <is>
          <t>SEND</t>
        </is>
      </c>
    </row>
    <row r="857">
      <c r="A857" t="inlineStr">
        <is>
          <t>Tatiana</t>
        </is>
      </c>
      <c r="B857" t="inlineStr">
        <is>
          <t>+5531984501868</t>
        </is>
      </c>
      <c r="C857" t="inlineStr">
        <is>
          <t>Refill</t>
        </is>
      </c>
      <c r="D857" t="inlineStr">
        <is>
          <t>Primer Liso</t>
        </is>
      </c>
      <c r="E857" t="n">
        <v>1</v>
      </c>
      <c r="F857" t="inlineStr">
        <is>
          <t>2025-11-01</t>
        </is>
      </c>
      <c r="G857" t="n">
        <v>245</v>
      </c>
      <c r="H857" t="inlineStr">
        <is>
          <t>Y</t>
        </is>
      </c>
      <c r="I857">
        <f>HYPERLINK("https://admin.shopify.com/store/ge-beauty-cosmeticos/customers/9826556608832","abrir")</f>
        <v/>
      </c>
      <c r="J857">
        <f>HYPERLINK("https://www.gebeauty.com.br/products/primer-liso-intacto?ref=review","review")</f>
        <v/>
      </c>
      <c r="K857" t="inlineStr">
        <is>
          <t>SEND</t>
        </is>
      </c>
    </row>
    <row r="858">
      <c r="A858" t="inlineStr">
        <is>
          <t>Pietra</t>
        </is>
      </c>
      <c r="B858" t="inlineStr">
        <is>
          <t>+5519997902233</t>
        </is>
      </c>
      <c r="C858" t="inlineStr">
        <is>
          <t>Refill</t>
        </is>
      </c>
      <c r="D858" t="inlineStr">
        <is>
          <t>Primer Liso</t>
        </is>
      </c>
      <c r="E858" t="n">
        <v>1</v>
      </c>
      <c r="F858" t="inlineStr">
        <is>
          <t>2025-11-01</t>
        </is>
      </c>
      <c r="G858" t="n">
        <v>245</v>
      </c>
      <c r="H858" t="inlineStr">
        <is>
          <t>Y</t>
        </is>
      </c>
      <c r="I858">
        <f>HYPERLINK("https://admin.shopify.com/store/ge-beauty-cosmeticos/customers/9791119524160","abrir")</f>
        <v/>
      </c>
      <c r="J858">
        <f>HYPERLINK("https://www.gebeauty.com.br/products/primer-liso-intacto?ref=review","review")</f>
        <v/>
      </c>
      <c r="K858" t="inlineStr">
        <is>
          <t>SEND</t>
        </is>
      </c>
    </row>
    <row r="859">
      <c r="A859" t="inlineStr">
        <is>
          <t>Danielle</t>
        </is>
      </c>
      <c r="B859" t="inlineStr">
        <is>
          <t>+5511974294435</t>
        </is>
      </c>
      <c r="C859" t="inlineStr">
        <is>
          <t>Refill</t>
        </is>
      </c>
      <c r="D859" t="inlineStr">
        <is>
          <t>Primer Liso</t>
        </is>
      </c>
      <c r="E859" t="n">
        <v>1</v>
      </c>
      <c r="F859" t="inlineStr">
        <is>
          <t>2025-11-01</t>
        </is>
      </c>
      <c r="G859" t="n">
        <v>245</v>
      </c>
      <c r="H859" t="inlineStr">
        <is>
          <t>Y</t>
        </is>
      </c>
      <c r="I859">
        <f>HYPERLINK("https://admin.shopify.com/store/ge-beauty-cosmeticos/customers/9826691744064","abrir")</f>
        <v/>
      </c>
      <c r="J859">
        <f>HYPERLINK("https://www.gebeauty.com.br/products/primer-liso-intacto?ref=review","review")</f>
        <v/>
      </c>
      <c r="K859" t="inlineStr">
        <is>
          <t>SEND</t>
        </is>
      </c>
    </row>
    <row r="860">
      <c r="A860" t="inlineStr">
        <is>
          <t>Mariana</t>
        </is>
      </c>
      <c r="B860" t="inlineStr">
        <is>
          <t>+5584991579178</t>
        </is>
      </c>
      <c r="C860" t="inlineStr">
        <is>
          <t>Refill</t>
        </is>
      </c>
      <c r="D860" t="inlineStr">
        <is>
          <t>Primer Liso</t>
        </is>
      </c>
      <c r="E860" t="n">
        <v>1</v>
      </c>
      <c r="F860" t="inlineStr">
        <is>
          <t>2025-11-01</t>
        </is>
      </c>
      <c r="G860" t="n">
        <v>245</v>
      </c>
      <c r="H860" t="inlineStr">
        <is>
          <t>Y</t>
        </is>
      </c>
      <c r="I860">
        <f>HYPERLINK("https://admin.shopify.com/store/ge-beauty-cosmeticos/customers/9826697478464","abrir")</f>
        <v/>
      </c>
      <c r="J860">
        <f>HYPERLINK("https://www.gebeauty.com.br/products/primer-liso-intacto?ref=review","review")</f>
        <v/>
      </c>
      <c r="K860" t="inlineStr">
        <is>
          <t>SEND</t>
        </is>
      </c>
    </row>
    <row r="861">
      <c r="A861" t="inlineStr">
        <is>
          <t>Thaisa</t>
        </is>
      </c>
      <c r="B861" t="inlineStr">
        <is>
          <t>+5531998467361</t>
        </is>
      </c>
      <c r="C861" t="inlineStr">
        <is>
          <t>Refill</t>
        </is>
      </c>
      <c r="D861" t="inlineStr">
        <is>
          <t>Primer Liso</t>
        </is>
      </c>
      <c r="E861" t="n">
        <v>1</v>
      </c>
      <c r="F861" t="inlineStr">
        <is>
          <t>2025-11-02</t>
        </is>
      </c>
      <c r="G861" t="n">
        <v>244</v>
      </c>
      <c r="H861" t="inlineStr">
        <is>
          <t>Y</t>
        </is>
      </c>
      <c r="I861">
        <f>HYPERLINK("https://admin.shopify.com/store/ge-beauty-cosmeticos/customers/9826969190720","abrir")</f>
        <v/>
      </c>
      <c r="J861">
        <f>HYPERLINK("https://www.gebeauty.com.br/products/primer-liso-intacto?ref=review","review")</f>
        <v/>
      </c>
      <c r="K861" t="inlineStr">
        <is>
          <t>SEND</t>
        </is>
      </c>
    </row>
    <row r="862">
      <c r="A862" t="inlineStr">
        <is>
          <t>Danielle</t>
        </is>
      </c>
      <c r="B862" t="inlineStr">
        <is>
          <t>+5521972910358</t>
        </is>
      </c>
      <c r="C862" t="inlineStr">
        <is>
          <t>Refill</t>
        </is>
      </c>
      <c r="D862" t="inlineStr">
        <is>
          <t>Primer Liso</t>
        </is>
      </c>
      <c r="E862" t="n">
        <v>1</v>
      </c>
      <c r="F862" t="inlineStr">
        <is>
          <t>2025-11-02</t>
        </is>
      </c>
      <c r="G862" t="n">
        <v>244</v>
      </c>
      <c r="H862" t="inlineStr">
        <is>
          <t>Y</t>
        </is>
      </c>
      <c r="I862">
        <f>HYPERLINK("https://admin.shopify.com/store/ge-beauty-cosmeticos/customers/9812648493376","abrir")</f>
        <v/>
      </c>
      <c r="J862">
        <f>HYPERLINK("https://www.gebeauty.com.br/products/primer-liso-intacto?ref=review","review")</f>
        <v/>
      </c>
      <c r="K862" t="inlineStr">
        <is>
          <t>SEND</t>
        </is>
      </c>
    </row>
    <row r="863">
      <c r="A863" t="inlineStr">
        <is>
          <t>Melissa</t>
        </is>
      </c>
      <c r="B863" t="inlineStr">
        <is>
          <t>+5511987697500</t>
        </is>
      </c>
      <c r="C863" t="inlineStr">
        <is>
          <t>Refill</t>
        </is>
      </c>
      <c r="D863" t="inlineStr">
        <is>
          <t>Primer Liso</t>
        </is>
      </c>
      <c r="E863" t="n">
        <v>1</v>
      </c>
      <c r="F863" t="inlineStr">
        <is>
          <t>2025-11-02</t>
        </is>
      </c>
      <c r="G863" t="n">
        <v>244</v>
      </c>
      <c r="H863" t="inlineStr">
        <is>
          <t>Y</t>
        </is>
      </c>
      <c r="I863">
        <f>HYPERLINK("https://admin.shopify.com/store/ge-beauty-cosmeticos/customers/9825251787072","abrir")</f>
        <v/>
      </c>
      <c r="J863">
        <f>HYPERLINK("https://www.gebeauty.com.br/products/primer-liso-intacto?ref=review","review")</f>
        <v/>
      </c>
      <c r="K863" t="inlineStr">
        <is>
          <t>SEND</t>
        </is>
      </c>
    </row>
    <row r="864">
      <c r="A864" t="inlineStr">
        <is>
          <t>Ana</t>
        </is>
      </c>
      <c r="B864" t="inlineStr">
        <is>
          <t>+5574999064249</t>
        </is>
      </c>
      <c r="C864" t="inlineStr">
        <is>
          <t>Refill</t>
        </is>
      </c>
      <c r="D864" t="inlineStr">
        <is>
          <t>Primer Liso</t>
        </is>
      </c>
      <c r="E864" t="n">
        <v>1</v>
      </c>
      <c r="F864" t="inlineStr">
        <is>
          <t>2025-11-02</t>
        </is>
      </c>
      <c r="G864" t="n">
        <v>244</v>
      </c>
      <c r="H864" t="inlineStr">
        <is>
          <t>Y</t>
        </is>
      </c>
      <c r="I864">
        <f>HYPERLINK("https://admin.shopify.com/store/ge-beauty-cosmeticos/customers/9787341963584","abrir")</f>
        <v/>
      </c>
      <c r="J864">
        <f>HYPERLINK("https://www.gebeauty.com.br/products/primer-liso-intacto?ref=review","review")</f>
        <v/>
      </c>
      <c r="K864" t="inlineStr">
        <is>
          <t>SEND</t>
        </is>
      </c>
    </row>
    <row r="865">
      <c r="A865" t="inlineStr">
        <is>
          <t>Samyra</t>
        </is>
      </c>
      <c r="B865" t="inlineStr">
        <is>
          <t>+5522999257638</t>
        </is>
      </c>
      <c r="C865" t="inlineStr">
        <is>
          <t>Refill</t>
        </is>
      </c>
      <c r="D865" t="inlineStr">
        <is>
          <t>Primer Liso</t>
        </is>
      </c>
      <c r="E865" t="n">
        <v>1</v>
      </c>
      <c r="F865" t="inlineStr">
        <is>
          <t>2025-11-02</t>
        </is>
      </c>
      <c r="G865" t="n">
        <v>244</v>
      </c>
      <c r="H865" t="inlineStr">
        <is>
          <t>Y</t>
        </is>
      </c>
      <c r="I865">
        <f>HYPERLINK("https://admin.shopify.com/store/ge-beauty-cosmeticos/customers/9827279405376","abrir")</f>
        <v/>
      </c>
      <c r="J865">
        <f>HYPERLINK("https://www.gebeauty.com.br/products/primer-liso-intacto?ref=review","review")</f>
        <v/>
      </c>
      <c r="K865" t="inlineStr">
        <is>
          <t>SEND</t>
        </is>
      </c>
    </row>
    <row r="866">
      <c r="A866" t="inlineStr">
        <is>
          <t>Jessica</t>
        </is>
      </c>
      <c r="B866" t="inlineStr">
        <is>
          <t>+5511959591779</t>
        </is>
      </c>
      <c r="C866" t="inlineStr">
        <is>
          <t>Refill</t>
        </is>
      </c>
      <c r="D866" t="inlineStr">
        <is>
          <t>Primer Liso</t>
        </is>
      </c>
      <c r="E866" t="n">
        <v>1</v>
      </c>
      <c r="F866" t="inlineStr">
        <is>
          <t>2025-11-02</t>
        </is>
      </c>
      <c r="G866" t="n">
        <v>244</v>
      </c>
      <c r="H866" t="inlineStr">
        <is>
          <t>Y</t>
        </is>
      </c>
      <c r="I866">
        <f>HYPERLINK("https://admin.shopify.com/store/ge-beauty-cosmeticos/customers/9827345301824","abrir")</f>
        <v/>
      </c>
      <c r="J866">
        <f>HYPERLINK("https://www.gebeauty.com.br/products/primer-liso-intacto?ref=review","review")</f>
        <v/>
      </c>
      <c r="K866" t="inlineStr">
        <is>
          <t>SEND</t>
        </is>
      </c>
    </row>
    <row r="867">
      <c r="B867" t="inlineStr">
        <is>
          <t>+5535984724469</t>
        </is>
      </c>
      <c r="C867" t="inlineStr">
        <is>
          <t>Refill</t>
        </is>
      </c>
      <c r="D867" t="inlineStr">
        <is>
          <t>Primer Liso</t>
        </is>
      </c>
      <c r="E867" t="n">
        <v>1</v>
      </c>
      <c r="F867" t="inlineStr">
        <is>
          <t>2025-11-02</t>
        </is>
      </c>
      <c r="G867" t="n">
        <v>244</v>
      </c>
      <c r="H867" t="inlineStr">
        <is>
          <t>Y</t>
        </is>
      </c>
      <c r="I867">
        <f>HYPERLINK("https://admin.shopify.com/store/ge-beauty-cosmeticos/customers/9827948921152","abrir")</f>
        <v/>
      </c>
      <c r="J867">
        <f>HYPERLINK("https://www.gebeauty.com.br/products/primer-liso-intacto?ref=review","review")</f>
        <v/>
      </c>
      <c r="K867" t="inlineStr">
        <is>
          <t>SEND</t>
        </is>
      </c>
    </row>
    <row r="868">
      <c r="A868" t="inlineStr">
        <is>
          <t>Valdenise</t>
        </is>
      </c>
      <c r="B868" t="inlineStr">
        <is>
          <t>+5583987115882</t>
        </is>
      </c>
      <c r="C868" t="inlineStr">
        <is>
          <t>Refill</t>
        </is>
      </c>
      <c r="D868" t="inlineStr">
        <is>
          <t>Primer Liso</t>
        </is>
      </c>
      <c r="E868" t="n">
        <v>1</v>
      </c>
      <c r="F868" t="inlineStr">
        <is>
          <t>2025-11-02</t>
        </is>
      </c>
      <c r="G868" t="n">
        <v>244</v>
      </c>
      <c r="H868" t="inlineStr">
        <is>
          <t>Y</t>
        </is>
      </c>
      <c r="I868">
        <f>HYPERLINK("https://admin.shopify.com/store/ge-beauty-cosmeticos/customers/9485989216576","abrir")</f>
        <v/>
      </c>
      <c r="J868">
        <f>HYPERLINK("https://www.gebeauty.com.br/products/primer-liso-intacto?ref=review","review")</f>
        <v/>
      </c>
      <c r="K868" t="inlineStr">
        <is>
          <t>SEND</t>
        </is>
      </c>
    </row>
    <row r="869">
      <c r="A869" t="inlineStr">
        <is>
          <t>Vanessa</t>
        </is>
      </c>
      <c r="B869" t="inlineStr">
        <is>
          <t>+5511992302882</t>
        </is>
      </c>
      <c r="C869" t="inlineStr">
        <is>
          <t>Refill</t>
        </is>
      </c>
      <c r="D869" t="inlineStr">
        <is>
          <t>Primer Liso</t>
        </is>
      </c>
      <c r="E869" t="n">
        <v>1</v>
      </c>
      <c r="F869" t="inlineStr">
        <is>
          <t>2025-11-30</t>
        </is>
      </c>
      <c r="G869" t="n">
        <v>216</v>
      </c>
      <c r="H869" t="inlineStr">
        <is>
          <t>Y</t>
        </is>
      </c>
      <c r="I869">
        <f>HYPERLINK("https://admin.shopify.com/store/ge-beauty-cosmeticos/customers/7760336290112","abrir")</f>
        <v/>
      </c>
      <c r="J869">
        <f>HYPERLINK("https://www.gebeauty.com.br/products/primer-liso-intacto?ref=review","review")</f>
        <v/>
      </c>
      <c r="K869" t="inlineStr">
        <is>
          <t>SEND</t>
        </is>
      </c>
    </row>
    <row r="870">
      <c r="A870" t="inlineStr">
        <is>
          <t>Letícia</t>
        </is>
      </c>
      <c r="B870" t="inlineStr">
        <is>
          <t>+5531999360206</t>
        </is>
      </c>
      <c r="C870" t="inlineStr">
        <is>
          <t>Refill</t>
        </is>
      </c>
      <c r="D870" t="inlineStr">
        <is>
          <t>Primer Liso</t>
        </is>
      </c>
      <c r="E870" t="n">
        <v>1</v>
      </c>
      <c r="F870" t="inlineStr">
        <is>
          <t>2025-11-02</t>
        </is>
      </c>
      <c r="G870" t="n">
        <v>244</v>
      </c>
      <c r="H870" t="inlineStr">
        <is>
          <t>Y</t>
        </is>
      </c>
      <c r="I870">
        <f>HYPERLINK("https://admin.shopify.com/store/ge-beauty-cosmeticos/customers/9486131855680","abrir")</f>
        <v/>
      </c>
      <c r="J870">
        <f>HYPERLINK("https://www.gebeauty.com.br/products/primer-liso-intacto?ref=review","review")</f>
        <v/>
      </c>
      <c r="K870" t="inlineStr">
        <is>
          <t>SEND</t>
        </is>
      </c>
    </row>
    <row r="871">
      <c r="A871" t="inlineStr">
        <is>
          <t>Maria</t>
        </is>
      </c>
      <c r="B871" t="inlineStr">
        <is>
          <t>+5511958158239</t>
        </is>
      </c>
      <c r="C871" t="inlineStr">
        <is>
          <t>Refill</t>
        </is>
      </c>
      <c r="D871" t="inlineStr">
        <is>
          <t>Primer Liso</t>
        </is>
      </c>
      <c r="E871" t="n">
        <v>1</v>
      </c>
      <c r="F871" t="inlineStr">
        <is>
          <t>2025-11-02</t>
        </is>
      </c>
      <c r="G871" t="n">
        <v>244</v>
      </c>
      <c r="H871" t="inlineStr">
        <is>
          <t>Y</t>
        </is>
      </c>
      <c r="I871">
        <f>HYPERLINK("https://admin.shopify.com/store/ge-beauty-cosmeticos/customers/9828164272448","abrir")</f>
        <v/>
      </c>
      <c r="J871">
        <f>HYPERLINK("https://www.gebeauty.com.br/products/primer-liso-intacto?ref=review","review")</f>
        <v/>
      </c>
      <c r="K871" t="inlineStr">
        <is>
          <t>SEND</t>
        </is>
      </c>
    </row>
    <row r="872">
      <c r="A872" t="inlineStr">
        <is>
          <t>Monica</t>
        </is>
      </c>
      <c r="B872" t="inlineStr">
        <is>
          <t>+5581997823330</t>
        </is>
      </c>
      <c r="C872" t="inlineStr">
        <is>
          <t>Refill</t>
        </is>
      </c>
      <c r="D872" t="inlineStr">
        <is>
          <t>Primer Liso</t>
        </is>
      </c>
      <c r="E872" t="n">
        <v>1</v>
      </c>
      <c r="F872" t="inlineStr">
        <is>
          <t>2025-11-02</t>
        </is>
      </c>
      <c r="G872" t="n">
        <v>244</v>
      </c>
      <c r="H872" t="inlineStr">
        <is>
          <t>Y</t>
        </is>
      </c>
      <c r="I872">
        <f>HYPERLINK("https://admin.shopify.com/store/ge-beauty-cosmeticos/customers/9537973879104","abrir")</f>
        <v/>
      </c>
      <c r="J872">
        <f>HYPERLINK("https://www.gebeauty.com.br/products/primer-liso-intacto?ref=review","review")</f>
        <v/>
      </c>
      <c r="K872" t="inlineStr">
        <is>
          <t>HOLDOUT</t>
        </is>
      </c>
    </row>
    <row r="873">
      <c r="A873" t="inlineStr">
        <is>
          <t>Bruna</t>
        </is>
      </c>
      <c r="B873" t="inlineStr">
        <is>
          <t>+5521986510089</t>
        </is>
      </c>
      <c r="C873" t="inlineStr">
        <is>
          <t>Refill</t>
        </is>
      </c>
      <c r="D873" t="inlineStr">
        <is>
          <t>Primer Liso</t>
        </is>
      </c>
      <c r="E873" t="n">
        <v>1</v>
      </c>
      <c r="F873" t="inlineStr">
        <is>
          <t>2025-11-02</t>
        </is>
      </c>
      <c r="G873" t="n">
        <v>244</v>
      </c>
      <c r="H873" t="inlineStr">
        <is>
          <t>Y</t>
        </is>
      </c>
      <c r="I873">
        <f>HYPERLINK("https://admin.shopify.com/store/ge-beauty-cosmeticos/customers/7760006349120","abrir")</f>
        <v/>
      </c>
      <c r="J873">
        <f>HYPERLINK("https://www.gebeauty.com.br/products/primer-liso-intacto?ref=review","review")</f>
        <v/>
      </c>
      <c r="K873" t="inlineStr">
        <is>
          <t>HOLDOUT</t>
        </is>
      </c>
    </row>
    <row r="874">
      <c r="A874" t="inlineStr">
        <is>
          <t>Fernanda</t>
        </is>
      </c>
      <c r="B874" t="inlineStr">
        <is>
          <t>+5521999274997</t>
        </is>
      </c>
      <c r="C874" t="inlineStr">
        <is>
          <t>Refill</t>
        </is>
      </c>
      <c r="D874" t="inlineStr">
        <is>
          <t>Primer Liso</t>
        </is>
      </c>
      <c r="E874" t="n">
        <v>1</v>
      </c>
      <c r="F874" t="inlineStr">
        <is>
          <t>2025-11-02</t>
        </is>
      </c>
      <c r="G874" t="n">
        <v>244</v>
      </c>
      <c r="H874" t="inlineStr">
        <is>
          <t>Y</t>
        </is>
      </c>
      <c r="I874">
        <f>HYPERLINK("https://admin.shopify.com/store/ge-beauty-cosmeticos/customers/9486187987264","abrir")</f>
        <v/>
      </c>
      <c r="J874">
        <f>HYPERLINK("https://www.gebeauty.com.br/products/primer-liso-intacto?ref=review","review")</f>
        <v/>
      </c>
      <c r="K874" t="inlineStr">
        <is>
          <t>SEND</t>
        </is>
      </c>
    </row>
    <row r="875">
      <c r="A875" t="inlineStr">
        <is>
          <t>Carolina</t>
        </is>
      </c>
      <c r="B875" t="inlineStr">
        <is>
          <t>+5511945525045</t>
        </is>
      </c>
      <c r="C875" t="inlineStr">
        <is>
          <t>Refill</t>
        </is>
      </c>
      <c r="D875" t="inlineStr">
        <is>
          <t>Primer Liso</t>
        </is>
      </c>
      <c r="E875" t="n">
        <v>1</v>
      </c>
      <c r="F875" t="inlineStr">
        <is>
          <t>2025-11-02</t>
        </is>
      </c>
      <c r="G875" t="n">
        <v>244</v>
      </c>
      <c r="H875" t="inlineStr">
        <is>
          <t>Y</t>
        </is>
      </c>
      <c r="I875">
        <f>HYPERLINK("https://admin.shopify.com/store/ge-beauty-cosmeticos/customers/9793503035712","abrir")</f>
        <v/>
      </c>
      <c r="J875">
        <f>HYPERLINK("https://www.gebeauty.com.br/products/primer-liso-intacto?ref=review","review")</f>
        <v/>
      </c>
      <c r="K875" t="inlineStr">
        <is>
          <t>SEND</t>
        </is>
      </c>
    </row>
    <row r="876">
      <c r="A876" t="inlineStr">
        <is>
          <t>Larissa</t>
        </is>
      </c>
      <c r="B876" t="inlineStr">
        <is>
          <t>+5511987145449</t>
        </is>
      </c>
      <c r="C876" t="inlineStr">
        <is>
          <t>Refill</t>
        </is>
      </c>
      <c r="D876" t="inlineStr">
        <is>
          <t>Primer Liso</t>
        </is>
      </c>
      <c r="E876" t="n">
        <v>1</v>
      </c>
      <c r="F876" t="inlineStr">
        <is>
          <t>2025-11-03</t>
        </is>
      </c>
      <c r="G876" t="n">
        <v>243</v>
      </c>
      <c r="H876" t="inlineStr">
        <is>
          <t>Y</t>
        </is>
      </c>
      <c r="I876">
        <f>HYPERLINK("https://admin.shopify.com/store/ge-beauty-cosmeticos/customers/7761844732224","abrir")</f>
        <v/>
      </c>
      <c r="J876">
        <f>HYPERLINK("https://www.gebeauty.com.br/products/primer-liso-intacto?ref=review","review")</f>
        <v/>
      </c>
      <c r="K876" t="inlineStr">
        <is>
          <t>SEND</t>
        </is>
      </c>
    </row>
    <row r="877">
      <c r="A877" t="inlineStr">
        <is>
          <t>Joana</t>
        </is>
      </c>
      <c r="B877" t="inlineStr">
        <is>
          <t>+5533998457710</t>
        </is>
      </c>
      <c r="C877" t="inlineStr">
        <is>
          <t>Refill</t>
        </is>
      </c>
      <c r="D877" t="inlineStr">
        <is>
          <t>Primer Liso</t>
        </is>
      </c>
      <c r="E877" t="n">
        <v>1</v>
      </c>
      <c r="F877" t="inlineStr">
        <is>
          <t>2025-11-03</t>
        </is>
      </c>
      <c r="G877" t="n">
        <v>243</v>
      </c>
      <c r="H877" t="inlineStr">
        <is>
          <t>Y</t>
        </is>
      </c>
      <c r="I877">
        <f>HYPERLINK("https://admin.shopify.com/store/ge-beauty-cosmeticos/customers/9827611181376","abrir")</f>
        <v/>
      </c>
      <c r="J877">
        <f>HYPERLINK("https://www.gebeauty.com.br/products/primer-liso-intacto?ref=review","review")</f>
        <v/>
      </c>
      <c r="K877" t="inlineStr">
        <is>
          <t>SEND</t>
        </is>
      </c>
    </row>
    <row r="878">
      <c r="A878" t="inlineStr">
        <is>
          <t>Sunamita</t>
        </is>
      </c>
      <c r="B878" t="inlineStr">
        <is>
          <t>+5511952387412</t>
        </is>
      </c>
      <c r="C878" t="inlineStr">
        <is>
          <t>Refill</t>
        </is>
      </c>
      <c r="D878" t="inlineStr">
        <is>
          <t>Primer Liso</t>
        </is>
      </c>
      <c r="E878" t="n">
        <v>1</v>
      </c>
      <c r="F878" t="inlineStr">
        <is>
          <t>2025-11-03</t>
        </is>
      </c>
      <c r="G878" t="n">
        <v>243</v>
      </c>
      <c r="H878" t="inlineStr">
        <is>
          <t>Y</t>
        </is>
      </c>
      <c r="I878">
        <f>HYPERLINK("https://admin.shopify.com/store/ge-beauty-cosmeticos/customers/7761149395264","abrir")</f>
        <v/>
      </c>
      <c r="J878">
        <f>HYPERLINK("https://www.gebeauty.com.br/products/primer-liso-intacto?ref=review","review")</f>
        <v/>
      </c>
      <c r="K878" t="inlineStr">
        <is>
          <t>SEND</t>
        </is>
      </c>
    </row>
    <row r="879">
      <c r="A879" t="inlineStr">
        <is>
          <t>Natalia</t>
        </is>
      </c>
      <c r="B879" t="inlineStr">
        <is>
          <t>+5519997326317</t>
        </is>
      </c>
      <c r="C879" t="inlineStr">
        <is>
          <t>Refill</t>
        </is>
      </c>
      <c r="D879" t="inlineStr">
        <is>
          <t>Primer Liso</t>
        </is>
      </c>
      <c r="E879" t="n">
        <v>1</v>
      </c>
      <c r="F879" t="inlineStr">
        <is>
          <t>2025-11-03</t>
        </is>
      </c>
      <c r="G879" t="n">
        <v>243</v>
      </c>
      <c r="H879" t="inlineStr">
        <is>
          <t>Y</t>
        </is>
      </c>
      <c r="I879">
        <f>HYPERLINK("https://admin.shopify.com/store/ge-beauty-cosmeticos/customers/9486658175296","abrir")</f>
        <v/>
      </c>
      <c r="J879">
        <f>HYPERLINK("https://www.gebeauty.com.br/products/primer-liso-intacto?ref=review","review")</f>
        <v/>
      </c>
      <c r="K879" t="inlineStr">
        <is>
          <t>SEND</t>
        </is>
      </c>
    </row>
    <row r="880">
      <c r="A880" t="inlineStr">
        <is>
          <t>Luciana</t>
        </is>
      </c>
      <c r="B880" t="inlineStr">
        <is>
          <t>+5531975732191</t>
        </is>
      </c>
      <c r="C880" t="inlineStr">
        <is>
          <t>Refill</t>
        </is>
      </c>
      <c r="D880" t="inlineStr">
        <is>
          <t>Primer Liso</t>
        </is>
      </c>
      <c r="E880" t="n">
        <v>1</v>
      </c>
      <c r="F880" t="inlineStr">
        <is>
          <t>2025-11-03</t>
        </is>
      </c>
      <c r="G880" t="n">
        <v>243</v>
      </c>
      <c r="H880" t="inlineStr">
        <is>
          <t>Y</t>
        </is>
      </c>
      <c r="I880">
        <f>HYPERLINK("https://admin.shopify.com/store/ge-beauty-cosmeticos/customers/9830371754304","abrir")</f>
        <v/>
      </c>
      <c r="J880">
        <f>HYPERLINK("https://www.gebeauty.com.br/products/primer-liso-intacto?ref=review","review")</f>
        <v/>
      </c>
      <c r="K880" t="inlineStr">
        <is>
          <t>SEND</t>
        </is>
      </c>
    </row>
    <row r="881">
      <c r="A881" t="inlineStr">
        <is>
          <t>Gabriela</t>
        </is>
      </c>
      <c r="B881" t="inlineStr">
        <is>
          <t>+5511952408505</t>
        </is>
      </c>
      <c r="C881" t="inlineStr">
        <is>
          <t>Refill</t>
        </is>
      </c>
      <c r="D881" t="inlineStr">
        <is>
          <t>Primer Liso</t>
        </is>
      </c>
      <c r="E881" t="n">
        <v>1</v>
      </c>
      <c r="F881" t="inlineStr">
        <is>
          <t>2025-11-03</t>
        </is>
      </c>
      <c r="G881" t="n">
        <v>243</v>
      </c>
      <c r="H881" t="inlineStr">
        <is>
          <t>Y</t>
        </is>
      </c>
      <c r="I881">
        <f>HYPERLINK("https://admin.shopify.com/store/ge-beauty-cosmeticos/customers/9818331906368","abrir")</f>
        <v/>
      </c>
      <c r="J881">
        <f>HYPERLINK("https://www.gebeauty.com.br/products/primer-liso-intacto?ref=review","review")</f>
        <v/>
      </c>
      <c r="K881" t="inlineStr">
        <is>
          <t>SEND</t>
        </is>
      </c>
    </row>
    <row r="882">
      <c r="A882" t="inlineStr">
        <is>
          <t>Catherine</t>
        </is>
      </c>
      <c r="B882" t="inlineStr">
        <is>
          <t>+5521998881196</t>
        </is>
      </c>
      <c r="C882" t="inlineStr">
        <is>
          <t>Refill</t>
        </is>
      </c>
      <c r="D882" t="inlineStr">
        <is>
          <t>Primer Liso</t>
        </is>
      </c>
      <c r="E882" t="n">
        <v>1</v>
      </c>
      <c r="F882" t="inlineStr">
        <is>
          <t>2025-11-03</t>
        </is>
      </c>
      <c r="G882" t="n">
        <v>243</v>
      </c>
      <c r="H882" t="inlineStr">
        <is>
          <t>Y</t>
        </is>
      </c>
      <c r="I882">
        <f>HYPERLINK("https://admin.shopify.com/store/ge-beauty-cosmeticos/customers/9486201585984","abrir")</f>
        <v/>
      </c>
      <c r="J882">
        <f>HYPERLINK("https://www.gebeauty.com.br/products/primer-liso-intacto?ref=review","review")</f>
        <v/>
      </c>
      <c r="K882" t="inlineStr">
        <is>
          <t>SEND</t>
        </is>
      </c>
    </row>
    <row r="883">
      <c r="A883" t="inlineStr">
        <is>
          <t>Mariana</t>
        </is>
      </c>
      <c r="B883" t="inlineStr">
        <is>
          <t>+5561996660102</t>
        </is>
      </c>
      <c r="C883" t="inlineStr">
        <is>
          <t>Refill</t>
        </is>
      </c>
      <c r="D883" t="inlineStr">
        <is>
          <t>Primer Liso</t>
        </is>
      </c>
      <c r="E883" t="n">
        <v>1</v>
      </c>
      <c r="F883" t="inlineStr">
        <is>
          <t>2025-11-03</t>
        </is>
      </c>
      <c r="G883" t="n">
        <v>243</v>
      </c>
      <c r="H883" t="inlineStr">
        <is>
          <t>Y</t>
        </is>
      </c>
      <c r="I883">
        <f>HYPERLINK("https://admin.shopify.com/store/ge-beauty-cosmeticos/customers/9830873760064","abrir")</f>
        <v/>
      </c>
      <c r="J883">
        <f>HYPERLINK("https://www.gebeauty.com.br/products/primer-liso-intacto?ref=review","review")</f>
        <v/>
      </c>
      <c r="K883" t="inlineStr">
        <is>
          <t>SEND</t>
        </is>
      </c>
    </row>
    <row r="884">
      <c r="A884" t="inlineStr">
        <is>
          <t>Nathalia</t>
        </is>
      </c>
      <c r="B884" t="inlineStr">
        <is>
          <t>+5561981293346</t>
        </is>
      </c>
      <c r="C884" t="inlineStr">
        <is>
          <t>Refill</t>
        </is>
      </c>
      <c r="D884" t="inlineStr">
        <is>
          <t>Primer Liso</t>
        </is>
      </c>
      <c r="E884" t="n">
        <v>1</v>
      </c>
      <c r="F884" t="inlineStr">
        <is>
          <t>2025-11-04</t>
        </is>
      </c>
      <c r="G884" t="n">
        <v>242</v>
      </c>
      <c r="H884" t="inlineStr">
        <is>
          <t>Y</t>
        </is>
      </c>
      <c r="I884">
        <f>HYPERLINK("https://admin.shopify.com/store/ge-beauty-cosmeticos/customers/9831023051072","abrir")</f>
        <v/>
      </c>
      <c r="J884">
        <f>HYPERLINK("https://www.gebeauty.com.br/products/primer-liso-intacto?ref=review","review")</f>
        <v/>
      </c>
      <c r="K884" t="inlineStr">
        <is>
          <t>SEND</t>
        </is>
      </c>
    </row>
    <row r="885">
      <c r="A885" t="inlineStr">
        <is>
          <t>Roberta</t>
        </is>
      </c>
      <c r="B885" t="inlineStr">
        <is>
          <t>+5514997975153</t>
        </is>
      </c>
      <c r="C885" t="inlineStr">
        <is>
          <t>Refill</t>
        </is>
      </c>
      <c r="D885" t="inlineStr">
        <is>
          <t>Primer Liso</t>
        </is>
      </c>
      <c r="E885" t="n">
        <v>1</v>
      </c>
      <c r="F885" t="inlineStr">
        <is>
          <t>2025-11-04</t>
        </is>
      </c>
      <c r="G885" t="n">
        <v>242</v>
      </c>
      <c r="H885" t="inlineStr">
        <is>
          <t>N</t>
        </is>
      </c>
      <c r="I885">
        <f>HYPERLINK("https://admin.shopify.com/store/ge-beauty-cosmeticos/customers/9677797491008","abrir")</f>
        <v/>
      </c>
      <c r="J885">
        <f>HYPERLINK("https://www.gebeauty.com.br/products/primer-liso-intacto?ref=review","review")</f>
        <v/>
      </c>
      <c r="K885" t="inlineStr">
        <is>
          <t>SEND</t>
        </is>
      </c>
    </row>
    <row r="886">
      <c r="A886" t="inlineStr">
        <is>
          <t>Nathalia</t>
        </is>
      </c>
      <c r="B886" t="inlineStr">
        <is>
          <t>+5521993110632</t>
        </is>
      </c>
      <c r="C886" t="inlineStr">
        <is>
          <t>Refill</t>
        </is>
      </c>
      <c r="D886" t="inlineStr">
        <is>
          <t>Primer Liso</t>
        </is>
      </c>
      <c r="E886" t="n">
        <v>1</v>
      </c>
      <c r="F886" t="inlineStr">
        <is>
          <t>2025-11-04</t>
        </is>
      </c>
      <c r="G886" t="n">
        <v>242</v>
      </c>
      <c r="H886" t="inlineStr">
        <is>
          <t>Y</t>
        </is>
      </c>
      <c r="I886">
        <f>HYPERLINK("https://admin.shopify.com/store/ge-beauty-cosmeticos/customers/9516151537984","abrir")</f>
        <v/>
      </c>
      <c r="J886">
        <f>HYPERLINK("https://www.gebeauty.com.br/products/primer-liso-intacto?ref=review","review")</f>
        <v/>
      </c>
      <c r="K886" t="inlineStr">
        <is>
          <t>SEND</t>
        </is>
      </c>
    </row>
    <row r="887">
      <c r="A887" t="inlineStr">
        <is>
          <t>Deyse</t>
        </is>
      </c>
      <c r="B887" t="inlineStr">
        <is>
          <t>+5575991699838</t>
        </is>
      </c>
      <c r="C887" t="inlineStr">
        <is>
          <t>Refill</t>
        </is>
      </c>
      <c r="D887" t="inlineStr">
        <is>
          <t>Primer Liso</t>
        </is>
      </c>
      <c r="E887" t="n">
        <v>1</v>
      </c>
      <c r="F887" t="inlineStr">
        <is>
          <t>2025-11-04</t>
        </is>
      </c>
      <c r="G887" t="n">
        <v>242</v>
      </c>
      <c r="H887" t="inlineStr">
        <is>
          <t>Y</t>
        </is>
      </c>
      <c r="I887">
        <f>HYPERLINK("https://admin.shopify.com/store/ge-beauty-cosmeticos/customers/9577036906816","abrir")</f>
        <v/>
      </c>
      <c r="J887">
        <f>HYPERLINK("https://www.gebeauty.com.br/products/primer-liso-intacto?ref=review","review")</f>
        <v/>
      </c>
      <c r="K887" t="inlineStr">
        <is>
          <t>SEND</t>
        </is>
      </c>
    </row>
    <row r="888">
      <c r="A888" t="inlineStr">
        <is>
          <t>Fernanda</t>
        </is>
      </c>
      <c r="B888" t="inlineStr">
        <is>
          <t>+5511997127227</t>
        </is>
      </c>
      <c r="C888" t="inlineStr">
        <is>
          <t>Refill</t>
        </is>
      </c>
      <c r="D888" t="inlineStr">
        <is>
          <t>Primer Liso</t>
        </is>
      </c>
      <c r="E888" t="n">
        <v>1</v>
      </c>
      <c r="F888" t="inlineStr">
        <is>
          <t>2025-11-04</t>
        </is>
      </c>
      <c r="G888" t="n">
        <v>242</v>
      </c>
      <c r="H888" t="inlineStr">
        <is>
          <t>Y</t>
        </is>
      </c>
      <c r="I888">
        <f>HYPERLINK("https://admin.shopify.com/store/ge-beauty-cosmeticos/customers/9832515502400","abrir")</f>
        <v/>
      </c>
      <c r="J888">
        <f>HYPERLINK("https://www.gebeauty.com.br/products/primer-liso-intacto?ref=review","review")</f>
        <v/>
      </c>
      <c r="K888" t="inlineStr">
        <is>
          <t>SEND</t>
        </is>
      </c>
    </row>
    <row r="889">
      <c r="A889" t="inlineStr">
        <is>
          <t>Rosalba</t>
        </is>
      </c>
      <c r="B889" t="inlineStr">
        <is>
          <t>+5554999368266</t>
        </is>
      </c>
      <c r="C889" t="inlineStr">
        <is>
          <t>Refill</t>
        </is>
      </c>
      <c r="D889" t="inlineStr">
        <is>
          <t>Primer Liso</t>
        </is>
      </c>
      <c r="E889" t="n">
        <v>1</v>
      </c>
      <c r="F889" t="inlineStr">
        <is>
          <t>2025-11-04</t>
        </is>
      </c>
      <c r="G889" t="n">
        <v>242</v>
      </c>
      <c r="H889" t="inlineStr">
        <is>
          <t>Y</t>
        </is>
      </c>
      <c r="I889">
        <f>HYPERLINK("https://admin.shopify.com/store/ge-beauty-cosmeticos/customers/9832999354688","abrir")</f>
        <v/>
      </c>
      <c r="J889">
        <f>HYPERLINK("https://www.gebeauty.com.br/products/primer-liso-intacto?ref=review","review")</f>
        <v/>
      </c>
      <c r="K889" t="inlineStr">
        <is>
          <t>SEND</t>
        </is>
      </c>
    </row>
    <row r="890">
      <c r="A890" t="inlineStr">
        <is>
          <t>Thaise</t>
        </is>
      </c>
      <c r="B890" t="inlineStr">
        <is>
          <t>+5511981665651</t>
        </is>
      </c>
      <c r="C890" t="inlineStr">
        <is>
          <t>Refill</t>
        </is>
      </c>
      <c r="D890" t="inlineStr">
        <is>
          <t>Primer Liso</t>
        </is>
      </c>
      <c r="E890" t="n">
        <v>1</v>
      </c>
      <c r="F890" t="inlineStr">
        <is>
          <t>2025-11-04</t>
        </is>
      </c>
      <c r="G890" t="n">
        <v>242</v>
      </c>
      <c r="H890" t="inlineStr">
        <is>
          <t>Y</t>
        </is>
      </c>
      <c r="I890">
        <f>HYPERLINK("https://admin.shopify.com/store/ge-beauty-cosmeticos/customers/7760403628352","abrir")</f>
        <v/>
      </c>
      <c r="J890">
        <f>HYPERLINK("https://www.gebeauty.com.br/products/primer-liso-intacto?ref=review","review")</f>
        <v/>
      </c>
      <c r="K890" t="inlineStr">
        <is>
          <t>SEND</t>
        </is>
      </c>
    </row>
    <row r="891">
      <c r="A891" t="inlineStr">
        <is>
          <t>Suzana</t>
        </is>
      </c>
      <c r="B891" t="inlineStr">
        <is>
          <t>+5511994152215</t>
        </is>
      </c>
      <c r="C891" t="inlineStr">
        <is>
          <t>Refill</t>
        </is>
      </c>
      <c r="D891" t="inlineStr">
        <is>
          <t>Primer Liso</t>
        </is>
      </c>
      <c r="E891" t="n">
        <v>1</v>
      </c>
      <c r="F891" t="inlineStr">
        <is>
          <t>2025-11-05</t>
        </is>
      </c>
      <c r="G891" t="n">
        <v>241</v>
      </c>
      <c r="H891" t="inlineStr">
        <is>
          <t>Y</t>
        </is>
      </c>
      <c r="I891">
        <f>HYPERLINK("https://admin.shopify.com/store/ge-beauty-cosmeticos/customers/9486203126080","abrir")</f>
        <v/>
      </c>
      <c r="J891">
        <f>HYPERLINK("https://www.gebeauty.com.br/products/primer-liso-intacto?ref=review","review")</f>
        <v/>
      </c>
      <c r="K891" t="inlineStr">
        <is>
          <t>SEND</t>
        </is>
      </c>
    </row>
    <row r="892">
      <c r="A892" t="inlineStr">
        <is>
          <t>Dannyelly</t>
        </is>
      </c>
      <c r="B892" t="inlineStr">
        <is>
          <t>+5561999980656</t>
        </is>
      </c>
      <c r="C892" t="inlineStr">
        <is>
          <t>Refill</t>
        </is>
      </c>
      <c r="D892" t="inlineStr">
        <is>
          <t>Primer Liso</t>
        </is>
      </c>
      <c r="E892" t="n">
        <v>1</v>
      </c>
      <c r="F892" t="inlineStr">
        <is>
          <t>2025-11-05</t>
        </is>
      </c>
      <c r="G892" t="n">
        <v>241</v>
      </c>
      <c r="H892" t="inlineStr">
        <is>
          <t>Y</t>
        </is>
      </c>
      <c r="I892">
        <f>HYPERLINK("https://admin.shopify.com/store/ge-beauty-cosmeticos/customers/9485738541376","abrir")</f>
        <v/>
      </c>
      <c r="J892">
        <f>HYPERLINK("https://www.gebeauty.com.br/products/primer-liso-intacto?ref=review","review")</f>
        <v/>
      </c>
      <c r="K892" t="inlineStr">
        <is>
          <t>SEND</t>
        </is>
      </c>
    </row>
    <row r="893">
      <c r="A893" t="inlineStr">
        <is>
          <t>Elaine</t>
        </is>
      </c>
      <c r="B893" t="inlineStr">
        <is>
          <t>+5561981381912</t>
        </is>
      </c>
      <c r="C893" t="inlineStr">
        <is>
          <t>Refill</t>
        </is>
      </c>
      <c r="D893" t="inlineStr">
        <is>
          <t>Primer Liso</t>
        </is>
      </c>
      <c r="E893" t="n">
        <v>1</v>
      </c>
      <c r="F893" t="inlineStr">
        <is>
          <t>2025-11-05</t>
        </is>
      </c>
      <c r="G893" t="n">
        <v>241</v>
      </c>
      <c r="H893" t="inlineStr">
        <is>
          <t>Y</t>
        </is>
      </c>
      <c r="I893">
        <f>HYPERLINK("https://admin.shopify.com/store/ge-beauty-cosmeticos/customers/8426087874880","abrir")</f>
        <v/>
      </c>
      <c r="J893">
        <f>HYPERLINK("https://www.gebeauty.com.br/products/primer-liso-intacto?ref=review","review")</f>
        <v/>
      </c>
      <c r="K893" t="inlineStr">
        <is>
          <t>SEND</t>
        </is>
      </c>
    </row>
    <row r="894">
      <c r="A894" t="inlineStr">
        <is>
          <t>Mariana</t>
        </is>
      </c>
      <c r="B894" t="inlineStr">
        <is>
          <t>+5581998544544</t>
        </is>
      </c>
      <c r="C894" t="inlineStr">
        <is>
          <t>Refill</t>
        </is>
      </c>
      <c r="D894" t="inlineStr">
        <is>
          <t>Primer Liso</t>
        </is>
      </c>
      <c r="E894" t="n">
        <v>1</v>
      </c>
      <c r="F894" t="inlineStr">
        <is>
          <t>2025-11-05</t>
        </is>
      </c>
      <c r="G894" t="n">
        <v>241</v>
      </c>
      <c r="H894" t="inlineStr">
        <is>
          <t>Y</t>
        </is>
      </c>
      <c r="I894">
        <f>HYPERLINK("https://admin.shopify.com/store/ge-beauty-cosmeticos/customers/7761443127616","abrir")</f>
        <v/>
      </c>
      <c r="J894">
        <f>HYPERLINK("https://www.gebeauty.com.br/products/primer-liso-intacto?ref=review","review")</f>
        <v/>
      </c>
      <c r="K894" t="inlineStr">
        <is>
          <t>HOLDOUT</t>
        </is>
      </c>
    </row>
    <row r="895">
      <c r="A895" t="inlineStr">
        <is>
          <t>Caroline</t>
        </is>
      </c>
      <c r="B895" t="inlineStr">
        <is>
          <t>+5527998183135</t>
        </is>
      </c>
      <c r="C895" t="inlineStr">
        <is>
          <t>Refill</t>
        </is>
      </c>
      <c r="D895" t="inlineStr">
        <is>
          <t>Primer Liso</t>
        </is>
      </c>
      <c r="E895" t="n">
        <v>1</v>
      </c>
      <c r="F895" t="inlineStr">
        <is>
          <t>2025-11-05</t>
        </is>
      </c>
      <c r="G895" t="n">
        <v>241</v>
      </c>
      <c r="H895" t="inlineStr">
        <is>
          <t>Y</t>
        </is>
      </c>
      <c r="I895">
        <f>HYPERLINK("https://admin.shopify.com/store/ge-beauty-cosmeticos/customers/9171218170176","abrir")</f>
        <v/>
      </c>
      <c r="J895">
        <f>HYPERLINK("https://www.gebeauty.com.br/products/primer-liso-intacto?ref=review","review")</f>
        <v/>
      </c>
      <c r="K895" t="inlineStr">
        <is>
          <t>SEND</t>
        </is>
      </c>
    </row>
    <row r="896">
      <c r="A896" t="inlineStr">
        <is>
          <t>Daniele</t>
        </is>
      </c>
      <c r="B896" t="inlineStr">
        <is>
          <t>+5511961660003</t>
        </is>
      </c>
      <c r="C896" t="inlineStr">
        <is>
          <t>Refill</t>
        </is>
      </c>
      <c r="D896" t="inlineStr">
        <is>
          <t>Primer Liso</t>
        </is>
      </c>
      <c r="E896" t="n">
        <v>1</v>
      </c>
      <c r="F896" t="inlineStr">
        <is>
          <t>2025-11-05</t>
        </is>
      </c>
      <c r="G896" t="n">
        <v>241</v>
      </c>
      <c r="H896" t="inlineStr">
        <is>
          <t>Y</t>
        </is>
      </c>
      <c r="I896">
        <f>HYPERLINK("https://admin.shopify.com/store/ge-beauty-cosmeticos/customers/9666097054016","abrir")</f>
        <v/>
      </c>
      <c r="J896">
        <f>HYPERLINK("https://www.gebeauty.com.br/products/primer-liso-intacto?ref=review","review")</f>
        <v/>
      </c>
      <c r="K896" t="inlineStr">
        <is>
          <t>SEND</t>
        </is>
      </c>
    </row>
    <row r="897">
      <c r="A897" t="inlineStr">
        <is>
          <t>Isadora</t>
        </is>
      </c>
      <c r="B897" t="inlineStr">
        <is>
          <t>+5511914168921</t>
        </is>
      </c>
      <c r="C897" t="inlineStr">
        <is>
          <t>Refill</t>
        </is>
      </c>
      <c r="D897" t="inlineStr">
        <is>
          <t>Primer Liso</t>
        </is>
      </c>
      <c r="E897" t="n">
        <v>1</v>
      </c>
      <c r="F897" t="inlineStr">
        <is>
          <t>2025-11-05</t>
        </is>
      </c>
      <c r="G897" t="n">
        <v>241</v>
      </c>
      <c r="H897" t="inlineStr">
        <is>
          <t>Y</t>
        </is>
      </c>
      <c r="I897">
        <f>HYPERLINK("https://admin.shopify.com/store/ge-beauty-cosmeticos/customers/9834656039232","abrir")</f>
        <v/>
      </c>
      <c r="J897">
        <f>HYPERLINK("https://www.gebeauty.com.br/products/primer-liso-intacto?ref=review","review")</f>
        <v/>
      </c>
      <c r="K897" t="inlineStr">
        <is>
          <t>SEND</t>
        </is>
      </c>
    </row>
    <row r="898">
      <c r="A898" t="inlineStr">
        <is>
          <t>Carolyne</t>
        </is>
      </c>
      <c r="B898" t="inlineStr">
        <is>
          <t>+5585992210142</t>
        </is>
      </c>
      <c r="C898" t="inlineStr">
        <is>
          <t>Refill</t>
        </is>
      </c>
      <c r="D898" t="inlineStr">
        <is>
          <t>Primer Liso</t>
        </is>
      </c>
      <c r="E898" t="n">
        <v>1</v>
      </c>
      <c r="F898" t="inlineStr">
        <is>
          <t>2025-11-05</t>
        </is>
      </c>
      <c r="G898" t="n">
        <v>241</v>
      </c>
      <c r="H898" t="inlineStr">
        <is>
          <t>Y</t>
        </is>
      </c>
      <c r="I898">
        <f>HYPERLINK("https://admin.shopify.com/store/ge-beauty-cosmeticos/customers/9834834985280","abrir")</f>
        <v/>
      </c>
      <c r="J898">
        <f>HYPERLINK("https://www.gebeauty.com.br/products/primer-liso-intacto?ref=review","review")</f>
        <v/>
      </c>
      <c r="K898" t="inlineStr">
        <is>
          <t>SEND</t>
        </is>
      </c>
    </row>
    <row r="899">
      <c r="A899" t="inlineStr">
        <is>
          <t>Susana</t>
        </is>
      </c>
      <c r="B899" t="inlineStr">
        <is>
          <t>+5511999202224</t>
        </is>
      </c>
      <c r="C899" t="inlineStr">
        <is>
          <t>Refill</t>
        </is>
      </c>
      <c r="D899" t="inlineStr">
        <is>
          <t>Primer Liso</t>
        </is>
      </c>
      <c r="E899" t="n">
        <v>1</v>
      </c>
      <c r="F899" t="inlineStr">
        <is>
          <t>2025-11-05</t>
        </is>
      </c>
      <c r="G899" t="n">
        <v>241</v>
      </c>
      <c r="H899" t="inlineStr">
        <is>
          <t>Y</t>
        </is>
      </c>
      <c r="I899">
        <f>HYPERLINK("https://admin.shopify.com/store/ge-beauty-cosmeticos/customers/9834980802880","abrir")</f>
        <v/>
      </c>
      <c r="J899">
        <f>HYPERLINK("https://www.gebeauty.com.br/products/primer-liso-intacto?ref=review","review")</f>
        <v/>
      </c>
      <c r="K899" t="inlineStr">
        <is>
          <t>SEND</t>
        </is>
      </c>
    </row>
    <row r="900">
      <c r="A900" t="inlineStr">
        <is>
          <t>Roberta</t>
        </is>
      </c>
      <c r="B900" t="inlineStr">
        <is>
          <t>+5521976954046</t>
        </is>
      </c>
      <c r="C900" t="inlineStr">
        <is>
          <t>Refill</t>
        </is>
      </c>
      <c r="D900" t="inlineStr">
        <is>
          <t>Primer Liso</t>
        </is>
      </c>
      <c r="E900" t="n">
        <v>1</v>
      </c>
      <c r="F900" t="inlineStr">
        <is>
          <t>2025-11-06</t>
        </is>
      </c>
      <c r="G900" t="n">
        <v>240</v>
      </c>
      <c r="H900" t="inlineStr">
        <is>
          <t>Y</t>
        </is>
      </c>
      <c r="I900">
        <f>HYPERLINK("https://admin.shopify.com/store/ge-beauty-cosmeticos/customers/9835905876288","abrir")</f>
        <v/>
      </c>
      <c r="J900">
        <f>HYPERLINK("https://www.gebeauty.com.br/products/primer-liso-intacto?ref=review","review")</f>
        <v/>
      </c>
      <c r="K900" t="inlineStr">
        <is>
          <t>SEND</t>
        </is>
      </c>
    </row>
    <row r="901">
      <c r="A901" t="inlineStr">
        <is>
          <t>Fabiana</t>
        </is>
      </c>
      <c r="B901" t="inlineStr">
        <is>
          <t>+5519982052551</t>
        </is>
      </c>
      <c r="C901" t="inlineStr">
        <is>
          <t>Refill</t>
        </is>
      </c>
      <c r="D901" t="inlineStr">
        <is>
          <t>Primer Liso</t>
        </is>
      </c>
      <c r="E901" t="n">
        <v>1</v>
      </c>
      <c r="F901" t="inlineStr">
        <is>
          <t>2025-11-06</t>
        </is>
      </c>
      <c r="G901" t="n">
        <v>240</v>
      </c>
      <c r="H901" t="inlineStr">
        <is>
          <t>Y</t>
        </is>
      </c>
      <c r="I901">
        <f>HYPERLINK("https://admin.shopify.com/store/ge-beauty-cosmeticos/customers/9777093083456","abrir")</f>
        <v/>
      </c>
      <c r="J901">
        <f>HYPERLINK("https://www.gebeauty.com.br/products/primer-liso-intacto?ref=review","review")</f>
        <v/>
      </c>
      <c r="K901" t="inlineStr">
        <is>
          <t>HOLDOUT</t>
        </is>
      </c>
    </row>
    <row r="902">
      <c r="A902" t="inlineStr">
        <is>
          <t>Stella</t>
        </is>
      </c>
      <c r="B902" t="inlineStr">
        <is>
          <t>+5519998528125</t>
        </is>
      </c>
      <c r="C902" t="inlineStr">
        <is>
          <t>Refill</t>
        </is>
      </c>
      <c r="D902" t="inlineStr">
        <is>
          <t>Primer Liso</t>
        </is>
      </c>
      <c r="E902" t="n">
        <v>1</v>
      </c>
      <c r="F902" t="inlineStr">
        <is>
          <t>2025-11-06</t>
        </is>
      </c>
      <c r="G902" t="n">
        <v>240</v>
      </c>
      <c r="H902" t="inlineStr">
        <is>
          <t>Y</t>
        </is>
      </c>
      <c r="I902">
        <f>HYPERLINK("https://admin.shopify.com/store/ge-beauty-cosmeticos/customers/9727292965184","abrir")</f>
        <v/>
      </c>
      <c r="J902">
        <f>HYPERLINK("https://www.gebeauty.com.br/products/primer-liso-intacto?ref=review","review")</f>
        <v/>
      </c>
      <c r="K902" t="inlineStr">
        <is>
          <t>SEND</t>
        </is>
      </c>
    </row>
    <row r="903">
      <c r="A903" t="inlineStr">
        <is>
          <t>Sofia</t>
        </is>
      </c>
      <c r="B903" t="inlineStr">
        <is>
          <t>+5511984398224</t>
        </is>
      </c>
      <c r="C903" t="inlineStr">
        <is>
          <t>Refill</t>
        </is>
      </c>
      <c r="D903" t="inlineStr">
        <is>
          <t>Primer Liso</t>
        </is>
      </c>
      <c r="E903" t="n">
        <v>1</v>
      </c>
      <c r="F903" t="inlineStr">
        <is>
          <t>2025-11-06</t>
        </is>
      </c>
      <c r="G903" t="n">
        <v>240</v>
      </c>
      <c r="H903" t="inlineStr">
        <is>
          <t>Y</t>
        </is>
      </c>
      <c r="I903">
        <f>HYPERLINK("https://admin.shopify.com/store/ge-beauty-cosmeticos/customers/9837020447040","abrir")</f>
        <v/>
      </c>
      <c r="J903">
        <f>HYPERLINK("https://www.gebeauty.com.br/products/primer-liso-intacto?ref=review","review")</f>
        <v/>
      </c>
      <c r="K903" t="inlineStr">
        <is>
          <t>SEND</t>
        </is>
      </c>
    </row>
    <row r="904">
      <c r="A904" t="inlineStr">
        <is>
          <t>Emília</t>
        </is>
      </c>
      <c r="B904" t="inlineStr">
        <is>
          <t>+5541999381541</t>
        </is>
      </c>
      <c r="C904" t="inlineStr">
        <is>
          <t>Refill</t>
        </is>
      </c>
      <c r="D904" t="inlineStr">
        <is>
          <t>Primer Liso</t>
        </is>
      </c>
      <c r="E904" t="n">
        <v>1</v>
      </c>
      <c r="F904" t="inlineStr">
        <is>
          <t>2025-11-06</t>
        </is>
      </c>
      <c r="G904" t="n">
        <v>240</v>
      </c>
      <c r="H904" t="inlineStr">
        <is>
          <t>Y</t>
        </is>
      </c>
      <c r="I904">
        <f>HYPERLINK("https://admin.shopify.com/store/ge-beauty-cosmeticos/customers/9837372014912","abrir")</f>
        <v/>
      </c>
      <c r="J904">
        <f>HYPERLINK("https://www.gebeauty.com.br/products/primer-liso-intacto?ref=review","review")</f>
        <v/>
      </c>
      <c r="K904" t="inlineStr">
        <is>
          <t>HOLDOUT</t>
        </is>
      </c>
    </row>
    <row r="905">
      <c r="A905" t="inlineStr">
        <is>
          <t>Raiene</t>
        </is>
      </c>
      <c r="B905" t="inlineStr">
        <is>
          <t>+5521971081521</t>
        </is>
      </c>
      <c r="C905" t="inlineStr">
        <is>
          <t>Refill</t>
        </is>
      </c>
      <c r="D905" t="inlineStr">
        <is>
          <t>Primer Liso</t>
        </is>
      </c>
      <c r="E905" t="n">
        <v>1</v>
      </c>
      <c r="F905" t="inlineStr">
        <is>
          <t>2025-11-06</t>
        </is>
      </c>
      <c r="G905" t="n">
        <v>240</v>
      </c>
      <c r="H905" t="inlineStr">
        <is>
          <t>Y</t>
        </is>
      </c>
      <c r="I905">
        <f>HYPERLINK("https://admin.shopify.com/store/ge-beauty-cosmeticos/customers/9484997722432","abrir")</f>
        <v/>
      </c>
      <c r="J905">
        <f>HYPERLINK("https://www.gebeauty.com.br/products/primer-liso-intacto?ref=review","review")</f>
        <v/>
      </c>
      <c r="K905" t="inlineStr">
        <is>
          <t>SEND</t>
        </is>
      </c>
    </row>
    <row r="906">
      <c r="A906" t="inlineStr">
        <is>
          <t>Gabriel</t>
        </is>
      </c>
      <c r="B906" t="inlineStr">
        <is>
          <t>+5511976756121</t>
        </is>
      </c>
      <c r="C906" t="inlineStr">
        <is>
          <t>Refill</t>
        </is>
      </c>
      <c r="D906" t="inlineStr">
        <is>
          <t>Primer Liso</t>
        </is>
      </c>
      <c r="E906" t="n">
        <v>1</v>
      </c>
      <c r="F906" t="inlineStr">
        <is>
          <t>2025-11-06</t>
        </is>
      </c>
      <c r="G906" t="n">
        <v>240</v>
      </c>
      <c r="H906" t="inlineStr">
        <is>
          <t>Y</t>
        </is>
      </c>
      <c r="I906">
        <f>HYPERLINK("https://admin.shopify.com/store/ge-beauty-cosmeticos/customers/9838150156608","abrir")</f>
        <v/>
      </c>
      <c r="J906">
        <f>HYPERLINK("https://www.gebeauty.com.br/products/primer-liso-intacto?ref=review","review")</f>
        <v/>
      </c>
      <c r="K906" t="inlineStr">
        <is>
          <t>SEND</t>
        </is>
      </c>
    </row>
    <row r="907">
      <c r="A907" t="inlineStr">
        <is>
          <t>Camila</t>
        </is>
      </c>
      <c r="B907" t="inlineStr">
        <is>
          <t>+5521982262560</t>
        </is>
      </c>
      <c r="C907" t="inlineStr">
        <is>
          <t>Refill</t>
        </is>
      </c>
      <c r="D907" t="inlineStr">
        <is>
          <t>Primer Liso</t>
        </is>
      </c>
      <c r="E907" t="n">
        <v>1</v>
      </c>
      <c r="F907" t="inlineStr">
        <is>
          <t>2025-11-06</t>
        </is>
      </c>
      <c r="G907" t="n">
        <v>240</v>
      </c>
      <c r="H907" t="inlineStr">
        <is>
          <t>Y</t>
        </is>
      </c>
      <c r="I907">
        <f>HYPERLINK("https://admin.shopify.com/store/ge-beauty-cosmeticos/customers/9838158872896","abrir")</f>
        <v/>
      </c>
      <c r="J907">
        <f>HYPERLINK("https://www.gebeauty.com.br/products/primer-liso-intacto?ref=review","review")</f>
        <v/>
      </c>
      <c r="K907" t="inlineStr">
        <is>
          <t>SEND</t>
        </is>
      </c>
    </row>
    <row r="908">
      <c r="A908" t="inlineStr">
        <is>
          <t>Estêvão</t>
        </is>
      </c>
      <c r="B908" t="inlineStr">
        <is>
          <t>+5547996864004</t>
        </is>
      </c>
      <c r="C908" t="inlineStr">
        <is>
          <t>Refill</t>
        </is>
      </c>
      <c r="D908" t="inlineStr">
        <is>
          <t>Primer Liso</t>
        </is>
      </c>
      <c r="E908" t="n">
        <v>1</v>
      </c>
      <c r="F908" t="inlineStr">
        <is>
          <t>2025-11-06</t>
        </is>
      </c>
      <c r="G908" t="n">
        <v>240</v>
      </c>
      <c r="H908" t="inlineStr">
        <is>
          <t>Y</t>
        </is>
      </c>
      <c r="I908">
        <f>HYPERLINK("https://admin.shopify.com/store/ge-beauty-cosmeticos/customers/9838185054528","abrir")</f>
        <v/>
      </c>
      <c r="J908">
        <f>HYPERLINK("https://www.gebeauty.com.br/products/primer-liso-intacto?ref=review","review")</f>
        <v/>
      </c>
      <c r="K908" t="inlineStr">
        <is>
          <t>SEND</t>
        </is>
      </c>
    </row>
    <row r="909">
      <c r="A909" t="inlineStr">
        <is>
          <t>Elizabeth</t>
        </is>
      </c>
      <c r="B909" t="inlineStr">
        <is>
          <t>+5511967199220</t>
        </is>
      </c>
      <c r="C909" t="inlineStr">
        <is>
          <t>Refill</t>
        </is>
      </c>
      <c r="D909" t="inlineStr">
        <is>
          <t>Primer Liso</t>
        </is>
      </c>
      <c r="E909" t="n">
        <v>1</v>
      </c>
      <c r="F909" t="inlineStr">
        <is>
          <t>2025-11-06</t>
        </is>
      </c>
      <c r="G909" t="n">
        <v>240</v>
      </c>
      <c r="H909" t="inlineStr">
        <is>
          <t>Y</t>
        </is>
      </c>
      <c r="I909">
        <f>HYPERLINK("https://admin.shopify.com/store/ge-beauty-cosmeticos/customers/9838332281152","abrir")</f>
        <v/>
      </c>
      <c r="J909">
        <f>HYPERLINK("https://www.gebeauty.com.br/products/primer-liso-intacto?ref=review","review")</f>
        <v/>
      </c>
      <c r="K909" t="inlineStr">
        <is>
          <t>SEND</t>
        </is>
      </c>
    </row>
    <row r="910">
      <c r="A910" t="inlineStr">
        <is>
          <t>Rafaela</t>
        </is>
      </c>
      <c r="B910" t="inlineStr">
        <is>
          <t>+5531999983222</t>
        </is>
      </c>
      <c r="C910" t="inlineStr">
        <is>
          <t>Refill</t>
        </is>
      </c>
      <c r="D910" t="inlineStr">
        <is>
          <t>Primer Liso</t>
        </is>
      </c>
      <c r="E910" t="n">
        <v>1</v>
      </c>
      <c r="F910" t="inlineStr">
        <is>
          <t>2025-11-06</t>
        </is>
      </c>
      <c r="G910" t="n">
        <v>240</v>
      </c>
      <c r="H910" t="inlineStr">
        <is>
          <t>Y</t>
        </is>
      </c>
      <c r="I910">
        <f>HYPERLINK("https://admin.shopify.com/store/ge-beauty-cosmeticos/customers/9486053802304","abrir")</f>
        <v/>
      </c>
      <c r="J910">
        <f>HYPERLINK("https://www.gebeauty.com.br/products/primer-liso-intacto?ref=review","review")</f>
        <v/>
      </c>
      <c r="K910" t="inlineStr">
        <is>
          <t>SEND</t>
        </is>
      </c>
    </row>
    <row r="911">
      <c r="A911" t="inlineStr">
        <is>
          <t>Caroline</t>
        </is>
      </c>
      <c r="B911" t="inlineStr">
        <is>
          <t>+5561981182701</t>
        </is>
      </c>
      <c r="C911" t="inlineStr">
        <is>
          <t>Refill</t>
        </is>
      </c>
      <c r="D911" t="inlineStr">
        <is>
          <t>Primer Liso</t>
        </is>
      </c>
      <c r="E911" t="n">
        <v>1</v>
      </c>
      <c r="F911" t="inlineStr">
        <is>
          <t>2025-11-06</t>
        </is>
      </c>
      <c r="G911" t="n">
        <v>240</v>
      </c>
      <c r="H911" t="inlineStr">
        <is>
          <t>Y</t>
        </is>
      </c>
      <c r="I911">
        <f>HYPERLINK("https://admin.shopify.com/store/ge-beauty-cosmeticos/customers/9835820908864","abrir")</f>
        <v/>
      </c>
      <c r="J911">
        <f>HYPERLINK("https://www.gebeauty.com.br/products/primer-liso-intacto?ref=review","review")</f>
        <v/>
      </c>
      <c r="K911" t="inlineStr">
        <is>
          <t>HOLDOUT</t>
        </is>
      </c>
    </row>
    <row r="912">
      <c r="A912" t="inlineStr">
        <is>
          <t>Isabella</t>
        </is>
      </c>
      <c r="B912" t="inlineStr">
        <is>
          <t>+5516997005353</t>
        </is>
      </c>
      <c r="C912" t="inlineStr">
        <is>
          <t>Refill</t>
        </is>
      </c>
      <c r="D912" t="inlineStr">
        <is>
          <t>Primer Liso</t>
        </is>
      </c>
      <c r="E912" t="n">
        <v>1</v>
      </c>
      <c r="F912" t="inlineStr">
        <is>
          <t>2025-11-07</t>
        </is>
      </c>
      <c r="G912" t="n">
        <v>239</v>
      </c>
      <c r="H912" t="inlineStr">
        <is>
          <t>Y</t>
        </is>
      </c>
      <c r="I912">
        <f>HYPERLINK("https://admin.shopify.com/store/ge-beauty-cosmeticos/customers/7759123513664","abrir")</f>
        <v/>
      </c>
      <c r="J912">
        <f>HYPERLINK("https://www.gebeauty.com.br/products/primer-liso-intacto?ref=review","review")</f>
        <v/>
      </c>
      <c r="K912" t="inlineStr">
        <is>
          <t>SEND</t>
        </is>
      </c>
    </row>
    <row r="913">
      <c r="A913" t="inlineStr">
        <is>
          <t>Bruna</t>
        </is>
      </c>
      <c r="B913" t="inlineStr">
        <is>
          <t>+5521980591111</t>
        </is>
      </c>
      <c r="C913" t="inlineStr">
        <is>
          <t>Refill</t>
        </is>
      </c>
      <c r="D913" t="inlineStr">
        <is>
          <t>Primer Liso</t>
        </is>
      </c>
      <c r="E913" t="n">
        <v>1</v>
      </c>
      <c r="F913" t="inlineStr">
        <is>
          <t>2025-11-07</t>
        </is>
      </c>
      <c r="G913" t="n">
        <v>239</v>
      </c>
      <c r="H913" t="inlineStr">
        <is>
          <t>Y</t>
        </is>
      </c>
      <c r="I913">
        <f>HYPERLINK("https://admin.shopify.com/store/ge-beauty-cosmeticos/customers/9837980451136","abrir")</f>
        <v/>
      </c>
      <c r="J913">
        <f>HYPERLINK("https://www.gebeauty.com.br/products/primer-liso-intacto?ref=review","review")</f>
        <v/>
      </c>
      <c r="K913" t="inlineStr">
        <is>
          <t>SEND</t>
        </is>
      </c>
    </row>
    <row r="914">
      <c r="A914" t="inlineStr">
        <is>
          <t>Albercia</t>
        </is>
      </c>
      <c r="B914" t="inlineStr">
        <is>
          <t>+5581981343059</t>
        </is>
      </c>
      <c r="C914" t="inlineStr">
        <is>
          <t>Refill</t>
        </is>
      </c>
      <c r="D914" t="inlineStr">
        <is>
          <t>Primer Liso</t>
        </is>
      </c>
      <c r="E914" t="n">
        <v>1</v>
      </c>
      <c r="F914" t="inlineStr">
        <is>
          <t>2025-11-07</t>
        </is>
      </c>
      <c r="G914" t="n">
        <v>239</v>
      </c>
      <c r="H914" t="inlineStr">
        <is>
          <t>Y</t>
        </is>
      </c>
      <c r="I914">
        <f>HYPERLINK("https://admin.shopify.com/store/ge-beauty-cosmeticos/customers/9838161494336","abrir")</f>
        <v/>
      </c>
      <c r="J914">
        <f>HYPERLINK("https://www.gebeauty.com.br/products/primer-liso-intacto?ref=review","review")</f>
        <v/>
      </c>
      <c r="K914" t="inlineStr">
        <is>
          <t>HOLDOUT</t>
        </is>
      </c>
    </row>
    <row r="915">
      <c r="A915" t="inlineStr">
        <is>
          <t>Julia</t>
        </is>
      </c>
      <c r="B915" t="inlineStr">
        <is>
          <t>+5511993930302</t>
        </is>
      </c>
      <c r="C915" t="inlineStr">
        <is>
          <t>Refill</t>
        </is>
      </c>
      <c r="D915" t="inlineStr">
        <is>
          <t>Primer Liso</t>
        </is>
      </c>
      <c r="E915" t="n">
        <v>1</v>
      </c>
      <c r="F915" t="inlineStr">
        <is>
          <t>2025-11-07</t>
        </is>
      </c>
      <c r="G915" t="n">
        <v>239</v>
      </c>
      <c r="H915" t="inlineStr">
        <is>
          <t>Y</t>
        </is>
      </c>
      <c r="I915">
        <f>HYPERLINK("https://admin.shopify.com/store/ge-beauty-cosmeticos/customers/9839869198656","abrir")</f>
        <v/>
      </c>
      <c r="J915">
        <f>HYPERLINK("https://www.gebeauty.com.br/products/primer-liso-intacto?ref=review","review")</f>
        <v/>
      </c>
      <c r="K915" t="inlineStr">
        <is>
          <t>HOLDOUT</t>
        </is>
      </c>
    </row>
    <row r="916">
      <c r="A916" t="inlineStr">
        <is>
          <t>Renata</t>
        </is>
      </c>
      <c r="B916" t="inlineStr">
        <is>
          <t>+5511991150090</t>
        </is>
      </c>
      <c r="C916" t="inlineStr">
        <is>
          <t>Refill</t>
        </is>
      </c>
      <c r="D916" t="inlineStr">
        <is>
          <t>Primer Liso</t>
        </is>
      </c>
      <c r="E916" t="n">
        <v>1</v>
      </c>
      <c r="F916" t="inlineStr">
        <is>
          <t>2025-11-07</t>
        </is>
      </c>
      <c r="G916" t="n">
        <v>239</v>
      </c>
      <c r="H916" t="inlineStr">
        <is>
          <t>Y</t>
        </is>
      </c>
      <c r="I916">
        <f>HYPERLINK("https://admin.shopify.com/store/ge-beauty-cosmeticos/customers/9840013181248","abrir")</f>
        <v/>
      </c>
      <c r="J916">
        <f>HYPERLINK("https://www.gebeauty.com.br/products/primer-liso-intacto?ref=review","review")</f>
        <v/>
      </c>
      <c r="K916" t="inlineStr">
        <is>
          <t>SEND</t>
        </is>
      </c>
    </row>
    <row r="917">
      <c r="A917" t="inlineStr">
        <is>
          <t>Gabriela</t>
        </is>
      </c>
      <c r="B917" t="inlineStr">
        <is>
          <t>+5531987477275</t>
        </is>
      </c>
      <c r="C917" t="inlineStr">
        <is>
          <t>Refill</t>
        </is>
      </c>
      <c r="D917" t="inlineStr">
        <is>
          <t>Primer Liso</t>
        </is>
      </c>
      <c r="E917" t="n">
        <v>1</v>
      </c>
      <c r="F917" t="inlineStr">
        <is>
          <t>2025-11-07</t>
        </is>
      </c>
      <c r="G917" t="n">
        <v>239</v>
      </c>
      <c r="H917" t="inlineStr">
        <is>
          <t>Y</t>
        </is>
      </c>
      <c r="I917">
        <f>HYPERLINK("https://admin.shopify.com/store/ge-beauty-cosmeticos/customers/8110665892160","abrir")</f>
        <v/>
      </c>
      <c r="J917">
        <f>HYPERLINK("https://www.gebeauty.com.br/products/primer-liso-intacto?ref=review","review")</f>
        <v/>
      </c>
      <c r="K917" t="inlineStr">
        <is>
          <t>SEND</t>
        </is>
      </c>
    </row>
    <row r="918">
      <c r="A918" t="inlineStr">
        <is>
          <t>Ana Carolina</t>
        </is>
      </c>
      <c r="B918" t="inlineStr">
        <is>
          <t>+5531988832766</t>
        </is>
      </c>
      <c r="C918" t="inlineStr">
        <is>
          <t>Refill</t>
        </is>
      </c>
      <c r="D918" t="inlineStr">
        <is>
          <t>Primer Liso</t>
        </is>
      </c>
      <c r="E918" t="n">
        <v>1</v>
      </c>
      <c r="F918" t="inlineStr">
        <is>
          <t>2025-11-08</t>
        </is>
      </c>
      <c r="G918" t="n">
        <v>238</v>
      </c>
      <c r="H918" t="inlineStr">
        <is>
          <t>Y</t>
        </is>
      </c>
      <c r="I918">
        <f>HYPERLINK("https://admin.shopify.com/store/ge-beauty-cosmeticos/customers/9841202233664","abrir")</f>
        <v/>
      </c>
      <c r="J918">
        <f>HYPERLINK("https://www.gebeauty.com.br/products/primer-liso-intacto?ref=review","review")</f>
        <v/>
      </c>
      <c r="K918" t="inlineStr">
        <is>
          <t>SEND</t>
        </is>
      </c>
    </row>
    <row r="919">
      <c r="A919" t="inlineStr">
        <is>
          <t>Carolina</t>
        </is>
      </c>
      <c r="B919" t="inlineStr">
        <is>
          <t>+5543991640120</t>
        </is>
      </c>
      <c r="C919" t="inlineStr">
        <is>
          <t>Refill</t>
        </is>
      </c>
      <c r="D919" t="inlineStr">
        <is>
          <t>Primer Liso</t>
        </is>
      </c>
      <c r="E919" t="n">
        <v>1</v>
      </c>
      <c r="F919" t="inlineStr">
        <is>
          <t>2025-11-08</t>
        </is>
      </c>
      <c r="G919" t="n">
        <v>238</v>
      </c>
      <c r="H919" t="inlineStr">
        <is>
          <t>Y</t>
        </is>
      </c>
      <c r="I919">
        <f>HYPERLINK("https://admin.shopify.com/store/ge-beauty-cosmeticos/customers/9841363583296","abrir")</f>
        <v/>
      </c>
      <c r="J919">
        <f>HYPERLINK("https://www.gebeauty.com.br/products/primer-liso-intacto?ref=review","review")</f>
        <v/>
      </c>
      <c r="K919" t="inlineStr">
        <is>
          <t>SEND</t>
        </is>
      </c>
    </row>
    <row r="920">
      <c r="A920" t="inlineStr">
        <is>
          <t>Mariana</t>
        </is>
      </c>
      <c r="B920" t="inlineStr">
        <is>
          <t>+5521982808678</t>
        </is>
      </c>
      <c r="C920" t="inlineStr">
        <is>
          <t>Refill</t>
        </is>
      </c>
      <c r="D920" t="inlineStr">
        <is>
          <t>Primer Liso</t>
        </is>
      </c>
      <c r="E920" t="n">
        <v>1</v>
      </c>
      <c r="F920" t="inlineStr">
        <is>
          <t>2025-11-08</t>
        </is>
      </c>
      <c r="G920" t="n">
        <v>238</v>
      </c>
      <c r="H920" t="inlineStr">
        <is>
          <t>Y</t>
        </is>
      </c>
      <c r="I920">
        <f>HYPERLINK("https://admin.shopify.com/store/ge-beauty-cosmeticos/customers/9841341169984","abrir")</f>
        <v/>
      </c>
      <c r="J920">
        <f>HYPERLINK("https://www.gebeauty.com.br/products/primer-liso-intacto?ref=review","review")</f>
        <v/>
      </c>
      <c r="K920" t="inlineStr">
        <is>
          <t>SEND</t>
        </is>
      </c>
    </row>
    <row r="921">
      <c r="A921" t="inlineStr">
        <is>
          <t>Carolina</t>
        </is>
      </c>
      <c r="B921" t="inlineStr">
        <is>
          <t>+5585996291777</t>
        </is>
      </c>
      <c r="C921" t="inlineStr">
        <is>
          <t>Refill</t>
        </is>
      </c>
      <c r="D921" t="inlineStr">
        <is>
          <t>Primer Liso</t>
        </is>
      </c>
      <c r="E921" t="n">
        <v>1</v>
      </c>
      <c r="F921" t="inlineStr">
        <is>
          <t>2025-11-08</t>
        </is>
      </c>
      <c r="G921" t="n">
        <v>238</v>
      </c>
      <c r="H921" t="inlineStr">
        <is>
          <t>N</t>
        </is>
      </c>
      <c r="I921">
        <f>HYPERLINK("https://admin.shopify.com/store/ge-beauty-cosmeticos/customers/9786863354176","abrir")</f>
        <v/>
      </c>
      <c r="J921">
        <f>HYPERLINK("https://www.gebeauty.com.br/products/primer-liso-intacto?ref=review","review")</f>
        <v/>
      </c>
      <c r="K921" t="inlineStr">
        <is>
          <t>SEND</t>
        </is>
      </c>
    </row>
    <row r="922">
      <c r="A922" t="inlineStr">
        <is>
          <t>Fernanda</t>
        </is>
      </c>
      <c r="B922" t="inlineStr">
        <is>
          <t>+5511999950847</t>
        </is>
      </c>
      <c r="C922" t="inlineStr">
        <is>
          <t>Refill</t>
        </is>
      </c>
      <c r="D922" t="inlineStr">
        <is>
          <t>Primer Liso</t>
        </is>
      </c>
      <c r="E922" t="n">
        <v>1</v>
      </c>
      <c r="F922" t="inlineStr">
        <is>
          <t>2025-11-08</t>
        </is>
      </c>
      <c r="G922" t="n">
        <v>238</v>
      </c>
      <c r="H922" t="inlineStr">
        <is>
          <t>Y</t>
        </is>
      </c>
      <c r="I922">
        <f>HYPERLINK("https://admin.shopify.com/store/ge-beauty-cosmeticos/customers/8552015069504","abrir")</f>
        <v/>
      </c>
      <c r="J922">
        <f>HYPERLINK("https://www.gebeauty.com.br/products/primer-liso-intacto?ref=review","review")</f>
        <v/>
      </c>
      <c r="K922" t="inlineStr">
        <is>
          <t>SEND</t>
        </is>
      </c>
    </row>
    <row r="923">
      <c r="A923" t="inlineStr">
        <is>
          <t>Valeria</t>
        </is>
      </c>
      <c r="B923" t="inlineStr">
        <is>
          <t>+5531611051229</t>
        </is>
      </c>
      <c r="C923" t="inlineStr">
        <is>
          <t>Refill</t>
        </is>
      </c>
      <c r="D923" t="inlineStr">
        <is>
          <t>Primer Liso</t>
        </is>
      </c>
      <c r="E923" t="n">
        <v>1</v>
      </c>
      <c r="F923" t="inlineStr">
        <is>
          <t>2025-11-08</t>
        </is>
      </c>
      <c r="G923" t="n">
        <v>238</v>
      </c>
      <c r="H923" t="inlineStr">
        <is>
          <t>N</t>
        </is>
      </c>
      <c r="I923">
        <f>HYPERLINK("https://admin.shopify.com/store/ge-beauty-cosmeticos/customers/9841880531264","abrir")</f>
        <v/>
      </c>
      <c r="J923">
        <f>HYPERLINK("https://www.gebeauty.com.br/products/primer-liso-intacto?ref=review","review")</f>
        <v/>
      </c>
      <c r="K923" t="inlineStr">
        <is>
          <t>SEND</t>
        </is>
      </c>
    </row>
    <row r="924">
      <c r="A924" t="inlineStr">
        <is>
          <t>Flávia</t>
        </is>
      </c>
      <c r="B924" t="inlineStr">
        <is>
          <t>+5511999695973</t>
        </is>
      </c>
      <c r="C924" t="inlineStr">
        <is>
          <t>Refill</t>
        </is>
      </c>
      <c r="D924" t="inlineStr">
        <is>
          <t>Primer Liso</t>
        </is>
      </c>
      <c r="E924" t="n">
        <v>1</v>
      </c>
      <c r="F924" t="inlineStr">
        <is>
          <t>2025-11-08</t>
        </is>
      </c>
      <c r="G924" t="n">
        <v>238</v>
      </c>
      <c r="H924" t="inlineStr">
        <is>
          <t>Y</t>
        </is>
      </c>
      <c r="I924">
        <f>HYPERLINK("https://admin.shopify.com/store/ge-beauty-cosmeticos/customers/9608404402496","abrir")</f>
        <v/>
      </c>
      <c r="J924">
        <f>HYPERLINK("https://www.gebeauty.com.br/products/primer-liso-intacto?ref=review","review")</f>
        <v/>
      </c>
      <c r="K924" t="inlineStr">
        <is>
          <t>SEND</t>
        </is>
      </c>
    </row>
    <row r="925">
      <c r="A925" t="inlineStr">
        <is>
          <t>Manoela</t>
        </is>
      </c>
      <c r="B925" t="inlineStr">
        <is>
          <t>+5581996331355</t>
        </is>
      </c>
      <c r="C925" t="inlineStr">
        <is>
          <t>Refill</t>
        </is>
      </c>
      <c r="D925" t="inlineStr">
        <is>
          <t>Primer Liso</t>
        </is>
      </c>
      <c r="E925" t="n">
        <v>1</v>
      </c>
      <c r="F925" t="inlineStr">
        <is>
          <t>2025-11-09</t>
        </is>
      </c>
      <c r="G925" t="n">
        <v>237</v>
      </c>
      <c r="H925" t="inlineStr">
        <is>
          <t>Y</t>
        </is>
      </c>
      <c r="I925">
        <f>HYPERLINK("https://admin.shopify.com/store/ge-beauty-cosmeticos/customers/9842805506368","abrir")</f>
        <v/>
      </c>
      <c r="J925">
        <f>HYPERLINK("https://www.gebeauty.com.br/products/primer-liso-intacto?ref=review","review")</f>
        <v/>
      </c>
      <c r="K925" t="inlineStr">
        <is>
          <t>SEND</t>
        </is>
      </c>
    </row>
    <row r="926">
      <c r="A926" t="inlineStr">
        <is>
          <t>Silvia</t>
        </is>
      </c>
      <c r="B926" t="inlineStr">
        <is>
          <t>+5511984125820</t>
        </is>
      </c>
      <c r="C926" t="inlineStr">
        <is>
          <t>Refill</t>
        </is>
      </c>
      <c r="D926" t="inlineStr">
        <is>
          <t>Primer Liso</t>
        </is>
      </c>
      <c r="E926" t="n">
        <v>1</v>
      </c>
      <c r="F926" t="inlineStr">
        <is>
          <t>2025-11-09</t>
        </is>
      </c>
      <c r="G926" t="n">
        <v>237</v>
      </c>
      <c r="H926" t="inlineStr">
        <is>
          <t>Y</t>
        </is>
      </c>
      <c r="I926">
        <f>HYPERLINK("https://admin.shopify.com/store/ge-beauty-cosmeticos/customers/7760628842816","abrir")</f>
        <v/>
      </c>
      <c r="J926">
        <f>HYPERLINK("https://www.gebeauty.com.br/products/primer-liso-intacto?ref=review","review")</f>
        <v/>
      </c>
      <c r="K926" t="inlineStr">
        <is>
          <t>HOLDOUT</t>
        </is>
      </c>
    </row>
    <row r="927">
      <c r="A927" t="inlineStr">
        <is>
          <t>Vanessa</t>
        </is>
      </c>
      <c r="B927" t="inlineStr">
        <is>
          <t>+5554991797468</t>
        </is>
      </c>
      <c r="C927" t="inlineStr">
        <is>
          <t>Refill</t>
        </is>
      </c>
      <c r="D927" t="inlineStr">
        <is>
          <t>Primer Liso</t>
        </is>
      </c>
      <c r="E927" t="n">
        <v>1</v>
      </c>
      <c r="F927" t="inlineStr">
        <is>
          <t>2025-11-09</t>
        </is>
      </c>
      <c r="G927" t="n">
        <v>237</v>
      </c>
      <c r="H927" t="inlineStr">
        <is>
          <t>Y</t>
        </is>
      </c>
      <c r="I927">
        <f>HYPERLINK("https://admin.shopify.com/store/ge-beauty-cosmeticos/customers/9843569328448","abrir")</f>
        <v/>
      </c>
      <c r="J927">
        <f>HYPERLINK("https://www.gebeauty.com.br/products/primer-liso-intacto?ref=review","review")</f>
        <v/>
      </c>
      <c r="K927" t="inlineStr">
        <is>
          <t>SEND</t>
        </is>
      </c>
    </row>
    <row r="928">
      <c r="A928" t="inlineStr">
        <is>
          <t>Rose</t>
        </is>
      </c>
      <c r="B928" t="inlineStr">
        <is>
          <t>+5548996336633</t>
        </is>
      </c>
      <c r="C928" t="inlineStr">
        <is>
          <t>Refill</t>
        </is>
      </c>
      <c r="D928" t="inlineStr">
        <is>
          <t>Primer Liso</t>
        </is>
      </c>
      <c r="E928" t="n">
        <v>1</v>
      </c>
      <c r="F928" t="inlineStr">
        <is>
          <t>2025-11-09</t>
        </is>
      </c>
      <c r="G928" t="n">
        <v>237</v>
      </c>
      <c r="H928" t="inlineStr">
        <is>
          <t>Y</t>
        </is>
      </c>
      <c r="I928">
        <f>HYPERLINK("https://admin.shopify.com/store/ge-beauty-cosmeticos/customers/7762075779392","abrir")</f>
        <v/>
      </c>
      <c r="J928">
        <f>HYPERLINK("https://www.gebeauty.com.br/products/primer-liso-intacto?ref=review","review")</f>
        <v/>
      </c>
      <c r="K928" t="inlineStr">
        <is>
          <t>SEND</t>
        </is>
      </c>
    </row>
    <row r="929">
      <c r="A929" t="inlineStr">
        <is>
          <t>Emily</t>
        </is>
      </c>
      <c r="B929" t="inlineStr">
        <is>
          <t>+5581995880211</t>
        </is>
      </c>
      <c r="C929" t="inlineStr">
        <is>
          <t>Refill</t>
        </is>
      </c>
      <c r="D929" t="inlineStr">
        <is>
          <t>Primer Liso</t>
        </is>
      </c>
      <c r="E929" t="n">
        <v>1</v>
      </c>
      <c r="F929" t="inlineStr">
        <is>
          <t>2025-11-09</t>
        </is>
      </c>
      <c r="G929" t="n">
        <v>237</v>
      </c>
      <c r="H929" t="inlineStr">
        <is>
          <t>Y</t>
        </is>
      </c>
      <c r="I929">
        <f>HYPERLINK("https://admin.shopify.com/store/ge-beauty-cosmeticos/customers/9624834408768","abrir")</f>
        <v/>
      </c>
      <c r="J929">
        <f>HYPERLINK("https://www.gebeauty.com.br/products/primer-liso-intacto?ref=review","review")</f>
        <v/>
      </c>
      <c r="K929" t="inlineStr">
        <is>
          <t>SEND</t>
        </is>
      </c>
    </row>
    <row r="930">
      <c r="A930" t="inlineStr">
        <is>
          <t>Rebecca</t>
        </is>
      </c>
      <c r="B930" t="inlineStr">
        <is>
          <t>+5581981024321</t>
        </is>
      </c>
      <c r="C930" t="inlineStr">
        <is>
          <t>Refill</t>
        </is>
      </c>
      <c r="D930" t="inlineStr">
        <is>
          <t>Primer Liso</t>
        </is>
      </c>
      <c r="E930" t="n">
        <v>1</v>
      </c>
      <c r="F930" t="inlineStr">
        <is>
          <t>2025-11-09</t>
        </is>
      </c>
      <c r="G930" t="n">
        <v>237</v>
      </c>
      <c r="H930" t="inlineStr">
        <is>
          <t>Y</t>
        </is>
      </c>
      <c r="I930">
        <f>HYPERLINK("https://admin.shopify.com/store/ge-beauty-cosmeticos/customers/9485765378368","abrir")</f>
        <v/>
      </c>
      <c r="J930">
        <f>HYPERLINK("https://www.gebeauty.com.br/products/primer-liso-intacto?ref=review","review")</f>
        <v/>
      </c>
      <c r="K930" t="inlineStr">
        <is>
          <t>SEND</t>
        </is>
      </c>
    </row>
    <row r="931">
      <c r="A931" t="inlineStr">
        <is>
          <t>Ana</t>
        </is>
      </c>
      <c r="B931" t="inlineStr">
        <is>
          <t>+5531999102500</t>
        </is>
      </c>
      <c r="C931" t="inlineStr">
        <is>
          <t>Refill</t>
        </is>
      </c>
      <c r="D931" t="inlineStr">
        <is>
          <t>Primer Liso</t>
        </is>
      </c>
      <c r="E931" t="n">
        <v>1</v>
      </c>
      <c r="F931" t="inlineStr">
        <is>
          <t>2025-11-09</t>
        </is>
      </c>
      <c r="G931" t="n">
        <v>237</v>
      </c>
      <c r="H931" t="inlineStr">
        <is>
          <t>Y</t>
        </is>
      </c>
      <c r="I931">
        <f>HYPERLINK("https://admin.shopify.com/store/ge-beauty-cosmeticos/customers/9844349010240","abrir")</f>
        <v/>
      </c>
      <c r="J931">
        <f>HYPERLINK("https://www.gebeauty.com.br/products/primer-liso-intacto?ref=review","review")</f>
        <v/>
      </c>
      <c r="K931" t="inlineStr">
        <is>
          <t>SEND</t>
        </is>
      </c>
    </row>
    <row r="932">
      <c r="A932" t="inlineStr">
        <is>
          <t>Ana</t>
        </is>
      </c>
      <c r="B932" t="inlineStr">
        <is>
          <t>+5585991419105</t>
        </is>
      </c>
      <c r="C932" t="inlineStr">
        <is>
          <t>Refill</t>
        </is>
      </c>
      <c r="D932" t="inlineStr">
        <is>
          <t>Primer Liso</t>
        </is>
      </c>
      <c r="E932" t="n">
        <v>1</v>
      </c>
      <c r="F932" t="inlineStr">
        <is>
          <t>2025-11-09</t>
        </is>
      </c>
      <c r="G932" t="n">
        <v>237</v>
      </c>
      <c r="H932" t="inlineStr">
        <is>
          <t>Y</t>
        </is>
      </c>
      <c r="I932">
        <f>HYPERLINK("https://admin.shopify.com/store/ge-beauty-cosmeticos/customers/9486168031552","abrir")</f>
        <v/>
      </c>
      <c r="J932">
        <f>HYPERLINK("https://www.gebeauty.com.br/products/primer-liso-intacto?ref=review","review")</f>
        <v/>
      </c>
      <c r="K932" t="inlineStr">
        <is>
          <t>SEND</t>
        </is>
      </c>
    </row>
    <row r="933">
      <c r="A933" t="inlineStr">
        <is>
          <t>Antonia</t>
        </is>
      </c>
      <c r="B933" t="inlineStr">
        <is>
          <t>+5521996775911</t>
        </is>
      </c>
      <c r="C933" t="inlineStr">
        <is>
          <t>Refill</t>
        </is>
      </c>
      <c r="D933" t="inlineStr">
        <is>
          <t>Primer Liso</t>
        </is>
      </c>
      <c r="E933" t="n">
        <v>1</v>
      </c>
      <c r="F933" t="inlineStr">
        <is>
          <t>2025-11-09</t>
        </is>
      </c>
      <c r="G933" t="n">
        <v>237</v>
      </c>
      <c r="H933" t="inlineStr">
        <is>
          <t>Y</t>
        </is>
      </c>
      <c r="I933">
        <f>HYPERLINK("https://admin.shopify.com/store/ge-beauty-cosmeticos/customers/7761469899072","abrir")</f>
        <v/>
      </c>
      <c r="J933">
        <f>HYPERLINK("https://www.gebeauty.com.br/products/primer-liso-intacto?ref=review","review")</f>
        <v/>
      </c>
      <c r="K933" t="inlineStr">
        <is>
          <t>SEND</t>
        </is>
      </c>
    </row>
    <row r="934">
      <c r="A934" t="inlineStr">
        <is>
          <t>Nayara</t>
        </is>
      </c>
      <c r="B934" t="inlineStr">
        <is>
          <t>+5511976910170</t>
        </is>
      </c>
      <c r="C934" t="inlineStr">
        <is>
          <t>Refill</t>
        </is>
      </c>
      <c r="D934" t="inlineStr">
        <is>
          <t>Primer Liso</t>
        </is>
      </c>
      <c r="E934" t="n">
        <v>1</v>
      </c>
      <c r="F934" t="inlineStr">
        <is>
          <t>2025-11-10</t>
        </is>
      </c>
      <c r="G934" t="n">
        <v>236</v>
      </c>
      <c r="H934" t="inlineStr">
        <is>
          <t>Y</t>
        </is>
      </c>
      <c r="I934">
        <f>HYPERLINK("https://admin.shopify.com/store/ge-beauty-cosmeticos/customers/9486420640064","abrir")</f>
        <v/>
      </c>
      <c r="J934">
        <f>HYPERLINK("https://www.gebeauty.com.br/products/primer-liso-intacto?ref=review","review")</f>
        <v/>
      </c>
      <c r="K934" t="inlineStr">
        <is>
          <t>SEND</t>
        </is>
      </c>
    </row>
    <row r="935">
      <c r="A935" t="inlineStr">
        <is>
          <t>Thainah</t>
        </is>
      </c>
      <c r="B935" t="inlineStr">
        <is>
          <t>+5535988210343</t>
        </is>
      </c>
      <c r="C935" t="inlineStr">
        <is>
          <t>Refill</t>
        </is>
      </c>
      <c r="D935" t="inlineStr">
        <is>
          <t>Primer Liso</t>
        </is>
      </c>
      <c r="E935" t="n">
        <v>1</v>
      </c>
      <c r="F935" t="inlineStr">
        <is>
          <t>2025-11-10</t>
        </is>
      </c>
      <c r="G935" t="n">
        <v>236</v>
      </c>
      <c r="H935" t="inlineStr">
        <is>
          <t>Y</t>
        </is>
      </c>
      <c r="I935">
        <f>HYPERLINK("https://admin.shopify.com/store/ge-beauty-cosmeticos/customers/9667758752064","abrir")</f>
        <v/>
      </c>
      <c r="J935">
        <f>HYPERLINK("https://www.gebeauty.com.br/products/primer-liso-intacto?ref=review","review")</f>
        <v/>
      </c>
      <c r="K935" t="inlineStr">
        <is>
          <t>SEND</t>
        </is>
      </c>
    </row>
    <row r="936">
      <c r="A936" t="inlineStr">
        <is>
          <t>Thais</t>
        </is>
      </c>
      <c r="B936" t="inlineStr">
        <is>
          <t>+5581996986006</t>
        </is>
      </c>
      <c r="C936" t="inlineStr">
        <is>
          <t>Refill</t>
        </is>
      </c>
      <c r="D936" t="inlineStr">
        <is>
          <t>Primer Liso</t>
        </is>
      </c>
      <c r="E936" t="n">
        <v>1</v>
      </c>
      <c r="F936" t="inlineStr">
        <is>
          <t>2025-11-10</t>
        </is>
      </c>
      <c r="G936" t="n">
        <v>236</v>
      </c>
      <c r="H936" t="inlineStr">
        <is>
          <t>Y</t>
        </is>
      </c>
      <c r="I936">
        <f>HYPERLINK("https://admin.shopify.com/store/ge-beauty-cosmeticos/customers/9846741532992","abrir")</f>
        <v/>
      </c>
      <c r="J936">
        <f>HYPERLINK("https://www.gebeauty.com.br/products/primer-liso-intacto?ref=review","review")</f>
        <v/>
      </c>
      <c r="K936" t="inlineStr">
        <is>
          <t>SEND</t>
        </is>
      </c>
    </row>
    <row r="937">
      <c r="A937" t="inlineStr">
        <is>
          <t>Georgeana</t>
        </is>
      </c>
      <c r="B937" t="inlineStr">
        <is>
          <t>+5521981715396</t>
        </is>
      </c>
      <c r="C937" t="inlineStr">
        <is>
          <t>Refill</t>
        </is>
      </c>
      <c r="D937" t="inlineStr">
        <is>
          <t>Primer Liso</t>
        </is>
      </c>
      <c r="E937" t="n">
        <v>1</v>
      </c>
      <c r="F937" t="inlineStr">
        <is>
          <t>2025-11-10</t>
        </is>
      </c>
      <c r="G937" t="n">
        <v>236</v>
      </c>
      <c r="H937" t="inlineStr">
        <is>
          <t>Y</t>
        </is>
      </c>
      <c r="I937">
        <f>HYPERLINK("https://admin.shopify.com/store/ge-beauty-cosmeticos/customers/9844602208576","abrir")</f>
        <v/>
      </c>
      <c r="J937">
        <f>HYPERLINK("https://www.gebeauty.com.br/products/primer-liso-intacto?ref=review","review")</f>
        <v/>
      </c>
      <c r="K937" t="inlineStr">
        <is>
          <t>SEND</t>
        </is>
      </c>
    </row>
    <row r="938">
      <c r="A938" t="inlineStr">
        <is>
          <t>Roberta</t>
        </is>
      </c>
      <c r="B938" t="inlineStr">
        <is>
          <t>+5511971206993</t>
        </is>
      </c>
      <c r="C938" t="inlineStr">
        <is>
          <t>Refill</t>
        </is>
      </c>
      <c r="D938" t="inlineStr">
        <is>
          <t>Primer Liso</t>
        </is>
      </c>
      <c r="E938" t="n">
        <v>1</v>
      </c>
      <c r="F938" t="inlineStr">
        <is>
          <t>2025-11-10</t>
        </is>
      </c>
      <c r="G938" t="n">
        <v>236</v>
      </c>
      <c r="H938" t="inlineStr">
        <is>
          <t>Y</t>
        </is>
      </c>
      <c r="I938">
        <f>HYPERLINK("https://admin.shopify.com/store/ge-beauty-cosmeticos/customers/8160984957248","abrir")</f>
        <v/>
      </c>
      <c r="J938">
        <f>HYPERLINK("https://www.gebeauty.com.br/products/primer-liso-intacto?ref=review","review")</f>
        <v/>
      </c>
      <c r="K938" t="inlineStr">
        <is>
          <t>SEND</t>
        </is>
      </c>
    </row>
    <row r="939">
      <c r="A939" t="inlineStr">
        <is>
          <t>Mariana</t>
        </is>
      </c>
      <c r="B939" t="inlineStr">
        <is>
          <t>+5531996322664</t>
        </is>
      </c>
      <c r="C939" t="inlineStr">
        <is>
          <t>Refill</t>
        </is>
      </c>
      <c r="D939" t="inlineStr">
        <is>
          <t>Primer Liso</t>
        </is>
      </c>
      <c r="E939" t="n">
        <v>1</v>
      </c>
      <c r="F939" t="inlineStr">
        <is>
          <t>2025-11-10</t>
        </is>
      </c>
      <c r="G939" t="n">
        <v>236</v>
      </c>
      <c r="H939" t="inlineStr">
        <is>
          <t>Y</t>
        </is>
      </c>
      <c r="I939">
        <f>HYPERLINK("https://admin.shopify.com/store/ge-beauty-cosmeticos/customers/9485309903168","abrir")</f>
        <v/>
      </c>
      <c r="J939">
        <f>HYPERLINK("https://www.gebeauty.com.br/products/primer-liso-intacto?ref=review","review")</f>
        <v/>
      </c>
      <c r="K939" t="inlineStr">
        <is>
          <t>SEND</t>
        </is>
      </c>
    </row>
    <row r="940">
      <c r="A940" t="inlineStr">
        <is>
          <t>Natalia</t>
        </is>
      </c>
      <c r="B940" t="inlineStr">
        <is>
          <t>+5521995283090</t>
        </is>
      </c>
      <c r="C940" t="inlineStr">
        <is>
          <t>Refill</t>
        </is>
      </c>
      <c r="D940" t="inlineStr">
        <is>
          <t>Primer Liso</t>
        </is>
      </c>
      <c r="E940" t="n">
        <v>1</v>
      </c>
      <c r="F940" t="inlineStr">
        <is>
          <t>2025-11-10</t>
        </is>
      </c>
      <c r="G940" t="n">
        <v>236</v>
      </c>
      <c r="H940" t="inlineStr">
        <is>
          <t>Y</t>
        </is>
      </c>
      <c r="I940">
        <f>HYPERLINK("https://admin.shopify.com/store/ge-beauty-cosmeticos/customers/9836185092416","abrir")</f>
        <v/>
      </c>
      <c r="J940">
        <f>HYPERLINK("https://www.gebeauty.com.br/products/primer-liso-intacto?ref=review","review")</f>
        <v/>
      </c>
      <c r="K940" t="inlineStr">
        <is>
          <t>SEND</t>
        </is>
      </c>
    </row>
    <row r="941">
      <c r="A941" t="inlineStr">
        <is>
          <t>Marilia</t>
        </is>
      </c>
      <c r="B941" t="inlineStr">
        <is>
          <t>+5561996677414</t>
        </is>
      </c>
      <c r="C941" t="inlineStr">
        <is>
          <t>Refill</t>
        </is>
      </c>
      <c r="D941" t="inlineStr">
        <is>
          <t>Primer Liso</t>
        </is>
      </c>
      <c r="E941" t="n">
        <v>1</v>
      </c>
      <c r="F941" t="inlineStr">
        <is>
          <t>2025-11-10</t>
        </is>
      </c>
      <c r="G941" t="n">
        <v>236</v>
      </c>
      <c r="H941" t="inlineStr">
        <is>
          <t>Y</t>
        </is>
      </c>
      <c r="I941">
        <f>HYPERLINK("https://admin.shopify.com/store/ge-beauty-cosmeticos/customers/9844717060416","abrir")</f>
        <v/>
      </c>
      <c r="J941">
        <f>HYPERLINK("https://www.gebeauty.com.br/products/primer-liso-intacto?ref=review","review")</f>
        <v/>
      </c>
      <c r="K941" t="inlineStr">
        <is>
          <t>SEND</t>
        </is>
      </c>
    </row>
    <row r="942">
      <c r="A942" t="inlineStr">
        <is>
          <t>Veronica de Alencar</t>
        </is>
      </c>
      <c r="B942" t="inlineStr">
        <is>
          <t>+5562982170487</t>
        </is>
      </c>
      <c r="C942" t="inlineStr">
        <is>
          <t>Refill</t>
        </is>
      </c>
      <c r="D942" t="inlineStr">
        <is>
          <t>Primer Liso</t>
        </is>
      </c>
      <c r="E942" t="n">
        <v>1</v>
      </c>
      <c r="F942" t="inlineStr">
        <is>
          <t>2025-11-11</t>
        </is>
      </c>
      <c r="G942" t="n">
        <v>235</v>
      </c>
      <c r="H942" t="inlineStr">
        <is>
          <t>Y</t>
        </is>
      </c>
      <c r="I942">
        <f>HYPERLINK("https://admin.shopify.com/store/ge-beauty-cosmeticos/customers/9848192401728","abrir")</f>
        <v/>
      </c>
      <c r="J942">
        <f>HYPERLINK("https://www.gebeauty.com.br/products/primer-liso-intacto?ref=review","review")</f>
        <v/>
      </c>
      <c r="K942" t="inlineStr">
        <is>
          <t>SEND</t>
        </is>
      </c>
    </row>
    <row r="943">
      <c r="A943" t="inlineStr">
        <is>
          <t>Julia</t>
        </is>
      </c>
      <c r="B943" t="inlineStr">
        <is>
          <t>+5511998152117</t>
        </is>
      </c>
      <c r="C943" t="inlineStr">
        <is>
          <t>Refill</t>
        </is>
      </c>
      <c r="D943" t="inlineStr">
        <is>
          <t>Primer Liso</t>
        </is>
      </c>
      <c r="E943" t="n">
        <v>1</v>
      </c>
      <c r="F943" t="inlineStr">
        <is>
          <t>2025-11-11</t>
        </is>
      </c>
      <c r="G943" t="n">
        <v>235</v>
      </c>
      <c r="H943" t="inlineStr">
        <is>
          <t>Y</t>
        </is>
      </c>
      <c r="I943">
        <f>HYPERLINK("https://admin.shopify.com/store/ge-beauty-cosmeticos/customers/7760963010880","abrir")</f>
        <v/>
      </c>
      <c r="J943">
        <f>HYPERLINK("https://www.gebeauty.com.br/products/primer-liso-intacto?ref=review","review")</f>
        <v/>
      </c>
      <c r="K943" t="inlineStr">
        <is>
          <t>SEND</t>
        </is>
      </c>
    </row>
    <row r="944">
      <c r="A944" t="inlineStr">
        <is>
          <t>Luciane</t>
        </is>
      </c>
      <c r="B944" t="inlineStr">
        <is>
          <t>+5577981268265</t>
        </is>
      </c>
      <c r="C944" t="inlineStr">
        <is>
          <t>Refill</t>
        </is>
      </c>
      <c r="D944" t="inlineStr">
        <is>
          <t>Primer Liso</t>
        </is>
      </c>
      <c r="E944" t="n">
        <v>1</v>
      </c>
      <c r="F944" t="inlineStr">
        <is>
          <t>2025-11-11</t>
        </is>
      </c>
      <c r="G944" t="n">
        <v>235</v>
      </c>
      <c r="H944" t="inlineStr">
        <is>
          <t>N</t>
        </is>
      </c>
      <c r="I944">
        <f>HYPERLINK("https://admin.shopify.com/store/ge-beauty-cosmeticos/customers/9565444604224","abrir")</f>
        <v/>
      </c>
      <c r="J944">
        <f>HYPERLINK("https://www.gebeauty.com.br/products/primer-liso-intacto?ref=review","review")</f>
        <v/>
      </c>
      <c r="K944" t="inlineStr">
        <is>
          <t>SEND</t>
        </is>
      </c>
    </row>
    <row r="945">
      <c r="A945" t="inlineStr">
        <is>
          <t>Caroline</t>
        </is>
      </c>
      <c r="B945" t="inlineStr">
        <is>
          <t>+5554981523645</t>
        </is>
      </c>
      <c r="C945" t="inlineStr">
        <is>
          <t>Refill</t>
        </is>
      </c>
      <c r="D945" t="inlineStr">
        <is>
          <t>Primer Liso</t>
        </is>
      </c>
      <c r="E945" t="n">
        <v>1</v>
      </c>
      <c r="F945" t="inlineStr">
        <is>
          <t>2025-11-11</t>
        </is>
      </c>
      <c r="G945" t="n">
        <v>235</v>
      </c>
      <c r="H945" t="inlineStr">
        <is>
          <t>Y</t>
        </is>
      </c>
      <c r="I945">
        <f>HYPERLINK("https://admin.shopify.com/store/ge-beauty-cosmeticos/customers/9652525859136","abrir")</f>
        <v/>
      </c>
      <c r="J945">
        <f>HYPERLINK("https://www.gebeauty.com.br/products/primer-liso-intacto?ref=review","review")</f>
        <v/>
      </c>
      <c r="K945" t="inlineStr">
        <is>
          <t>SEND</t>
        </is>
      </c>
    </row>
    <row r="946">
      <c r="A946" t="inlineStr">
        <is>
          <t>Gizah</t>
        </is>
      </c>
      <c r="B946" t="inlineStr">
        <is>
          <t>+5592981969900</t>
        </is>
      </c>
      <c r="C946" t="inlineStr">
        <is>
          <t>Refill</t>
        </is>
      </c>
      <c r="D946" t="inlineStr">
        <is>
          <t>Primer Liso</t>
        </is>
      </c>
      <c r="E946" t="n">
        <v>1</v>
      </c>
      <c r="F946" t="inlineStr">
        <is>
          <t>2025-11-11</t>
        </is>
      </c>
      <c r="G946" t="n">
        <v>235</v>
      </c>
      <c r="H946" t="inlineStr">
        <is>
          <t>Y</t>
        </is>
      </c>
      <c r="I946">
        <f>HYPERLINK("https://admin.shopify.com/store/ge-beauty-cosmeticos/customers/9768301035840","abrir")</f>
        <v/>
      </c>
      <c r="J946">
        <f>HYPERLINK("https://www.gebeauty.com.br/products/primer-liso-intacto?ref=review","review")</f>
        <v/>
      </c>
      <c r="K946" t="inlineStr">
        <is>
          <t>SEND</t>
        </is>
      </c>
    </row>
    <row r="947">
      <c r="A947" t="inlineStr">
        <is>
          <t>Gabriella</t>
        </is>
      </c>
      <c r="B947" t="inlineStr">
        <is>
          <t>+5584996562500</t>
        </is>
      </c>
      <c r="C947" t="inlineStr">
        <is>
          <t>Refill</t>
        </is>
      </c>
      <c r="D947" t="inlineStr">
        <is>
          <t>Primer Liso</t>
        </is>
      </c>
      <c r="E947" t="n">
        <v>1</v>
      </c>
      <c r="F947" t="inlineStr">
        <is>
          <t>2025-11-11</t>
        </is>
      </c>
      <c r="G947" t="n">
        <v>235</v>
      </c>
      <c r="H947" t="inlineStr">
        <is>
          <t>Y</t>
        </is>
      </c>
      <c r="I947">
        <f>HYPERLINK("https://admin.shopify.com/store/ge-beauty-cosmeticos/customers/9849328337216","abrir")</f>
        <v/>
      </c>
      <c r="J947">
        <f>HYPERLINK("https://www.gebeauty.com.br/products/primer-liso-intacto?ref=review","review")</f>
        <v/>
      </c>
      <c r="K947" t="inlineStr">
        <is>
          <t>SEND</t>
        </is>
      </c>
    </row>
    <row r="948">
      <c r="A948" t="inlineStr">
        <is>
          <t>Mariana</t>
        </is>
      </c>
      <c r="B948" t="inlineStr">
        <is>
          <t>+5521980816446</t>
        </is>
      </c>
      <c r="C948" t="inlineStr">
        <is>
          <t>Refill</t>
        </is>
      </c>
      <c r="D948" t="inlineStr">
        <is>
          <t>Primer Liso</t>
        </is>
      </c>
      <c r="E948" t="n">
        <v>1</v>
      </c>
      <c r="F948" t="inlineStr">
        <is>
          <t>2025-11-11</t>
        </is>
      </c>
      <c r="G948" t="n">
        <v>235</v>
      </c>
      <c r="H948" t="inlineStr">
        <is>
          <t>Y</t>
        </is>
      </c>
      <c r="I948">
        <f>HYPERLINK("https://admin.shopify.com/store/ge-beauty-cosmeticos/customers/8841845408064","abrir")</f>
        <v/>
      </c>
      <c r="J948">
        <f>HYPERLINK("https://www.gebeauty.com.br/products/primer-liso-intacto?ref=review","review")</f>
        <v/>
      </c>
      <c r="K948" t="inlineStr">
        <is>
          <t>SEND</t>
        </is>
      </c>
    </row>
    <row r="949">
      <c r="A949" t="inlineStr">
        <is>
          <t>Maria</t>
        </is>
      </c>
      <c r="B949" t="inlineStr">
        <is>
          <t>+5561996313175</t>
        </is>
      </c>
      <c r="C949" t="inlineStr">
        <is>
          <t>Refill</t>
        </is>
      </c>
      <c r="D949" t="inlineStr">
        <is>
          <t>Primer Liso</t>
        </is>
      </c>
      <c r="E949" t="n">
        <v>1</v>
      </c>
      <c r="F949" t="inlineStr">
        <is>
          <t>2025-11-11</t>
        </is>
      </c>
      <c r="G949" t="n">
        <v>235</v>
      </c>
      <c r="H949" t="inlineStr">
        <is>
          <t>Y</t>
        </is>
      </c>
      <c r="I949">
        <f>HYPERLINK("https://admin.shopify.com/store/ge-beauty-cosmeticos/customers/7762609832256","abrir")</f>
        <v/>
      </c>
      <c r="J949">
        <f>HYPERLINK("https://www.gebeauty.com.br/products/primer-liso-intacto?ref=review","review")</f>
        <v/>
      </c>
      <c r="K949" t="inlineStr">
        <is>
          <t>SEND</t>
        </is>
      </c>
    </row>
    <row r="950">
      <c r="A950" t="inlineStr">
        <is>
          <t>Isabela</t>
        </is>
      </c>
      <c r="B950" t="inlineStr">
        <is>
          <t>+5562984955963</t>
        </is>
      </c>
      <c r="C950" t="inlineStr">
        <is>
          <t>Refill</t>
        </is>
      </c>
      <c r="D950" t="inlineStr">
        <is>
          <t>Primer Liso</t>
        </is>
      </c>
      <c r="E950" t="n">
        <v>1</v>
      </c>
      <c r="F950" t="inlineStr">
        <is>
          <t>2025-11-11</t>
        </is>
      </c>
      <c r="G950" t="n">
        <v>235</v>
      </c>
      <c r="H950" t="inlineStr">
        <is>
          <t>Y</t>
        </is>
      </c>
      <c r="I950">
        <f>HYPERLINK("https://admin.shopify.com/store/ge-beauty-cosmeticos/customers/9849876742464","abrir")</f>
        <v/>
      </c>
      <c r="J950">
        <f>HYPERLINK("https://www.gebeauty.com.br/products/primer-liso-intacto?ref=review","review")</f>
        <v/>
      </c>
      <c r="K950" t="inlineStr">
        <is>
          <t>SEND</t>
        </is>
      </c>
    </row>
    <row r="951">
      <c r="A951" t="inlineStr">
        <is>
          <t>Taila</t>
        </is>
      </c>
      <c r="B951" t="inlineStr">
        <is>
          <t>+5511972205452</t>
        </is>
      </c>
      <c r="C951" t="inlineStr">
        <is>
          <t>Refill</t>
        </is>
      </c>
      <c r="D951" t="inlineStr">
        <is>
          <t>Primer Liso</t>
        </is>
      </c>
      <c r="E951" t="n">
        <v>1</v>
      </c>
      <c r="F951" t="inlineStr">
        <is>
          <t>2025-11-11</t>
        </is>
      </c>
      <c r="G951" t="n">
        <v>235</v>
      </c>
      <c r="H951" t="inlineStr">
        <is>
          <t>Y</t>
        </is>
      </c>
      <c r="I951">
        <f>HYPERLINK("https://admin.shopify.com/store/ge-beauty-cosmeticos/customers/8323826680128","abrir")</f>
        <v/>
      </c>
      <c r="J951">
        <f>HYPERLINK("https://www.gebeauty.com.br/products/primer-liso-intacto?ref=review","review")</f>
        <v/>
      </c>
      <c r="K951" t="inlineStr">
        <is>
          <t>SEND</t>
        </is>
      </c>
    </row>
    <row r="952">
      <c r="A952" t="inlineStr">
        <is>
          <t>Ivonete</t>
        </is>
      </c>
      <c r="B952" t="inlineStr">
        <is>
          <t>+5511985467157</t>
        </is>
      </c>
      <c r="C952" t="inlineStr">
        <is>
          <t>Refill</t>
        </is>
      </c>
      <c r="D952" t="inlineStr">
        <is>
          <t>Primer Liso</t>
        </is>
      </c>
      <c r="E952" t="n">
        <v>1</v>
      </c>
      <c r="F952" t="inlineStr">
        <is>
          <t>2025-11-11</t>
        </is>
      </c>
      <c r="G952" t="n">
        <v>235</v>
      </c>
      <c r="H952" t="inlineStr">
        <is>
          <t>Y</t>
        </is>
      </c>
      <c r="I952">
        <f>HYPERLINK("https://admin.shopify.com/store/ge-beauty-cosmeticos/customers/9850205962560","abrir")</f>
        <v/>
      </c>
      <c r="J952">
        <f>HYPERLINK("https://www.gebeauty.com.br/products/primer-liso-intacto?ref=review","review")</f>
        <v/>
      </c>
      <c r="K952" t="inlineStr">
        <is>
          <t>SEND</t>
        </is>
      </c>
    </row>
    <row r="953">
      <c r="A953" t="inlineStr">
        <is>
          <t>Laura</t>
        </is>
      </c>
      <c r="B953" t="inlineStr">
        <is>
          <t>+5549999241902</t>
        </is>
      </c>
      <c r="C953" t="inlineStr">
        <is>
          <t>Refill</t>
        </is>
      </c>
      <c r="D953" t="inlineStr">
        <is>
          <t>Primer Liso</t>
        </is>
      </c>
      <c r="E953" t="n">
        <v>1</v>
      </c>
      <c r="F953" t="inlineStr">
        <is>
          <t>2025-11-11</t>
        </is>
      </c>
      <c r="G953" t="n">
        <v>235</v>
      </c>
      <c r="H953" t="inlineStr">
        <is>
          <t>Y</t>
        </is>
      </c>
      <c r="I953">
        <f>HYPERLINK("https://admin.shopify.com/store/ge-beauty-cosmeticos/customers/9842307924288","abrir")</f>
        <v/>
      </c>
      <c r="J953">
        <f>HYPERLINK("https://www.gebeauty.com.br/products/primer-liso-intacto?ref=review","review")</f>
        <v/>
      </c>
      <c r="K953" t="inlineStr">
        <is>
          <t>HOLDOUT</t>
        </is>
      </c>
    </row>
    <row r="954">
      <c r="A954" t="inlineStr">
        <is>
          <t>Clarisse</t>
        </is>
      </c>
      <c r="B954" t="inlineStr">
        <is>
          <t>+5585992613077</t>
        </is>
      </c>
      <c r="C954" t="inlineStr">
        <is>
          <t>Refill</t>
        </is>
      </c>
      <c r="D954" t="inlineStr">
        <is>
          <t>Primer Liso</t>
        </is>
      </c>
      <c r="E954" t="n">
        <v>1</v>
      </c>
      <c r="F954" t="inlineStr">
        <is>
          <t>2025-11-11</t>
        </is>
      </c>
      <c r="G954" t="n">
        <v>235</v>
      </c>
      <c r="H954" t="inlineStr">
        <is>
          <t>Y</t>
        </is>
      </c>
      <c r="I954">
        <f>HYPERLINK("https://admin.shopify.com/store/ge-beauty-cosmeticos/customers/9850600522048","abrir")</f>
        <v/>
      </c>
      <c r="J954">
        <f>HYPERLINK("https://www.gebeauty.com.br/products/primer-liso-intacto?ref=review","review")</f>
        <v/>
      </c>
      <c r="K954" t="inlineStr">
        <is>
          <t>SEND</t>
        </is>
      </c>
    </row>
    <row r="955">
      <c r="A955" t="inlineStr">
        <is>
          <t>Alessandra</t>
        </is>
      </c>
      <c r="B955" t="inlineStr">
        <is>
          <t>+5581984307782</t>
        </is>
      </c>
      <c r="C955" t="inlineStr">
        <is>
          <t>Refill</t>
        </is>
      </c>
      <c r="D955" t="inlineStr">
        <is>
          <t>Primer Liso</t>
        </is>
      </c>
      <c r="E955" t="n">
        <v>1</v>
      </c>
      <c r="F955" t="inlineStr">
        <is>
          <t>2025-11-11</t>
        </is>
      </c>
      <c r="G955" t="n">
        <v>235</v>
      </c>
      <c r="H955" t="inlineStr">
        <is>
          <t>Y</t>
        </is>
      </c>
      <c r="I955">
        <f>HYPERLINK("https://admin.shopify.com/store/ge-beauty-cosmeticos/customers/9850657767744","abrir")</f>
        <v/>
      </c>
      <c r="J955">
        <f>HYPERLINK("https://www.gebeauty.com.br/products/primer-liso-intacto?ref=review","review")</f>
        <v/>
      </c>
      <c r="K955" t="inlineStr">
        <is>
          <t>SEND</t>
        </is>
      </c>
    </row>
    <row r="956">
      <c r="A956" t="inlineStr">
        <is>
          <t>Thayze</t>
        </is>
      </c>
      <c r="B956" t="inlineStr">
        <is>
          <t>+5581996378151</t>
        </is>
      </c>
      <c r="C956" t="inlineStr">
        <is>
          <t>Refill</t>
        </is>
      </c>
      <c r="D956" t="inlineStr">
        <is>
          <t>Primer Liso</t>
        </is>
      </c>
      <c r="E956" t="n">
        <v>1</v>
      </c>
      <c r="F956" t="inlineStr">
        <is>
          <t>2025-11-11</t>
        </is>
      </c>
      <c r="G956" t="n">
        <v>235</v>
      </c>
      <c r="H956" t="inlineStr">
        <is>
          <t>Y</t>
        </is>
      </c>
      <c r="I956">
        <f>HYPERLINK("https://admin.shopify.com/store/ge-beauty-cosmeticos/customers/9486066385216","abrir")</f>
        <v/>
      </c>
      <c r="J956">
        <f>HYPERLINK("https://www.gebeauty.com.br/products/primer-liso-intacto?ref=review","review")</f>
        <v/>
      </c>
      <c r="K956" t="inlineStr">
        <is>
          <t>SEND</t>
        </is>
      </c>
    </row>
    <row r="957">
      <c r="A957" t="inlineStr">
        <is>
          <t>Germana</t>
        </is>
      </c>
      <c r="B957" t="inlineStr">
        <is>
          <t>+5531992159239</t>
        </is>
      </c>
      <c r="C957" t="inlineStr">
        <is>
          <t>Refill</t>
        </is>
      </c>
      <c r="D957" t="inlineStr">
        <is>
          <t>Primer Liso</t>
        </is>
      </c>
      <c r="E957" t="n">
        <v>1</v>
      </c>
      <c r="F957" t="inlineStr">
        <is>
          <t>2025-11-11</t>
        </is>
      </c>
      <c r="G957" t="n">
        <v>235</v>
      </c>
      <c r="H957" t="inlineStr">
        <is>
          <t>Y</t>
        </is>
      </c>
      <c r="I957">
        <f>HYPERLINK("https://admin.shopify.com/store/ge-beauty-cosmeticos/customers/9485167329600","abrir")</f>
        <v/>
      </c>
      <c r="J957">
        <f>HYPERLINK("https://www.gebeauty.com.br/products/primer-liso-intacto?ref=review","review")</f>
        <v/>
      </c>
      <c r="K957" t="inlineStr">
        <is>
          <t>SEND</t>
        </is>
      </c>
    </row>
    <row r="958">
      <c r="A958" t="inlineStr">
        <is>
          <t>Marina</t>
        </is>
      </c>
      <c r="B958" t="inlineStr">
        <is>
          <t>+5543996414554</t>
        </is>
      </c>
      <c r="C958" t="inlineStr">
        <is>
          <t>Refill</t>
        </is>
      </c>
      <c r="D958" t="inlineStr">
        <is>
          <t>Primer Liso</t>
        </is>
      </c>
      <c r="E958" t="n">
        <v>1</v>
      </c>
      <c r="F958" t="inlineStr">
        <is>
          <t>2025-11-11</t>
        </is>
      </c>
      <c r="G958" t="n">
        <v>235</v>
      </c>
      <c r="H958" t="inlineStr">
        <is>
          <t>Y</t>
        </is>
      </c>
      <c r="I958">
        <f>HYPERLINK("https://admin.shopify.com/store/ge-beauty-cosmeticos/customers/9485120471360","abrir")</f>
        <v/>
      </c>
      <c r="J958">
        <f>HYPERLINK("https://www.gebeauty.com.br/products/primer-liso-intacto?ref=review","review")</f>
        <v/>
      </c>
      <c r="K958" t="inlineStr">
        <is>
          <t>SEND</t>
        </is>
      </c>
    </row>
    <row r="959">
      <c r="A959" t="inlineStr">
        <is>
          <t>Érica</t>
        </is>
      </c>
      <c r="B959" t="inlineStr">
        <is>
          <t>+5511969660350</t>
        </is>
      </c>
      <c r="C959" t="inlineStr">
        <is>
          <t>Refill</t>
        </is>
      </c>
      <c r="D959" t="inlineStr">
        <is>
          <t>Primer Liso</t>
        </is>
      </c>
      <c r="E959" t="n">
        <v>1</v>
      </c>
      <c r="F959" t="inlineStr">
        <is>
          <t>2025-11-12</t>
        </is>
      </c>
      <c r="G959" t="n">
        <v>234</v>
      </c>
      <c r="H959" t="inlineStr">
        <is>
          <t>Y</t>
        </is>
      </c>
      <c r="I959">
        <f>HYPERLINK("https://admin.shopify.com/store/ge-beauty-cosmeticos/customers/7759769600320","abrir")</f>
        <v/>
      </c>
      <c r="J959">
        <f>HYPERLINK("https://www.gebeauty.com.br/products/primer-liso-intacto?ref=review","review")</f>
        <v/>
      </c>
      <c r="K959" t="inlineStr">
        <is>
          <t>SEND</t>
        </is>
      </c>
    </row>
    <row r="960">
      <c r="A960" t="inlineStr">
        <is>
          <t>Ana Paula</t>
        </is>
      </c>
      <c r="B960" t="inlineStr">
        <is>
          <t>+5532998155561</t>
        </is>
      </c>
      <c r="C960" t="inlineStr">
        <is>
          <t>Refill</t>
        </is>
      </c>
      <c r="D960" t="inlineStr">
        <is>
          <t>Primer Liso</t>
        </is>
      </c>
      <c r="E960" t="n">
        <v>1</v>
      </c>
      <c r="F960" t="inlineStr">
        <is>
          <t>2025-11-12</t>
        </is>
      </c>
      <c r="G960" t="n">
        <v>234</v>
      </c>
      <c r="H960" t="inlineStr">
        <is>
          <t>Y</t>
        </is>
      </c>
      <c r="I960">
        <f>HYPERLINK("https://admin.shopify.com/store/ge-beauty-cosmeticos/customers/9851176616256","abrir")</f>
        <v/>
      </c>
      <c r="J960">
        <f>HYPERLINK("https://www.gebeauty.com.br/products/primer-liso-intacto?ref=review","review")</f>
        <v/>
      </c>
      <c r="K960" t="inlineStr">
        <is>
          <t>SEND</t>
        </is>
      </c>
    </row>
    <row r="961">
      <c r="A961" t="inlineStr">
        <is>
          <t>Luana</t>
        </is>
      </c>
      <c r="B961" t="inlineStr">
        <is>
          <t>+5511975014342</t>
        </is>
      </c>
      <c r="C961" t="inlineStr">
        <is>
          <t>Refill</t>
        </is>
      </c>
      <c r="D961" t="inlineStr">
        <is>
          <t>Primer Liso</t>
        </is>
      </c>
      <c r="E961" t="n">
        <v>1</v>
      </c>
      <c r="F961" t="inlineStr">
        <is>
          <t>2025-11-12</t>
        </is>
      </c>
      <c r="G961" t="n">
        <v>234</v>
      </c>
      <c r="H961" t="inlineStr">
        <is>
          <t>Y</t>
        </is>
      </c>
      <c r="I961">
        <f>HYPERLINK("https://admin.shopify.com/store/ge-beauty-cosmeticos/customers/9485334249792","abrir")</f>
        <v/>
      </c>
      <c r="J961">
        <f>HYPERLINK("https://www.gebeauty.com.br/products/primer-liso-intacto?ref=review","review")</f>
        <v/>
      </c>
      <c r="K961" t="inlineStr">
        <is>
          <t>SEND</t>
        </is>
      </c>
    </row>
    <row r="962">
      <c r="A962" t="inlineStr">
        <is>
          <t>Andressa</t>
        </is>
      </c>
      <c r="B962" t="inlineStr">
        <is>
          <t>+5537998448001</t>
        </is>
      </c>
      <c r="C962" t="inlineStr">
        <is>
          <t>Refill</t>
        </is>
      </c>
      <c r="D962" t="inlineStr">
        <is>
          <t>Primer Liso</t>
        </is>
      </c>
      <c r="E962" t="n">
        <v>1</v>
      </c>
      <c r="F962" t="inlineStr">
        <is>
          <t>2025-11-12</t>
        </is>
      </c>
      <c r="G962" t="n">
        <v>234</v>
      </c>
      <c r="H962" t="inlineStr">
        <is>
          <t>Y</t>
        </is>
      </c>
      <c r="I962">
        <f>HYPERLINK("https://admin.shopify.com/store/ge-beauty-cosmeticos/customers/9853047800128","abrir")</f>
        <v/>
      </c>
      <c r="J962">
        <f>HYPERLINK("https://www.gebeauty.com.br/products/primer-liso-intacto?ref=review","review")</f>
        <v/>
      </c>
      <c r="K962" t="inlineStr">
        <is>
          <t>SEND</t>
        </is>
      </c>
    </row>
    <row r="963">
      <c r="A963" t="inlineStr">
        <is>
          <t>Julia</t>
        </is>
      </c>
      <c r="B963" t="inlineStr">
        <is>
          <t>+5511982921267</t>
        </is>
      </c>
      <c r="C963" t="inlineStr">
        <is>
          <t>Refill</t>
        </is>
      </c>
      <c r="D963" t="inlineStr">
        <is>
          <t>Primer Liso</t>
        </is>
      </c>
      <c r="E963" t="n">
        <v>1</v>
      </c>
      <c r="F963" t="inlineStr">
        <is>
          <t>2025-11-12</t>
        </is>
      </c>
      <c r="G963" t="n">
        <v>234</v>
      </c>
      <c r="H963" t="inlineStr">
        <is>
          <t>Y</t>
        </is>
      </c>
      <c r="I963">
        <f>HYPERLINK("https://admin.shopify.com/store/ge-beauty-cosmeticos/customers/9646052278592","abrir")</f>
        <v/>
      </c>
      <c r="J963">
        <f>HYPERLINK("https://www.gebeauty.com.br/products/primer-liso-intacto?ref=review","review")</f>
        <v/>
      </c>
      <c r="K963" t="inlineStr">
        <is>
          <t>SEND</t>
        </is>
      </c>
    </row>
    <row r="964">
      <c r="A964" t="inlineStr">
        <is>
          <t>Larissa</t>
        </is>
      </c>
      <c r="B964" t="inlineStr">
        <is>
          <t>+5521988088062</t>
        </is>
      </c>
      <c r="C964" t="inlineStr">
        <is>
          <t>Refill</t>
        </is>
      </c>
      <c r="D964" t="inlineStr">
        <is>
          <t>Primer Liso</t>
        </is>
      </c>
      <c r="E964" t="n">
        <v>1</v>
      </c>
      <c r="F964" t="inlineStr">
        <is>
          <t>2025-11-12</t>
        </is>
      </c>
      <c r="G964" t="n">
        <v>234</v>
      </c>
      <c r="H964" t="inlineStr">
        <is>
          <t>Y</t>
        </is>
      </c>
      <c r="I964">
        <f>HYPERLINK("https://admin.shopify.com/store/ge-beauty-cosmeticos/customers/9485976699200","abrir")</f>
        <v/>
      </c>
      <c r="J964">
        <f>HYPERLINK("https://www.gebeauty.com.br/products/primer-liso-intacto?ref=review","review")</f>
        <v/>
      </c>
      <c r="K964" t="inlineStr">
        <is>
          <t>SEND</t>
        </is>
      </c>
    </row>
    <row r="965">
      <c r="A965" t="inlineStr">
        <is>
          <t>Rafael</t>
        </is>
      </c>
      <c r="B965" t="inlineStr">
        <is>
          <t>+5581981518555</t>
        </is>
      </c>
      <c r="C965" t="inlineStr">
        <is>
          <t>Refill</t>
        </is>
      </c>
      <c r="D965" t="inlineStr">
        <is>
          <t>Primer Liso</t>
        </is>
      </c>
      <c r="E965" t="n">
        <v>1</v>
      </c>
      <c r="F965" t="inlineStr">
        <is>
          <t>2025-11-12</t>
        </is>
      </c>
      <c r="G965" t="n">
        <v>234</v>
      </c>
      <c r="H965" t="inlineStr">
        <is>
          <t>Y</t>
        </is>
      </c>
      <c r="I965">
        <f>HYPERLINK("https://admin.shopify.com/store/ge-beauty-cosmeticos/customers/9856058261824","abrir")</f>
        <v/>
      </c>
      <c r="J965">
        <f>HYPERLINK("https://www.gebeauty.com.br/products/primer-liso-intacto?ref=review","review")</f>
        <v/>
      </c>
      <c r="K965" t="inlineStr">
        <is>
          <t>SEND</t>
        </is>
      </c>
    </row>
    <row r="966">
      <c r="A966" t="inlineStr">
        <is>
          <t>Marcelo</t>
        </is>
      </c>
      <c r="B966" t="inlineStr">
        <is>
          <t>+5585991262297</t>
        </is>
      </c>
      <c r="C966" t="inlineStr">
        <is>
          <t>Refill</t>
        </is>
      </c>
      <c r="D966" t="inlineStr">
        <is>
          <t>Primer Liso</t>
        </is>
      </c>
      <c r="E966" t="n">
        <v>1</v>
      </c>
      <c r="F966" t="inlineStr">
        <is>
          <t>2025-12-07</t>
        </is>
      </c>
      <c r="G966" t="n">
        <v>209</v>
      </c>
      <c r="H966" t="inlineStr">
        <is>
          <t>Y</t>
        </is>
      </c>
      <c r="I966">
        <f>HYPERLINK("https://admin.shopify.com/store/ge-beauty-cosmeticos/customers/9754982777152","abrir")</f>
        <v/>
      </c>
      <c r="J966">
        <f>HYPERLINK("https://www.gebeauty.com.br/products/primer-liso-intacto?ref=review","review")</f>
        <v/>
      </c>
      <c r="K966" t="inlineStr">
        <is>
          <t>SEND</t>
        </is>
      </c>
    </row>
    <row r="967">
      <c r="A967" t="inlineStr">
        <is>
          <t>Alessandra</t>
        </is>
      </c>
      <c r="B967" t="inlineStr">
        <is>
          <t>+5511942481256</t>
        </is>
      </c>
      <c r="C967" t="inlineStr">
        <is>
          <t>Refill</t>
        </is>
      </c>
      <c r="D967" t="inlineStr">
        <is>
          <t>Primer Liso</t>
        </is>
      </c>
      <c r="E967" t="n">
        <v>1</v>
      </c>
      <c r="F967" t="inlineStr">
        <is>
          <t>2025-11-13</t>
        </is>
      </c>
      <c r="G967" t="n">
        <v>233</v>
      </c>
      <c r="H967" t="inlineStr">
        <is>
          <t>Y</t>
        </is>
      </c>
      <c r="I967">
        <f>HYPERLINK("https://admin.shopify.com/store/ge-beauty-cosmeticos/customers/7760178184512","abrir")</f>
        <v/>
      </c>
      <c r="J967">
        <f>HYPERLINK("https://www.gebeauty.com.br/products/primer-liso-intacto?ref=review","review")</f>
        <v/>
      </c>
      <c r="K967" t="inlineStr">
        <is>
          <t>SEND</t>
        </is>
      </c>
    </row>
    <row r="968">
      <c r="A968" t="inlineStr">
        <is>
          <t>Maria</t>
        </is>
      </c>
      <c r="B968" t="inlineStr">
        <is>
          <t>+5581996380163</t>
        </is>
      </c>
      <c r="C968" t="inlineStr">
        <is>
          <t>Refill</t>
        </is>
      </c>
      <c r="D968" t="inlineStr">
        <is>
          <t>Primer Liso</t>
        </is>
      </c>
      <c r="E968" t="n">
        <v>1</v>
      </c>
      <c r="F968" t="inlineStr">
        <is>
          <t>2025-11-13</t>
        </is>
      </c>
      <c r="G968" t="n">
        <v>233</v>
      </c>
      <c r="H968" t="inlineStr">
        <is>
          <t>Y</t>
        </is>
      </c>
      <c r="I968">
        <f>HYPERLINK("https://admin.shopify.com/store/ge-beauty-cosmeticos/customers/9486366671168","abrir")</f>
        <v/>
      </c>
      <c r="J968">
        <f>HYPERLINK("https://www.gebeauty.com.br/products/primer-liso-intacto?ref=review","review")</f>
        <v/>
      </c>
      <c r="K968" t="inlineStr">
        <is>
          <t>HOLDOUT</t>
        </is>
      </c>
    </row>
    <row r="969">
      <c r="A969" t="inlineStr">
        <is>
          <t>Monique</t>
        </is>
      </c>
      <c r="B969" t="inlineStr">
        <is>
          <t>+5521981974359</t>
        </is>
      </c>
      <c r="C969" t="inlineStr">
        <is>
          <t>Refill</t>
        </is>
      </c>
      <c r="D969" t="inlineStr">
        <is>
          <t>Primer Liso</t>
        </is>
      </c>
      <c r="E969" t="n">
        <v>1</v>
      </c>
      <c r="F969" t="inlineStr">
        <is>
          <t>2025-11-13</t>
        </is>
      </c>
      <c r="G969" t="n">
        <v>233</v>
      </c>
      <c r="H969" t="inlineStr">
        <is>
          <t>Y</t>
        </is>
      </c>
      <c r="I969">
        <f>HYPERLINK("https://admin.shopify.com/store/ge-beauty-cosmeticos/customers/9858737144128","abrir")</f>
        <v/>
      </c>
      <c r="J969">
        <f>HYPERLINK("https://www.gebeauty.com.br/products/primer-liso-intacto?ref=review","review")</f>
        <v/>
      </c>
      <c r="K969" t="inlineStr">
        <is>
          <t>SEND</t>
        </is>
      </c>
    </row>
    <row r="970">
      <c r="A970" t="inlineStr">
        <is>
          <t>Isabella</t>
        </is>
      </c>
      <c r="B970" t="inlineStr">
        <is>
          <t>+5514991458885</t>
        </is>
      </c>
      <c r="C970" t="inlineStr">
        <is>
          <t>Refill</t>
        </is>
      </c>
      <c r="D970" t="inlineStr">
        <is>
          <t>Primer Liso</t>
        </is>
      </c>
      <c r="E970" t="n">
        <v>1</v>
      </c>
      <c r="F970" t="inlineStr">
        <is>
          <t>2025-11-13</t>
        </is>
      </c>
      <c r="G970" t="n">
        <v>233</v>
      </c>
      <c r="H970" t="inlineStr">
        <is>
          <t>Y</t>
        </is>
      </c>
      <c r="I970">
        <f>HYPERLINK("https://admin.shopify.com/store/ge-beauty-cosmeticos/customers/9859634168128","abrir")</f>
        <v/>
      </c>
      <c r="J970">
        <f>HYPERLINK("https://www.gebeauty.com.br/products/primer-liso-intacto?ref=review","review")</f>
        <v/>
      </c>
      <c r="K970" t="inlineStr">
        <is>
          <t>SEND</t>
        </is>
      </c>
    </row>
    <row r="971">
      <c r="A971" t="inlineStr">
        <is>
          <t>Ana Cristina</t>
        </is>
      </c>
      <c r="B971" t="inlineStr">
        <is>
          <t>+5583988387348</t>
        </is>
      </c>
      <c r="C971" t="inlineStr">
        <is>
          <t>Refill</t>
        </is>
      </c>
      <c r="D971" t="inlineStr">
        <is>
          <t>Primer Liso</t>
        </is>
      </c>
      <c r="E971" t="n">
        <v>1</v>
      </c>
      <c r="F971" t="inlineStr">
        <is>
          <t>2025-11-13</t>
        </is>
      </c>
      <c r="G971" t="n">
        <v>233</v>
      </c>
      <c r="H971" t="inlineStr">
        <is>
          <t>Y</t>
        </is>
      </c>
      <c r="I971">
        <f>HYPERLINK("https://admin.shopify.com/store/ge-beauty-cosmeticos/customers/9486556692800","abrir")</f>
        <v/>
      </c>
      <c r="J971">
        <f>HYPERLINK("https://www.gebeauty.com.br/products/primer-liso-intacto?ref=review","review")</f>
        <v/>
      </c>
      <c r="K971" t="inlineStr">
        <is>
          <t>SEND</t>
        </is>
      </c>
    </row>
    <row r="972">
      <c r="A972" t="inlineStr">
        <is>
          <t>Charlene</t>
        </is>
      </c>
      <c r="B972" t="inlineStr">
        <is>
          <t>+5579998527848</t>
        </is>
      </c>
      <c r="C972" t="inlineStr">
        <is>
          <t>Refill</t>
        </is>
      </c>
      <c r="D972" t="inlineStr">
        <is>
          <t>Primer Liso</t>
        </is>
      </c>
      <c r="E972" t="n">
        <v>1</v>
      </c>
      <c r="F972" t="inlineStr">
        <is>
          <t>2025-11-13</t>
        </is>
      </c>
      <c r="G972" t="n">
        <v>233</v>
      </c>
      <c r="H972" t="inlineStr">
        <is>
          <t>Y</t>
        </is>
      </c>
      <c r="I972">
        <f>HYPERLINK("https://admin.shopify.com/store/ge-beauty-cosmeticos/customers/9859877634368","abrir")</f>
        <v/>
      </c>
      <c r="J972">
        <f>HYPERLINK("https://www.gebeauty.com.br/products/primer-liso-intacto?ref=review","review")</f>
        <v/>
      </c>
      <c r="K972" t="inlineStr">
        <is>
          <t>SEND</t>
        </is>
      </c>
    </row>
    <row r="973">
      <c r="A973" t="inlineStr">
        <is>
          <t>Lorena</t>
        </is>
      </c>
      <c r="B973" t="inlineStr">
        <is>
          <t>+5521971701322</t>
        </is>
      </c>
      <c r="C973" t="inlineStr">
        <is>
          <t>Refill</t>
        </is>
      </c>
      <c r="D973" t="inlineStr">
        <is>
          <t>Primer Liso</t>
        </is>
      </c>
      <c r="E973" t="n">
        <v>1</v>
      </c>
      <c r="F973" t="inlineStr">
        <is>
          <t>2025-11-13</t>
        </is>
      </c>
      <c r="G973" t="n">
        <v>233</v>
      </c>
      <c r="H973" t="inlineStr">
        <is>
          <t>Y</t>
        </is>
      </c>
      <c r="I973">
        <f>HYPERLINK("https://admin.shopify.com/store/ge-beauty-cosmeticos/customers/9859936682304","abrir")</f>
        <v/>
      </c>
      <c r="J973">
        <f>HYPERLINK("https://www.gebeauty.com.br/products/primer-liso-intacto?ref=review","review")</f>
        <v/>
      </c>
      <c r="K973" t="inlineStr">
        <is>
          <t>SEND</t>
        </is>
      </c>
    </row>
    <row r="974">
      <c r="A974" t="inlineStr">
        <is>
          <t>Rachel</t>
        </is>
      </c>
      <c r="B974" t="inlineStr">
        <is>
          <t>+5521999421643</t>
        </is>
      </c>
      <c r="C974" t="inlineStr">
        <is>
          <t>Refill</t>
        </is>
      </c>
      <c r="D974" t="inlineStr">
        <is>
          <t>Primer Liso</t>
        </is>
      </c>
      <c r="E974" t="n">
        <v>1</v>
      </c>
      <c r="F974" t="inlineStr">
        <is>
          <t>2025-11-14</t>
        </is>
      </c>
      <c r="G974" t="n">
        <v>232</v>
      </c>
      <c r="H974" t="inlineStr">
        <is>
          <t>Y</t>
        </is>
      </c>
      <c r="I974">
        <f>HYPERLINK("https://admin.shopify.com/store/ge-beauty-cosmeticos/customers/9860285333824","abrir")</f>
        <v/>
      </c>
      <c r="J974">
        <f>HYPERLINK("https://www.gebeauty.com.br/products/primer-liso-intacto?ref=review","review")</f>
        <v/>
      </c>
      <c r="K974" t="inlineStr">
        <is>
          <t>HOLDOUT</t>
        </is>
      </c>
    </row>
    <row r="975">
      <c r="A975" t="inlineStr">
        <is>
          <t>Maria</t>
        </is>
      </c>
      <c r="B975" t="inlineStr">
        <is>
          <t>+5511985265022</t>
        </is>
      </c>
      <c r="C975" t="inlineStr">
        <is>
          <t>Refill</t>
        </is>
      </c>
      <c r="D975" t="inlineStr">
        <is>
          <t>Primer Liso</t>
        </is>
      </c>
      <c r="E975" t="n">
        <v>1</v>
      </c>
      <c r="F975" t="inlineStr">
        <is>
          <t>2025-11-14</t>
        </is>
      </c>
      <c r="G975" t="n">
        <v>232</v>
      </c>
      <c r="H975" t="inlineStr">
        <is>
          <t>Y</t>
        </is>
      </c>
      <c r="I975">
        <f>HYPERLINK("https://admin.shopify.com/store/ge-beauty-cosmeticos/customers/9486114783552","abrir")</f>
        <v/>
      </c>
      <c r="J975">
        <f>HYPERLINK("https://www.gebeauty.com.br/products/primer-liso-intacto?ref=review","review")</f>
        <v/>
      </c>
      <c r="K975" t="inlineStr">
        <is>
          <t>SEND</t>
        </is>
      </c>
    </row>
    <row r="976">
      <c r="A976" t="inlineStr">
        <is>
          <t>Vania</t>
        </is>
      </c>
      <c r="B976" t="inlineStr">
        <is>
          <t>+554132591075</t>
        </is>
      </c>
      <c r="C976" t="inlineStr">
        <is>
          <t>Refill</t>
        </is>
      </c>
      <c r="D976" t="inlineStr">
        <is>
          <t>Primer Liso</t>
        </is>
      </c>
      <c r="E976" t="n">
        <v>1</v>
      </c>
      <c r="F976" t="inlineStr">
        <is>
          <t>2025-11-14</t>
        </is>
      </c>
      <c r="G976" t="n">
        <v>232</v>
      </c>
      <c r="H976" t="inlineStr">
        <is>
          <t>Y</t>
        </is>
      </c>
      <c r="I976">
        <f>HYPERLINK("https://admin.shopify.com/store/ge-beauty-cosmeticos/customers/8130887450944","abrir")</f>
        <v/>
      </c>
      <c r="J976">
        <f>HYPERLINK("https://www.gebeauty.com.br/products/primer-liso-intacto?ref=review","review")</f>
        <v/>
      </c>
      <c r="K976" t="inlineStr">
        <is>
          <t>SEND</t>
        </is>
      </c>
    </row>
    <row r="977">
      <c r="A977" t="inlineStr">
        <is>
          <t>Ana Paula</t>
        </is>
      </c>
      <c r="B977" t="inlineStr">
        <is>
          <t>+5532991435941</t>
        </is>
      </c>
      <c r="C977" t="inlineStr">
        <is>
          <t>Refill</t>
        </is>
      </c>
      <c r="D977" t="inlineStr">
        <is>
          <t>Primer Liso</t>
        </is>
      </c>
      <c r="E977" t="n">
        <v>1</v>
      </c>
      <c r="F977" t="inlineStr">
        <is>
          <t>2025-11-14</t>
        </is>
      </c>
      <c r="G977" t="n">
        <v>232</v>
      </c>
      <c r="H977" t="inlineStr">
        <is>
          <t>Y</t>
        </is>
      </c>
      <c r="I977">
        <f>HYPERLINK("https://admin.shopify.com/store/ge-beauty-cosmeticos/customers/9486393704768","abrir")</f>
        <v/>
      </c>
      <c r="J977">
        <f>HYPERLINK("https://www.gebeauty.com.br/products/primer-liso-intacto?ref=review","review")</f>
        <v/>
      </c>
      <c r="K977" t="inlineStr">
        <is>
          <t>SEND</t>
        </is>
      </c>
    </row>
    <row r="978">
      <c r="A978" t="inlineStr">
        <is>
          <t>Patricia</t>
        </is>
      </c>
      <c r="B978" t="inlineStr">
        <is>
          <t>+5511976484717</t>
        </is>
      </c>
      <c r="C978" t="inlineStr">
        <is>
          <t>Refill</t>
        </is>
      </c>
      <c r="D978" t="inlineStr">
        <is>
          <t>Primer Liso</t>
        </is>
      </c>
      <c r="E978" t="n">
        <v>1</v>
      </c>
      <c r="F978" t="inlineStr">
        <is>
          <t>2025-11-14</t>
        </is>
      </c>
      <c r="G978" t="n">
        <v>232</v>
      </c>
      <c r="H978" t="inlineStr">
        <is>
          <t>Y</t>
        </is>
      </c>
      <c r="I978">
        <f>HYPERLINK("https://admin.shopify.com/store/ge-beauty-cosmeticos/customers/9855054446912","abrir")</f>
        <v/>
      </c>
      <c r="J978">
        <f>HYPERLINK("https://www.gebeauty.com.br/products/primer-liso-intacto?ref=review","review")</f>
        <v/>
      </c>
      <c r="K978" t="inlineStr">
        <is>
          <t>SEND</t>
        </is>
      </c>
    </row>
    <row r="979">
      <c r="A979" t="inlineStr">
        <is>
          <t>Juliana</t>
        </is>
      </c>
      <c r="B979" t="inlineStr">
        <is>
          <t>+5581987730102</t>
        </is>
      </c>
      <c r="C979" t="inlineStr">
        <is>
          <t>Refill</t>
        </is>
      </c>
      <c r="D979" t="inlineStr">
        <is>
          <t>Primer Liso</t>
        </is>
      </c>
      <c r="E979" t="n">
        <v>1</v>
      </c>
      <c r="F979" t="inlineStr">
        <is>
          <t>2025-11-14</t>
        </is>
      </c>
      <c r="G979" t="n">
        <v>232</v>
      </c>
      <c r="H979" t="inlineStr">
        <is>
          <t>Y</t>
        </is>
      </c>
      <c r="I979">
        <f>HYPERLINK("https://admin.shopify.com/store/ge-beauty-cosmeticos/customers/9861581898048","abrir")</f>
        <v/>
      </c>
      <c r="J979">
        <f>HYPERLINK("https://www.gebeauty.com.br/products/primer-liso-intacto?ref=review","review")</f>
        <v/>
      </c>
      <c r="K979" t="inlineStr">
        <is>
          <t>SEND</t>
        </is>
      </c>
    </row>
    <row r="980">
      <c r="A980" t="inlineStr">
        <is>
          <t>Maria</t>
        </is>
      </c>
      <c r="B980" t="inlineStr">
        <is>
          <t>+5511985582020</t>
        </is>
      </c>
      <c r="C980" t="inlineStr">
        <is>
          <t>Refill</t>
        </is>
      </c>
      <c r="D980" t="inlineStr">
        <is>
          <t>Primer Liso</t>
        </is>
      </c>
      <c r="E980" t="n">
        <v>1</v>
      </c>
      <c r="F980" t="inlineStr">
        <is>
          <t>2025-11-14</t>
        </is>
      </c>
      <c r="G980" t="n">
        <v>232</v>
      </c>
      <c r="H980" t="inlineStr">
        <is>
          <t>Y</t>
        </is>
      </c>
      <c r="I980">
        <f>HYPERLINK("https://admin.shopify.com/store/ge-beauty-cosmeticos/customers/7760177398080","abrir")</f>
        <v/>
      </c>
      <c r="J980">
        <f>HYPERLINK("https://www.gebeauty.com.br/products/primer-liso-intacto?ref=review","review")</f>
        <v/>
      </c>
      <c r="K980" t="inlineStr">
        <is>
          <t>SEND</t>
        </is>
      </c>
    </row>
    <row r="981">
      <c r="A981" t="inlineStr">
        <is>
          <t>Ligia</t>
        </is>
      </c>
      <c r="B981" t="inlineStr">
        <is>
          <t>+5531999937139</t>
        </is>
      </c>
      <c r="C981" t="inlineStr">
        <is>
          <t>Refill</t>
        </is>
      </c>
      <c r="D981" t="inlineStr">
        <is>
          <t>Primer Liso</t>
        </is>
      </c>
      <c r="E981" t="n">
        <v>1</v>
      </c>
      <c r="F981" t="inlineStr">
        <is>
          <t>2025-11-14</t>
        </is>
      </c>
      <c r="G981" t="n">
        <v>232</v>
      </c>
      <c r="H981" t="inlineStr">
        <is>
          <t>Y</t>
        </is>
      </c>
      <c r="I981">
        <f>HYPERLINK("https://admin.shopify.com/store/ge-beauty-cosmeticos/customers/9861918589248","abrir")</f>
        <v/>
      </c>
      <c r="J981">
        <f>HYPERLINK("https://www.gebeauty.com.br/products/primer-liso-intacto?ref=review","review")</f>
        <v/>
      </c>
      <c r="K981" t="inlineStr">
        <is>
          <t>SEND</t>
        </is>
      </c>
    </row>
    <row r="982">
      <c r="A982" t="inlineStr">
        <is>
          <t>Carolina</t>
        </is>
      </c>
      <c r="B982" t="inlineStr">
        <is>
          <t>+5531999552409</t>
        </is>
      </c>
      <c r="C982" t="inlineStr">
        <is>
          <t>Refill</t>
        </is>
      </c>
      <c r="D982" t="inlineStr">
        <is>
          <t>Primer Liso</t>
        </is>
      </c>
      <c r="E982" t="n">
        <v>1</v>
      </c>
      <c r="F982" t="inlineStr">
        <is>
          <t>2025-11-14</t>
        </is>
      </c>
      <c r="G982" t="n">
        <v>232</v>
      </c>
      <c r="H982" t="inlineStr">
        <is>
          <t>Y</t>
        </is>
      </c>
      <c r="I982">
        <f>HYPERLINK("https://admin.shopify.com/store/ge-beauty-cosmeticos/customers/7761646879040","abrir")</f>
        <v/>
      </c>
      <c r="J982">
        <f>HYPERLINK("https://www.gebeauty.com.br/products/primer-liso-intacto?ref=review","review")</f>
        <v/>
      </c>
      <c r="K982" t="inlineStr">
        <is>
          <t>SEND</t>
        </is>
      </c>
    </row>
    <row r="983">
      <c r="A983" t="inlineStr">
        <is>
          <t>Marcia</t>
        </is>
      </c>
      <c r="B983" t="inlineStr">
        <is>
          <t>+5581996433696</t>
        </is>
      </c>
      <c r="C983" t="inlineStr">
        <is>
          <t>Refill</t>
        </is>
      </c>
      <c r="D983" t="inlineStr">
        <is>
          <t>Primer Liso</t>
        </is>
      </c>
      <c r="E983" t="n">
        <v>1</v>
      </c>
      <c r="F983" t="inlineStr">
        <is>
          <t>2025-11-14</t>
        </is>
      </c>
      <c r="G983" t="n">
        <v>232</v>
      </c>
      <c r="H983" t="inlineStr">
        <is>
          <t>Y</t>
        </is>
      </c>
      <c r="I983">
        <f>HYPERLINK("https://admin.shopify.com/store/ge-beauty-cosmeticos/customers/9862581813568","abrir")</f>
        <v/>
      </c>
      <c r="J983">
        <f>HYPERLINK("https://www.gebeauty.com.br/products/primer-liso-intacto?ref=review","review")</f>
        <v/>
      </c>
      <c r="K983" t="inlineStr">
        <is>
          <t>HOLDOUT</t>
        </is>
      </c>
    </row>
    <row r="984">
      <c r="A984" t="inlineStr">
        <is>
          <t>Ana</t>
        </is>
      </c>
      <c r="B984" t="inlineStr">
        <is>
          <t>+5548999698511</t>
        </is>
      </c>
      <c r="C984" t="inlineStr">
        <is>
          <t>Refill</t>
        </is>
      </c>
      <c r="D984" t="inlineStr">
        <is>
          <t>Primer Liso</t>
        </is>
      </c>
      <c r="E984" t="n">
        <v>1</v>
      </c>
      <c r="F984" t="inlineStr">
        <is>
          <t>2025-11-14</t>
        </is>
      </c>
      <c r="G984" t="n">
        <v>232</v>
      </c>
      <c r="H984" t="inlineStr">
        <is>
          <t>Y</t>
        </is>
      </c>
      <c r="I984">
        <f>HYPERLINK("https://admin.shopify.com/store/ge-beauty-cosmeticos/customers/9486198931776","abrir")</f>
        <v/>
      </c>
      <c r="J984">
        <f>HYPERLINK("https://www.gebeauty.com.br/products/primer-liso-intacto?ref=review","review")</f>
        <v/>
      </c>
      <c r="K984" t="inlineStr">
        <is>
          <t>SEND</t>
        </is>
      </c>
    </row>
    <row r="985">
      <c r="A985" t="inlineStr">
        <is>
          <t>Isabel</t>
        </is>
      </c>
      <c r="B985" t="inlineStr">
        <is>
          <t>+5561981688378</t>
        </is>
      </c>
      <c r="C985" t="inlineStr">
        <is>
          <t>Refill</t>
        </is>
      </c>
      <c r="D985" t="inlineStr">
        <is>
          <t>Primer Liso</t>
        </is>
      </c>
      <c r="E985" t="n">
        <v>1</v>
      </c>
      <c r="F985" t="inlineStr">
        <is>
          <t>2025-11-14</t>
        </is>
      </c>
      <c r="G985" t="n">
        <v>232</v>
      </c>
      <c r="H985" t="inlineStr">
        <is>
          <t>Y</t>
        </is>
      </c>
      <c r="I985">
        <f>HYPERLINK("https://admin.shopify.com/store/ge-beauty-cosmeticos/customers/9777098228032","abrir")</f>
        <v/>
      </c>
      <c r="J985">
        <f>HYPERLINK("https://www.gebeauty.com.br/products/primer-liso-intacto?ref=review","review")</f>
        <v/>
      </c>
      <c r="K985" t="inlineStr">
        <is>
          <t>SEND</t>
        </is>
      </c>
    </row>
    <row r="986">
      <c r="A986" t="inlineStr">
        <is>
          <t>Fabiana</t>
        </is>
      </c>
      <c r="B986" t="inlineStr">
        <is>
          <t>+5581999520530</t>
        </is>
      </c>
      <c r="C986" t="inlineStr">
        <is>
          <t>Refill</t>
        </is>
      </c>
      <c r="D986" t="inlineStr">
        <is>
          <t>Primer Liso</t>
        </is>
      </c>
      <c r="E986" t="n">
        <v>1</v>
      </c>
      <c r="F986" t="inlineStr">
        <is>
          <t>2025-11-15</t>
        </is>
      </c>
      <c r="G986" t="n">
        <v>231</v>
      </c>
      <c r="H986" t="inlineStr">
        <is>
          <t>Y</t>
        </is>
      </c>
      <c r="I986">
        <f>HYPERLINK("https://admin.shopify.com/store/ge-beauty-cosmeticos/customers/9486095089984","abrir")</f>
        <v/>
      </c>
      <c r="J986">
        <f>HYPERLINK("https://www.gebeauty.com.br/products/primer-liso-intacto?ref=review","review")</f>
        <v/>
      </c>
      <c r="K986" t="inlineStr">
        <is>
          <t>SEND</t>
        </is>
      </c>
    </row>
    <row r="987">
      <c r="A987" t="inlineStr">
        <is>
          <t>Raissa</t>
        </is>
      </c>
      <c r="B987" t="inlineStr">
        <is>
          <t>+5531988832792</t>
        </is>
      </c>
      <c r="C987" t="inlineStr">
        <is>
          <t>Refill</t>
        </is>
      </c>
      <c r="D987" t="inlineStr">
        <is>
          <t>Primer Liso</t>
        </is>
      </c>
      <c r="E987" t="n">
        <v>1</v>
      </c>
      <c r="F987" t="inlineStr">
        <is>
          <t>2025-11-15</t>
        </is>
      </c>
      <c r="G987" t="n">
        <v>231</v>
      </c>
      <c r="H987" t="inlineStr">
        <is>
          <t>Y</t>
        </is>
      </c>
      <c r="I987">
        <f>HYPERLINK("https://admin.shopify.com/store/ge-beauty-cosmeticos/customers/9806820901184","abrir")</f>
        <v/>
      </c>
      <c r="J987">
        <f>HYPERLINK("https://www.gebeauty.com.br/products/primer-liso-intacto?ref=review","review")</f>
        <v/>
      </c>
      <c r="K987" t="inlineStr">
        <is>
          <t>SEND</t>
        </is>
      </c>
    </row>
    <row r="988">
      <c r="A988" t="inlineStr">
        <is>
          <t>Gabrielly</t>
        </is>
      </c>
      <c r="B988" t="inlineStr">
        <is>
          <t>+5541999143657</t>
        </is>
      </c>
      <c r="C988" t="inlineStr">
        <is>
          <t>Refill</t>
        </is>
      </c>
      <c r="D988" t="inlineStr">
        <is>
          <t>Primer Liso</t>
        </is>
      </c>
      <c r="E988" t="n">
        <v>1</v>
      </c>
      <c r="F988" t="inlineStr">
        <is>
          <t>2025-11-15</t>
        </is>
      </c>
      <c r="G988" t="n">
        <v>231</v>
      </c>
      <c r="H988" t="inlineStr">
        <is>
          <t>Y</t>
        </is>
      </c>
      <c r="I988">
        <f>HYPERLINK("https://admin.shopify.com/store/ge-beauty-cosmeticos/customers/7761476550976","abrir")</f>
        <v/>
      </c>
      <c r="J988">
        <f>HYPERLINK("https://www.gebeauty.com.br/products/primer-liso-intacto?ref=review","review")</f>
        <v/>
      </c>
      <c r="K988" t="inlineStr">
        <is>
          <t>SEND</t>
        </is>
      </c>
    </row>
    <row r="989">
      <c r="A989" t="inlineStr">
        <is>
          <t>Ana</t>
        </is>
      </c>
      <c r="B989" t="inlineStr">
        <is>
          <t>+5521981028782</t>
        </is>
      </c>
      <c r="C989" t="inlineStr">
        <is>
          <t>Refill</t>
        </is>
      </c>
      <c r="D989" t="inlineStr">
        <is>
          <t>Primer Liso</t>
        </is>
      </c>
      <c r="E989" t="n">
        <v>1</v>
      </c>
      <c r="F989" t="inlineStr">
        <is>
          <t>2025-11-15</t>
        </is>
      </c>
      <c r="G989" t="n">
        <v>231</v>
      </c>
      <c r="H989" t="inlineStr">
        <is>
          <t>Y</t>
        </is>
      </c>
      <c r="I989">
        <f>HYPERLINK("https://admin.shopify.com/store/ge-beauty-cosmeticos/customers/7759475441984","abrir")</f>
        <v/>
      </c>
      <c r="J989">
        <f>HYPERLINK("https://www.gebeauty.com.br/products/primer-liso-intacto?ref=review","review")</f>
        <v/>
      </c>
      <c r="K989" t="inlineStr">
        <is>
          <t>SEND</t>
        </is>
      </c>
    </row>
    <row r="990">
      <c r="A990" t="inlineStr">
        <is>
          <t>Juliana</t>
        </is>
      </c>
      <c r="B990" t="inlineStr">
        <is>
          <t>+5511975487060</t>
        </is>
      </c>
      <c r="C990" t="inlineStr">
        <is>
          <t>Refill</t>
        </is>
      </c>
      <c r="D990" t="inlineStr">
        <is>
          <t>Primer Liso</t>
        </is>
      </c>
      <c r="E990" t="n">
        <v>1</v>
      </c>
      <c r="F990" t="inlineStr">
        <is>
          <t>2025-11-15</t>
        </is>
      </c>
      <c r="G990" t="n">
        <v>231</v>
      </c>
      <c r="H990" t="inlineStr">
        <is>
          <t>Y</t>
        </is>
      </c>
      <c r="I990">
        <f>HYPERLINK("https://admin.shopify.com/store/ge-beauty-cosmeticos/customers/8645839356224","abrir")</f>
        <v/>
      </c>
      <c r="J990">
        <f>HYPERLINK("https://www.gebeauty.com.br/products/primer-liso-intacto?ref=review","review")</f>
        <v/>
      </c>
      <c r="K990" t="inlineStr">
        <is>
          <t>SEND</t>
        </is>
      </c>
    </row>
    <row r="991">
      <c r="A991" t="inlineStr">
        <is>
          <t>Danielle</t>
        </is>
      </c>
      <c r="B991" t="inlineStr">
        <is>
          <t>+5531973142605</t>
        </is>
      </c>
      <c r="C991" t="inlineStr">
        <is>
          <t>Refill</t>
        </is>
      </c>
      <c r="D991" t="inlineStr">
        <is>
          <t>Primer Liso</t>
        </is>
      </c>
      <c r="E991" t="n">
        <v>1</v>
      </c>
      <c r="F991" t="inlineStr">
        <is>
          <t>2025-11-15</t>
        </is>
      </c>
      <c r="G991" t="n">
        <v>231</v>
      </c>
      <c r="H991" t="inlineStr">
        <is>
          <t>Y</t>
        </is>
      </c>
      <c r="I991">
        <f>HYPERLINK("https://admin.shopify.com/store/ge-beauty-cosmeticos/customers/9864596554048","abrir")</f>
        <v/>
      </c>
      <c r="J991">
        <f>HYPERLINK("https://www.gebeauty.com.br/products/primer-liso-intacto?ref=review","review")</f>
        <v/>
      </c>
      <c r="K991" t="inlineStr">
        <is>
          <t>SEND</t>
        </is>
      </c>
    </row>
    <row r="992">
      <c r="A992" t="inlineStr">
        <is>
          <t>Camila</t>
        </is>
      </c>
      <c r="B992" t="inlineStr">
        <is>
          <t>+5585985394222</t>
        </is>
      </c>
      <c r="C992" t="inlineStr">
        <is>
          <t>Refill</t>
        </is>
      </c>
      <c r="D992" t="inlineStr">
        <is>
          <t>Primer Liso</t>
        </is>
      </c>
      <c r="E992" t="n">
        <v>1</v>
      </c>
      <c r="F992" t="inlineStr">
        <is>
          <t>2025-11-15</t>
        </is>
      </c>
      <c r="G992" t="n">
        <v>231</v>
      </c>
      <c r="H992" t="inlineStr">
        <is>
          <t>Y</t>
        </is>
      </c>
      <c r="I992">
        <f>HYPERLINK("https://admin.shopify.com/store/ge-beauty-cosmeticos/customers/8110642299200","abrir")</f>
        <v/>
      </c>
      <c r="J992">
        <f>HYPERLINK("https://www.gebeauty.com.br/products/primer-liso-intacto?ref=review","review")</f>
        <v/>
      </c>
      <c r="K992" t="inlineStr">
        <is>
          <t>SEND</t>
        </is>
      </c>
    </row>
    <row r="993">
      <c r="A993" t="inlineStr">
        <is>
          <t>Nadia</t>
        </is>
      </c>
      <c r="B993" t="inlineStr">
        <is>
          <t>+5511976211927</t>
        </is>
      </c>
      <c r="C993" t="inlineStr">
        <is>
          <t>Refill</t>
        </is>
      </c>
      <c r="D993" t="inlineStr">
        <is>
          <t>Primer Liso</t>
        </is>
      </c>
      <c r="E993" t="n">
        <v>1</v>
      </c>
      <c r="F993" t="inlineStr">
        <is>
          <t>2025-11-15</t>
        </is>
      </c>
      <c r="G993" t="n">
        <v>231</v>
      </c>
      <c r="H993" t="inlineStr">
        <is>
          <t>Y</t>
        </is>
      </c>
      <c r="I993">
        <f>HYPERLINK("https://admin.shopify.com/store/ge-beauty-cosmeticos/customers/9864850276672","abrir")</f>
        <v/>
      </c>
      <c r="J993">
        <f>HYPERLINK("https://www.gebeauty.com.br/products/primer-liso-intacto?ref=review","review")</f>
        <v/>
      </c>
      <c r="K993" t="inlineStr">
        <is>
          <t>SEND</t>
        </is>
      </c>
    </row>
    <row r="994">
      <c r="A994" t="inlineStr">
        <is>
          <t>Barbara</t>
        </is>
      </c>
      <c r="B994" t="inlineStr">
        <is>
          <t>+5511991709643</t>
        </is>
      </c>
      <c r="C994" t="inlineStr">
        <is>
          <t>Refill</t>
        </is>
      </c>
      <c r="D994" t="inlineStr">
        <is>
          <t>Primer Liso</t>
        </is>
      </c>
      <c r="E994" t="n">
        <v>1</v>
      </c>
      <c r="F994" t="inlineStr">
        <is>
          <t>2025-11-15</t>
        </is>
      </c>
      <c r="G994" t="n">
        <v>231</v>
      </c>
      <c r="H994" t="inlineStr">
        <is>
          <t>Y</t>
        </is>
      </c>
      <c r="I994">
        <f>HYPERLINK("https://admin.shopify.com/store/ge-beauty-cosmeticos/customers/7762243486016","abrir")</f>
        <v/>
      </c>
      <c r="J994">
        <f>HYPERLINK("https://www.gebeauty.com.br/products/primer-liso-intacto?ref=review","review")</f>
        <v/>
      </c>
      <c r="K994" t="inlineStr">
        <is>
          <t>SEND</t>
        </is>
      </c>
    </row>
    <row r="995">
      <c r="A995" t="inlineStr">
        <is>
          <t>Glaucicarla</t>
        </is>
      </c>
      <c r="B995" t="inlineStr">
        <is>
          <t>+5581997313961</t>
        </is>
      </c>
      <c r="C995" t="inlineStr">
        <is>
          <t>Refill</t>
        </is>
      </c>
      <c r="D995" t="inlineStr">
        <is>
          <t>Primer Liso</t>
        </is>
      </c>
      <c r="E995" t="n">
        <v>1</v>
      </c>
      <c r="F995" t="inlineStr">
        <is>
          <t>2025-11-15</t>
        </is>
      </c>
      <c r="G995" t="n">
        <v>231</v>
      </c>
      <c r="H995" t="inlineStr">
        <is>
          <t>Y</t>
        </is>
      </c>
      <c r="I995">
        <f>HYPERLINK("https://admin.shopify.com/store/ge-beauty-cosmeticos/customers/9865247719744","abrir")</f>
        <v/>
      </c>
      <c r="J995">
        <f>HYPERLINK("https://www.gebeauty.com.br/products/primer-liso-intacto?ref=review","review")</f>
        <v/>
      </c>
      <c r="K995" t="inlineStr">
        <is>
          <t>SEND</t>
        </is>
      </c>
    </row>
    <row r="996">
      <c r="A996" t="inlineStr">
        <is>
          <t>Eliana</t>
        </is>
      </c>
      <c r="B996" t="inlineStr">
        <is>
          <t>+5511979910130</t>
        </is>
      </c>
      <c r="C996" t="inlineStr">
        <is>
          <t>Refill</t>
        </is>
      </c>
      <c r="D996" t="inlineStr">
        <is>
          <t>Primer Liso</t>
        </is>
      </c>
      <c r="E996" t="n">
        <v>1</v>
      </c>
      <c r="F996" t="inlineStr">
        <is>
          <t>2025-11-16</t>
        </is>
      </c>
      <c r="G996" t="n">
        <v>230</v>
      </c>
      <c r="H996" t="inlineStr">
        <is>
          <t>Y</t>
        </is>
      </c>
      <c r="I996">
        <f>HYPERLINK("https://admin.shopify.com/store/ge-beauty-cosmeticos/customers/9784406049088","abrir")</f>
        <v/>
      </c>
      <c r="J996">
        <f>HYPERLINK("https://www.gebeauty.com.br/products/primer-liso-intacto?ref=review","review")</f>
        <v/>
      </c>
      <c r="K996" t="inlineStr">
        <is>
          <t>SEND</t>
        </is>
      </c>
    </row>
    <row r="997">
      <c r="A997" t="inlineStr">
        <is>
          <t>Bruna</t>
        </is>
      </c>
      <c r="B997" t="inlineStr">
        <is>
          <t>+5511982767303</t>
        </is>
      </c>
      <c r="C997" t="inlineStr">
        <is>
          <t>Refill</t>
        </is>
      </c>
      <c r="D997" t="inlineStr">
        <is>
          <t>Primer Liso</t>
        </is>
      </c>
      <c r="E997" t="n">
        <v>1</v>
      </c>
      <c r="F997" t="inlineStr">
        <is>
          <t>2025-11-16</t>
        </is>
      </c>
      <c r="G997" t="n">
        <v>230</v>
      </c>
      <c r="H997" t="inlineStr">
        <is>
          <t>Y</t>
        </is>
      </c>
      <c r="I997">
        <f>HYPERLINK("https://admin.shopify.com/store/ge-beauty-cosmeticos/customers/7761418027328","abrir")</f>
        <v/>
      </c>
      <c r="J997">
        <f>HYPERLINK("https://www.gebeauty.com.br/products/primer-liso-intacto?ref=review","review")</f>
        <v/>
      </c>
      <c r="K997" t="inlineStr">
        <is>
          <t>SEND</t>
        </is>
      </c>
    </row>
    <row r="998">
      <c r="A998" t="inlineStr">
        <is>
          <t>Barbara</t>
        </is>
      </c>
      <c r="B998" t="inlineStr">
        <is>
          <t>+5511951304370</t>
        </is>
      </c>
      <c r="C998" t="inlineStr">
        <is>
          <t>Refill</t>
        </is>
      </c>
      <c r="D998" t="inlineStr">
        <is>
          <t>Primer Liso</t>
        </is>
      </c>
      <c r="E998" t="n">
        <v>1</v>
      </c>
      <c r="F998" t="inlineStr">
        <is>
          <t>2025-11-16</t>
        </is>
      </c>
      <c r="G998" t="n">
        <v>230</v>
      </c>
      <c r="H998" t="inlineStr">
        <is>
          <t>Y</t>
        </is>
      </c>
      <c r="I998">
        <f>HYPERLINK("https://admin.shopify.com/store/ge-beauty-cosmeticos/customers/9865526083904","abrir")</f>
        <v/>
      </c>
      <c r="J998">
        <f>HYPERLINK("https://www.gebeauty.com.br/products/primer-liso-intacto?ref=review","review")</f>
        <v/>
      </c>
      <c r="K998" t="inlineStr">
        <is>
          <t>SEND</t>
        </is>
      </c>
    </row>
    <row r="999">
      <c r="A999" t="inlineStr">
        <is>
          <t>Thaís</t>
        </is>
      </c>
      <c r="B999" t="inlineStr">
        <is>
          <t>+5514981216432</t>
        </is>
      </c>
      <c r="C999" t="inlineStr">
        <is>
          <t>Refill</t>
        </is>
      </c>
      <c r="D999" t="inlineStr">
        <is>
          <t>Primer Liso</t>
        </is>
      </c>
      <c r="E999" t="n">
        <v>1</v>
      </c>
      <c r="F999" t="inlineStr">
        <is>
          <t>2025-11-16</t>
        </is>
      </c>
      <c r="G999" t="n">
        <v>230</v>
      </c>
      <c r="H999" t="inlineStr">
        <is>
          <t>Y</t>
        </is>
      </c>
      <c r="I999">
        <f>HYPERLINK("https://admin.shopify.com/store/ge-beauty-cosmeticos/customers/8955559379264","abrir")</f>
        <v/>
      </c>
      <c r="J999">
        <f>HYPERLINK("https://www.gebeauty.com.br/products/primer-liso-intacto?ref=review","review")</f>
        <v/>
      </c>
      <c r="K999" t="inlineStr">
        <is>
          <t>SEND</t>
        </is>
      </c>
    </row>
    <row r="1000">
      <c r="A1000" t="inlineStr">
        <is>
          <t>Juliana</t>
        </is>
      </c>
      <c r="B1000" t="inlineStr">
        <is>
          <t>+5511946074427</t>
        </is>
      </c>
      <c r="C1000" t="inlineStr">
        <is>
          <t>Refill</t>
        </is>
      </c>
      <c r="D1000" t="inlineStr">
        <is>
          <t>Primer Liso</t>
        </is>
      </c>
      <c r="E1000" t="n">
        <v>1</v>
      </c>
      <c r="F1000" t="inlineStr">
        <is>
          <t>2025-11-16</t>
        </is>
      </c>
      <c r="G1000" t="n">
        <v>230</v>
      </c>
      <c r="H1000" t="inlineStr">
        <is>
          <t>N</t>
        </is>
      </c>
      <c r="I1000">
        <f>HYPERLINK("https://admin.shopify.com/store/ge-beauty-cosmeticos/customers/9484634554688","abrir")</f>
        <v/>
      </c>
      <c r="J1000">
        <f>HYPERLINK("https://www.gebeauty.com.br/products/primer-liso-intacto?ref=review","review")</f>
        <v/>
      </c>
      <c r="K1000" t="inlineStr">
        <is>
          <t>SEND</t>
        </is>
      </c>
    </row>
    <row r="1001">
      <c r="A1001" t="inlineStr">
        <is>
          <t>Daniela</t>
        </is>
      </c>
      <c r="B1001" t="inlineStr">
        <is>
          <t>+5551991165015</t>
        </is>
      </c>
      <c r="C1001" t="inlineStr">
        <is>
          <t>Refill</t>
        </is>
      </c>
      <c r="D1001" t="inlineStr">
        <is>
          <t>Primer Liso</t>
        </is>
      </c>
      <c r="E1001" t="n">
        <v>1</v>
      </c>
      <c r="F1001" t="inlineStr">
        <is>
          <t>2025-11-16</t>
        </is>
      </c>
      <c r="G1001" t="n">
        <v>230</v>
      </c>
      <c r="H1001" t="inlineStr">
        <is>
          <t>Y</t>
        </is>
      </c>
      <c r="I1001">
        <f>HYPERLINK("https://admin.shopify.com/store/ge-beauty-cosmeticos/customers/9866514596160","abrir")</f>
        <v/>
      </c>
      <c r="J1001">
        <f>HYPERLINK("https://www.gebeauty.com.br/products/primer-liso-intacto?ref=review","review")</f>
        <v/>
      </c>
      <c r="K1001" t="inlineStr">
        <is>
          <t>SEND</t>
        </is>
      </c>
    </row>
    <row r="1002">
      <c r="A1002" t="inlineStr">
        <is>
          <t>Maria Victoria</t>
        </is>
      </c>
      <c r="B1002" t="inlineStr">
        <is>
          <t>+5519997795350</t>
        </is>
      </c>
      <c r="C1002" t="inlineStr">
        <is>
          <t>Refill</t>
        </is>
      </c>
      <c r="D1002" t="inlineStr">
        <is>
          <t>Primer Liso</t>
        </is>
      </c>
      <c r="E1002" t="n">
        <v>1</v>
      </c>
      <c r="F1002" t="inlineStr">
        <is>
          <t>2025-11-16</t>
        </is>
      </c>
      <c r="G1002" t="n">
        <v>230</v>
      </c>
      <c r="H1002" t="inlineStr">
        <is>
          <t>Y</t>
        </is>
      </c>
      <c r="I1002">
        <f>HYPERLINK("https://admin.shopify.com/store/ge-beauty-cosmeticos/customers/9866686988608","abrir")</f>
        <v/>
      </c>
      <c r="J1002">
        <f>HYPERLINK("https://www.gebeauty.com.br/products/primer-liso-intacto?ref=review","review")</f>
        <v/>
      </c>
      <c r="K1002" t="inlineStr">
        <is>
          <t>HOLDOUT</t>
        </is>
      </c>
    </row>
    <row r="1003">
      <c r="A1003" t="inlineStr">
        <is>
          <t>Renata</t>
        </is>
      </c>
      <c r="B1003" t="inlineStr">
        <is>
          <t>+5511985904505</t>
        </is>
      </c>
      <c r="C1003" t="inlineStr">
        <is>
          <t>Refill</t>
        </is>
      </c>
      <c r="D1003" t="inlineStr">
        <is>
          <t>Primer Liso</t>
        </is>
      </c>
      <c r="E1003" t="n">
        <v>1</v>
      </c>
      <c r="F1003" t="inlineStr">
        <is>
          <t>2025-11-16</t>
        </is>
      </c>
      <c r="G1003" t="n">
        <v>230</v>
      </c>
      <c r="H1003" t="inlineStr">
        <is>
          <t>Y</t>
        </is>
      </c>
      <c r="I1003">
        <f>HYPERLINK("https://admin.shopify.com/store/ge-beauty-cosmeticos/customers/9866723852608","abrir")</f>
        <v/>
      </c>
      <c r="J1003">
        <f>HYPERLINK("https://www.gebeauty.com.br/products/primer-liso-intacto?ref=review","review")</f>
        <v/>
      </c>
      <c r="K1003" t="inlineStr">
        <is>
          <t>SEND</t>
        </is>
      </c>
    </row>
    <row r="1004">
      <c r="A1004" t="inlineStr">
        <is>
          <t>Bianca</t>
        </is>
      </c>
      <c r="B1004" t="inlineStr">
        <is>
          <t>+5513997723210</t>
        </is>
      </c>
      <c r="C1004" t="inlineStr">
        <is>
          <t>Refill</t>
        </is>
      </c>
      <c r="D1004" t="inlineStr">
        <is>
          <t>Primer Liso</t>
        </is>
      </c>
      <c r="E1004" t="n">
        <v>1</v>
      </c>
      <c r="F1004" t="inlineStr">
        <is>
          <t>2025-11-16</t>
        </is>
      </c>
      <c r="G1004" t="n">
        <v>230</v>
      </c>
      <c r="H1004" t="inlineStr">
        <is>
          <t>Y</t>
        </is>
      </c>
      <c r="I1004">
        <f>HYPERLINK("https://admin.shopify.com/store/ge-beauty-cosmeticos/customers/9659332952384","abrir")</f>
        <v/>
      </c>
      <c r="J1004">
        <f>HYPERLINK("https://www.gebeauty.com.br/products/primer-liso-intacto?ref=review","review")</f>
        <v/>
      </c>
      <c r="K1004" t="inlineStr">
        <is>
          <t>SEND</t>
        </is>
      </c>
    </row>
    <row r="1005">
      <c r="A1005" t="inlineStr">
        <is>
          <t>Patrícia</t>
        </is>
      </c>
      <c r="B1005" t="inlineStr">
        <is>
          <t>+5527988361628</t>
        </is>
      </c>
      <c r="C1005" t="inlineStr">
        <is>
          <t>Refill</t>
        </is>
      </c>
      <c r="D1005" t="inlineStr">
        <is>
          <t>Primer Liso</t>
        </is>
      </c>
      <c r="E1005" t="n">
        <v>1</v>
      </c>
      <c r="F1005" t="inlineStr">
        <is>
          <t>2025-11-16</t>
        </is>
      </c>
      <c r="G1005" t="n">
        <v>230</v>
      </c>
      <c r="H1005" t="inlineStr">
        <is>
          <t>Y</t>
        </is>
      </c>
      <c r="I1005">
        <f>HYPERLINK("https://admin.shopify.com/store/ge-beauty-cosmeticos/customers/9867769577792","abrir")</f>
        <v/>
      </c>
      <c r="J1005">
        <f>HYPERLINK("https://www.gebeauty.com.br/products/primer-liso-intacto?ref=review","review")</f>
        <v/>
      </c>
      <c r="K1005" t="inlineStr">
        <is>
          <t>SEND</t>
        </is>
      </c>
    </row>
    <row r="1006">
      <c r="A1006" t="inlineStr">
        <is>
          <t>Denise</t>
        </is>
      </c>
      <c r="B1006" t="inlineStr">
        <is>
          <t>+5511992452267</t>
        </is>
      </c>
      <c r="C1006" t="inlineStr">
        <is>
          <t>Refill</t>
        </is>
      </c>
      <c r="D1006" t="inlineStr">
        <is>
          <t>Primer Liso</t>
        </is>
      </c>
      <c r="E1006" t="n">
        <v>1</v>
      </c>
      <c r="F1006" t="inlineStr">
        <is>
          <t>2025-11-16</t>
        </is>
      </c>
      <c r="G1006" t="n">
        <v>230</v>
      </c>
      <c r="H1006" t="inlineStr">
        <is>
          <t>Y</t>
        </is>
      </c>
      <c r="I1006">
        <f>HYPERLINK("https://admin.shopify.com/store/ge-beauty-cosmeticos/customers/9092610818368","abrir")</f>
        <v/>
      </c>
      <c r="J1006">
        <f>HYPERLINK("https://www.gebeauty.com.br/products/primer-liso-intacto?ref=review","review")</f>
        <v/>
      </c>
      <c r="K1006" t="inlineStr">
        <is>
          <t>SEND</t>
        </is>
      </c>
    </row>
    <row r="1007">
      <c r="A1007" t="inlineStr">
        <is>
          <t>Ana</t>
        </is>
      </c>
      <c r="B1007" t="inlineStr">
        <is>
          <t>+5571992276972</t>
        </is>
      </c>
      <c r="C1007" t="inlineStr">
        <is>
          <t>Refill</t>
        </is>
      </c>
      <c r="D1007" t="inlineStr">
        <is>
          <t>Primer Liso</t>
        </is>
      </c>
      <c r="E1007" t="n">
        <v>1</v>
      </c>
      <c r="F1007" t="inlineStr">
        <is>
          <t>2025-11-16</t>
        </is>
      </c>
      <c r="G1007" t="n">
        <v>230</v>
      </c>
      <c r="H1007" t="inlineStr">
        <is>
          <t>Y</t>
        </is>
      </c>
      <c r="I1007">
        <f>HYPERLINK("https://admin.shopify.com/store/ge-beauty-cosmeticos/customers/9315511402816","abrir")</f>
        <v/>
      </c>
      <c r="J1007">
        <f>HYPERLINK("https://www.gebeauty.com.br/products/primer-liso-intacto?ref=review","review")</f>
        <v/>
      </c>
      <c r="K1007" t="inlineStr">
        <is>
          <t>SEND</t>
        </is>
      </c>
    </row>
    <row r="1008">
      <c r="A1008" t="inlineStr">
        <is>
          <t>Jaqueane</t>
        </is>
      </c>
      <c r="B1008" t="inlineStr">
        <is>
          <t>+5511955954002</t>
        </is>
      </c>
      <c r="C1008" t="inlineStr">
        <is>
          <t>Refill</t>
        </is>
      </c>
      <c r="D1008" t="inlineStr">
        <is>
          <t>Primer Liso</t>
        </is>
      </c>
      <c r="E1008" t="n">
        <v>1</v>
      </c>
      <c r="F1008" t="inlineStr">
        <is>
          <t>2025-11-16</t>
        </is>
      </c>
      <c r="G1008" t="n">
        <v>230</v>
      </c>
      <c r="H1008" t="inlineStr">
        <is>
          <t>Y</t>
        </is>
      </c>
      <c r="I1008">
        <f>HYPERLINK("https://admin.shopify.com/store/ge-beauty-cosmeticos/customers/9867371872576","abrir")</f>
        <v/>
      </c>
      <c r="J1008">
        <f>HYPERLINK("https://www.gebeauty.com.br/products/primer-liso-intacto?ref=review","review")</f>
        <v/>
      </c>
      <c r="K1008" t="inlineStr">
        <is>
          <t>SEND</t>
        </is>
      </c>
    </row>
    <row r="1009">
      <c r="A1009" t="inlineStr">
        <is>
          <t>Mariana</t>
        </is>
      </c>
      <c r="B1009" t="inlineStr">
        <is>
          <t>+5521967348770</t>
        </is>
      </c>
      <c r="C1009" t="inlineStr">
        <is>
          <t>Refill</t>
        </is>
      </c>
      <c r="D1009" t="inlineStr">
        <is>
          <t>Primer Liso</t>
        </is>
      </c>
      <c r="E1009" t="n">
        <v>1</v>
      </c>
      <c r="F1009" t="inlineStr">
        <is>
          <t>2025-11-16</t>
        </is>
      </c>
      <c r="G1009" t="n">
        <v>230</v>
      </c>
      <c r="H1009" t="inlineStr">
        <is>
          <t>Y</t>
        </is>
      </c>
      <c r="I1009">
        <f>HYPERLINK("https://admin.shopify.com/store/ge-beauty-cosmeticos/customers/8929878245696","abrir")</f>
        <v/>
      </c>
      <c r="J1009">
        <f>HYPERLINK("https://www.gebeauty.com.br/products/primer-liso-intacto?ref=review","review")</f>
        <v/>
      </c>
      <c r="K1009" t="inlineStr">
        <is>
          <t>HOLDOUT</t>
        </is>
      </c>
    </row>
    <row r="1010">
      <c r="A1010" t="inlineStr">
        <is>
          <t>Ana</t>
        </is>
      </c>
      <c r="B1010" t="inlineStr">
        <is>
          <t>+5581999784989</t>
        </is>
      </c>
      <c r="C1010" t="inlineStr">
        <is>
          <t>Refill</t>
        </is>
      </c>
      <c r="D1010" t="inlineStr">
        <is>
          <t>Primer Liso</t>
        </is>
      </c>
      <c r="E1010" t="n">
        <v>1</v>
      </c>
      <c r="F1010" t="inlineStr">
        <is>
          <t>2025-11-16</t>
        </is>
      </c>
      <c r="G1010" t="n">
        <v>230</v>
      </c>
      <c r="H1010" t="inlineStr">
        <is>
          <t>Y</t>
        </is>
      </c>
      <c r="I1010">
        <f>HYPERLINK("https://admin.shopify.com/store/ge-beauty-cosmeticos/customers/8719735193920","abrir")</f>
        <v/>
      </c>
      <c r="J1010">
        <f>HYPERLINK("https://www.gebeauty.com.br/products/primer-liso-intacto?ref=review","review")</f>
        <v/>
      </c>
      <c r="K1010" t="inlineStr">
        <is>
          <t>SEND</t>
        </is>
      </c>
    </row>
    <row r="1011">
      <c r="A1011" t="inlineStr">
        <is>
          <t>Marilia</t>
        </is>
      </c>
      <c r="B1011" t="inlineStr">
        <is>
          <t>+5575999555435</t>
        </is>
      </c>
      <c r="C1011" t="inlineStr">
        <is>
          <t>Refill</t>
        </is>
      </c>
      <c r="D1011" t="inlineStr">
        <is>
          <t>Primer Liso</t>
        </is>
      </c>
      <c r="E1011" t="n">
        <v>1</v>
      </c>
      <c r="F1011" t="inlineStr">
        <is>
          <t>2025-11-16</t>
        </is>
      </c>
      <c r="G1011" t="n">
        <v>230</v>
      </c>
      <c r="H1011" t="inlineStr">
        <is>
          <t>Y</t>
        </is>
      </c>
      <c r="I1011">
        <f>HYPERLINK("https://admin.shopify.com/store/ge-beauty-cosmeticos/customers/9868194087232","abrir")</f>
        <v/>
      </c>
      <c r="J1011">
        <f>HYPERLINK("https://www.gebeauty.com.br/products/primer-liso-intacto?ref=review","review")</f>
        <v/>
      </c>
      <c r="K1011" t="inlineStr">
        <is>
          <t>SEND</t>
        </is>
      </c>
    </row>
    <row r="1012">
      <c r="A1012" t="inlineStr">
        <is>
          <t>Thainá</t>
        </is>
      </c>
      <c r="B1012" t="inlineStr">
        <is>
          <t>+5516478951084</t>
        </is>
      </c>
      <c r="C1012" t="inlineStr">
        <is>
          <t>Refill</t>
        </is>
      </c>
      <c r="D1012" t="inlineStr">
        <is>
          <t>Primer Liso</t>
        </is>
      </c>
      <c r="E1012" t="n">
        <v>1</v>
      </c>
      <c r="F1012" t="inlineStr">
        <is>
          <t>2025-11-17</t>
        </is>
      </c>
      <c r="G1012" t="n">
        <v>229</v>
      </c>
      <c r="H1012" t="inlineStr">
        <is>
          <t>N</t>
        </is>
      </c>
      <c r="I1012">
        <f>HYPERLINK("https://admin.shopify.com/store/ge-beauty-cosmeticos/customers/7762530992448","abrir")</f>
        <v/>
      </c>
      <c r="J1012">
        <f>HYPERLINK("https://www.gebeauty.com.br/products/primer-liso-intacto?ref=review","review")</f>
        <v/>
      </c>
      <c r="K1012" t="inlineStr">
        <is>
          <t>SEND</t>
        </is>
      </c>
    </row>
    <row r="1013">
      <c r="A1013" t="inlineStr">
        <is>
          <t>Camila</t>
        </is>
      </c>
      <c r="B1013" t="inlineStr">
        <is>
          <t>+5562982014445</t>
        </is>
      </c>
      <c r="C1013" t="inlineStr">
        <is>
          <t>Refill</t>
        </is>
      </c>
      <c r="D1013" t="inlineStr">
        <is>
          <t>Primer Liso</t>
        </is>
      </c>
      <c r="E1013" t="n">
        <v>1</v>
      </c>
      <c r="F1013" t="inlineStr">
        <is>
          <t>2025-11-17</t>
        </is>
      </c>
      <c r="G1013" t="n">
        <v>229</v>
      </c>
      <c r="H1013" t="inlineStr">
        <is>
          <t>Y</t>
        </is>
      </c>
      <c r="I1013">
        <f>HYPERLINK("https://admin.shopify.com/store/ge-beauty-cosmeticos/customers/9485122470208","abrir")</f>
        <v/>
      </c>
      <c r="J1013">
        <f>HYPERLINK("https://www.gebeauty.com.br/products/primer-liso-intacto?ref=review","review")</f>
        <v/>
      </c>
      <c r="K1013" t="inlineStr">
        <is>
          <t>SEND</t>
        </is>
      </c>
    </row>
    <row r="1014">
      <c r="A1014" t="inlineStr">
        <is>
          <t>Gabriela</t>
        </is>
      </c>
      <c r="B1014" t="inlineStr">
        <is>
          <t>+5511961891661</t>
        </is>
      </c>
      <c r="C1014" t="inlineStr">
        <is>
          <t>Refill</t>
        </is>
      </c>
      <c r="D1014" t="inlineStr">
        <is>
          <t>Primer Liso</t>
        </is>
      </c>
      <c r="E1014" t="n">
        <v>1</v>
      </c>
      <c r="F1014" t="inlineStr">
        <is>
          <t>2025-11-17</t>
        </is>
      </c>
      <c r="G1014" t="n">
        <v>229</v>
      </c>
      <c r="H1014" t="inlineStr">
        <is>
          <t>Y</t>
        </is>
      </c>
      <c r="I1014">
        <f>HYPERLINK("https://admin.shopify.com/store/ge-beauty-cosmeticos/customers/9485125747008","abrir")</f>
        <v/>
      </c>
      <c r="J1014">
        <f>HYPERLINK("https://www.gebeauty.com.br/products/primer-liso-intacto?ref=review","review")</f>
        <v/>
      </c>
      <c r="K1014" t="inlineStr">
        <is>
          <t>SEND</t>
        </is>
      </c>
    </row>
    <row r="1015">
      <c r="A1015" t="inlineStr">
        <is>
          <t>Isabela</t>
        </is>
      </c>
      <c r="B1015" t="inlineStr">
        <is>
          <t>+5581997364991</t>
        </is>
      </c>
      <c r="C1015" t="inlineStr">
        <is>
          <t>Refill</t>
        </is>
      </c>
      <c r="D1015" t="inlineStr">
        <is>
          <t>Primer Liso</t>
        </is>
      </c>
      <c r="E1015" t="n">
        <v>1</v>
      </c>
      <c r="F1015" t="inlineStr">
        <is>
          <t>2025-11-17</t>
        </is>
      </c>
      <c r="G1015" t="n">
        <v>229</v>
      </c>
      <c r="H1015" t="inlineStr">
        <is>
          <t>Y</t>
        </is>
      </c>
      <c r="I1015">
        <f>HYPERLINK("https://admin.shopify.com/store/ge-beauty-cosmeticos/customers/9485800407360","abrir")</f>
        <v/>
      </c>
      <c r="J1015">
        <f>HYPERLINK("https://www.gebeauty.com.br/products/primer-liso-intacto?ref=review","review")</f>
        <v/>
      </c>
      <c r="K1015" t="inlineStr">
        <is>
          <t>SEND</t>
        </is>
      </c>
    </row>
    <row r="1016">
      <c r="A1016" t="inlineStr">
        <is>
          <t>Thaise</t>
        </is>
      </c>
      <c r="B1016" t="inlineStr">
        <is>
          <t>+5581991267941</t>
        </is>
      </c>
      <c r="C1016" t="inlineStr">
        <is>
          <t>Refill</t>
        </is>
      </c>
      <c r="D1016" t="inlineStr">
        <is>
          <t>Primer Liso</t>
        </is>
      </c>
      <c r="E1016" t="n">
        <v>1</v>
      </c>
      <c r="F1016" t="inlineStr">
        <is>
          <t>2025-11-17</t>
        </is>
      </c>
      <c r="G1016" t="n">
        <v>229</v>
      </c>
      <c r="H1016" t="inlineStr">
        <is>
          <t>Y</t>
        </is>
      </c>
      <c r="I1016">
        <f>HYPERLINK("https://admin.shopify.com/store/ge-beauty-cosmeticos/customers/9869728842048","abrir")</f>
        <v/>
      </c>
      <c r="J1016">
        <f>HYPERLINK("https://www.gebeauty.com.br/products/primer-liso-intacto?ref=review","review")</f>
        <v/>
      </c>
      <c r="K1016" t="inlineStr">
        <is>
          <t>SEND</t>
        </is>
      </c>
    </row>
    <row r="1017">
      <c r="A1017" t="inlineStr">
        <is>
          <t>Vera</t>
        </is>
      </c>
      <c r="B1017" t="inlineStr">
        <is>
          <t>+5521999242994</t>
        </is>
      </c>
      <c r="C1017" t="inlineStr">
        <is>
          <t>Refill</t>
        </is>
      </c>
      <c r="D1017" t="inlineStr">
        <is>
          <t>Primer Liso</t>
        </is>
      </c>
      <c r="E1017" t="n">
        <v>1</v>
      </c>
      <c r="F1017" t="inlineStr">
        <is>
          <t>2025-11-17</t>
        </is>
      </c>
      <c r="G1017" t="n">
        <v>229</v>
      </c>
      <c r="H1017" t="inlineStr">
        <is>
          <t>Y</t>
        </is>
      </c>
      <c r="I1017">
        <f>HYPERLINK("https://admin.shopify.com/store/ge-beauty-cosmeticos/customers/9869838647616","abrir")</f>
        <v/>
      </c>
      <c r="J1017">
        <f>HYPERLINK("https://www.gebeauty.com.br/products/primer-liso-intacto?ref=review","review")</f>
        <v/>
      </c>
      <c r="K1017" t="inlineStr">
        <is>
          <t>SEND</t>
        </is>
      </c>
    </row>
    <row r="1018">
      <c r="A1018" t="inlineStr">
        <is>
          <t>Samara</t>
        </is>
      </c>
      <c r="B1018" t="inlineStr">
        <is>
          <t>+5591991794865</t>
        </is>
      </c>
      <c r="C1018" t="inlineStr">
        <is>
          <t>Refill</t>
        </is>
      </c>
      <c r="D1018" t="inlineStr">
        <is>
          <t>Primer Liso</t>
        </is>
      </c>
      <c r="E1018" t="n">
        <v>1</v>
      </c>
      <c r="F1018" t="inlineStr">
        <is>
          <t>2025-11-17</t>
        </is>
      </c>
      <c r="G1018" t="n">
        <v>229</v>
      </c>
      <c r="H1018" t="inlineStr">
        <is>
          <t>Y</t>
        </is>
      </c>
      <c r="I1018">
        <f>HYPERLINK("https://admin.shopify.com/store/ge-beauty-cosmeticos/customers/8377553584448","abrir")</f>
        <v/>
      </c>
      <c r="J1018">
        <f>HYPERLINK("https://www.gebeauty.com.br/products/primer-liso-intacto?ref=review","review")</f>
        <v/>
      </c>
      <c r="K1018" t="inlineStr">
        <is>
          <t>SEND</t>
        </is>
      </c>
    </row>
    <row r="1019">
      <c r="A1019" t="inlineStr">
        <is>
          <t>Camila</t>
        </is>
      </c>
      <c r="B1019" t="inlineStr">
        <is>
          <t>+5561996639478</t>
        </is>
      </c>
      <c r="C1019" t="inlineStr">
        <is>
          <t>Refill</t>
        </is>
      </c>
      <c r="D1019" t="inlineStr">
        <is>
          <t>Primer Liso</t>
        </is>
      </c>
      <c r="E1019" t="n">
        <v>1</v>
      </c>
      <c r="F1019" t="inlineStr">
        <is>
          <t>2025-11-17</t>
        </is>
      </c>
      <c r="G1019" t="n">
        <v>229</v>
      </c>
      <c r="H1019" t="inlineStr">
        <is>
          <t>Y</t>
        </is>
      </c>
      <c r="I1019">
        <f>HYPERLINK("https://admin.shopify.com/store/ge-beauty-cosmeticos/customers/9486237761856","abrir")</f>
        <v/>
      </c>
      <c r="J1019">
        <f>HYPERLINK("https://www.gebeauty.com.br/products/primer-liso-intacto?ref=review","review")</f>
        <v/>
      </c>
      <c r="K1019" t="inlineStr">
        <is>
          <t>SEND</t>
        </is>
      </c>
    </row>
    <row r="1020">
      <c r="A1020" t="inlineStr">
        <is>
          <t>Talita</t>
        </is>
      </c>
      <c r="B1020" t="inlineStr">
        <is>
          <t>+5585998590456</t>
        </is>
      </c>
      <c r="C1020" t="inlineStr">
        <is>
          <t>Refill</t>
        </is>
      </c>
      <c r="D1020" t="inlineStr">
        <is>
          <t>Primer Liso</t>
        </is>
      </c>
      <c r="E1020" t="n">
        <v>1</v>
      </c>
      <c r="F1020" t="inlineStr">
        <is>
          <t>2025-11-17</t>
        </is>
      </c>
      <c r="G1020" t="n">
        <v>229</v>
      </c>
      <c r="H1020" t="inlineStr">
        <is>
          <t>Y</t>
        </is>
      </c>
      <c r="I1020">
        <f>HYPERLINK("https://admin.shopify.com/store/ge-beauty-cosmeticos/customers/7762364072256","abrir")</f>
        <v/>
      </c>
      <c r="J1020">
        <f>HYPERLINK("https://www.gebeauty.com.br/products/primer-liso-intacto?ref=review","review")</f>
        <v/>
      </c>
      <c r="K1020" t="inlineStr">
        <is>
          <t>SEND</t>
        </is>
      </c>
    </row>
    <row r="1021">
      <c r="A1021" t="inlineStr">
        <is>
          <t>Roberta</t>
        </is>
      </c>
      <c r="B1021" t="inlineStr">
        <is>
          <t>+5561993718943</t>
        </is>
      </c>
      <c r="C1021" t="inlineStr">
        <is>
          <t>Refill</t>
        </is>
      </c>
      <c r="D1021" t="inlineStr">
        <is>
          <t>Primer Liso</t>
        </is>
      </c>
      <c r="E1021" t="n">
        <v>1</v>
      </c>
      <c r="F1021" t="inlineStr">
        <is>
          <t>2025-11-17</t>
        </is>
      </c>
      <c r="G1021" t="n">
        <v>229</v>
      </c>
      <c r="H1021" t="inlineStr">
        <is>
          <t>Y</t>
        </is>
      </c>
      <c r="I1021">
        <f>HYPERLINK("https://admin.shopify.com/store/ge-beauty-cosmeticos/customers/9870135132480","abrir")</f>
        <v/>
      </c>
      <c r="J1021">
        <f>HYPERLINK("https://www.gebeauty.com.br/products/primer-liso-intacto?ref=review","review")</f>
        <v/>
      </c>
      <c r="K1021" t="inlineStr">
        <is>
          <t>SEND</t>
        </is>
      </c>
    </row>
    <row r="1022">
      <c r="A1022" t="inlineStr">
        <is>
          <t>Kimy</t>
        </is>
      </c>
      <c r="B1022" t="inlineStr">
        <is>
          <t>+5518997148802</t>
        </is>
      </c>
      <c r="C1022" t="inlineStr">
        <is>
          <t>Refill</t>
        </is>
      </c>
      <c r="D1022" t="inlineStr">
        <is>
          <t>Primer Liso</t>
        </is>
      </c>
      <c r="E1022" t="n">
        <v>1</v>
      </c>
      <c r="F1022" t="inlineStr">
        <is>
          <t>2025-11-17</t>
        </is>
      </c>
      <c r="G1022" t="n">
        <v>229</v>
      </c>
      <c r="H1022" t="inlineStr">
        <is>
          <t>Y</t>
        </is>
      </c>
      <c r="I1022">
        <f>HYPERLINK("https://admin.shopify.com/store/ge-beauty-cosmeticos/customers/9870161871168","abrir")</f>
        <v/>
      </c>
      <c r="J1022">
        <f>HYPERLINK("https://www.gebeauty.com.br/products/primer-liso-intacto?ref=review","review")</f>
        <v/>
      </c>
      <c r="K1022" t="inlineStr">
        <is>
          <t>SEND</t>
        </is>
      </c>
    </row>
    <row r="1023">
      <c r="A1023" t="inlineStr">
        <is>
          <t>Maria</t>
        </is>
      </c>
      <c r="B1023" t="inlineStr">
        <is>
          <t>+5524981261233</t>
        </is>
      </c>
      <c r="C1023" t="inlineStr">
        <is>
          <t>Refill</t>
        </is>
      </c>
      <c r="D1023" t="inlineStr">
        <is>
          <t>Primer Liso</t>
        </is>
      </c>
      <c r="E1023" t="n">
        <v>1</v>
      </c>
      <c r="F1023" t="inlineStr">
        <is>
          <t>2025-11-17</t>
        </is>
      </c>
      <c r="G1023" t="n">
        <v>229</v>
      </c>
      <c r="H1023" t="inlineStr">
        <is>
          <t>Y</t>
        </is>
      </c>
      <c r="I1023">
        <f>HYPERLINK("https://admin.shopify.com/store/ge-beauty-cosmeticos/customers/9870711685440","abrir")</f>
        <v/>
      </c>
      <c r="J1023">
        <f>HYPERLINK("https://www.gebeauty.com.br/products/primer-liso-intacto?ref=review","review")</f>
        <v/>
      </c>
      <c r="K1023" t="inlineStr">
        <is>
          <t>SEND</t>
        </is>
      </c>
    </row>
    <row r="1024">
      <c r="A1024" t="inlineStr">
        <is>
          <t>Amanda</t>
        </is>
      </c>
      <c r="B1024" t="inlineStr">
        <is>
          <t>+5564999790096</t>
        </is>
      </c>
      <c r="C1024" t="inlineStr">
        <is>
          <t>Refill</t>
        </is>
      </c>
      <c r="D1024" t="inlineStr">
        <is>
          <t>Primer Liso</t>
        </is>
      </c>
      <c r="E1024" t="n">
        <v>1</v>
      </c>
      <c r="F1024" t="inlineStr">
        <is>
          <t>2025-11-17</t>
        </is>
      </c>
      <c r="G1024" t="n">
        <v>229</v>
      </c>
      <c r="H1024" t="inlineStr">
        <is>
          <t>Y</t>
        </is>
      </c>
      <c r="I1024">
        <f>HYPERLINK("https://admin.shopify.com/store/ge-beauty-cosmeticos/customers/8111839936832","abrir")</f>
        <v/>
      </c>
      <c r="J1024">
        <f>HYPERLINK("https://www.gebeauty.com.br/products/primer-liso-intacto?ref=review","review")</f>
        <v/>
      </c>
      <c r="K1024" t="inlineStr">
        <is>
          <t>SEND</t>
        </is>
      </c>
    </row>
    <row r="1025">
      <c r="A1025" t="inlineStr">
        <is>
          <t>Taty</t>
        </is>
      </c>
      <c r="B1025" t="inlineStr">
        <is>
          <t>+5547984997701</t>
        </is>
      </c>
      <c r="C1025" t="inlineStr">
        <is>
          <t>Refill</t>
        </is>
      </c>
      <c r="D1025" t="inlineStr">
        <is>
          <t>Primer Liso</t>
        </is>
      </c>
      <c r="E1025" t="n">
        <v>1</v>
      </c>
      <c r="F1025" t="inlineStr">
        <is>
          <t>2025-11-17</t>
        </is>
      </c>
      <c r="G1025" t="n">
        <v>229</v>
      </c>
      <c r="H1025" t="inlineStr">
        <is>
          <t>Y</t>
        </is>
      </c>
      <c r="I1025">
        <f>HYPERLINK("https://admin.shopify.com/store/ge-beauty-cosmeticos/customers/9777102455104","abrir")</f>
        <v/>
      </c>
      <c r="J1025">
        <f>HYPERLINK("https://www.gebeauty.com.br/products/primer-liso-intacto?ref=review","review")</f>
        <v/>
      </c>
      <c r="K1025" t="inlineStr">
        <is>
          <t>SEND</t>
        </is>
      </c>
    </row>
    <row r="1026">
      <c r="A1026" t="inlineStr">
        <is>
          <t>Ingrid</t>
        </is>
      </c>
      <c r="B1026" t="inlineStr">
        <is>
          <t>+5511948147550</t>
        </is>
      </c>
      <c r="C1026" t="inlineStr">
        <is>
          <t>Refill</t>
        </is>
      </c>
      <c r="D1026" t="inlineStr">
        <is>
          <t>Primer Liso</t>
        </is>
      </c>
      <c r="E1026" t="n">
        <v>1</v>
      </c>
      <c r="F1026" t="inlineStr">
        <is>
          <t>2025-11-18</t>
        </is>
      </c>
      <c r="G1026" t="n">
        <v>228</v>
      </c>
      <c r="H1026" t="inlineStr">
        <is>
          <t>Y</t>
        </is>
      </c>
      <c r="I1026">
        <f>HYPERLINK("https://admin.shopify.com/store/ge-beauty-cosmeticos/customers/9873978229056","abrir")</f>
        <v/>
      </c>
      <c r="J1026">
        <f>HYPERLINK("https://www.gebeauty.com.br/products/primer-liso-intacto?ref=review","review")</f>
        <v/>
      </c>
      <c r="K1026" t="inlineStr">
        <is>
          <t>HOLDOUT</t>
        </is>
      </c>
    </row>
    <row r="1027">
      <c r="A1027" t="inlineStr">
        <is>
          <t>Ana Luisa</t>
        </is>
      </c>
      <c r="B1027" t="inlineStr">
        <is>
          <t>+5541992776536</t>
        </is>
      </c>
      <c r="C1027" t="inlineStr">
        <is>
          <t>Refill</t>
        </is>
      </c>
      <c r="D1027" t="inlineStr">
        <is>
          <t>Primer Liso</t>
        </is>
      </c>
      <c r="E1027" t="n">
        <v>1</v>
      </c>
      <c r="F1027" t="inlineStr">
        <is>
          <t>2025-11-18</t>
        </is>
      </c>
      <c r="G1027" t="n">
        <v>228</v>
      </c>
      <c r="H1027" t="inlineStr">
        <is>
          <t>Y</t>
        </is>
      </c>
      <c r="I1027">
        <f>HYPERLINK("https://admin.shopify.com/store/ge-beauty-cosmeticos/customers/9486052884800","abrir")</f>
        <v/>
      </c>
      <c r="J1027">
        <f>HYPERLINK("https://www.gebeauty.com.br/products/primer-liso-intacto?ref=review","review")</f>
        <v/>
      </c>
      <c r="K1027" t="inlineStr">
        <is>
          <t>SEND</t>
        </is>
      </c>
    </row>
    <row r="1028">
      <c r="A1028" t="inlineStr">
        <is>
          <t>Carolina</t>
        </is>
      </c>
      <c r="B1028" t="inlineStr">
        <is>
          <t>+5548991170603</t>
        </is>
      </c>
      <c r="C1028" t="inlineStr">
        <is>
          <t>Refill</t>
        </is>
      </c>
      <c r="D1028" t="inlineStr">
        <is>
          <t>Primer Liso</t>
        </is>
      </c>
      <c r="E1028" t="n">
        <v>1</v>
      </c>
      <c r="F1028" t="inlineStr">
        <is>
          <t>2025-11-18</t>
        </is>
      </c>
      <c r="G1028" t="n">
        <v>228</v>
      </c>
      <c r="H1028" t="inlineStr">
        <is>
          <t>Y</t>
        </is>
      </c>
      <c r="I1028">
        <f>HYPERLINK("https://admin.shopify.com/store/ge-beauty-cosmeticos/customers/9873607655744","abrir")</f>
        <v/>
      </c>
      <c r="J1028">
        <f>HYPERLINK("https://www.gebeauty.com.br/products/primer-liso-intacto?ref=review","review")</f>
        <v/>
      </c>
      <c r="K1028" t="inlineStr">
        <is>
          <t>SEND</t>
        </is>
      </c>
    </row>
    <row r="1029">
      <c r="A1029" t="inlineStr">
        <is>
          <t>Mariana</t>
        </is>
      </c>
      <c r="B1029" t="inlineStr">
        <is>
          <t>+5591993199851</t>
        </is>
      </c>
      <c r="C1029" t="inlineStr">
        <is>
          <t>Refill</t>
        </is>
      </c>
      <c r="D1029" t="inlineStr">
        <is>
          <t>Primer Liso</t>
        </is>
      </c>
      <c r="E1029" t="n">
        <v>1</v>
      </c>
      <c r="F1029" t="inlineStr">
        <is>
          <t>2025-11-18</t>
        </is>
      </c>
      <c r="G1029" t="n">
        <v>228</v>
      </c>
      <c r="H1029" t="inlineStr">
        <is>
          <t>Y</t>
        </is>
      </c>
      <c r="I1029">
        <f>HYPERLINK("https://admin.shopify.com/store/ge-beauty-cosmeticos/customers/9874599510336","abrir")</f>
        <v/>
      </c>
      <c r="J1029">
        <f>HYPERLINK("https://www.gebeauty.com.br/products/primer-liso-intacto?ref=review","review")</f>
        <v/>
      </c>
      <c r="K1029" t="inlineStr">
        <is>
          <t>SEND</t>
        </is>
      </c>
    </row>
    <row r="1030">
      <c r="A1030" t="inlineStr">
        <is>
          <t>Eduarda</t>
        </is>
      </c>
      <c r="B1030" t="inlineStr">
        <is>
          <t>+5511999915257</t>
        </is>
      </c>
      <c r="C1030" t="inlineStr">
        <is>
          <t>Refill</t>
        </is>
      </c>
      <c r="D1030" t="inlineStr">
        <is>
          <t>Primer Liso</t>
        </is>
      </c>
      <c r="E1030" t="n">
        <v>1</v>
      </c>
      <c r="F1030" t="inlineStr">
        <is>
          <t>2025-11-18</t>
        </is>
      </c>
      <c r="G1030" t="n">
        <v>228</v>
      </c>
      <c r="H1030" t="inlineStr">
        <is>
          <t>Y</t>
        </is>
      </c>
      <c r="I1030">
        <f>HYPERLINK("https://admin.shopify.com/store/ge-beauty-cosmeticos/customers/9874669994304","abrir")</f>
        <v/>
      </c>
      <c r="J1030">
        <f>HYPERLINK("https://www.gebeauty.com.br/products/primer-liso-intacto?ref=review","review")</f>
        <v/>
      </c>
      <c r="K1030" t="inlineStr">
        <is>
          <t>SEND</t>
        </is>
      </c>
    </row>
    <row r="1031">
      <c r="A1031" t="inlineStr">
        <is>
          <t>Alexandra</t>
        </is>
      </c>
      <c r="B1031" t="inlineStr">
        <is>
          <t>+5515998220380</t>
        </is>
      </c>
      <c r="C1031" t="inlineStr">
        <is>
          <t>Refill</t>
        </is>
      </c>
      <c r="D1031" t="inlineStr">
        <is>
          <t>Primer Liso</t>
        </is>
      </c>
      <c r="E1031" t="n">
        <v>1</v>
      </c>
      <c r="F1031" t="inlineStr">
        <is>
          <t>2025-11-19</t>
        </is>
      </c>
      <c r="G1031" t="n">
        <v>227</v>
      </c>
      <c r="H1031" t="inlineStr">
        <is>
          <t>Y</t>
        </is>
      </c>
      <c r="I1031">
        <f>HYPERLINK("https://admin.shopify.com/store/ge-beauty-cosmeticos/customers/9735512260928","abrir")</f>
        <v/>
      </c>
      <c r="J1031">
        <f>HYPERLINK("https://www.gebeauty.com.br/products/primer-liso-intacto?ref=review","review")</f>
        <v/>
      </c>
      <c r="K1031" t="inlineStr">
        <is>
          <t>SEND</t>
        </is>
      </c>
    </row>
    <row r="1032">
      <c r="A1032" t="inlineStr">
        <is>
          <t>Solange</t>
        </is>
      </c>
      <c r="B1032" t="inlineStr">
        <is>
          <t>+5511991392681</t>
        </is>
      </c>
      <c r="C1032" t="inlineStr">
        <is>
          <t>Refill</t>
        </is>
      </c>
      <c r="D1032" t="inlineStr">
        <is>
          <t>Primer Liso</t>
        </is>
      </c>
      <c r="E1032" t="n">
        <v>1</v>
      </c>
      <c r="F1032" t="inlineStr">
        <is>
          <t>2025-11-19</t>
        </is>
      </c>
      <c r="G1032" t="n">
        <v>227</v>
      </c>
      <c r="H1032" t="inlineStr">
        <is>
          <t>Y</t>
        </is>
      </c>
      <c r="I1032">
        <f>HYPERLINK("https://admin.shopify.com/store/ge-beauty-cosmeticos/customers/9874910904640","abrir")</f>
        <v/>
      </c>
      <c r="J1032">
        <f>HYPERLINK("https://www.gebeauty.com.br/products/primer-liso-intacto?ref=review","review")</f>
        <v/>
      </c>
      <c r="K1032" t="inlineStr">
        <is>
          <t>SEND</t>
        </is>
      </c>
    </row>
    <row r="1033">
      <c r="A1033" t="inlineStr">
        <is>
          <t>Yuri</t>
        </is>
      </c>
      <c r="B1033" t="inlineStr">
        <is>
          <t>+5561982104690</t>
        </is>
      </c>
      <c r="C1033" t="inlineStr">
        <is>
          <t>Refill</t>
        </is>
      </c>
      <c r="D1033" t="inlineStr">
        <is>
          <t>Primer Liso</t>
        </is>
      </c>
      <c r="E1033" t="n">
        <v>1</v>
      </c>
      <c r="F1033" t="inlineStr">
        <is>
          <t>2025-11-19</t>
        </is>
      </c>
      <c r="G1033" t="n">
        <v>227</v>
      </c>
      <c r="H1033" t="inlineStr">
        <is>
          <t>Y</t>
        </is>
      </c>
      <c r="I1033">
        <f>HYPERLINK("https://admin.shopify.com/store/ge-beauty-cosmeticos/customers/9874917851456","abrir")</f>
        <v/>
      </c>
      <c r="J1033">
        <f>HYPERLINK("https://www.gebeauty.com.br/products/primer-liso-intacto?ref=review","review")</f>
        <v/>
      </c>
      <c r="K1033" t="inlineStr">
        <is>
          <t>SEND</t>
        </is>
      </c>
    </row>
    <row r="1034">
      <c r="A1034" t="inlineStr">
        <is>
          <t>Larissa</t>
        </is>
      </c>
      <c r="B1034" t="inlineStr">
        <is>
          <t>+5511996933456</t>
        </is>
      </c>
      <c r="C1034" t="inlineStr">
        <is>
          <t>Refill</t>
        </is>
      </c>
      <c r="D1034" t="inlineStr">
        <is>
          <t>Primer Liso</t>
        </is>
      </c>
      <c r="E1034" t="n">
        <v>1</v>
      </c>
      <c r="F1034" t="inlineStr">
        <is>
          <t>2025-11-19</t>
        </is>
      </c>
      <c r="G1034" t="n">
        <v>227</v>
      </c>
      <c r="H1034" t="inlineStr">
        <is>
          <t>Y</t>
        </is>
      </c>
      <c r="I1034">
        <f>HYPERLINK("https://admin.shopify.com/store/ge-beauty-cosmeticos/customers/9857366229312","abrir")</f>
        <v/>
      </c>
      <c r="J1034">
        <f>HYPERLINK("https://www.gebeauty.com.br/products/primer-liso-intacto?ref=review","review")</f>
        <v/>
      </c>
      <c r="K1034" t="inlineStr">
        <is>
          <t>SEND</t>
        </is>
      </c>
    </row>
    <row r="1035">
      <c r="A1035" t="inlineStr">
        <is>
          <t>Aline</t>
        </is>
      </c>
      <c r="B1035" t="inlineStr">
        <is>
          <t>+5581999180250</t>
        </is>
      </c>
      <c r="C1035" t="inlineStr">
        <is>
          <t>Refill</t>
        </is>
      </c>
      <c r="D1035" t="inlineStr">
        <is>
          <t>Primer Liso</t>
        </is>
      </c>
      <c r="E1035" t="n">
        <v>1</v>
      </c>
      <c r="F1035" t="inlineStr">
        <is>
          <t>2025-11-19</t>
        </is>
      </c>
      <c r="G1035" t="n">
        <v>227</v>
      </c>
      <c r="H1035" t="inlineStr">
        <is>
          <t>Y</t>
        </is>
      </c>
      <c r="I1035">
        <f>HYPERLINK("https://admin.shopify.com/store/ge-beauty-cosmeticos/customers/9485228147008","abrir")</f>
        <v/>
      </c>
      <c r="J1035">
        <f>HYPERLINK("https://www.gebeauty.com.br/products/primer-liso-intacto?ref=review","review")</f>
        <v/>
      </c>
      <c r="K1035" t="inlineStr">
        <is>
          <t>SEND</t>
        </is>
      </c>
    </row>
    <row r="1036">
      <c r="A1036" t="inlineStr">
        <is>
          <t>Daiane</t>
        </is>
      </c>
      <c r="B1036" t="inlineStr">
        <is>
          <t>+5579999386574</t>
        </is>
      </c>
      <c r="C1036" t="inlineStr">
        <is>
          <t>Refill</t>
        </is>
      </c>
      <c r="D1036" t="inlineStr">
        <is>
          <t>Primer Liso</t>
        </is>
      </c>
      <c r="E1036" t="n">
        <v>1</v>
      </c>
      <c r="F1036" t="inlineStr">
        <is>
          <t>2025-11-19</t>
        </is>
      </c>
      <c r="G1036" t="n">
        <v>227</v>
      </c>
      <c r="H1036" t="inlineStr">
        <is>
          <t>Y</t>
        </is>
      </c>
      <c r="I1036">
        <f>HYPERLINK("https://admin.shopify.com/store/ge-beauty-cosmeticos/customers/9486620164416","abrir")</f>
        <v/>
      </c>
      <c r="J1036">
        <f>HYPERLINK("https://www.gebeauty.com.br/products/primer-liso-intacto?ref=review","review")</f>
        <v/>
      </c>
      <c r="K1036" t="inlineStr">
        <is>
          <t>SEND</t>
        </is>
      </c>
    </row>
    <row r="1037">
      <c r="A1037" t="inlineStr">
        <is>
          <t>Amanda</t>
        </is>
      </c>
      <c r="B1037" t="inlineStr">
        <is>
          <t>+5521998841066</t>
        </is>
      </c>
      <c r="C1037" t="inlineStr">
        <is>
          <t>Refill</t>
        </is>
      </c>
      <c r="D1037" t="inlineStr">
        <is>
          <t>Primer Liso</t>
        </is>
      </c>
      <c r="E1037" t="n">
        <v>1</v>
      </c>
      <c r="F1037" t="inlineStr">
        <is>
          <t>2025-11-19</t>
        </is>
      </c>
      <c r="G1037" t="n">
        <v>227</v>
      </c>
      <c r="H1037" t="inlineStr">
        <is>
          <t>Y</t>
        </is>
      </c>
      <c r="I1037">
        <f>HYPERLINK("https://admin.shopify.com/store/ge-beauty-cosmeticos/customers/9876976566592","abrir")</f>
        <v/>
      </c>
      <c r="J1037">
        <f>HYPERLINK("https://www.gebeauty.com.br/products/primer-liso-intacto?ref=review","review")</f>
        <v/>
      </c>
      <c r="K1037" t="inlineStr">
        <is>
          <t>SEND</t>
        </is>
      </c>
    </row>
    <row r="1038">
      <c r="A1038" t="inlineStr">
        <is>
          <t>Larissa</t>
        </is>
      </c>
      <c r="B1038" t="inlineStr">
        <is>
          <t>+5592981335939</t>
        </is>
      </c>
      <c r="C1038" t="inlineStr">
        <is>
          <t>Refill</t>
        </is>
      </c>
      <c r="D1038" t="inlineStr">
        <is>
          <t>Primer Liso</t>
        </is>
      </c>
      <c r="E1038" t="n">
        <v>1</v>
      </c>
      <c r="F1038" t="inlineStr">
        <is>
          <t>2025-11-19</t>
        </is>
      </c>
      <c r="G1038" t="n">
        <v>227</v>
      </c>
      <c r="H1038" t="inlineStr">
        <is>
          <t>Y</t>
        </is>
      </c>
      <c r="I1038">
        <f>HYPERLINK("https://admin.shopify.com/store/ge-beauty-cosmeticos/customers/9788167618880","abrir")</f>
        <v/>
      </c>
      <c r="J1038">
        <f>HYPERLINK("https://www.gebeauty.com.br/products/primer-liso-intacto?ref=review","review")</f>
        <v/>
      </c>
      <c r="K1038" t="inlineStr">
        <is>
          <t>SEND</t>
        </is>
      </c>
    </row>
    <row r="1039">
      <c r="A1039" t="inlineStr">
        <is>
          <t>Juliana</t>
        </is>
      </c>
      <c r="B1039" t="inlineStr">
        <is>
          <t>+5581999243244</t>
        </is>
      </c>
      <c r="C1039" t="inlineStr">
        <is>
          <t>Refill</t>
        </is>
      </c>
      <c r="D1039" t="inlineStr">
        <is>
          <t>Primer Liso</t>
        </is>
      </c>
      <c r="E1039" t="n">
        <v>1</v>
      </c>
      <c r="F1039" t="inlineStr">
        <is>
          <t>2025-11-19</t>
        </is>
      </c>
      <c r="G1039" t="n">
        <v>227</v>
      </c>
      <c r="H1039" t="inlineStr">
        <is>
          <t>Y</t>
        </is>
      </c>
      <c r="I1039">
        <f>HYPERLINK("https://admin.shopify.com/store/ge-beauty-cosmeticos/customers/9845084356928","abrir")</f>
        <v/>
      </c>
      <c r="J1039">
        <f>HYPERLINK("https://www.gebeauty.com.br/products/primer-liso-intacto?ref=review","review")</f>
        <v/>
      </c>
      <c r="K1039" t="inlineStr">
        <is>
          <t>SEND</t>
        </is>
      </c>
    </row>
    <row r="1040">
      <c r="A1040" t="inlineStr">
        <is>
          <t>João</t>
        </is>
      </c>
      <c r="B1040" t="inlineStr">
        <is>
          <t>+5548984034242</t>
        </is>
      </c>
      <c r="C1040" t="inlineStr">
        <is>
          <t>Refill</t>
        </is>
      </c>
      <c r="D1040" t="inlineStr">
        <is>
          <t>Primer Liso</t>
        </is>
      </c>
      <c r="E1040" t="n">
        <v>1</v>
      </c>
      <c r="F1040" t="inlineStr">
        <is>
          <t>2025-11-19</t>
        </is>
      </c>
      <c r="G1040" t="n">
        <v>227</v>
      </c>
      <c r="H1040" t="inlineStr">
        <is>
          <t>Y</t>
        </is>
      </c>
      <c r="I1040">
        <f>HYPERLINK("https://admin.shopify.com/store/ge-beauty-cosmeticos/customers/9877504885056","abrir")</f>
        <v/>
      </c>
      <c r="J1040">
        <f>HYPERLINK("https://www.gebeauty.com.br/products/primer-liso-intacto?ref=review","review")</f>
        <v/>
      </c>
      <c r="K1040" t="inlineStr">
        <is>
          <t>HOLDOUT</t>
        </is>
      </c>
    </row>
    <row r="1041">
      <c r="A1041" t="inlineStr">
        <is>
          <t>Ellen</t>
        </is>
      </c>
      <c r="B1041" t="inlineStr">
        <is>
          <t>+5581992721572</t>
        </is>
      </c>
      <c r="C1041" t="inlineStr">
        <is>
          <t>Refill</t>
        </is>
      </c>
      <c r="D1041" t="inlineStr">
        <is>
          <t>Primer Liso</t>
        </is>
      </c>
      <c r="E1041" t="n">
        <v>1</v>
      </c>
      <c r="F1041" t="inlineStr">
        <is>
          <t>2025-11-19</t>
        </is>
      </c>
      <c r="G1041" t="n">
        <v>227</v>
      </c>
      <c r="H1041" t="inlineStr">
        <is>
          <t>Y</t>
        </is>
      </c>
      <c r="I1041">
        <f>HYPERLINK("https://admin.shopify.com/store/ge-beauty-cosmeticos/customers/9878103490880","abrir")</f>
        <v/>
      </c>
      <c r="J1041">
        <f>HYPERLINK("https://www.gebeauty.com.br/products/primer-liso-intacto?ref=review","review")</f>
        <v/>
      </c>
      <c r="K1041" t="inlineStr">
        <is>
          <t>SEND</t>
        </is>
      </c>
    </row>
    <row r="1042">
      <c r="A1042" t="inlineStr">
        <is>
          <t>Cintia</t>
        </is>
      </c>
      <c r="B1042" t="inlineStr">
        <is>
          <t>+5511999229991</t>
        </is>
      </c>
      <c r="C1042" t="inlineStr">
        <is>
          <t>Refill</t>
        </is>
      </c>
      <c r="D1042" t="inlineStr">
        <is>
          <t>Primer Liso</t>
        </is>
      </c>
      <c r="E1042" t="n">
        <v>1</v>
      </c>
      <c r="F1042" t="inlineStr">
        <is>
          <t>2025-11-19</t>
        </is>
      </c>
      <c r="G1042" t="n">
        <v>227</v>
      </c>
      <c r="H1042" t="inlineStr">
        <is>
          <t>Y</t>
        </is>
      </c>
      <c r="I1042">
        <f>HYPERLINK("https://admin.shopify.com/store/ge-beauty-cosmeticos/customers/9637588730176","abrir")</f>
        <v/>
      </c>
      <c r="J1042">
        <f>HYPERLINK("https://www.gebeauty.com.br/products/primer-liso-intacto?ref=review","review")</f>
        <v/>
      </c>
      <c r="K1042" t="inlineStr">
        <is>
          <t>SEND</t>
        </is>
      </c>
    </row>
    <row r="1043">
      <c r="A1043" t="inlineStr">
        <is>
          <t>Ana</t>
        </is>
      </c>
      <c r="B1043" t="inlineStr">
        <is>
          <t>+5585988026603</t>
        </is>
      </c>
      <c r="C1043" t="inlineStr">
        <is>
          <t>Refill</t>
        </is>
      </c>
      <c r="D1043" t="inlineStr">
        <is>
          <t>Primer Liso</t>
        </is>
      </c>
      <c r="E1043" t="n">
        <v>1</v>
      </c>
      <c r="F1043" t="inlineStr">
        <is>
          <t>2025-11-20</t>
        </is>
      </c>
      <c r="G1043" t="n">
        <v>226</v>
      </c>
      <c r="H1043" t="inlineStr">
        <is>
          <t>N</t>
        </is>
      </c>
      <c r="I1043">
        <f>HYPERLINK("https://admin.shopify.com/store/ge-beauty-cosmeticos/customers/9486663319872","abrir")</f>
        <v/>
      </c>
      <c r="J1043">
        <f>HYPERLINK("https://www.gebeauty.com.br/products/primer-liso-intacto?ref=review","review")</f>
        <v/>
      </c>
      <c r="K1043" t="inlineStr">
        <is>
          <t>SEND</t>
        </is>
      </c>
    </row>
    <row r="1044">
      <c r="A1044" t="inlineStr">
        <is>
          <t>Isadora</t>
        </is>
      </c>
      <c r="B1044" t="inlineStr">
        <is>
          <t>+5548996237065</t>
        </is>
      </c>
      <c r="C1044" t="inlineStr">
        <is>
          <t>Refill</t>
        </is>
      </c>
      <c r="D1044" t="inlineStr">
        <is>
          <t>Primer Liso</t>
        </is>
      </c>
      <c r="E1044" t="n">
        <v>1</v>
      </c>
      <c r="F1044" t="inlineStr">
        <is>
          <t>2025-11-20</t>
        </is>
      </c>
      <c r="G1044" t="n">
        <v>226</v>
      </c>
      <c r="H1044" t="inlineStr">
        <is>
          <t>Y</t>
        </is>
      </c>
      <c r="I1044">
        <f>HYPERLINK("https://admin.shopify.com/store/ge-beauty-cosmeticos/customers/9486551187776","abrir")</f>
        <v/>
      </c>
      <c r="J1044">
        <f>HYPERLINK("https://www.gebeauty.com.br/products/primer-liso-intacto?ref=review","review")</f>
        <v/>
      </c>
      <c r="K1044" t="inlineStr">
        <is>
          <t>SEND</t>
        </is>
      </c>
    </row>
    <row r="1045">
      <c r="A1045" t="inlineStr">
        <is>
          <t>Macela</t>
        </is>
      </c>
      <c r="B1045" t="inlineStr">
        <is>
          <t>+5519999902609</t>
        </is>
      </c>
      <c r="C1045" t="inlineStr">
        <is>
          <t>Refill</t>
        </is>
      </c>
      <c r="D1045" t="inlineStr">
        <is>
          <t>Primer Liso</t>
        </is>
      </c>
      <c r="E1045" t="n">
        <v>1</v>
      </c>
      <c r="F1045" t="inlineStr">
        <is>
          <t>2025-11-20</t>
        </is>
      </c>
      <c r="G1045" t="n">
        <v>226</v>
      </c>
      <c r="H1045" t="inlineStr">
        <is>
          <t>Y</t>
        </is>
      </c>
      <c r="I1045">
        <f>HYPERLINK("https://admin.shopify.com/store/ge-beauty-cosmeticos/customers/7761054728512","abrir")</f>
        <v/>
      </c>
      <c r="J1045">
        <f>HYPERLINK("https://www.gebeauty.com.br/products/primer-liso-intacto?ref=review","review")</f>
        <v/>
      </c>
      <c r="K1045" t="inlineStr">
        <is>
          <t>SEND</t>
        </is>
      </c>
    </row>
    <row r="1046">
      <c r="A1046" t="inlineStr">
        <is>
          <t>Julia</t>
        </is>
      </c>
      <c r="B1046" t="inlineStr">
        <is>
          <t>+5521996487894</t>
        </is>
      </c>
      <c r="C1046" t="inlineStr">
        <is>
          <t>Refill</t>
        </is>
      </c>
      <c r="D1046" t="inlineStr">
        <is>
          <t>Primer Liso</t>
        </is>
      </c>
      <c r="E1046" t="n">
        <v>1</v>
      </c>
      <c r="F1046" t="inlineStr">
        <is>
          <t>2025-11-21</t>
        </is>
      </c>
      <c r="G1046" t="n">
        <v>225</v>
      </c>
      <c r="H1046" t="inlineStr">
        <is>
          <t>Y</t>
        </is>
      </c>
      <c r="I1046">
        <f>HYPERLINK("https://admin.shopify.com/store/ge-beauty-cosmeticos/customers/9148059713856","abrir")</f>
        <v/>
      </c>
      <c r="J1046">
        <f>HYPERLINK("https://www.gebeauty.com.br/products/primer-liso-intacto?ref=review","review")</f>
        <v/>
      </c>
      <c r="K1046" t="inlineStr">
        <is>
          <t>SEND</t>
        </is>
      </c>
    </row>
    <row r="1047">
      <c r="A1047" t="inlineStr">
        <is>
          <t>Anna Paula</t>
        </is>
      </c>
      <c r="B1047" t="inlineStr">
        <is>
          <t>+5519995642828</t>
        </is>
      </c>
      <c r="C1047" t="inlineStr">
        <is>
          <t>Refill</t>
        </is>
      </c>
      <c r="D1047" t="inlineStr">
        <is>
          <t>Primer Liso</t>
        </is>
      </c>
      <c r="E1047" t="n">
        <v>1</v>
      </c>
      <c r="F1047" t="inlineStr">
        <is>
          <t>2025-11-21</t>
        </is>
      </c>
      <c r="G1047" t="n">
        <v>225</v>
      </c>
      <c r="H1047" t="inlineStr">
        <is>
          <t>Y</t>
        </is>
      </c>
      <c r="I1047">
        <f>HYPERLINK("https://admin.shopify.com/store/ge-beauty-cosmeticos/customers/9886515528000","abrir")</f>
        <v/>
      </c>
      <c r="J1047">
        <f>HYPERLINK("https://www.gebeauty.com.br/products/primer-liso-intacto?ref=review","review")</f>
        <v/>
      </c>
      <c r="K1047" t="inlineStr">
        <is>
          <t>SEND</t>
        </is>
      </c>
    </row>
    <row r="1048">
      <c r="A1048" t="inlineStr">
        <is>
          <t>Pamela</t>
        </is>
      </c>
      <c r="B1048" t="inlineStr">
        <is>
          <t>+5511944675257</t>
        </is>
      </c>
      <c r="C1048" t="inlineStr">
        <is>
          <t>Refill</t>
        </is>
      </c>
      <c r="D1048" t="inlineStr">
        <is>
          <t>Primer Liso</t>
        </is>
      </c>
      <c r="E1048" t="n">
        <v>1</v>
      </c>
      <c r="F1048" t="inlineStr">
        <is>
          <t>2025-11-21</t>
        </is>
      </c>
      <c r="G1048" t="n">
        <v>225</v>
      </c>
      <c r="H1048" t="inlineStr">
        <is>
          <t>Y</t>
        </is>
      </c>
      <c r="I1048">
        <f>HYPERLINK("https://admin.shopify.com/store/ge-beauty-cosmeticos/customers/9486517076288","abrir")</f>
        <v/>
      </c>
      <c r="J1048">
        <f>HYPERLINK("https://www.gebeauty.com.br/products/primer-liso-intacto?ref=review","review")</f>
        <v/>
      </c>
      <c r="K1048" t="inlineStr">
        <is>
          <t>SEND</t>
        </is>
      </c>
    </row>
    <row r="1049">
      <c r="A1049" t="inlineStr">
        <is>
          <t>Anna Carolina</t>
        </is>
      </c>
      <c r="B1049" t="inlineStr">
        <is>
          <t>+5521983033767</t>
        </is>
      </c>
      <c r="C1049" t="inlineStr">
        <is>
          <t>Refill</t>
        </is>
      </c>
      <c r="D1049" t="inlineStr">
        <is>
          <t>Primer Liso</t>
        </is>
      </c>
      <c r="E1049" t="n">
        <v>1</v>
      </c>
      <c r="F1049" t="inlineStr">
        <is>
          <t>2025-11-21</t>
        </is>
      </c>
      <c r="G1049" t="n">
        <v>225</v>
      </c>
      <c r="H1049" t="inlineStr">
        <is>
          <t>Y</t>
        </is>
      </c>
      <c r="I1049">
        <f>HYPERLINK("https://admin.shopify.com/store/ge-beauty-cosmeticos/customers/9887274369344","abrir")</f>
        <v/>
      </c>
      <c r="J1049">
        <f>HYPERLINK("https://www.gebeauty.com.br/products/primer-liso-intacto?ref=review","review")</f>
        <v/>
      </c>
      <c r="K1049" t="inlineStr">
        <is>
          <t>SEND</t>
        </is>
      </c>
    </row>
    <row r="1050">
      <c r="A1050" t="inlineStr">
        <is>
          <t>Milena</t>
        </is>
      </c>
      <c r="B1050" t="inlineStr">
        <is>
          <t>+5571999900114</t>
        </is>
      </c>
      <c r="C1050" t="inlineStr">
        <is>
          <t>Refill</t>
        </is>
      </c>
      <c r="D1050" t="inlineStr">
        <is>
          <t>Primer Liso</t>
        </is>
      </c>
      <c r="E1050" t="n">
        <v>1</v>
      </c>
      <c r="F1050" t="inlineStr">
        <is>
          <t>2025-11-21</t>
        </is>
      </c>
      <c r="G1050" t="n">
        <v>225</v>
      </c>
      <c r="H1050" t="inlineStr">
        <is>
          <t>Y</t>
        </is>
      </c>
      <c r="I1050">
        <f>HYPERLINK("https://admin.shopify.com/store/ge-beauty-cosmeticos/customers/9486380728640","abrir")</f>
        <v/>
      </c>
      <c r="J1050">
        <f>HYPERLINK("https://www.gebeauty.com.br/products/primer-liso-intacto?ref=review","review")</f>
        <v/>
      </c>
      <c r="K1050" t="inlineStr">
        <is>
          <t>SEND</t>
        </is>
      </c>
    </row>
    <row r="1051">
      <c r="A1051" t="inlineStr">
        <is>
          <t>Gabriela</t>
        </is>
      </c>
      <c r="B1051" t="inlineStr">
        <is>
          <t>+5516996189818</t>
        </is>
      </c>
      <c r="C1051" t="inlineStr">
        <is>
          <t>Refill</t>
        </is>
      </c>
      <c r="D1051" t="inlineStr">
        <is>
          <t>Primer Liso</t>
        </is>
      </c>
      <c r="E1051" t="n">
        <v>1</v>
      </c>
      <c r="F1051" t="inlineStr">
        <is>
          <t>2025-11-21</t>
        </is>
      </c>
      <c r="G1051" t="n">
        <v>225</v>
      </c>
      <c r="H1051" t="inlineStr">
        <is>
          <t>Y</t>
        </is>
      </c>
      <c r="I1051">
        <f>HYPERLINK("https://admin.shopify.com/store/ge-beauty-cosmeticos/customers/9887801803072","abrir")</f>
        <v/>
      </c>
      <c r="J1051">
        <f>HYPERLINK("https://www.gebeauty.com.br/products/primer-liso-intacto?ref=review","review")</f>
        <v/>
      </c>
      <c r="K1051" t="inlineStr">
        <is>
          <t>SEND</t>
        </is>
      </c>
    </row>
    <row r="1052">
      <c r="A1052" t="inlineStr">
        <is>
          <t>Maria</t>
        </is>
      </c>
      <c r="B1052" t="inlineStr">
        <is>
          <t>+5579999441580</t>
        </is>
      </c>
      <c r="C1052" t="inlineStr">
        <is>
          <t>Refill</t>
        </is>
      </c>
      <c r="D1052" t="inlineStr">
        <is>
          <t>Primer Liso</t>
        </is>
      </c>
      <c r="E1052" t="n">
        <v>1</v>
      </c>
      <c r="F1052" t="inlineStr">
        <is>
          <t>2025-11-22</t>
        </is>
      </c>
      <c r="G1052" t="n">
        <v>224</v>
      </c>
      <c r="H1052" t="inlineStr">
        <is>
          <t>Y</t>
        </is>
      </c>
      <c r="I1052">
        <f>HYPERLINK("https://admin.shopify.com/store/ge-beauty-cosmeticos/customers/9486409466176","abrir")</f>
        <v/>
      </c>
      <c r="J1052">
        <f>HYPERLINK("https://www.gebeauty.com.br/products/primer-liso-intacto?ref=review","review")</f>
        <v/>
      </c>
      <c r="K1052" t="inlineStr">
        <is>
          <t>SEND</t>
        </is>
      </c>
    </row>
    <row r="1053">
      <c r="A1053" t="inlineStr">
        <is>
          <t>Mariela</t>
        </is>
      </c>
      <c r="B1053" t="inlineStr">
        <is>
          <t>+5531992970143</t>
        </is>
      </c>
      <c r="C1053" t="inlineStr">
        <is>
          <t>Refill</t>
        </is>
      </c>
      <c r="D1053" t="inlineStr">
        <is>
          <t>Primer Liso</t>
        </is>
      </c>
      <c r="E1053" t="n">
        <v>1</v>
      </c>
      <c r="F1053" t="inlineStr">
        <is>
          <t>2025-11-22</t>
        </is>
      </c>
      <c r="G1053" t="n">
        <v>224</v>
      </c>
      <c r="H1053" t="inlineStr">
        <is>
          <t>Y</t>
        </is>
      </c>
      <c r="I1053">
        <f>HYPERLINK("https://admin.shopify.com/store/ge-beauty-cosmeticos/customers/9864156414272","abrir")</f>
        <v/>
      </c>
      <c r="J1053">
        <f>HYPERLINK("https://www.gebeauty.com.br/products/primer-liso-intacto?ref=review","review")</f>
        <v/>
      </c>
      <c r="K1053" t="inlineStr">
        <is>
          <t>SEND</t>
        </is>
      </c>
    </row>
    <row r="1054">
      <c r="A1054" t="inlineStr">
        <is>
          <t>Xênia</t>
        </is>
      </c>
      <c r="B1054" t="inlineStr">
        <is>
          <t>+5585987987703</t>
        </is>
      </c>
      <c r="C1054" t="inlineStr">
        <is>
          <t>Refill</t>
        </is>
      </c>
      <c r="D1054" t="inlineStr">
        <is>
          <t>Primer Liso</t>
        </is>
      </c>
      <c r="E1054" t="n">
        <v>1</v>
      </c>
      <c r="F1054" t="inlineStr">
        <is>
          <t>2025-11-22</t>
        </is>
      </c>
      <c r="G1054" t="n">
        <v>224</v>
      </c>
      <c r="H1054" t="inlineStr">
        <is>
          <t>Y</t>
        </is>
      </c>
      <c r="I1054">
        <f>HYPERLINK("https://admin.shopify.com/store/ge-beauty-cosmeticos/customers/9786556350784","abrir")</f>
        <v/>
      </c>
      <c r="J1054">
        <f>HYPERLINK("https://www.gebeauty.com.br/products/primer-liso-intacto?ref=review","review")</f>
        <v/>
      </c>
      <c r="K1054" t="inlineStr">
        <is>
          <t>SEND</t>
        </is>
      </c>
    </row>
    <row r="1055">
      <c r="A1055" t="inlineStr">
        <is>
          <t>Malu</t>
        </is>
      </c>
      <c r="B1055" t="inlineStr">
        <is>
          <t>+5511992223309</t>
        </is>
      </c>
      <c r="C1055" t="inlineStr">
        <is>
          <t>Refill</t>
        </is>
      </c>
      <c r="D1055" t="inlineStr">
        <is>
          <t>Primer Liso</t>
        </is>
      </c>
      <c r="E1055" t="n">
        <v>1</v>
      </c>
      <c r="F1055" t="inlineStr">
        <is>
          <t>2025-11-22</t>
        </is>
      </c>
      <c r="G1055" t="n">
        <v>224</v>
      </c>
      <c r="H1055" t="inlineStr">
        <is>
          <t>Y</t>
        </is>
      </c>
      <c r="I1055">
        <f>HYPERLINK("https://admin.shopify.com/store/ge-beauty-cosmeticos/customers/9889100169536","abrir")</f>
        <v/>
      </c>
      <c r="J1055">
        <f>HYPERLINK("https://www.gebeauty.com.br/products/primer-liso-intacto?ref=review","review")</f>
        <v/>
      </c>
      <c r="K1055" t="inlineStr">
        <is>
          <t>SEND</t>
        </is>
      </c>
    </row>
    <row r="1056">
      <c r="A1056" t="inlineStr">
        <is>
          <t>Mariana</t>
        </is>
      </c>
      <c r="B1056" t="inlineStr">
        <is>
          <t>+5561999784499</t>
        </is>
      </c>
      <c r="C1056" t="inlineStr">
        <is>
          <t>Refill</t>
        </is>
      </c>
      <c r="D1056" t="inlineStr">
        <is>
          <t>Primer Liso</t>
        </is>
      </c>
      <c r="E1056" t="n">
        <v>1</v>
      </c>
      <c r="F1056" t="inlineStr">
        <is>
          <t>2025-11-22</t>
        </is>
      </c>
      <c r="G1056" t="n">
        <v>224</v>
      </c>
      <c r="H1056" t="inlineStr">
        <is>
          <t>Y</t>
        </is>
      </c>
      <c r="I1056">
        <f>HYPERLINK("https://admin.shopify.com/store/ge-beauty-cosmeticos/customers/8128069665088","abrir")</f>
        <v/>
      </c>
      <c r="J1056">
        <f>HYPERLINK("https://www.gebeauty.com.br/products/primer-liso-intacto?ref=review","review")</f>
        <v/>
      </c>
      <c r="K1056" t="inlineStr">
        <is>
          <t>SEND</t>
        </is>
      </c>
    </row>
    <row r="1057">
      <c r="A1057" t="inlineStr">
        <is>
          <t>Laisa</t>
        </is>
      </c>
      <c r="B1057" t="inlineStr">
        <is>
          <t>+5592991020269</t>
        </is>
      </c>
      <c r="C1057" t="inlineStr">
        <is>
          <t>Refill</t>
        </is>
      </c>
      <c r="D1057" t="inlineStr">
        <is>
          <t>Primer Liso</t>
        </is>
      </c>
      <c r="E1057" t="n">
        <v>1</v>
      </c>
      <c r="F1057" t="inlineStr">
        <is>
          <t>2025-11-22</t>
        </is>
      </c>
      <c r="G1057" t="n">
        <v>224</v>
      </c>
      <c r="H1057" t="inlineStr">
        <is>
          <t>Y</t>
        </is>
      </c>
      <c r="I1057">
        <f>HYPERLINK("https://admin.shopify.com/store/ge-beauty-cosmeticos/customers/9486061273408","abrir")</f>
        <v/>
      </c>
      <c r="J1057">
        <f>HYPERLINK("https://www.gebeauty.com.br/products/primer-liso-intacto?ref=review","review")</f>
        <v/>
      </c>
      <c r="K1057" t="inlineStr">
        <is>
          <t>SEND</t>
        </is>
      </c>
    </row>
    <row r="1058">
      <c r="A1058" t="inlineStr">
        <is>
          <t>Nathalia</t>
        </is>
      </c>
      <c r="B1058" t="inlineStr">
        <is>
          <t>+5547991588588</t>
        </is>
      </c>
      <c r="C1058" t="inlineStr">
        <is>
          <t>Refill</t>
        </is>
      </c>
      <c r="D1058" t="inlineStr">
        <is>
          <t>Primer Liso</t>
        </is>
      </c>
      <c r="E1058" t="n">
        <v>1</v>
      </c>
      <c r="F1058" t="inlineStr">
        <is>
          <t>2025-11-22</t>
        </is>
      </c>
      <c r="G1058" t="n">
        <v>224</v>
      </c>
      <c r="H1058" t="inlineStr">
        <is>
          <t>Y</t>
        </is>
      </c>
      <c r="I1058">
        <f>HYPERLINK("https://admin.shopify.com/store/ge-beauty-cosmeticos/customers/9890116174144","abrir")</f>
        <v/>
      </c>
      <c r="J1058">
        <f>HYPERLINK("https://www.gebeauty.com.br/products/primer-liso-intacto?ref=review","review")</f>
        <v/>
      </c>
      <c r="K1058" t="inlineStr">
        <is>
          <t>SEND</t>
        </is>
      </c>
    </row>
    <row r="1059">
      <c r="A1059" t="inlineStr">
        <is>
          <t>Carolina</t>
        </is>
      </c>
      <c r="B1059" t="inlineStr">
        <is>
          <t>+5511992952181</t>
        </is>
      </c>
      <c r="C1059" t="inlineStr">
        <is>
          <t>Refill</t>
        </is>
      </c>
      <c r="D1059" t="inlineStr">
        <is>
          <t>Primer Liso</t>
        </is>
      </c>
      <c r="E1059" t="n">
        <v>1</v>
      </c>
      <c r="F1059" t="inlineStr">
        <is>
          <t>2025-11-22</t>
        </is>
      </c>
      <c r="G1059" t="n">
        <v>224</v>
      </c>
      <c r="H1059" t="inlineStr">
        <is>
          <t>Y</t>
        </is>
      </c>
      <c r="I1059">
        <f>HYPERLINK("https://admin.shopify.com/store/ge-beauty-cosmeticos/customers/9867788058944","abrir")</f>
        <v/>
      </c>
      <c r="J1059">
        <f>HYPERLINK("https://www.gebeauty.com.br/products/primer-liso-intacto?ref=review","review")</f>
        <v/>
      </c>
      <c r="K1059" t="inlineStr">
        <is>
          <t>HOLDOUT</t>
        </is>
      </c>
    </row>
    <row r="1060">
      <c r="A1060" t="inlineStr">
        <is>
          <t>Gustavo</t>
        </is>
      </c>
      <c r="B1060" t="inlineStr">
        <is>
          <t>+5511987010089</t>
        </is>
      </c>
      <c r="C1060" t="inlineStr">
        <is>
          <t>Refill</t>
        </is>
      </c>
      <c r="D1060" t="inlineStr">
        <is>
          <t>Primer Liso</t>
        </is>
      </c>
      <c r="E1060" t="n">
        <v>1</v>
      </c>
      <c r="F1060" t="inlineStr">
        <is>
          <t>2025-11-22</t>
        </is>
      </c>
      <c r="G1060" t="n">
        <v>224</v>
      </c>
      <c r="H1060" t="inlineStr">
        <is>
          <t>Y</t>
        </is>
      </c>
      <c r="I1060">
        <f>HYPERLINK("https://admin.shopify.com/store/ge-beauty-cosmeticos/customers/9890299937088","abrir")</f>
        <v/>
      </c>
      <c r="J1060">
        <f>HYPERLINK("https://www.gebeauty.com.br/products/primer-liso-intacto?ref=review","review")</f>
        <v/>
      </c>
      <c r="K1060" t="inlineStr">
        <is>
          <t>SEND</t>
        </is>
      </c>
    </row>
    <row r="1061">
      <c r="A1061" t="inlineStr">
        <is>
          <t>Daniele</t>
        </is>
      </c>
      <c r="B1061" t="inlineStr">
        <is>
          <t>+5511988710224</t>
        </is>
      </c>
      <c r="C1061" t="inlineStr">
        <is>
          <t>Refill</t>
        </is>
      </c>
      <c r="D1061" t="inlineStr">
        <is>
          <t>Primer Liso</t>
        </is>
      </c>
      <c r="E1061" t="n">
        <v>1</v>
      </c>
      <c r="F1061" t="inlineStr">
        <is>
          <t>2025-11-23</t>
        </is>
      </c>
      <c r="G1061" t="n">
        <v>223</v>
      </c>
      <c r="H1061" t="inlineStr">
        <is>
          <t>Y</t>
        </is>
      </c>
      <c r="I1061">
        <f>HYPERLINK("https://admin.shopify.com/store/ge-beauty-cosmeticos/customers/9890726052160","abrir")</f>
        <v/>
      </c>
      <c r="J1061">
        <f>HYPERLINK("https://www.gebeauty.com.br/products/primer-liso-intacto?ref=review","review")</f>
        <v/>
      </c>
      <c r="K1061" t="inlineStr">
        <is>
          <t>SEND</t>
        </is>
      </c>
    </row>
    <row r="1062">
      <c r="A1062" t="inlineStr">
        <is>
          <t>Daniella</t>
        </is>
      </c>
      <c r="B1062" t="inlineStr">
        <is>
          <t>+5521983123231</t>
        </is>
      </c>
      <c r="C1062" t="inlineStr">
        <is>
          <t>Refill</t>
        </is>
      </c>
      <c r="D1062" t="inlineStr">
        <is>
          <t>Primer Liso</t>
        </is>
      </c>
      <c r="E1062" t="n">
        <v>1</v>
      </c>
      <c r="F1062" t="inlineStr">
        <is>
          <t>2025-11-23</t>
        </is>
      </c>
      <c r="G1062" t="n">
        <v>223</v>
      </c>
      <c r="H1062" t="inlineStr">
        <is>
          <t>Y</t>
        </is>
      </c>
      <c r="I1062">
        <f>HYPERLINK("https://admin.shopify.com/store/ge-beauty-cosmeticos/customers/9556249739584","abrir")</f>
        <v/>
      </c>
      <c r="J1062">
        <f>HYPERLINK("https://www.gebeauty.com.br/products/primer-liso-intacto?ref=review","review")</f>
        <v/>
      </c>
      <c r="K1062" t="inlineStr">
        <is>
          <t>SEND</t>
        </is>
      </c>
    </row>
    <row r="1063">
      <c r="A1063" t="inlineStr">
        <is>
          <t>Andrea</t>
        </is>
      </c>
      <c r="B1063" t="inlineStr">
        <is>
          <t>+5511997674404</t>
        </is>
      </c>
      <c r="C1063" t="inlineStr">
        <is>
          <t>Refill</t>
        </is>
      </c>
      <c r="D1063" t="inlineStr">
        <is>
          <t>Primer Liso</t>
        </is>
      </c>
      <c r="E1063" t="n">
        <v>1</v>
      </c>
      <c r="F1063" t="inlineStr">
        <is>
          <t>2025-11-23</t>
        </is>
      </c>
      <c r="G1063" t="n">
        <v>223</v>
      </c>
      <c r="H1063" t="inlineStr">
        <is>
          <t>Y</t>
        </is>
      </c>
      <c r="I1063">
        <f>HYPERLINK("https://admin.shopify.com/store/ge-beauty-cosmeticos/customers/9891003072832","abrir")</f>
        <v/>
      </c>
      <c r="J1063">
        <f>HYPERLINK("https://www.gebeauty.com.br/products/primer-liso-intacto?ref=review","review")</f>
        <v/>
      </c>
      <c r="K1063" t="inlineStr">
        <is>
          <t>SEND</t>
        </is>
      </c>
    </row>
    <row r="1064">
      <c r="A1064" t="inlineStr">
        <is>
          <t>Iasmin</t>
        </is>
      </c>
      <c r="B1064" t="inlineStr">
        <is>
          <t>+5575981015142</t>
        </is>
      </c>
      <c r="C1064" t="inlineStr">
        <is>
          <t>Refill</t>
        </is>
      </c>
      <c r="D1064" t="inlineStr">
        <is>
          <t>Primer Liso</t>
        </is>
      </c>
      <c r="E1064" t="n">
        <v>1</v>
      </c>
      <c r="F1064" t="inlineStr">
        <is>
          <t>2025-11-23</t>
        </is>
      </c>
      <c r="G1064" t="n">
        <v>223</v>
      </c>
      <c r="H1064" t="inlineStr">
        <is>
          <t>Y</t>
        </is>
      </c>
      <c r="I1064">
        <f>HYPERLINK("https://admin.shopify.com/store/ge-beauty-cosmeticos/customers/9892230070592","abrir")</f>
        <v/>
      </c>
      <c r="J1064">
        <f>HYPERLINK("https://www.gebeauty.com.br/products/primer-liso-intacto?ref=review","review")</f>
        <v/>
      </c>
      <c r="K1064" t="inlineStr">
        <is>
          <t>SEND</t>
        </is>
      </c>
    </row>
    <row r="1065">
      <c r="A1065" t="inlineStr">
        <is>
          <t>Dyrlanne</t>
        </is>
      </c>
      <c r="B1065" t="inlineStr">
        <is>
          <t>+5561981075854</t>
        </is>
      </c>
      <c r="C1065" t="inlineStr">
        <is>
          <t>Refill</t>
        </is>
      </c>
      <c r="D1065" t="inlineStr">
        <is>
          <t>Primer Liso</t>
        </is>
      </c>
      <c r="E1065" t="n">
        <v>1</v>
      </c>
      <c r="F1065" t="inlineStr">
        <is>
          <t>2025-11-23</t>
        </is>
      </c>
      <c r="G1065" t="n">
        <v>223</v>
      </c>
      <c r="H1065" t="inlineStr">
        <is>
          <t>Y</t>
        </is>
      </c>
      <c r="I1065">
        <f>HYPERLINK("https://admin.shopify.com/store/ge-beauty-cosmeticos/customers/9892277027136","abrir")</f>
        <v/>
      </c>
      <c r="J1065">
        <f>HYPERLINK("https://www.gebeauty.com.br/products/primer-liso-intacto?ref=review","review")</f>
        <v/>
      </c>
      <c r="K1065" t="inlineStr">
        <is>
          <t>SEND</t>
        </is>
      </c>
    </row>
    <row r="1066">
      <c r="A1066" t="inlineStr">
        <is>
          <t>Gabriella</t>
        </is>
      </c>
      <c r="B1066" t="inlineStr">
        <is>
          <t>+5511971339054</t>
        </is>
      </c>
      <c r="C1066" t="inlineStr">
        <is>
          <t>Refill</t>
        </is>
      </c>
      <c r="D1066" t="inlineStr">
        <is>
          <t>Primer Liso</t>
        </is>
      </c>
      <c r="E1066" t="n">
        <v>1</v>
      </c>
      <c r="F1066" t="inlineStr">
        <is>
          <t>2025-11-23</t>
        </is>
      </c>
      <c r="G1066" t="n">
        <v>223</v>
      </c>
      <c r="H1066" t="inlineStr">
        <is>
          <t>Y</t>
        </is>
      </c>
      <c r="I1066">
        <f>HYPERLINK("https://admin.shopify.com/store/ge-beauty-cosmeticos/customers/8130911273280","abrir")</f>
        <v/>
      </c>
      <c r="J1066">
        <f>HYPERLINK("https://www.gebeauty.com.br/products/primer-liso-intacto?ref=review","review")</f>
        <v/>
      </c>
      <c r="K1066" t="inlineStr">
        <is>
          <t>SEND</t>
        </is>
      </c>
    </row>
    <row r="1067">
      <c r="A1067" t="inlineStr">
        <is>
          <t>Mauricio</t>
        </is>
      </c>
      <c r="B1067" t="inlineStr">
        <is>
          <t>+5521998921248</t>
        </is>
      </c>
      <c r="C1067" t="inlineStr">
        <is>
          <t>Refill</t>
        </is>
      </c>
      <c r="D1067" t="inlineStr">
        <is>
          <t>Primer Liso</t>
        </is>
      </c>
      <c r="E1067" t="n">
        <v>1</v>
      </c>
      <c r="F1067" t="inlineStr">
        <is>
          <t>2025-11-23</t>
        </is>
      </c>
      <c r="G1067" t="n">
        <v>223</v>
      </c>
      <c r="H1067" t="inlineStr">
        <is>
          <t>Y</t>
        </is>
      </c>
      <c r="I1067">
        <f>HYPERLINK("https://admin.shopify.com/store/ge-beauty-cosmeticos/customers/9892362649920","abrir")</f>
        <v/>
      </c>
      <c r="J1067">
        <f>HYPERLINK("https://www.gebeauty.com.br/products/primer-liso-intacto?ref=review","review")</f>
        <v/>
      </c>
      <c r="K1067" t="inlineStr">
        <is>
          <t>SEND</t>
        </is>
      </c>
    </row>
    <row r="1068">
      <c r="A1068" t="inlineStr">
        <is>
          <t>Rinália Taís</t>
        </is>
      </c>
      <c r="B1068" t="inlineStr">
        <is>
          <t>+5554991963774</t>
        </is>
      </c>
      <c r="C1068" t="inlineStr">
        <is>
          <t>Refill</t>
        </is>
      </c>
      <c r="D1068" t="inlineStr">
        <is>
          <t>Primer Liso</t>
        </is>
      </c>
      <c r="E1068" t="n">
        <v>1</v>
      </c>
      <c r="F1068" t="inlineStr">
        <is>
          <t>2025-11-23</t>
        </is>
      </c>
      <c r="G1068" t="n">
        <v>223</v>
      </c>
      <c r="H1068" t="inlineStr">
        <is>
          <t>Y</t>
        </is>
      </c>
      <c r="I1068">
        <f>HYPERLINK("https://admin.shopify.com/store/ge-beauty-cosmeticos/customers/9837459833152","abrir")</f>
        <v/>
      </c>
      <c r="J1068">
        <f>HYPERLINK("https://www.gebeauty.com.br/products/primer-liso-intacto?ref=review","review")</f>
        <v/>
      </c>
      <c r="K1068" t="inlineStr">
        <is>
          <t>SEND</t>
        </is>
      </c>
    </row>
    <row r="1069">
      <c r="A1069" t="inlineStr">
        <is>
          <t>Lígia</t>
        </is>
      </c>
      <c r="B1069" t="inlineStr">
        <is>
          <t>+5511998760061</t>
        </is>
      </c>
      <c r="C1069" t="inlineStr">
        <is>
          <t>Refill</t>
        </is>
      </c>
      <c r="D1069" t="inlineStr">
        <is>
          <t>Primer Liso</t>
        </is>
      </c>
      <c r="E1069" t="n">
        <v>1</v>
      </c>
      <c r="F1069" t="inlineStr">
        <is>
          <t>2025-11-23</t>
        </is>
      </c>
      <c r="G1069" t="n">
        <v>223</v>
      </c>
      <c r="H1069" t="inlineStr">
        <is>
          <t>Y</t>
        </is>
      </c>
      <c r="I1069">
        <f>HYPERLINK("https://admin.shopify.com/store/ge-beauty-cosmeticos/customers/8645837750592","abrir")</f>
        <v/>
      </c>
      <c r="J1069">
        <f>HYPERLINK("https://www.gebeauty.com.br/products/primer-liso-intacto?ref=review","review")</f>
        <v/>
      </c>
      <c r="K1069" t="inlineStr">
        <is>
          <t>SEND</t>
        </is>
      </c>
    </row>
    <row r="1070">
      <c r="A1070" t="inlineStr">
        <is>
          <t>Camila</t>
        </is>
      </c>
      <c r="B1070" t="inlineStr">
        <is>
          <t>+5511991687998</t>
        </is>
      </c>
      <c r="C1070" t="inlineStr">
        <is>
          <t>Refill</t>
        </is>
      </c>
      <c r="D1070" t="inlineStr">
        <is>
          <t>Primer Liso</t>
        </is>
      </c>
      <c r="E1070" t="n">
        <v>1</v>
      </c>
      <c r="F1070" t="inlineStr">
        <is>
          <t>2025-11-23</t>
        </is>
      </c>
      <c r="G1070" t="n">
        <v>223</v>
      </c>
      <c r="H1070" t="inlineStr">
        <is>
          <t>Y</t>
        </is>
      </c>
      <c r="I1070">
        <f>HYPERLINK("https://admin.shopify.com/store/ge-beauty-cosmeticos/customers/9759620006208","abrir")</f>
        <v/>
      </c>
      <c r="J1070">
        <f>HYPERLINK("https://www.gebeauty.com.br/products/primer-liso-intacto?ref=review","review")</f>
        <v/>
      </c>
      <c r="K1070" t="inlineStr">
        <is>
          <t>SEND</t>
        </is>
      </c>
    </row>
    <row r="1071">
      <c r="A1071" t="inlineStr">
        <is>
          <t>Josane</t>
        </is>
      </c>
      <c r="B1071" t="inlineStr">
        <is>
          <t>+5511970420577</t>
        </is>
      </c>
      <c r="C1071" t="inlineStr">
        <is>
          <t>Refill</t>
        </is>
      </c>
      <c r="D1071" t="inlineStr">
        <is>
          <t>Primer Liso</t>
        </is>
      </c>
      <c r="E1071" t="n">
        <v>1</v>
      </c>
      <c r="F1071" t="inlineStr">
        <is>
          <t>2025-11-23</t>
        </is>
      </c>
      <c r="G1071" t="n">
        <v>223</v>
      </c>
      <c r="H1071" t="inlineStr">
        <is>
          <t>Y</t>
        </is>
      </c>
      <c r="I1071">
        <f>HYPERLINK("https://admin.shopify.com/store/ge-beauty-cosmeticos/customers/9892740792640","abrir")</f>
        <v/>
      </c>
      <c r="J1071">
        <f>HYPERLINK("https://www.gebeauty.com.br/products/primer-liso-intacto?ref=review","review")</f>
        <v/>
      </c>
      <c r="K1071" t="inlineStr">
        <is>
          <t>SEND</t>
        </is>
      </c>
    </row>
    <row r="1072">
      <c r="A1072" t="inlineStr">
        <is>
          <t>Maria</t>
        </is>
      </c>
      <c r="B1072" t="inlineStr">
        <is>
          <t>+5548999114038</t>
        </is>
      </c>
      <c r="C1072" t="inlineStr">
        <is>
          <t>Refill</t>
        </is>
      </c>
      <c r="D1072" t="inlineStr">
        <is>
          <t>Primer Liso</t>
        </is>
      </c>
      <c r="E1072" t="n">
        <v>1</v>
      </c>
      <c r="F1072" t="inlineStr">
        <is>
          <t>2025-11-23</t>
        </is>
      </c>
      <c r="G1072" t="n">
        <v>223</v>
      </c>
      <c r="H1072" t="inlineStr">
        <is>
          <t>Y</t>
        </is>
      </c>
      <c r="I1072">
        <f>HYPERLINK("https://admin.shopify.com/store/ge-beauty-cosmeticos/customers/9893093572928","abrir")</f>
        <v/>
      </c>
      <c r="J1072">
        <f>HYPERLINK("https://www.gebeauty.com.br/products/primer-liso-intacto?ref=review","review")</f>
        <v/>
      </c>
      <c r="K1072" t="inlineStr">
        <is>
          <t>SEND</t>
        </is>
      </c>
    </row>
    <row r="1073">
      <c r="A1073" t="inlineStr">
        <is>
          <t>Fernanda</t>
        </is>
      </c>
      <c r="B1073" t="inlineStr">
        <is>
          <t>+5511975992899</t>
        </is>
      </c>
      <c r="C1073" t="inlineStr">
        <is>
          <t>Refill</t>
        </is>
      </c>
      <c r="D1073" t="inlineStr">
        <is>
          <t>Primer Liso</t>
        </is>
      </c>
      <c r="E1073" t="n">
        <v>1</v>
      </c>
      <c r="F1073" t="inlineStr">
        <is>
          <t>2025-11-23</t>
        </is>
      </c>
      <c r="G1073" t="n">
        <v>223</v>
      </c>
      <c r="H1073" t="inlineStr">
        <is>
          <t>Y</t>
        </is>
      </c>
      <c r="I1073">
        <f>HYPERLINK("https://admin.shopify.com/store/ge-beauty-cosmeticos/customers/9893195153728","abrir")</f>
        <v/>
      </c>
      <c r="J1073">
        <f>HYPERLINK("https://www.gebeauty.com.br/products/primer-liso-intacto?ref=review","review")</f>
        <v/>
      </c>
      <c r="K1073" t="inlineStr">
        <is>
          <t>HOLDOUT</t>
        </is>
      </c>
    </row>
    <row r="1074">
      <c r="A1074" t="inlineStr">
        <is>
          <t>Gabriella</t>
        </is>
      </c>
      <c r="B1074" t="inlineStr">
        <is>
          <t>+5534999027195</t>
        </is>
      </c>
      <c r="C1074" t="inlineStr">
        <is>
          <t>Refill</t>
        </is>
      </c>
      <c r="D1074" t="inlineStr">
        <is>
          <t>Primer Liso</t>
        </is>
      </c>
      <c r="E1074" t="n">
        <v>1</v>
      </c>
      <c r="F1074" t="inlineStr">
        <is>
          <t>2025-11-23</t>
        </is>
      </c>
      <c r="G1074" t="n">
        <v>223</v>
      </c>
      <c r="H1074" t="inlineStr">
        <is>
          <t>Y</t>
        </is>
      </c>
      <c r="I1074">
        <f>HYPERLINK("https://admin.shopify.com/store/ge-beauty-cosmeticos/customers/9893364269376","abrir")</f>
        <v/>
      </c>
      <c r="J1074">
        <f>HYPERLINK("https://www.gebeauty.com.br/products/primer-liso-intacto?ref=review","review")</f>
        <v/>
      </c>
      <c r="K1074" t="inlineStr">
        <is>
          <t>SEND</t>
        </is>
      </c>
    </row>
    <row r="1075">
      <c r="A1075" t="inlineStr">
        <is>
          <t>Maria</t>
        </is>
      </c>
      <c r="B1075" t="inlineStr">
        <is>
          <t>+5581992246019</t>
        </is>
      </c>
      <c r="C1075" t="inlineStr">
        <is>
          <t>Refill</t>
        </is>
      </c>
      <c r="D1075" t="inlineStr">
        <is>
          <t>Primer Liso</t>
        </is>
      </c>
      <c r="E1075" t="n">
        <v>1</v>
      </c>
      <c r="F1075" t="inlineStr">
        <is>
          <t>2025-11-23</t>
        </is>
      </c>
      <c r="G1075" t="n">
        <v>223</v>
      </c>
      <c r="H1075" t="inlineStr">
        <is>
          <t>Y</t>
        </is>
      </c>
      <c r="I1075">
        <f>HYPERLINK("https://admin.shopify.com/store/ge-beauty-cosmeticos/customers/9893421842752","abrir")</f>
        <v/>
      </c>
      <c r="J1075">
        <f>HYPERLINK("https://www.gebeauty.com.br/products/primer-liso-intacto?ref=review","review")</f>
        <v/>
      </c>
      <c r="K1075" t="inlineStr">
        <is>
          <t>SEND</t>
        </is>
      </c>
    </row>
    <row r="1076">
      <c r="A1076" t="inlineStr">
        <is>
          <t>Renata</t>
        </is>
      </c>
      <c r="B1076" t="inlineStr">
        <is>
          <t>+5554999160790</t>
        </is>
      </c>
      <c r="C1076" t="inlineStr">
        <is>
          <t>Refill</t>
        </is>
      </c>
      <c r="D1076" t="inlineStr">
        <is>
          <t>Primer Liso</t>
        </is>
      </c>
      <c r="E1076" t="n">
        <v>1</v>
      </c>
      <c r="F1076" t="inlineStr">
        <is>
          <t>2025-11-23</t>
        </is>
      </c>
      <c r="G1076" t="n">
        <v>223</v>
      </c>
      <c r="H1076" t="inlineStr">
        <is>
          <t>Y</t>
        </is>
      </c>
      <c r="I1076">
        <f>HYPERLINK("https://admin.shopify.com/store/ge-beauty-cosmeticos/customers/9844747075904","abrir")</f>
        <v/>
      </c>
      <c r="J1076">
        <f>HYPERLINK("https://www.gebeauty.com.br/products/primer-liso-intacto?ref=review","review")</f>
        <v/>
      </c>
      <c r="K1076" t="inlineStr">
        <is>
          <t>HOLDOUT</t>
        </is>
      </c>
    </row>
    <row r="1077">
      <c r="A1077" t="inlineStr">
        <is>
          <t>Ana</t>
        </is>
      </c>
      <c r="B1077" t="inlineStr">
        <is>
          <t>+5585981252806</t>
        </is>
      </c>
      <c r="C1077" t="inlineStr">
        <is>
          <t>Refill</t>
        </is>
      </c>
      <c r="D1077" t="inlineStr">
        <is>
          <t>Primer Liso</t>
        </is>
      </c>
      <c r="E1077" t="n">
        <v>1</v>
      </c>
      <c r="F1077" t="inlineStr">
        <is>
          <t>2025-11-23</t>
        </is>
      </c>
      <c r="G1077" t="n">
        <v>223</v>
      </c>
      <c r="H1077" t="inlineStr">
        <is>
          <t>Y</t>
        </is>
      </c>
      <c r="I1077">
        <f>HYPERLINK("https://admin.shopify.com/store/ge-beauty-cosmeticos/customers/9653565980992","abrir")</f>
        <v/>
      </c>
      <c r="J1077">
        <f>HYPERLINK("https://www.gebeauty.com.br/products/primer-liso-intacto?ref=review","review")</f>
        <v/>
      </c>
      <c r="K1077" t="inlineStr">
        <is>
          <t>SEND</t>
        </is>
      </c>
    </row>
    <row r="1078">
      <c r="A1078" t="inlineStr">
        <is>
          <t>Nathalia</t>
        </is>
      </c>
      <c r="B1078" t="inlineStr">
        <is>
          <t>+5511957651726</t>
        </is>
      </c>
      <c r="C1078" t="inlineStr">
        <is>
          <t>Refill</t>
        </is>
      </c>
      <c r="D1078" t="inlineStr">
        <is>
          <t>Primer Liso</t>
        </is>
      </c>
      <c r="E1078" t="n">
        <v>1</v>
      </c>
      <c r="F1078" t="inlineStr">
        <is>
          <t>2025-11-23</t>
        </is>
      </c>
      <c r="G1078" t="n">
        <v>223</v>
      </c>
      <c r="H1078" t="inlineStr">
        <is>
          <t>Y</t>
        </is>
      </c>
      <c r="I1078">
        <f>HYPERLINK("https://admin.shopify.com/store/ge-beauty-cosmeticos/customers/9893604786496","abrir")</f>
        <v/>
      </c>
      <c r="J1078">
        <f>HYPERLINK("https://www.gebeauty.com.br/products/primer-liso-intacto?ref=review","review")</f>
        <v/>
      </c>
      <c r="K1078" t="inlineStr">
        <is>
          <t>SEND</t>
        </is>
      </c>
    </row>
    <row r="1079">
      <c r="A1079" t="inlineStr">
        <is>
          <t>Isabela</t>
        </is>
      </c>
      <c r="B1079" t="inlineStr">
        <is>
          <t>+5521995062004</t>
        </is>
      </c>
      <c r="C1079" t="inlineStr">
        <is>
          <t>Refill</t>
        </is>
      </c>
      <c r="D1079" t="inlineStr">
        <is>
          <t>Primer Liso</t>
        </is>
      </c>
      <c r="E1079" t="n">
        <v>1</v>
      </c>
      <c r="F1079" t="inlineStr">
        <is>
          <t>2025-11-23</t>
        </is>
      </c>
      <c r="G1079" t="n">
        <v>223</v>
      </c>
      <c r="H1079" t="inlineStr">
        <is>
          <t>Y</t>
        </is>
      </c>
      <c r="I1079">
        <f>HYPERLINK("https://admin.shopify.com/store/ge-beauty-cosmeticos/customers/9865633169728","abrir")</f>
        <v/>
      </c>
      <c r="J1079">
        <f>HYPERLINK("https://www.gebeauty.com.br/products/primer-liso-intacto?ref=review","review")</f>
        <v/>
      </c>
      <c r="K1079" t="inlineStr">
        <is>
          <t>SEND</t>
        </is>
      </c>
    </row>
    <row r="1080">
      <c r="A1080" t="inlineStr">
        <is>
          <t>Vivian</t>
        </is>
      </c>
      <c r="B1080" t="inlineStr">
        <is>
          <t>+5561981145000</t>
        </is>
      </c>
      <c r="C1080" t="inlineStr">
        <is>
          <t>Refill</t>
        </is>
      </c>
      <c r="D1080" t="inlineStr">
        <is>
          <t>Primer Liso</t>
        </is>
      </c>
      <c r="E1080" t="n">
        <v>1</v>
      </c>
      <c r="F1080" t="inlineStr">
        <is>
          <t>2025-11-23</t>
        </is>
      </c>
      <c r="G1080" t="n">
        <v>223</v>
      </c>
      <c r="H1080" t="inlineStr">
        <is>
          <t>Y</t>
        </is>
      </c>
      <c r="I1080">
        <f>HYPERLINK("https://admin.shopify.com/store/ge-beauty-cosmeticos/customers/9893805392192","abrir")</f>
        <v/>
      </c>
      <c r="J1080">
        <f>HYPERLINK("https://www.gebeauty.com.br/products/primer-liso-intacto?ref=review","review")</f>
        <v/>
      </c>
      <c r="K1080" t="inlineStr">
        <is>
          <t>SEND</t>
        </is>
      </c>
    </row>
    <row r="1081">
      <c r="A1081" t="inlineStr">
        <is>
          <t>Ana Carolina</t>
        </is>
      </c>
      <c r="B1081" t="inlineStr">
        <is>
          <t>+5516996092075</t>
        </is>
      </c>
      <c r="C1081" t="inlineStr">
        <is>
          <t>Refill</t>
        </is>
      </c>
      <c r="D1081" t="inlineStr">
        <is>
          <t>Primer Liso</t>
        </is>
      </c>
      <c r="E1081" t="n">
        <v>1</v>
      </c>
      <c r="F1081" t="inlineStr">
        <is>
          <t>2025-11-23</t>
        </is>
      </c>
      <c r="G1081" t="n">
        <v>223</v>
      </c>
      <c r="H1081" t="inlineStr">
        <is>
          <t>Y</t>
        </is>
      </c>
      <c r="I1081">
        <f>HYPERLINK("https://admin.shopify.com/store/ge-beauty-cosmeticos/customers/9893928698176","abrir")</f>
        <v/>
      </c>
      <c r="J1081">
        <f>HYPERLINK("https://www.gebeauty.com.br/products/primer-liso-intacto?ref=review","review")</f>
        <v/>
      </c>
      <c r="K1081" t="inlineStr">
        <is>
          <t>SEND</t>
        </is>
      </c>
    </row>
    <row r="1082">
      <c r="A1082" t="inlineStr">
        <is>
          <t>Maria</t>
        </is>
      </c>
      <c r="B1082" t="inlineStr">
        <is>
          <t>+5521994110333</t>
        </is>
      </c>
      <c r="C1082" t="inlineStr">
        <is>
          <t>Refill</t>
        </is>
      </c>
      <c r="D1082" t="inlineStr">
        <is>
          <t>Primer Liso</t>
        </is>
      </c>
      <c r="E1082" t="n">
        <v>1</v>
      </c>
      <c r="F1082" t="inlineStr">
        <is>
          <t>2025-11-24</t>
        </is>
      </c>
      <c r="G1082" t="n">
        <v>222</v>
      </c>
      <c r="H1082" t="inlineStr">
        <is>
          <t>Y</t>
        </is>
      </c>
      <c r="I1082">
        <f>HYPERLINK("https://admin.shopify.com/store/ge-beauty-cosmeticos/customers/9894019694912","abrir")</f>
        <v/>
      </c>
      <c r="J1082">
        <f>HYPERLINK("https://www.gebeauty.com.br/products/primer-liso-intacto?ref=review","review")</f>
        <v/>
      </c>
      <c r="K1082" t="inlineStr">
        <is>
          <t>SEND</t>
        </is>
      </c>
    </row>
    <row r="1083">
      <c r="A1083" t="inlineStr">
        <is>
          <t>Julia</t>
        </is>
      </c>
      <c r="B1083" t="inlineStr">
        <is>
          <t>+5583999903310</t>
        </is>
      </c>
      <c r="C1083" t="inlineStr">
        <is>
          <t>Refill</t>
        </is>
      </c>
      <c r="D1083" t="inlineStr">
        <is>
          <t>Primer Liso</t>
        </is>
      </c>
      <c r="E1083" t="n">
        <v>1</v>
      </c>
      <c r="F1083" t="inlineStr">
        <is>
          <t>2025-11-24</t>
        </is>
      </c>
      <c r="G1083" t="n">
        <v>222</v>
      </c>
      <c r="H1083" t="inlineStr">
        <is>
          <t>Y</t>
        </is>
      </c>
      <c r="I1083">
        <f>HYPERLINK("https://admin.shopify.com/store/ge-beauty-cosmeticos/customers/9486649000256","abrir")</f>
        <v/>
      </c>
      <c r="J1083">
        <f>HYPERLINK("https://www.gebeauty.com.br/products/primer-liso-intacto?ref=review","review")</f>
        <v/>
      </c>
      <c r="K1083" t="inlineStr">
        <is>
          <t>SEND</t>
        </is>
      </c>
    </row>
    <row r="1084">
      <c r="A1084" t="inlineStr">
        <is>
          <t>Maria Julia</t>
        </is>
      </c>
      <c r="B1084" t="inlineStr">
        <is>
          <t>+5521995053474</t>
        </is>
      </c>
      <c r="C1084" t="inlineStr">
        <is>
          <t>Refill</t>
        </is>
      </c>
      <c r="D1084" t="inlineStr">
        <is>
          <t>Primer Liso</t>
        </is>
      </c>
      <c r="E1084" t="n">
        <v>1</v>
      </c>
      <c r="F1084" t="inlineStr">
        <is>
          <t>2025-11-24</t>
        </is>
      </c>
      <c r="G1084" t="n">
        <v>222</v>
      </c>
      <c r="H1084" t="inlineStr">
        <is>
          <t>Y</t>
        </is>
      </c>
      <c r="I1084">
        <f>HYPERLINK("https://admin.shopify.com/store/ge-beauty-cosmeticos/customers/9894357762368","abrir")</f>
        <v/>
      </c>
      <c r="J1084">
        <f>HYPERLINK("https://www.gebeauty.com.br/products/primer-liso-intacto?ref=review","review")</f>
        <v/>
      </c>
      <c r="K1084" t="inlineStr">
        <is>
          <t>SEND</t>
        </is>
      </c>
    </row>
    <row r="1085">
      <c r="A1085" t="inlineStr">
        <is>
          <t>Aline</t>
        </is>
      </c>
      <c r="B1085" t="inlineStr">
        <is>
          <t>+5511997474522</t>
        </is>
      </c>
      <c r="C1085" t="inlineStr">
        <is>
          <t>Refill</t>
        </is>
      </c>
      <c r="D1085" t="inlineStr">
        <is>
          <t>Primer Liso</t>
        </is>
      </c>
      <c r="E1085" t="n">
        <v>1</v>
      </c>
      <c r="F1085" t="inlineStr">
        <is>
          <t>2025-11-24</t>
        </is>
      </c>
      <c r="G1085" t="n">
        <v>222</v>
      </c>
      <c r="H1085" t="inlineStr">
        <is>
          <t>Y</t>
        </is>
      </c>
      <c r="I1085">
        <f>HYPERLINK("https://admin.shopify.com/store/ge-beauty-cosmeticos/customers/9895096385856","abrir")</f>
        <v/>
      </c>
      <c r="J1085">
        <f>HYPERLINK("https://www.gebeauty.com.br/products/primer-liso-intacto?ref=review","review")</f>
        <v/>
      </c>
      <c r="K1085" t="inlineStr">
        <is>
          <t>HOLDOUT</t>
        </is>
      </c>
    </row>
    <row r="1086">
      <c r="A1086" t="inlineStr">
        <is>
          <t>Silvia</t>
        </is>
      </c>
      <c r="B1086" t="inlineStr">
        <is>
          <t>+5543999185775</t>
        </is>
      </c>
      <c r="C1086" t="inlineStr">
        <is>
          <t>Refill</t>
        </is>
      </c>
      <c r="D1086" t="inlineStr">
        <is>
          <t>Primer Liso</t>
        </is>
      </c>
      <c r="E1086" t="n">
        <v>1</v>
      </c>
      <c r="F1086" t="inlineStr">
        <is>
          <t>2025-11-24</t>
        </is>
      </c>
      <c r="G1086" t="n">
        <v>222</v>
      </c>
      <c r="H1086" t="inlineStr">
        <is>
          <t>Y</t>
        </is>
      </c>
      <c r="I1086">
        <f>HYPERLINK("https://admin.shopify.com/store/ge-beauty-cosmeticos/customers/9888550224192","abrir")</f>
        <v/>
      </c>
      <c r="J1086">
        <f>HYPERLINK("https://www.gebeauty.com.br/products/primer-liso-intacto?ref=review","review")</f>
        <v/>
      </c>
      <c r="K1086" t="inlineStr">
        <is>
          <t>SEND</t>
        </is>
      </c>
    </row>
    <row r="1087">
      <c r="A1087" t="inlineStr">
        <is>
          <t>Pâmella</t>
        </is>
      </c>
      <c r="B1087" t="inlineStr">
        <is>
          <t>+5541998248885</t>
        </is>
      </c>
      <c r="C1087" t="inlineStr">
        <is>
          <t>Refill</t>
        </is>
      </c>
      <c r="D1087" t="inlineStr">
        <is>
          <t>Primer Liso</t>
        </is>
      </c>
      <c r="E1087" t="n">
        <v>1</v>
      </c>
      <c r="F1087" t="inlineStr">
        <is>
          <t>2025-11-24</t>
        </is>
      </c>
      <c r="G1087" t="n">
        <v>222</v>
      </c>
      <c r="H1087" t="inlineStr">
        <is>
          <t>Y</t>
        </is>
      </c>
      <c r="I1087">
        <f>HYPERLINK("https://admin.shopify.com/store/ge-beauty-cosmeticos/customers/9485242564928","abrir")</f>
        <v/>
      </c>
      <c r="J1087">
        <f>HYPERLINK("https://www.gebeauty.com.br/products/primer-liso-intacto?ref=review","review")</f>
        <v/>
      </c>
      <c r="K1087" t="inlineStr">
        <is>
          <t>SEND</t>
        </is>
      </c>
    </row>
    <row r="1088">
      <c r="A1088" t="inlineStr">
        <is>
          <t>Marisa</t>
        </is>
      </c>
      <c r="B1088" t="inlineStr">
        <is>
          <t>+5519991995714</t>
        </is>
      </c>
      <c r="C1088" t="inlineStr">
        <is>
          <t>Refill</t>
        </is>
      </c>
      <c r="D1088" t="inlineStr">
        <is>
          <t>Primer Liso</t>
        </is>
      </c>
      <c r="E1088" t="n">
        <v>1</v>
      </c>
      <c r="F1088" t="inlineStr">
        <is>
          <t>2025-11-24</t>
        </is>
      </c>
      <c r="G1088" t="n">
        <v>222</v>
      </c>
      <c r="H1088" t="inlineStr">
        <is>
          <t>Y</t>
        </is>
      </c>
      <c r="I1088">
        <f>HYPERLINK("https://admin.shopify.com/store/ge-beauty-cosmeticos/customers/9896364605760","abrir")</f>
        <v/>
      </c>
      <c r="J1088">
        <f>HYPERLINK("https://www.gebeauty.com.br/products/primer-liso-intacto?ref=review","review")</f>
        <v/>
      </c>
      <c r="K1088" t="inlineStr">
        <is>
          <t>SEND</t>
        </is>
      </c>
    </row>
    <row r="1089">
      <c r="A1089" t="inlineStr">
        <is>
          <t>Rafaela</t>
        </is>
      </c>
      <c r="B1089" t="inlineStr">
        <is>
          <t>+5511981318471</t>
        </is>
      </c>
      <c r="C1089" t="inlineStr">
        <is>
          <t>Refill</t>
        </is>
      </c>
      <c r="D1089" t="inlineStr">
        <is>
          <t>Primer Liso</t>
        </is>
      </c>
      <c r="E1089" t="n">
        <v>1</v>
      </c>
      <c r="F1089" t="inlineStr">
        <is>
          <t>2025-11-24</t>
        </is>
      </c>
      <c r="G1089" t="n">
        <v>222</v>
      </c>
      <c r="H1089" t="inlineStr">
        <is>
          <t>N</t>
        </is>
      </c>
      <c r="I1089">
        <f>HYPERLINK("https://admin.shopify.com/store/ge-beauty-cosmeticos/customers/9486599258432","abrir")</f>
        <v/>
      </c>
      <c r="J1089">
        <f>HYPERLINK("https://www.gebeauty.com.br/products/primer-liso-intacto?ref=review","review")</f>
        <v/>
      </c>
      <c r="K1089" t="inlineStr">
        <is>
          <t>SEND</t>
        </is>
      </c>
    </row>
    <row r="1090">
      <c r="A1090" t="inlineStr">
        <is>
          <t>Maria</t>
        </is>
      </c>
      <c r="B1090" t="inlineStr">
        <is>
          <t>+5581991944488</t>
        </is>
      </c>
      <c r="C1090" t="inlineStr">
        <is>
          <t>Refill</t>
        </is>
      </c>
      <c r="D1090" t="inlineStr">
        <is>
          <t>Primer Liso</t>
        </is>
      </c>
      <c r="E1090" t="n">
        <v>1</v>
      </c>
      <c r="F1090" t="inlineStr">
        <is>
          <t>2025-11-24</t>
        </is>
      </c>
      <c r="G1090" t="n">
        <v>222</v>
      </c>
      <c r="H1090" t="inlineStr">
        <is>
          <t>Y</t>
        </is>
      </c>
      <c r="I1090">
        <f>HYPERLINK("https://admin.shopify.com/store/ge-beauty-cosmeticos/customers/8221918298432","abrir")</f>
        <v/>
      </c>
      <c r="J1090">
        <f>HYPERLINK("https://www.gebeauty.com.br/products/primer-liso-intacto?ref=review","review")</f>
        <v/>
      </c>
      <c r="K1090" t="inlineStr">
        <is>
          <t>HOLDOUT</t>
        </is>
      </c>
    </row>
    <row r="1091">
      <c r="A1091" t="inlineStr">
        <is>
          <t>Angélica</t>
        </is>
      </c>
      <c r="B1091" t="inlineStr">
        <is>
          <t>+5521981381978</t>
        </is>
      </c>
      <c r="C1091" t="inlineStr">
        <is>
          <t>Refill</t>
        </is>
      </c>
      <c r="D1091" t="inlineStr">
        <is>
          <t>Primer Liso</t>
        </is>
      </c>
      <c r="E1091" t="n">
        <v>1</v>
      </c>
      <c r="F1091" t="inlineStr">
        <is>
          <t>2025-11-24</t>
        </is>
      </c>
      <c r="G1091" t="n">
        <v>222</v>
      </c>
      <c r="H1091" t="inlineStr">
        <is>
          <t>Y</t>
        </is>
      </c>
      <c r="I1091">
        <f>HYPERLINK("https://admin.shopify.com/store/ge-beauty-cosmeticos/customers/9896726200640","abrir")</f>
        <v/>
      </c>
      <c r="J1091">
        <f>HYPERLINK("https://www.gebeauty.com.br/products/primer-liso-intacto?ref=review","review")</f>
        <v/>
      </c>
      <c r="K1091" t="inlineStr">
        <is>
          <t>SEND</t>
        </is>
      </c>
    </row>
    <row r="1092">
      <c r="A1092" t="inlineStr">
        <is>
          <t>Giulia</t>
        </is>
      </c>
      <c r="B1092" t="inlineStr">
        <is>
          <t>+5521988035781</t>
        </is>
      </c>
      <c r="C1092" t="inlineStr">
        <is>
          <t>Refill</t>
        </is>
      </c>
      <c r="D1092" t="inlineStr">
        <is>
          <t>Primer Liso</t>
        </is>
      </c>
      <c r="E1092" t="n">
        <v>1</v>
      </c>
      <c r="F1092" t="inlineStr">
        <is>
          <t>2025-11-25</t>
        </is>
      </c>
      <c r="G1092" t="n">
        <v>221</v>
      </c>
      <c r="H1092" t="inlineStr">
        <is>
          <t>Y</t>
        </is>
      </c>
      <c r="I1092">
        <f>HYPERLINK("https://admin.shopify.com/store/ge-beauty-cosmeticos/customers/8752386834752","abrir")</f>
        <v/>
      </c>
      <c r="J1092">
        <f>HYPERLINK("https://www.gebeauty.com.br/products/primer-liso-intacto?ref=review","review")</f>
        <v/>
      </c>
      <c r="K1092" t="inlineStr">
        <is>
          <t>SEND</t>
        </is>
      </c>
    </row>
    <row r="1093">
      <c r="A1093" t="inlineStr">
        <is>
          <t>Elieza</t>
        </is>
      </c>
      <c r="B1093" t="inlineStr">
        <is>
          <t>+5531999417220</t>
        </is>
      </c>
      <c r="C1093" t="inlineStr">
        <is>
          <t>Refill</t>
        </is>
      </c>
      <c r="D1093" t="inlineStr">
        <is>
          <t>Primer Liso</t>
        </is>
      </c>
      <c r="E1093" t="n">
        <v>1</v>
      </c>
      <c r="F1093" t="inlineStr">
        <is>
          <t>2025-11-25</t>
        </is>
      </c>
      <c r="G1093" t="n">
        <v>221</v>
      </c>
      <c r="H1093" t="inlineStr">
        <is>
          <t>Y</t>
        </is>
      </c>
      <c r="I1093">
        <f>HYPERLINK("https://admin.shopify.com/store/ge-beauty-cosmeticos/customers/9897958539584","abrir")</f>
        <v/>
      </c>
      <c r="J1093">
        <f>HYPERLINK("https://www.gebeauty.com.br/products/primer-liso-intacto?ref=review","review")</f>
        <v/>
      </c>
      <c r="K1093" t="inlineStr">
        <is>
          <t>SEND</t>
        </is>
      </c>
    </row>
    <row r="1094">
      <c r="B1094" t="inlineStr">
        <is>
          <t>+5592991723882</t>
        </is>
      </c>
      <c r="C1094" t="inlineStr">
        <is>
          <t>Refill</t>
        </is>
      </c>
      <c r="D1094" t="inlineStr">
        <is>
          <t>Primer Liso</t>
        </is>
      </c>
      <c r="E1094" t="n">
        <v>1</v>
      </c>
      <c r="F1094" t="inlineStr">
        <is>
          <t>2025-11-25</t>
        </is>
      </c>
      <c r="G1094" t="n">
        <v>221</v>
      </c>
      <c r="H1094" t="inlineStr">
        <is>
          <t>Y</t>
        </is>
      </c>
      <c r="I1094">
        <f>HYPERLINK("https://admin.shopify.com/store/ge-beauty-cosmeticos/customers/9898086170944","abrir")</f>
        <v/>
      </c>
      <c r="J1094">
        <f>HYPERLINK("https://www.gebeauty.com.br/products/primer-liso-intacto?ref=review","review")</f>
        <v/>
      </c>
      <c r="K1094" t="inlineStr">
        <is>
          <t>SEND</t>
        </is>
      </c>
    </row>
    <row r="1095">
      <c r="A1095" t="inlineStr">
        <is>
          <t>Danilo</t>
        </is>
      </c>
      <c r="B1095" t="inlineStr">
        <is>
          <t>+5581996312313</t>
        </is>
      </c>
      <c r="C1095" t="inlineStr">
        <is>
          <t>Refill</t>
        </is>
      </c>
      <c r="D1095" t="inlineStr">
        <is>
          <t>Primer Liso</t>
        </is>
      </c>
      <c r="E1095" t="n">
        <v>1</v>
      </c>
      <c r="F1095" t="inlineStr">
        <is>
          <t>2025-11-25</t>
        </is>
      </c>
      <c r="G1095" t="n">
        <v>221</v>
      </c>
      <c r="H1095" t="inlineStr">
        <is>
          <t>Y</t>
        </is>
      </c>
      <c r="I1095">
        <f>HYPERLINK("https://admin.shopify.com/store/ge-beauty-cosmeticos/customers/9898075586880","abrir")</f>
        <v/>
      </c>
      <c r="J1095">
        <f>HYPERLINK("https://www.gebeauty.com.br/products/primer-liso-intacto?ref=review","review")</f>
        <v/>
      </c>
      <c r="K1095" t="inlineStr">
        <is>
          <t>SEND</t>
        </is>
      </c>
    </row>
    <row r="1096">
      <c r="A1096" t="inlineStr">
        <is>
          <t>Milla</t>
        </is>
      </c>
      <c r="B1096" t="inlineStr">
        <is>
          <t>+5521964504288</t>
        </is>
      </c>
      <c r="C1096" t="inlineStr">
        <is>
          <t>Refill</t>
        </is>
      </c>
      <c r="D1096" t="inlineStr">
        <is>
          <t>Primer Liso</t>
        </is>
      </c>
      <c r="E1096" t="n">
        <v>1</v>
      </c>
      <c r="F1096" t="inlineStr">
        <is>
          <t>2025-11-25</t>
        </is>
      </c>
      <c r="G1096" t="n">
        <v>221</v>
      </c>
      <c r="H1096" t="inlineStr">
        <is>
          <t>Y</t>
        </is>
      </c>
      <c r="I1096">
        <f>HYPERLINK("https://admin.shopify.com/store/ge-beauty-cosmeticos/customers/9716802126144","abrir")</f>
        <v/>
      </c>
      <c r="J1096">
        <f>HYPERLINK("https://www.gebeauty.com.br/products/primer-liso-intacto?ref=review","review")</f>
        <v/>
      </c>
      <c r="K1096" t="inlineStr">
        <is>
          <t>SEND</t>
        </is>
      </c>
    </row>
    <row r="1097">
      <c r="A1097" t="inlineStr">
        <is>
          <t>Maria Eduarda</t>
        </is>
      </c>
      <c r="B1097" t="inlineStr">
        <is>
          <t>+5581997025290</t>
        </is>
      </c>
      <c r="C1097" t="inlineStr">
        <is>
          <t>Refill</t>
        </is>
      </c>
      <c r="D1097" t="inlineStr">
        <is>
          <t>Primer Liso</t>
        </is>
      </c>
      <c r="E1097" t="n">
        <v>1</v>
      </c>
      <c r="F1097" t="inlineStr">
        <is>
          <t>2025-11-25</t>
        </is>
      </c>
      <c r="G1097" t="n">
        <v>221</v>
      </c>
      <c r="H1097" t="inlineStr">
        <is>
          <t>Y</t>
        </is>
      </c>
      <c r="I1097">
        <f>HYPERLINK("https://admin.shopify.com/store/ge-beauty-cosmeticos/customers/9886458839360","abrir")</f>
        <v/>
      </c>
      <c r="J1097">
        <f>HYPERLINK("https://www.gebeauty.com.br/products/primer-liso-intacto?ref=review","review")</f>
        <v/>
      </c>
      <c r="K1097" t="inlineStr">
        <is>
          <t>SEND</t>
        </is>
      </c>
    </row>
    <row r="1098">
      <c r="A1098" t="inlineStr">
        <is>
          <t>Ingrid</t>
        </is>
      </c>
      <c r="B1098" t="inlineStr">
        <is>
          <t>+5521987093192</t>
        </is>
      </c>
      <c r="C1098" t="inlineStr">
        <is>
          <t>Refill</t>
        </is>
      </c>
      <c r="D1098" t="inlineStr">
        <is>
          <t>Primer Liso</t>
        </is>
      </c>
      <c r="E1098" t="n">
        <v>1</v>
      </c>
      <c r="F1098" t="inlineStr">
        <is>
          <t>2025-11-25</t>
        </is>
      </c>
      <c r="G1098" t="n">
        <v>221</v>
      </c>
      <c r="H1098" t="inlineStr">
        <is>
          <t>Y</t>
        </is>
      </c>
      <c r="I1098">
        <f>HYPERLINK("https://admin.shopify.com/store/ge-beauty-cosmeticos/customers/7762290377024","abrir")</f>
        <v/>
      </c>
      <c r="J1098">
        <f>HYPERLINK("https://www.gebeauty.com.br/products/primer-liso-intacto?ref=review","review")</f>
        <v/>
      </c>
      <c r="K1098" t="inlineStr">
        <is>
          <t>SEND</t>
        </is>
      </c>
    </row>
    <row r="1099">
      <c r="A1099" t="inlineStr">
        <is>
          <t>Camila</t>
        </is>
      </c>
      <c r="B1099" t="inlineStr">
        <is>
          <t>+5511995805958</t>
        </is>
      </c>
      <c r="C1099" t="inlineStr">
        <is>
          <t>Refill</t>
        </is>
      </c>
      <c r="D1099" t="inlineStr">
        <is>
          <t>Primer Liso</t>
        </is>
      </c>
      <c r="E1099" t="n">
        <v>1</v>
      </c>
      <c r="F1099" t="inlineStr">
        <is>
          <t>2025-11-25</t>
        </is>
      </c>
      <c r="G1099" t="n">
        <v>221</v>
      </c>
      <c r="H1099" t="inlineStr">
        <is>
          <t>Y</t>
        </is>
      </c>
      <c r="I1099">
        <f>HYPERLINK("https://admin.shopify.com/store/ge-beauty-cosmeticos/customers/9898789929280","abrir")</f>
        <v/>
      </c>
      <c r="J1099">
        <f>HYPERLINK("https://www.gebeauty.com.br/products/primer-liso-intacto?ref=review","review")</f>
        <v/>
      </c>
      <c r="K1099" t="inlineStr">
        <is>
          <t>HOLDOUT</t>
        </is>
      </c>
    </row>
    <row r="1100">
      <c r="A1100" t="inlineStr">
        <is>
          <t>Denise</t>
        </is>
      </c>
      <c r="B1100" t="inlineStr">
        <is>
          <t>+5531987387403</t>
        </is>
      </c>
      <c r="C1100" t="inlineStr">
        <is>
          <t>Refill</t>
        </is>
      </c>
      <c r="D1100" t="inlineStr">
        <is>
          <t>Primer Liso</t>
        </is>
      </c>
      <c r="E1100" t="n">
        <v>1</v>
      </c>
      <c r="F1100" t="inlineStr">
        <is>
          <t>2025-11-25</t>
        </is>
      </c>
      <c r="G1100" t="n">
        <v>221</v>
      </c>
      <c r="H1100" t="inlineStr">
        <is>
          <t>Y</t>
        </is>
      </c>
      <c r="I1100">
        <f>HYPERLINK("https://admin.shopify.com/store/ge-beauty-cosmeticos/customers/9826134196544","abrir")</f>
        <v/>
      </c>
      <c r="J1100">
        <f>HYPERLINK("https://www.gebeauty.com.br/products/primer-liso-intacto?ref=review","review")</f>
        <v/>
      </c>
      <c r="K1100" t="inlineStr">
        <is>
          <t>SEND</t>
        </is>
      </c>
    </row>
    <row r="1101">
      <c r="A1101" t="inlineStr">
        <is>
          <t>Lorena</t>
        </is>
      </c>
      <c r="B1101" t="inlineStr">
        <is>
          <t>+5531987262760</t>
        </is>
      </c>
      <c r="C1101" t="inlineStr">
        <is>
          <t>Refill</t>
        </is>
      </c>
      <c r="D1101" t="inlineStr">
        <is>
          <t>Primer Liso</t>
        </is>
      </c>
      <c r="E1101" t="n">
        <v>1</v>
      </c>
      <c r="F1101" t="inlineStr">
        <is>
          <t>2025-12-23</t>
        </is>
      </c>
      <c r="G1101" t="n">
        <v>193</v>
      </c>
      <c r="H1101" t="inlineStr">
        <is>
          <t>Y</t>
        </is>
      </c>
      <c r="I1101">
        <f>HYPERLINK("https://admin.shopify.com/store/ge-beauty-cosmeticos/customers/9485946814784","abrir")</f>
        <v/>
      </c>
      <c r="J1101">
        <f>HYPERLINK("https://www.gebeauty.com.br/products/primer-liso-intacto?ref=review","review")</f>
        <v/>
      </c>
      <c r="K1101" t="inlineStr">
        <is>
          <t>SEND</t>
        </is>
      </c>
    </row>
    <row r="1102">
      <c r="A1102" t="inlineStr">
        <is>
          <t>Mariana</t>
        </is>
      </c>
      <c r="B1102" t="inlineStr">
        <is>
          <t>+5511956563377</t>
        </is>
      </c>
      <c r="C1102" t="inlineStr">
        <is>
          <t>Refill</t>
        </is>
      </c>
      <c r="D1102" t="inlineStr">
        <is>
          <t>Primer Liso</t>
        </is>
      </c>
      <c r="E1102" t="n">
        <v>1</v>
      </c>
      <c r="F1102" t="inlineStr">
        <is>
          <t>2025-11-26</t>
        </is>
      </c>
      <c r="G1102" t="n">
        <v>220</v>
      </c>
      <c r="H1102" t="inlineStr">
        <is>
          <t>Y</t>
        </is>
      </c>
      <c r="I1102">
        <f>HYPERLINK("https://admin.shopify.com/store/ge-beauty-cosmeticos/customers/9579185930560","abrir")</f>
        <v/>
      </c>
      <c r="J1102">
        <f>HYPERLINK("https://www.gebeauty.com.br/products/primer-liso-intacto?ref=review","review")</f>
        <v/>
      </c>
      <c r="K1102" t="inlineStr">
        <is>
          <t>SEND</t>
        </is>
      </c>
    </row>
    <row r="1103">
      <c r="A1103" t="inlineStr">
        <is>
          <t>Giovana</t>
        </is>
      </c>
      <c r="B1103" t="inlineStr">
        <is>
          <t>+5512996167189</t>
        </is>
      </c>
      <c r="C1103" t="inlineStr">
        <is>
          <t>Refill</t>
        </is>
      </c>
      <c r="D1103" t="inlineStr">
        <is>
          <t>Primer Liso</t>
        </is>
      </c>
      <c r="E1103" t="n">
        <v>1</v>
      </c>
      <c r="F1103" t="inlineStr">
        <is>
          <t>2025-11-26</t>
        </is>
      </c>
      <c r="G1103" t="n">
        <v>220</v>
      </c>
      <c r="H1103" t="inlineStr">
        <is>
          <t>Y</t>
        </is>
      </c>
      <c r="I1103">
        <f>HYPERLINK("https://admin.shopify.com/store/ge-beauty-cosmeticos/customers/9900460704064","abrir")</f>
        <v/>
      </c>
      <c r="J1103">
        <f>HYPERLINK("https://www.gebeauty.com.br/products/primer-liso-intacto?ref=review","review")</f>
        <v/>
      </c>
      <c r="K1103" t="inlineStr">
        <is>
          <t>SEND</t>
        </is>
      </c>
    </row>
    <row r="1104">
      <c r="A1104" t="inlineStr">
        <is>
          <t>Jordana</t>
        </is>
      </c>
      <c r="B1104" t="inlineStr">
        <is>
          <t>+5562992965182</t>
        </is>
      </c>
      <c r="C1104" t="inlineStr">
        <is>
          <t>Refill</t>
        </is>
      </c>
      <c r="D1104" t="inlineStr">
        <is>
          <t>Primer Liso</t>
        </is>
      </c>
      <c r="E1104" t="n">
        <v>1</v>
      </c>
      <c r="F1104" t="inlineStr">
        <is>
          <t>2025-11-26</t>
        </is>
      </c>
      <c r="G1104" t="n">
        <v>220</v>
      </c>
      <c r="H1104" t="inlineStr">
        <is>
          <t>Y</t>
        </is>
      </c>
      <c r="I1104">
        <f>HYPERLINK("https://admin.shopify.com/store/ge-beauty-cosmeticos/customers/9639718814016","abrir")</f>
        <v/>
      </c>
      <c r="J1104">
        <f>HYPERLINK("https://www.gebeauty.com.br/products/primer-liso-intacto?ref=review","review")</f>
        <v/>
      </c>
      <c r="K1104" t="inlineStr">
        <is>
          <t>SEND</t>
        </is>
      </c>
    </row>
    <row r="1105">
      <c r="A1105" t="inlineStr">
        <is>
          <t>Carine</t>
        </is>
      </c>
      <c r="B1105" t="inlineStr">
        <is>
          <t>+5521994038221</t>
        </is>
      </c>
      <c r="C1105" t="inlineStr">
        <is>
          <t>Refill</t>
        </is>
      </c>
      <c r="D1105" t="inlineStr">
        <is>
          <t>Primer Liso</t>
        </is>
      </c>
      <c r="E1105" t="n">
        <v>1</v>
      </c>
      <c r="F1105" t="inlineStr">
        <is>
          <t>2025-11-26</t>
        </is>
      </c>
      <c r="G1105" t="n">
        <v>220</v>
      </c>
      <c r="H1105" t="inlineStr">
        <is>
          <t>Y</t>
        </is>
      </c>
      <c r="I1105">
        <f>HYPERLINK("https://admin.shopify.com/store/ge-beauty-cosmeticos/customers/9901504758080","abrir")</f>
        <v/>
      </c>
      <c r="J1105">
        <f>HYPERLINK("https://www.gebeauty.com.br/products/primer-liso-intacto?ref=review","review")</f>
        <v/>
      </c>
      <c r="K1105" t="inlineStr">
        <is>
          <t>SEND</t>
        </is>
      </c>
    </row>
    <row r="1106">
      <c r="A1106" t="inlineStr">
        <is>
          <t>Juliane</t>
        </is>
      </c>
      <c r="B1106" t="inlineStr">
        <is>
          <t>+5521986991708</t>
        </is>
      </c>
      <c r="C1106" t="inlineStr">
        <is>
          <t>Refill</t>
        </is>
      </c>
      <c r="D1106" t="inlineStr">
        <is>
          <t>Primer Liso</t>
        </is>
      </c>
      <c r="E1106" t="n">
        <v>1</v>
      </c>
      <c r="F1106" t="inlineStr">
        <is>
          <t>2025-11-26</t>
        </is>
      </c>
      <c r="G1106" t="n">
        <v>220</v>
      </c>
      <c r="H1106" t="inlineStr">
        <is>
          <t>Y</t>
        </is>
      </c>
      <c r="I1106">
        <f>HYPERLINK("https://admin.shopify.com/store/ge-beauty-cosmeticos/customers/9861229150528","abrir")</f>
        <v/>
      </c>
      <c r="J1106">
        <f>HYPERLINK("https://www.gebeauty.com.br/products/primer-liso-intacto?ref=review","review")</f>
        <v/>
      </c>
      <c r="K1106" t="inlineStr">
        <is>
          <t>SEND</t>
        </is>
      </c>
    </row>
    <row r="1107">
      <c r="A1107" t="inlineStr">
        <is>
          <t>Thereza</t>
        </is>
      </c>
      <c r="B1107" t="inlineStr">
        <is>
          <t>+5592981593262</t>
        </is>
      </c>
      <c r="C1107" t="inlineStr">
        <is>
          <t>Refill</t>
        </is>
      </c>
      <c r="D1107" t="inlineStr">
        <is>
          <t>Primer Liso</t>
        </is>
      </c>
      <c r="E1107" t="n">
        <v>1</v>
      </c>
      <c r="F1107" t="inlineStr">
        <is>
          <t>2025-11-26</t>
        </is>
      </c>
      <c r="G1107" t="n">
        <v>220</v>
      </c>
      <c r="H1107" t="inlineStr">
        <is>
          <t>Y</t>
        </is>
      </c>
      <c r="I1107">
        <f>HYPERLINK("https://admin.shopify.com/store/ge-beauty-cosmeticos/customers/9901850526016","abrir")</f>
        <v/>
      </c>
      <c r="J1107">
        <f>HYPERLINK("https://www.gebeauty.com.br/products/primer-liso-intacto?ref=review","review")</f>
        <v/>
      </c>
      <c r="K1107" t="inlineStr">
        <is>
          <t>SEND</t>
        </is>
      </c>
    </row>
    <row r="1108">
      <c r="A1108" t="inlineStr">
        <is>
          <t>Ingrid</t>
        </is>
      </c>
      <c r="B1108" t="inlineStr">
        <is>
          <t>+5585999889492</t>
        </is>
      </c>
      <c r="C1108" t="inlineStr">
        <is>
          <t>Refill</t>
        </is>
      </c>
      <c r="D1108" t="inlineStr">
        <is>
          <t>Primer Liso</t>
        </is>
      </c>
      <c r="E1108" t="n">
        <v>1</v>
      </c>
      <c r="F1108" t="inlineStr">
        <is>
          <t>2025-11-26</t>
        </is>
      </c>
      <c r="G1108" t="n">
        <v>220</v>
      </c>
      <c r="H1108" t="inlineStr">
        <is>
          <t>Y</t>
        </is>
      </c>
      <c r="I1108">
        <f>HYPERLINK("https://admin.shopify.com/store/ge-beauty-cosmeticos/customers/9902189838656","abrir")</f>
        <v/>
      </c>
      <c r="J1108">
        <f>HYPERLINK("https://www.gebeauty.com.br/products/primer-liso-intacto?ref=review","review")</f>
        <v/>
      </c>
      <c r="K1108" t="inlineStr">
        <is>
          <t>SEND</t>
        </is>
      </c>
    </row>
    <row r="1109">
      <c r="A1109" t="inlineStr">
        <is>
          <t>Ana Clara</t>
        </is>
      </c>
      <c r="B1109" t="inlineStr">
        <is>
          <t>+5585996551643</t>
        </is>
      </c>
      <c r="C1109" t="inlineStr">
        <is>
          <t>Refill</t>
        </is>
      </c>
      <c r="D1109" t="inlineStr">
        <is>
          <t>Primer Liso</t>
        </is>
      </c>
      <c r="E1109" t="n">
        <v>1</v>
      </c>
      <c r="F1109" t="inlineStr">
        <is>
          <t>2025-11-26</t>
        </is>
      </c>
      <c r="G1109" t="n">
        <v>220</v>
      </c>
      <c r="H1109" t="inlineStr">
        <is>
          <t>Y</t>
        </is>
      </c>
      <c r="I1109">
        <f>HYPERLINK("https://admin.shopify.com/store/ge-beauty-cosmeticos/customers/9902248132928","abrir")</f>
        <v/>
      </c>
      <c r="J1109">
        <f>HYPERLINK("https://www.gebeauty.com.br/products/primer-liso-intacto?ref=review","review")</f>
        <v/>
      </c>
      <c r="K1109" t="inlineStr">
        <is>
          <t>SEND</t>
        </is>
      </c>
    </row>
    <row r="1110">
      <c r="A1110" t="inlineStr">
        <is>
          <t>Andrea</t>
        </is>
      </c>
      <c r="B1110" t="inlineStr">
        <is>
          <t>+5521998743208</t>
        </is>
      </c>
      <c r="C1110" t="inlineStr">
        <is>
          <t>Refill</t>
        </is>
      </c>
      <c r="D1110" t="inlineStr">
        <is>
          <t>Primer Liso</t>
        </is>
      </c>
      <c r="E1110" t="n">
        <v>1</v>
      </c>
      <c r="F1110" t="inlineStr">
        <is>
          <t>2025-11-26</t>
        </is>
      </c>
      <c r="G1110" t="n">
        <v>220</v>
      </c>
      <c r="H1110" t="inlineStr">
        <is>
          <t>Y</t>
        </is>
      </c>
      <c r="I1110">
        <f>HYPERLINK("https://admin.shopify.com/store/ge-beauty-cosmeticos/customers/9902342406464","abrir")</f>
        <v/>
      </c>
      <c r="J1110">
        <f>HYPERLINK("https://www.gebeauty.com.br/products/primer-liso-intacto?ref=review","review")</f>
        <v/>
      </c>
      <c r="K1110" t="inlineStr">
        <is>
          <t>SEND</t>
        </is>
      </c>
    </row>
    <row r="1111">
      <c r="A1111" t="inlineStr">
        <is>
          <t>Maria</t>
        </is>
      </c>
      <c r="B1111" t="inlineStr">
        <is>
          <t>+5581999447012</t>
        </is>
      </c>
      <c r="C1111" t="inlineStr">
        <is>
          <t>Refill</t>
        </is>
      </c>
      <c r="D1111" t="inlineStr">
        <is>
          <t>Primer Liso</t>
        </is>
      </c>
      <c r="E1111" t="n">
        <v>1</v>
      </c>
      <c r="F1111" t="inlineStr">
        <is>
          <t>2025-11-26</t>
        </is>
      </c>
      <c r="G1111" t="n">
        <v>220</v>
      </c>
      <c r="H1111" t="inlineStr">
        <is>
          <t>Y</t>
        </is>
      </c>
      <c r="I1111">
        <f>HYPERLINK("https://admin.shopify.com/store/ge-beauty-cosmeticos/customers/9814658941248","abrir")</f>
        <v/>
      </c>
      <c r="J1111">
        <f>HYPERLINK("https://www.gebeauty.com.br/products/primer-liso-intacto?ref=review","review")</f>
        <v/>
      </c>
      <c r="K1111" t="inlineStr">
        <is>
          <t>SEND</t>
        </is>
      </c>
    </row>
    <row r="1112">
      <c r="A1112" t="inlineStr">
        <is>
          <t>Beatriz</t>
        </is>
      </c>
      <c r="B1112" t="inlineStr">
        <is>
          <t>+5519992118503</t>
        </is>
      </c>
      <c r="C1112" t="inlineStr">
        <is>
          <t>Refill</t>
        </is>
      </c>
      <c r="D1112" t="inlineStr">
        <is>
          <t>Primer Liso</t>
        </is>
      </c>
      <c r="E1112" t="n">
        <v>1</v>
      </c>
      <c r="F1112" t="inlineStr">
        <is>
          <t>2025-11-27</t>
        </is>
      </c>
      <c r="G1112" t="n">
        <v>219</v>
      </c>
      <c r="H1112" t="inlineStr">
        <is>
          <t>Y</t>
        </is>
      </c>
      <c r="I1112">
        <f>HYPERLINK("https://admin.shopify.com/store/ge-beauty-cosmeticos/customers/9902671954240","abrir")</f>
        <v/>
      </c>
      <c r="J1112">
        <f>HYPERLINK("https://www.gebeauty.com.br/products/primer-liso-intacto?ref=review","review")</f>
        <v/>
      </c>
      <c r="K1112" t="inlineStr">
        <is>
          <t>SEND</t>
        </is>
      </c>
    </row>
    <row r="1113">
      <c r="A1113" t="inlineStr">
        <is>
          <t>Fernanda</t>
        </is>
      </c>
      <c r="B1113" t="inlineStr">
        <is>
          <t>+5511998066282</t>
        </is>
      </c>
      <c r="C1113" t="inlineStr">
        <is>
          <t>Refill</t>
        </is>
      </c>
      <c r="D1113" t="inlineStr">
        <is>
          <t>Primer Liso</t>
        </is>
      </c>
      <c r="E1113" t="n">
        <v>1</v>
      </c>
      <c r="F1113" t="inlineStr">
        <is>
          <t>2025-11-27</t>
        </is>
      </c>
      <c r="G1113" t="n">
        <v>219</v>
      </c>
      <c r="H1113" t="inlineStr">
        <is>
          <t>Y</t>
        </is>
      </c>
      <c r="I1113">
        <f>HYPERLINK("https://admin.shopify.com/store/ge-beauty-cosmeticos/customers/9485563298112","abrir")</f>
        <v/>
      </c>
      <c r="J1113">
        <f>HYPERLINK("https://www.gebeauty.com.br/products/primer-liso-intacto?ref=review","review")</f>
        <v/>
      </c>
      <c r="K1113" t="inlineStr">
        <is>
          <t>SEND</t>
        </is>
      </c>
    </row>
    <row r="1114">
      <c r="A1114" t="inlineStr">
        <is>
          <t>Ana Flávia da Cruz</t>
        </is>
      </c>
      <c r="B1114" t="inlineStr">
        <is>
          <t>+5511974438082</t>
        </is>
      </c>
      <c r="C1114" t="inlineStr">
        <is>
          <t>Refill</t>
        </is>
      </c>
      <c r="D1114" t="inlineStr">
        <is>
          <t>Primer Liso</t>
        </is>
      </c>
      <c r="E1114" t="n">
        <v>1</v>
      </c>
      <c r="F1114" t="inlineStr">
        <is>
          <t>2025-11-27</t>
        </is>
      </c>
      <c r="G1114" t="n">
        <v>219</v>
      </c>
      <c r="H1114" t="inlineStr">
        <is>
          <t>Y</t>
        </is>
      </c>
      <c r="I1114">
        <f>HYPERLINK("https://admin.shopify.com/store/ge-beauty-cosmeticos/customers/9904768418112","abrir")</f>
        <v/>
      </c>
      <c r="J1114">
        <f>HYPERLINK("https://www.gebeauty.com.br/products/primer-liso-intacto?ref=review","review")</f>
        <v/>
      </c>
      <c r="K1114" t="inlineStr">
        <is>
          <t>SEND</t>
        </is>
      </c>
    </row>
    <row r="1115">
      <c r="A1115" t="inlineStr">
        <is>
          <t>Juliana</t>
        </is>
      </c>
      <c r="B1115" t="inlineStr">
        <is>
          <t>+5521998051999</t>
        </is>
      </c>
      <c r="C1115" t="inlineStr">
        <is>
          <t>Refill</t>
        </is>
      </c>
      <c r="D1115" t="inlineStr">
        <is>
          <t>Primer Liso</t>
        </is>
      </c>
      <c r="E1115" t="n">
        <v>1</v>
      </c>
      <c r="F1115" t="inlineStr">
        <is>
          <t>2025-11-27</t>
        </is>
      </c>
      <c r="G1115" t="n">
        <v>219</v>
      </c>
      <c r="H1115" t="inlineStr">
        <is>
          <t>Y</t>
        </is>
      </c>
      <c r="I1115">
        <f>HYPERLINK("https://admin.shopify.com/store/ge-beauty-cosmeticos/customers/9659765784896","abrir")</f>
        <v/>
      </c>
      <c r="J1115">
        <f>HYPERLINK("https://www.gebeauty.com.br/products/primer-liso-intacto?ref=review","review")</f>
        <v/>
      </c>
      <c r="K1115" t="inlineStr">
        <is>
          <t>SEND</t>
        </is>
      </c>
    </row>
    <row r="1116">
      <c r="A1116" t="inlineStr">
        <is>
          <t>Giovanna</t>
        </is>
      </c>
      <c r="B1116" t="inlineStr">
        <is>
          <t>+5511972849006</t>
        </is>
      </c>
      <c r="C1116" t="inlineStr">
        <is>
          <t>Refill</t>
        </is>
      </c>
      <c r="D1116" t="inlineStr">
        <is>
          <t>Primer Liso</t>
        </is>
      </c>
      <c r="E1116" t="n">
        <v>1</v>
      </c>
      <c r="F1116" t="inlineStr">
        <is>
          <t>2025-11-27</t>
        </is>
      </c>
      <c r="G1116" t="n">
        <v>219</v>
      </c>
      <c r="H1116" t="inlineStr">
        <is>
          <t>Y</t>
        </is>
      </c>
      <c r="I1116">
        <f>HYPERLINK("https://admin.shopify.com/store/ge-beauty-cosmeticos/customers/9905589977408","abrir")</f>
        <v/>
      </c>
      <c r="J1116">
        <f>HYPERLINK("https://www.gebeauty.com.br/products/primer-liso-intacto?ref=review","review")</f>
        <v/>
      </c>
      <c r="K1116" t="inlineStr">
        <is>
          <t>SEND</t>
        </is>
      </c>
    </row>
    <row r="1117">
      <c r="A1117" t="inlineStr">
        <is>
          <t>Gabriela</t>
        </is>
      </c>
      <c r="B1117" t="inlineStr">
        <is>
          <t>+5581995011158</t>
        </is>
      </c>
      <c r="C1117" t="inlineStr">
        <is>
          <t>Refill</t>
        </is>
      </c>
      <c r="D1117" t="inlineStr">
        <is>
          <t>Primer Liso</t>
        </is>
      </c>
      <c r="E1117" t="n">
        <v>1</v>
      </c>
      <c r="F1117" t="inlineStr">
        <is>
          <t>2025-11-27</t>
        </is>
      </c>
      <c r="G1117" t="n">
        <v>219</v>
      </c>
      <c r="H1117" t="inlineStr">
        <is>
          <t>Y</t>
        </is>
      </c>
      <c r="I1117">
        <f>HYPERLINK("https://admin.shopify.com/store/ge-beauty-cosmeticos/customers/9905550688576","abrir")</f>
        <v/>
      </c>
      <c r="J1117">
        <f>HYPERLINK("https://www.gebeauty.com.br/products/primer-liso-intacto?ref=review","review")</f>
        <v/>
      </c>
      <c r="K1117" t="inlineStr">
        <is>
          <t>SEND</t>
        </is>
      </c>
    </row>
    <row r="1118">
      <c r="A1118" t="inlineStr">
        <is>
          <t>Tainá</t>
        </is>
      </c>
      <c r="B1118" t="inlineStr">
        <is>
          <t>+5547988282678</t>
        </is>
      </c>
      <c r="C1118" t="inlineStr">
        <is>
          <t>Refill</t>
        </is>
      </c>
      <c r="D1118" t="inlineStr">
        <is>
          <t>Primer Liso</t>
        </is>
      </c>
      <c r="E1118" t="n">
        <v>1</v>
      </c>
      <c r="F1118" t="inlineStr">
        <is>
          <t>2025-11-27</t>
        </is>
      </c>
      <c r="G1118" t="n">
        <v>219</v>
      </c>
      <c r="H1118" t="inlineStr">
        <is>
          <t>Y</t>
        </is>
      </c>
      <c r="I1118">
        <f>HYPERLINK("https://admin.shopify.com/store/ge-beauty-cosmeticos/customers/9905814995264","abrir")</f>
        <v/>
      </c>
      <c r="J1118">
        <f>HYPERLINK("https://www.gebeauty.com.br/products/primer-liso-intacto?ref=review","review")</f>
        <v/>
      </c>
      <c r="K1118" t="inlineStr">
        <is>
          <t>SEND</t>
        </is>
      </c>
    </row>
    <row r="1119">
      <c r="A1119" t="inlineStr">
        <is>
          <t>Elionora</t>
        </is>
      </c>
      <c r="B1119" t="inlineStr">
        <is>
          <t>+5521981448421</t>
        </is>
      </c>
      <c r="C1119" t="inlineStr">
        <is>
          <t>Refill</t>
        </is>
      </c>
      <c r="D1119" t="inlineStr">
        <is>
          <t>Primer Liso</t>
        </is>
      </c>
      <c r="E1119" t="n">
        <v>1</v>
      </c>
      <c r="F1119" t="inlineStr">
        <is>
          <t>2025-11-27</t>
        </is>
      </c>
      <c r="G1119" t="n">
        <v>219</v>
      </c>
      <c r="H1119" t="inlineStr">
        <is>
          <t>Y</t>
        </is>
      </c>
      <c r="I1119">
        <f>HYPERLINK("https://admin.shopify.com/store/ge-beauty-cosmeticos/customers/9905978245440","abrir")</f>
        <v/>
      </c>
      <c r="J1119">
        <f>HYPERLINK("https://www.gebeauty.com.br/products/primer-liso-intacto?ref=review","review")</f>
        <v/>
      </c>
      <c r="K1119" t="inlineStr">
        <is>
          <t>SEND</t>
        </is>
      </c>
    </row>
    <row r="1120">
      <c r="A1120" t="inlineStr">
        <is>
          <t>Aline</t>
        </is>
      </c>
      <c r="B1120" t="inlineStr">
        <is>
          <t>+5521997112436</t>
        </is>
      </c>
      <c r="C1120" t="inlineStr">
        <is>
          <t>Refill</t>
        </is>
      </c>
      <c r="D1120" t="inlineStr">
        <is>
          <t>Primer Liso</t>
        </is>
      </c>
      <c r="E1120" t="n">
        <v>1</v>
      </c>
      <c r="F1120" t="inlineStr">
        <is>
          <t>2025-11-27</t>
        </is>
      </c>
      <c r="G1120" t="n">
        <v>219</v>
      </c>
      <c r="H1120" t="inlineStr">
        <is>
          <t>Y</t>
        </is>
      </c>
      <c r="I1120">
        <f>HYPERLINK("https://admin.shopify.com/store/ge-beauty-cosmeticos/customers/9650444042560","abrir")</f>
        <v/>
      </c>
      <c r="J1120">
        <f>HYPERLINK("https://www.gebeauty.com.br/products/primer-liso-intacto?ref=review","review")</f>
        <v/>
      </c>
      <c r="K1120" t="inlineStr">
        <is>
          <t>SEND</t>
        </is>
      </c>
    </row>
    <row r="1121">
      <c r="A1121" t="inlineStr">
        <is>
          <t>Lídia</t>
        </is>
      </c>
      <c r="B1121" t="inlineStr">
        <is>
          <t>+5585987298739</t>
        </is>
      </c>
      <c r="C1121" t="inlineStr">
        <is>
          <t>Refill</t>
        </is>
      </c>
      <c r="D1121" t="inlineStr">
        <is>
          <t>Primer Liso</t>
        </is>
      </c>
      <c r="E1121" t="n">
        <v>1</v>
      </c>
      <c r="F1121" t="inlineStr">
        <is>
          <t>2025-11-28</t>
        </is>
      </c>
      <c r="G1121" t="n">
        <v>218</v>
      </c>
      <c r="H1121" t="inlineStr">
        <is>
          <t>Y</t>
        </is>
      </c>
      <c r="I1121">
        <f>HYPERLINK("https://admin.shopify.com/store/ge-beauty-cosmeticos/customers/9587812499776","abrir")</f>
        <v/>
      </c>
      <c r="J1121">
        <f>HYPERLINK("https://www.gebeauty.com.br/products/primer-liso-intacto?ref=review","review")</f>
        <v/>
      </c>
      <c r="K1121" t="inlineStr">
        <is>
          <t>SEND</t>
        </is>
      </c>
    </row>
    <row r="1122">
      <c r="A1122" t="inlineStr">
        <is>
          <t>Fabiola</t>
        </is>
      </c>
      <c r="B1122" t="inlineStr">
        <is>
          <t>+5551981124221</t>
        </is>
      </c>
      <c r="C1122" t="inlineStr">
        <is>
          <t>Refill</t>
        </is>
      </c>
      <c r="D1122" t="inlineStr">
        <is>
          <t>Primer Liso</t>
        </is>
      </c>
      <c r="E1122" t="n">
        <v>1</v>
      </c>
      <c r="F1122" t="inlineStr">
        <is>
          <t>2026-01-07</t>
        </is>
      </c>
      <c r="G1122" t="n">
        <v>178</v>
      </c>
      <c r="H1122" t="inlineStr">
        <is>
          <t>Y</t>
        </is>
      </c>
      <c r="I1122">
        <f>HYPERLINK("https://admin.shopify.com/store/ge-beauty-cosmeticos/customers/9486638547264","abrir")</f>
        <v/>
      </c>
      <c r="J1122">
        <f>HYPERLINK("https://www.gebeauty.com.br/products/primer-liso-intacto?ref=review","review")</f>
        <v/>
      </c>
      <c r="K1122" t="inlineStr">
        <is>
          <t>SEND</t>
        </is>
      </c>
    </row>
    <row r="1123">
      <c r="A1123" t="inlineStr">
        <is>
          <t>Thais</t>
        </is>
      </c>
      <c r="B1123" t="inlineStr">
        <is>
          <t>+5548991010550</t>
        </is>
      </c>
      <c r="C1123" t="inlineStr">
        <is>
          <t>Refill</t>
        </is>
      </c>
      <c r="D1123" t="inlineStr">
        <is>
          <t>Primer Liso</t>
        </is>
      </c>
      <c r="E1123" t="n">
        <v>1</v>
      </c>
      <c r="F1123" t="inlineStr">
        <is>
          <t>2025-11-28</t>
        </is>
      </c>
      <c r="G1123" t="n">
        <v>218</v>
      </c>
      <c r="H1123" t="inlineStr">
        <is>
          <t>Y</t>
        </is>
      </c>
      <c r="I1123">
        <f>HYPERLINK("https://admin.shopify.com/store/ge-beauty-cosmeticos/customers/9906724700480","abrir")</f>
        <v/>
      </c>
      <c r="J1123">
        <f>HYPERLINK("https://www.gebeauty.com.br/products/primer-liso-intacto?ref=review","review")</f>
        <v/>
      </c>
      <c r="K1123" t="inlineStr">
        <is>
          <t>SEND</t>
        </is>
      </c>
    </row>
    <row r="1124">
      <c r="A1124" t="inlineStr">
        <is>
          <t>Karoline</t>
        </is>
      </c>
      <c r="B1124" t="inlineStr">
        <is>
          <t>+5528999450491</t>
        </is>
      </c>
      <c r="C1124" t="inlineStr">
        <is>
          <t>Refill</t>
        </is>
      </c>
      <c r="D1124" t="inlineStr">
        <is>
          <t>Primer Liso</t>
        </is>
      </c>
      <c r="E1124" t="n">
        <v>1</v>
      </c>
      <c r="F1124" t="inlineStr">
        <is>
          <t>2025-11-28</t>
        </is>
      </c>
      <c r="G1124" t="n">
        <v>218</v>
      </c>
      <c r="H1124" t="inlineStr">
        <is>
          <t>Y</t>
        </is>
      </c>
      <c r="I1124">
        <f>HYPERLINK("https://admin.shopify.com/store/ge-beauty-cosmeticos/customers/9907155304768","abrir")</f>
        <v/>
      </c>
      <c r="J1124">
        <f>HYPERLINK("https://www.gebeauty.com.br/products/primer-liso-intacto?ref=review","review")</f>
        <v/>
      </c>
      <c r="K1124" t="inlineStr">
        <is>
          <t>SEND</t>
        </is>
      </c>
    </row>
    <row r="1125">
      <c r="A1125" t="inlineStr">
        <is>
          <t>Brena</t>
        </is>
      </c>
      <c r="B1125" t="inlineStr">
        <is>
          <t>+5541984581976</t>
        </is>
      </c>
      <c r="C1125" t="inlineStr">
        <is>
          <t>Refill</t>
        </is>
      </c>
      <c r="D1125" t="inlineStr">
        <is>
          <t>Primer Liso</t>
        </is>
      </c>
      <c r="E1125" t="n">
        <v>1</v>
      </c>
      <c r="F1125" t="inlineStr">
        <is>
          <t>2025-11-28</t>
        </is>
      </c>
      <c r="G1125" t="n">
        <v>218</v>
      </c>
      <c r="H1125" t="inlineStr">
        <is>
          <t>Y</t>
        </is>
      </c>
      <c r="I1125">
        <f>HYPERLINK("https://admin.shopify.com/store/ge-beauty-cosmeticos/customers/9861407080768","abrir")</f>
        <v/>
      </c>
      <c r="J1125">
        <f>HYPERLINK("https://www.gebeauty.com.br/products/primer-liso-intacto?ref=review","review")</f>
        <v/>
      </c>
      <c r="K1125" t="inlineStr">
        <is>
          <t>SEND</t>
        </is>
      </c>
    </row>
    <row r="1126">
      <c r="A1126" t="inlineStr">
        <is>
          <t>Andreza</t>
        </is>
      </c>
      <c r="B1126" t="inlineStr">
        <is>
          <t>+5581994186110</t>
        </is>
      </c>
      <c r="C1126" t="inlineStr">
        <is>
          <t>Refill</t>
        </is>
      </c>
      <c r="D1126" t="inlineStr">
        <is>
          <t>Primer Liso</t>
        </is>
      </c>
      <c r="E1126" t="n">
        <v>1</v>
      </c>
      <c r="F1126" t="inlineStr">
        <is>
          <t>2025-11-28</t>
        </is>
      </c>
      <c r="G1126" t="n">
        <v>218</v>
      </c>
      <c r="H1126" t="inlineStr">
        <is>
          <t>Y</t>
        </is>
      </c>
      <c r="I1126">
        <f>HYPERLINK("https://admin.shopify.com/store/ge-beauty-cosmeticos/customers/7759720415552","abrir")</f>
        <v/>
      </c>
      <c r="J1126">
        <f>HYPERLINK("https://www.gebeauty.com.br/products/primer-liso-intacto?ref=review","review")</f>
        <v/>
      </c>
      <c r="K1126" t="inlineStr">
        <is>
          <t>SEND</t>
        </is>
      </c>
    </row>
    <row r="1127">
      <c r="A1127" t="inlineStr">
        <is>
          <t>Luiza</t>
        </is>
      </c>
      <c r="B1127" t="inlineStr">
        <is>
          <t>+5516991621105</t>
        </is>
      </c>
      <c r="C1127" t="inlineStr">
        <is>
          <t>Refill</t>
        </is>
      </c>
      <c r="D1127" t="inlineStr">
        <is>
          <t>Primer Liso</t>
        </is>
      </c>
      <c r="E1127" t="n">
        <v>1</v>
      </c>
      <c r="F1127" t="inlineStr">
        <is>
          <t>2025-11-28</t>
        </is>
      </c>
      <c r="G1127" t="n">
        <v>218</v>
      </c>
      <c r="H1127" t="inlineStr">
        <is>
          <t>Y</t>
        </is>
      </c>
      <c r="I1127">
        <f>HYPERLINK("https://admin.shopify.com/store/ge-beauty-cosmeticos/customers/9484703990080","abrir")</f>
        <v/>
      </c>
      <c r="J1127">
        <f>HYPERLINK("https://www.gebeauty.com.br/products/primer-liso-intacto?ref=review","review")</f>
        <v/>
      </c>
      <c r="K1127" t="inlineStr">
        <is>
          <t>SEND</t>
        </is>
      </c>
    </row>
    <row r="1128">
      <c r="A1128" t="inlineStr">
        <is>
          <t>Thais</t>
        </is>
      </c>
      <c r="B1128" t="inlineStr">
        <is>
          <t>+5511974622432</t>
        </is>
      </c>
      <c r="C1128" t="inlineStr">
        <is>
          <t>Refill</t>
        </is>
      </c>
      <c r="D1128" t="inlineStr">
        <is>
          <t>Primer Liso</t>
        </is>
      </c>
      <c r="E1128" t="n">
        <v>1</v>
      </c>
      <c r="F1128" t="inlineStr">
        <is>
          <t>2025-11-28</t>
        </is>
      </c>
      <c r="G1128" t="n">
        <v>218</v>
      </c>
      <c r="H1128" t="inlineStr">
        <is>
          <t>Y</t>
        </is>
      </c>
      <c r="I1128">
        <f>HYPERLINK("https://admin.shopify.com/store/ge-beauty-cosmeticos/customers/9486272037184","abrir")</f>
        <v/>
      </c>
      <c r="J1128">
        <f>HYPERLINK("https://www.gebeauty.com.br/products/primer-liso-intacto?ref=review","review")</f>
        <v/>
      </c>
      <c r="K1128" t="inlineStr">
        <is>
          <t>SEND</t>
        </is>
      </c>
    </row>
    <row r="1129">
      <c r="A1129" t="inlineStr">
        <is>
          <t>Marcela</t>
        </is>
      </c>
      <c r="B1129" t="inlineStr">
        <is>
          <t>+5521999739121</t>
        </is>
      </c>
      <c r="C1129" t="inlineStr">
        <is>
          <t>Refill</t>
        </is>
      </c>
      <c r="D1129" t="inlineStr">
        <is>
          <t>Primer Liso</t>
        </is>
      </c>
      <c r="E1129" t="n">
        <v>1</v>
      </c>
      <c r="F1129" t="inlineStr">
        <is>
          <t>2025-11-28</t>
        </is>
      </c>
      <c r="G1129" t="n">
        <v>218</v>
      </c>
      <c r="H1129" t="inlineStr">
        <is>
          <t>Y</t>
        </is>
      </c>
      <c r="I1129">
        <f>HYPERLINK("https://admin.shopify.com/store/ge-beauty-cosmeticos/customers/9865186214208","abrir")</f>
        <v/>
      </c>
      <c r="J1129">
        <f>HYPERLINK("https://www.gebeauty.com.br/products/primer-liso-intacto?ref=review","review")</f>
        <v/>
      </c>
      <c r="K1129" t="inlineStr">
        <is>
          <t>SEND</t>
        </is>
      </c>
    </row>
    <row r="1130">
      <c r="A1130" t="inlineStr">
        <is>
          <t>Carolina</t>
        </is>
      </c>
      <c r="B1130" t="inlineStr">
        <is>
          <t>+5531997959977</t>
        </is>
      </c>
      <c r="C1130" t="inlineStr">
        <is>
          <t>Refill</t>
        </is>
      </c>
      <c r="D1130" t="inlineStr">
        <is>
          <t>Primer Liso</t>
        </is>
      </c>
      <c r="E1130" t="n">
        <v>1</v>
      </c>
      <c r="F1130" t="inlineStr">
        <is>
          <t>2025-11-28</t>
        </is>
      </c>
      <c r="G1130" t="n">
        <v>218</v>
      </c>
      <c r="H1130" t="inlineStr">
        <is>
          <t>Y</t>
        </is>
      </c>
      <c r="I1130">
        <f>HYPERLINK("https://admin.shopify.com/store/ge-beauty-cosmeticos/customers/9486292025664","abrir")</f>
        <v/>
      </c>
      <c r="J1130">
        <f>HYPERLINK("https://www.gebeauty.com.br/products/primer-liso-intacto?ref=review","review")</f>
        <v/>
      </c>
      <c r="K1130" t="inlineStr">
        <is>
          <t>SEND</t>
        </is>
      </c>
    </row>
    <row r="1131">
      <c r="A1131" t="inlineStr">
        <is>
          <t>Isabela</t>
        </is>
      </c>
      <c r="B1131" t="inlineStr">
        <is>
          <t>+5521975516515</t>
        </is>
      </c>
      <c r="C1131" t="inlineStr">
        <is>
          <t>Refill</t>
        </is>
      </c>
      <c r="D1131" t="inlineStr">
        <is>
          <t>Primer Liso</t>
        </is>
      </c>
      <c r="E1131" t="n">
        <v>1</v>
      </c>
      <c r="F1131" t="inlineStr">
        <is>
          <t>2025-11-28</t>
        </is>
      </c>
      <c r="G1131" t="n">
        <v>218</v>
      </c>
      <c r="H1131" t="inlineStr">
        <is>
          <t>Y</t>
        </is>
      </c>
      <c r="I1131">
        <f>HYPERLINK("https://admin.shopify.com/store/ge-beauty-cosmeticos/customers/9484698714432","abrir")</f>
        <v/>
      </c>
      <c r="J1131">
        <f>HYPERLINK("https://www.gebeauty.com.br/products/primer-liso-intacto?ref=review","review")</f>
        <v/>
      </c>
      <c r="K1131" t="inlineStr">
        <is>
          <t>SEND</t>
        </is>
      </c>
    </row>
    <row r="1132">
      <c r="A1132" t="inlineStr">
        <is>
          <t>Julia</t>
        </is>
      </c>
      <c r="B1132" t="inlineStr">
        <is>
          <t>+5511974001250</t>
        </is>
      </c>
      <c r="C1132" t="inlineStr">
        <is>
          <t>Refill</t>
        </is>
      </c>
      <c r="D1132" t="inlineStr">
        <is>
          <t>Primer Liso</t>
        </is>
      </c>
      <c r="E1132" t="n">
        <v>1</v>
      </c>
      <c r="F1132" t="inlineStr">
        <is>
          <t>2025-11-28</t>
        </is>
      </c>
      <c r="G1132" t="n">
        <v>218</v>
      </c>
      <c r="H1132" t="inlineStr">
        <is>
          <t>Y</t>
        </is>
      </c>
      <c r="I1132">
        <f>HYPERLINK("https://admin.shopify.com/store/ge-beauty-cosmeticos/customers/9863166918976","abrir")</f>
        <v/>
      </c>
      <c r="J1132">
        <f>HYPERLINK("https://www.gebeauty.com.br/products/primer-liso-intacto?ref=review","review")</f>
        <v/>
      </c>
      <c r="K1132" t="inlineStr">
        <is>
          <t>SEND</t>
        </is>
      </c>
    </row>
    <row r="1133">
      <c r="A1133" t="inlineStr">
        <is>
          <t>Luisa</t>
        </is>
      </c>
      <c r="B1133" t="inlineStr">
        <is>
          <t>+5548999240400</t>
        </is>
      </c>
      <c r="C1133" t="inlineStr">
        <is>
          <t>Refill</t>
        </is>
      </c>
      <c r="D1133" t="inlineStr">
        <is>
          <t>Primer Liso</t>
        </is>
      </c>
      <c r="E1133" t="n">
        <v>1</v>
      </c>
      <c r="F1133" t="inlineStr">
        <is>
          <t>2025-11-28</t>
        </is>
      </c>
      <c r="G1133" t="n">
        <v>218</v>
      </c>
      <c r="H1133" t="inlineStr">
        <is>
          <t>Y</t>
        </is>
      </c>
      <c r="I1133">
        <f>HYPERLINK("https://admin.shopify.com/store/ge-beauty-cosmeticos/customers/9485080396096","abrir")</f>
        <v/>
      </c>
      <c r="J1133">
        <f>HYPERLINK("https://www.gebeauty.com.br/products/primer-liso-intacto?ref=review","review")</f>
        <v/>
      </c>
      <c r="K1133" t="inlineStr">
        <is>
          <t>SEND</t>
        </is>
      </c>
    </row>
    <row r="1134">
      <c r="A1134" t="inlineStr">
        <is>
          <t>Barbara</t>
        </is>
      </c>
      <c r="B1134" t="inlineStr">
        <is>
          <t>+5533636527144</t>
        </is>
      </c>
      <c r="C1134" t="inlineStr">
        <is>
          <t>Refill</t>
        </is>
      </c>
      <c r="D1134" t="inlineStr">
        <is>
          <t>Primer Liso</t>
        </is>
      </c>
      <c r="E1134" t="n">
        <v>1</v>
      </c>
      <c r="F1134" t="inlineStr">
        <is>
          <t>2025-11-28</t>
        </is>
      </c>
      <c r="G1134" t="n">
        <v>218</v>
      </c>
      <c r="H1134" t="inlineStr">
        <is>
          <t>Y</t>
        </is>
      </c>
      <c r="I1134">
        <f>HYPERLINK("https://admin.shopify.com/store/ge-beauty-cosmeticos/customers/9484417270080","abrir")</f>
        <v/>
      </c>
      <c r="J1134">
        <f>HYPERLINK("https://www.gebeauty.com.br/products/primer-liso-intacto?ref=review","review")</f>
        <v/>
      </c>
      <c r="K1134" t="inlineStr">
        <is>
          <t>SEND</t>
        </is>
      </c>
    </row>
    <row r="1135">
      <c r="A1135" t="inlineStr">
        <is>
          <t>Carolina</t>
        </is>
      </c>
      <c r="B1135" t="inlineStr">
        <is>
          <t>+5511954497000</t>
        </is>
      </c>
      <c r="C1135" t="inlineStr">
        <is>
          <t>Refill</t>
        </is>
      </c>
      <c r="D1135" t="inlineStr">
        <is>
          <t>Primer Liso</t>
        </is>
      </c>
      <c r="E1135" t="n">
        <v>1</v>
      </c>
      <c r="F1135" t="inlineStr">
        <is>
          <t>2025-11-28</t>
        </is>
      </c>
      <c r="G1135" t="n">
        <v>218</v>
      </c>
      <c r="H1135" t="inlineStr">
        <is>
          <t>Y</t>
        </is>
      </c>
      <c r="I1135">
        <f>HYPERLINK("https://admin.shopify.com/store/ge-beauty-cosmeticos/customers/9886105829696","abrir")</f>
        <v/>
      </c>
      <c r="J1135">
        <f>HYPERLINK("https://www.gebeauty.com.br/products/primer-liso-intacto?ref=review","review")</f>
        <v/>
      </c>
      <c r="K1135" t="inlineStr">
        <is>
          <t>SEND</t>
        </is>
      </c>
    </row>
    <row r="1136">
      <c r="A1136" t="inlineStr">
        <is>
          <t>Marcela</t>
        </is>
      </c>
      <c r="B1136" t="inlineStr">
        <is>
          <t>+5561982525544</t>
        </is>
      </c>
      <c r="C1136" t="inlineStr">
        <is>
          <t>Refill</t>
        </is>
      </c>
      <c r="D1136" t="inlineStr">
        <is>
          <t>Primer Liso</t>
        </is>
      </c>
      <c r="E1136" t="n">
        <v>1</v>
      </c>
      <c r="F1136" t="inlineStr">
        <is>
          <t>2025-11-28</t>
        </is>
      </c>
      <c r="G1136" t="n">
        <v>218</v>
      </c>
      <c r="H1136" t="inlineStr">
        <is>
          <t>Y</t>
        </is>
      </c>
      <c r="I1136">
        <f>HYPERLINK("https://admin.shopify.com/store/ge-beauty-cosmeticos/customers/9908256342336","abrir")</f>
        <v/>
      </c>
      <c r="J1136">
        <f>HYPERLINK("https://www.gebeauty.com.br/products/primer-liso-intacto?ref=review","review")</f>
        <v/>
      </c>
      <c r="K1136" t="inlineStr">
        <is>
          <t>SEND</t>
        </is>
      </c>
    </row>
    <row r="1137">
      <c r="A1137" t="inlineStr">
        <is>
          <t>Gaia</t>
        </is>
      </c>
      <c r="B1137" t="inlineStr">
        <is>
          <t>+5511982565056</t>
        </is>
      </c>
      <c r="C1137" t="inlineStr">
        <is>
          <t>Refill</t>
        </is>
      </c>
      <c r="D1137" t="inlineStr">
        <is>
          <t>Primer Liso</t>
        </is>
      </c>
      <c r="E1137" t="n">
        <v>1</v>
      </c>
      <c r="F1137" t="inlineStr">
        <is>
          <t>2025-11-28</t>
        </is>
      </c>
      <c r="G1137" t="n">
        <v>218</v>
      </c>
      <c r="H1137" t="inlineStr">
        <is>
          <t>Y</t>
        </is>
      </c>
      <c r="I1137">
        <f>HYPERLINK("https://admin.shopify.com/store/ge-beauty-cosmeticos/customers/9896326431040","abrir")</f>
        <v/>
      </c>
      <c r="J1137">
        <f>HYPERLINK("https://www.gebeauty.com.br/products/primer-liso-intacto?ref=review","review")</f>
        <v/>
      </c>
      <c r="K1137" t="inlineStr">
        <is>
          <t>SEND</t>
        </is>
      </c>
    </row>
    <row r="1138">
      <c r="A1138" t="inlineStr">
        <is>
          <t>Talita</t>
        </is>
      </c>
      <c r="B1138" t="inlineStr">
        <is>
          <t>+5512988270600</t>
        </is>
      </c>
      <c r="C1138" t="inlineStr">
        <is>
          <t>Refill</t>
        </is>
      </c>
      <c r="D1138" t="inlineStr">
        <is>
          <t>Primer Liso</t>
        </is>
      </c>
      <c r="E1138" t="n">
        <v>1</v>
      </c>
      <c r="F1138" t="inlineStr">
        <is>
          <t>2025-11-28</t>
        </is>
      </c>
      <c r="G1138" t="n">
        <v>218</v>
      </c>
      <c r="H1138" t="inlineStr">
        <is>
          <t>Y</t>
        </is>
      </c>
      <c r="I1138">
        <f>HYPERLINK("https://admin.shopify.com/store/ge-beauty-cosmeticos/customers/9908216529216","abrir")</f>
        <v/>
      </c>
      <c r="J1138">
        <f>HYPERLINK("https://www.gebeauty.com.br/products/primer-liso-intacto?ref=review","review")</f>
        <v/>
      </c>
      <c r="K1138" t="inlineStr">
        <is>
          <t>SEND</t>
        </is>
      </c>
    </row>
    <row r="1139">
      <c r="A1139" t="inlineStr">
        <is>
          <t>Maria</t>
        </is>
      </c>
      <c r="B1139" t="inlineStr">
        <is>
          <t>+5547991180206</t>
        </is>
      </c>
      <c r="C1139" t="inlineStr">
        <is>
          <t>Refill</t>
        </is>
      </c>
      <c r="D1139" t="inlineStr">
        <is>
          <t>Primer Liso</t>
        </is>
      </c>
      <c r="E1139" t="n">
        <v>1</v>
      </c>
      <c r="F1139" t="inlineStr">
        <is>
          <t>2025-11-28</t>
        </is>
      </c>
      <c r="G1139" t="n">
        <v>218</v>
      </c>
      <c r="H1139" t="inlineStr">
        <is>
          <t>Y</t>
        </is>
      </c>
      <c r="I1139">
        <f>HYPERLINK("https://admin.shopify.com/store/ge-beauty-cosmeticos/customers/9829052514624","abrir")</f>
        <v/>
      </c>
      <c r="J1139">
        <f>HYPERLINK("https://www.gebeauty.com.br/products/primer-liso-intacto?ref=review","review")</f>
        <v/>
      </c>
      <c r="K1139" t="inlineStr">
        <is>
          <t>SEND</t>
        </is>
      </c>
    </row>
    <row r="1140">
      <c r="A1140" t="inlineStr">
        <is>
          <t>Cassia</t>
        </is>
      </c>
      <c r="B1140" t="inlineStr">
        <is>
          <t>+5511988629669</t>
        </is>
      </c>
      <c r="C1140" t="inlineStr">
        <is>
          <t>Refill</t>
        </is>
      </c>
      <c r="D1140" t="inlineStr">
        <is>
          <t>Primer Liso</t>
        </is>
      </c>
      <c r="E1140" t="n">
        <v>1</v>
      </c>
      <c r="F1140" t="inlineStr">
        <is>
          <t>2025-11-28</t>
        </is>
      </c>
      <c r="G1140" t="n">
        <v>218</v>
      </c>
      <c r="H1140" t="inlineStr">
        <is>
          <t>Y</t>
        </is>
      </c>
      <c r="I1140">
        <f>HYPERLINK("https://admin.shopify.com/store/ge-beauty-cosmeticos/customers/9908309066048","abrir")</f>
        <v/>
      </c>
      <c r="J1140">
        <f>HYPERLINK("https://www.gebeauty.com.br/products/primer-liso-intacto?ref=review","review")</f>
        <v/>
      </c>
      <c r="K1140" t="inlineStr">
        <is>
          <t>SEND</t>
        </is>
      </c>
    </row>
    <row r="1141">
      <c r="A1141" t="inlineStr">
        <is>
          <t>Nuria</t>
        </is>
      </c>
      <c r="B1141" t="inlineStr">
        <is>
          <t>+5532471615394</t>
        </is>
      </c>
      <c r="C1141" t="inlineStr">
        <is>
          <t>Refill</t>
        </is>
      </c>
      <c r="D1141" t="inlineStr">
        <is>
          <t>Primer Liso</t>
        </is>
      </c>
      <c r="E1141" t="n">
        <v>1</v>
      </c>
      <c r="F1141" t="inlineStr">
        <is>
          <t>2025-11-28</t>
        </is>
      </c>
      <c r="G1141" t="n">
        <v>218</v>
      </c>
      <c r="H1141" t="inlineStr">
        <is>
          <t>Y</t>
        </is>
      </c>
      <c r="I1141">
        <f>HYPERLINK("https://admin.shopify.com/store/ge-beauty-cosmeticos/customers/9752902861120","abrir")</f>
        <v/>
      </c>
      <c r="J1141">
        <f>HYPERLINK("https://www.gebeauty.com.br/products/primer-liso-intacto?ref=review","review")</f>
        <v/>
      </c>
      <c r="K1141" t="inlineStr">
        <is>
          <t>SEND</t>
        </is>
      </c>
    </row>
    <row r="1142">
      <c r="A1142" t="inlineStr">
        <is>
          <t>Helena</t>
        </is>
      </c>
      <c r="B1142" t="inlineStr">
        <is>
          <t>+5511954039876</t>
        </is>
      </c>
      <c r="C1142" t="inlineStr">
        <is>
          <t>Refill</t>
        </is>
      </c>
      <c r="D1142" t="inlineStr">
        <is>
          <t>Primer Liso</t>
        </is>
      </c>
      <c r="E1142" t="n">
        <v>1</v>
      </c>
      <c r="F1142" t="inlineStr">
        <is>
          <t>2025-11-28</t>
        </is>
      </c>
      <c r="G1142" t="n">
        <v>218</v>
      </c>
      <c r="H1142" t="inlineStr">
        <is>
          <t>Y</t>
        </is>
      </c>
      <c r="I1142">
        <f>HYPERLINK("https://admin.shopify.com/store/ge-beauty-cosmeticos/customers/9859115811136","abrir")</f>
        <v/>
      </c>
      <c r="J1142">
        <f>HYPERLINK("https://www.gebeauty.com.br/products/primer-liso-intacto?ref=review","review")</f>
        <v/>
      </c>
      <c r="K1142" t="inlineStr">
        <is>
          <t>SEND</t>
        </is>
      </c>
    </row>
    <row r="1143">
      <c r="A1143" t="inlineStr">
        <is>
          <t>Fabíola</t>
        </is>
      </c>
      <c r="B1143" t="inlineStr">
        <is>
          <t>+5561995576008</t>
        </is>
      </c>
      <c r="C1143" t="inlineStr">
        <is>
          <t>Refill</t>
        </is>
      </c>
      <c r="D1143" t="inlineStr">
        <is>
          <t>Primer Liso</t>
        </is>
      </c>
      <c r="E1143" t="n">
        <v>1</v>
      </c>
      <c r="F1143" t="inlineStr">
        <is>
          <t>2025-11-28</t>
        </is>
      </c>
      <c r="G1143" t="n">
        <v>218</v>
      </c>
      <c r="H1143" t="inlineStr">
        <is>
          <t>Y</t>
        </is>
      </c>
      <c r="I1143">
        <f>HYPERLINK("https://admin.shopify.com/store/ge-beauty-cosmeticos/customers/9485790118208","abrir")</f>
        <v/>
      </c>
      <c r="J1143">
        <f>HYPERLINK("https://www.gebeauty.com.br/products/primer-liso-intacto?ref=review","review")</f>
        <v/>
      </c>
      <c r="K1143" t="inlineStr">
        <is>
          <t>SEND</t>
        </is>
      </c>
    </row>
    <row r="1144">
      <c r="A1144" t="inlineStr">
        <is>
          <t>Samira</t>
        </is>
      </c>
      <c r="B1144" t="inlineStr">
        <is>
          <t>+5511983742064</t>
        </is>
      </c>
      <c r="C1144" t="inlineStr">
        <is>
          <t>Refill</t>
        </is>
      </c>
      <c r="D1144" t="inlineStr">
        <is>
          <t>Primer Liso</t>
        </is>
      </c>
      <c r="E1144" t="n">
        <v>1</v>
      </c>
      <c r="F1144" t="inlineStr">
        <is>
          <t>2025-11-28</t>
        </is>
      </c>
      <c r="G1144" t="n">
        <v>218</v>
      </c>
      <c r="H1144" t="inlineStr">
        <is>
          <t>Y</t>
        </is>
      </c>
      <c r="I1144">
        <f>HYPERLINK("https://admin.shopify.com/store/ge-beauty-cosmeticos/customers/7762622611776","abrir")</f>
        <v/>
      </c>
      <c r="J1144">
        <f>HYPERLINK("https://www.gebeauty.com.br/products/primer-liso-intacto?ref=review","review")</f>
        <v/>
      </c>
      <c r="K1144" t="inlineStr">
        <is>
          <t>SEND</t>
        </is>
      </c>
    </row>
    <row r="1145">
      <c r="A1145" t="inlineStr">
        <is>
          <t>Rebeca</t>
        </is>
      </c>
      <c r="B1145" t="inlineStr">
        <is>
          <t>+5571999767238</t>
        </is>
      </c>
      <c r="C1145" t="inlineStr">
        <is>
          <t>Refill</t>
        </is>
      </c>
      <c r="D1145" t="inlineStr">
        <is>
          <t>Primer Liso</t>
        </is>
      </c>
      <c r="E1145" t="n">
        <v>1</v>
      </c>
      <c r="F1145" t="inlineStr">
        <is>
          <t>2025-11-28</t>
        </is>
      </c>
      <c r="G1145" t="n">
        <v>218</v>
      </c>
      <c r="H1145" t="inlineStr">
        <is>
          <t>Y</t>
        </is>
      </c>
      <c r="I1145">
        <f>HYPERLINK("https://admin.shopify.com/store/ge-beauty-cosmeticos/customers/9486245724480","abrir")</f>
        <v/>
      </c>
      <c r="J1145">
        <f>HYPERLINK("https://www.gebeauty.com.br/products/primer-liso-intacto?ref=review","review")</f>
        <v/>
      </c>
      <c r="K1145" t="inlineStr">
        <is>
          <t>SEND</t>
        </is>
      </c>
    </row>
    <row r="1146">
      <c r="A1146" t="inlineStr">
        <is>
          <t>Kelly</t>
        </is>
      </c>
      <c r="B1146" t="inlineStr">
        <is>
          <t>+5511988746598</t>
        </is>
      </c>
      <c r="C1146" t="inlineStr">
        <is>
          <t>Refill</t>
        </is>
      </c>
      <c r="D1146" t="inlineStr">
        <is>
          <t>Primer Liso</t>
        </is>
      </c>
      <c r="E1146" t="n">
        <v>1</v>
      </c>
      <c r="F1146" t="inlineStr">
        <is>
          <t>2025-11-28</t>
        </is>
      </c>
      <c r="G1146" t="n">
        <v>218</v>
      </c>
      <c r="H1146" t="inlineStr">
        <is>
          <t>Y</t>
        </is>
      </c>
      <c r="I1146">
        <f>HYPERLINK("https://admin.shopify.com/store/ge-beauty-cosmeticos/customers/9908832960832","abrir")</f>
        <v/>
      </c>
      <c r="J1146">
        <f>HYPERLINK("https://www.gebeauty.com.br/products/primer-liso-intacto?ref=review","review")</f>
        <v/>
      </c>
      <c r="K1146" t="inlineStr">
        <is>
          <t>SEND</t>
        </is>
      </c>
    </row>
    <row r="1147">
      <c r="A1147" t="inlineStr">
        <is>
          <t>Sharlimar</t>
        </is>
      </c>
      <c r="B1147" t="inlineStr">
        <is>
          <t>+5561983147964</t>
        </is>
      </c>
      <c r="C1147" t="inlineStr">
        <is>
          <t>Refill</t>
        </is>
      </c>
      <c r="D1147" t="inlineStr">
        <is>
          <t>Primer Liso</t>
        </is>
      </c>
      <c r="E1147" t="n">
        <v>1</v>
      </c>
      <c r="F1147" t="inlineStr">
        <is>
          <t>2025-11-28</t>
        </is>
      </c>
      <c r="G1147" t="n">
        <v>218</v>
      </c>
      <c r="H1147" t="inlineStr">
        <is>
          <t>Y</t>
        </is>
      </c>
      <c r="I1147">
        <f>HYPERLINK("https://admin.shopify.com/store/ge-beauty-cosmeticos/customers/9824850837824","abrir")</f>
        <v/>
      </c>
      <c r="J1147">
        <f>HYPERLINK("https://www.gebeauty.com.br/products/primer-liso-intacto?ref=review","review")</f>
        <v/>
      </c>
      <c r="K1147" t="inlineStr">
        <is>
          <t>SEND</t>
        </is>
      </c>
    </row>
    <row r="1148">
      <c r="A1148" t="inlineStr">
        <is>
          <t>Gleice</t>
        </is>
      </c>
      <c r="B1148" t="inlineStr">
        <is>
          <t>+5511993952720</t>
        </is>
      </c>
      <c r="C1148" t="inlineStr">
        <is>
          <t>Refill</t>
        </is>
      </c>
      <c r="D1148" t="inlineStr">
        <is>
          <t>Primer Liso</t>
        </is>
      </c>
      <c r="E1148" t="n">
        <v>1</v>
      </c>
      <c r="F1148" t="inlineStr">
        <is>
          <t>2025-11-28</t>
        </is>
      </c>
      <c r="G1148" t="n">
        <v>218</v>
      </c>
      <c r="H1148" t="inlineStr">
        <is>
          <t>Y</t>
        </is>
      </c>
      <c r="I1148">
        <f>HYPERLINK("https://admin.shopify.com/store/ge-beauty-cosmeticos/customers/9909118730560","abrir")</f>
        <v/>
      </c>
      <c r="J1148">
        <f>HYPERLINK("https://www.gebeauty.com.br/products/primer-liso-intacto?ref=review","review")</f>
        <v/>
      </c>
      <c r="K1148" t="inlineStr">
        <is>
          <t>SEND</t>
        </is>
      </c>
    </row>
    <row r="1149">
      <c r="A1149" t="inlineStr">
        <is>
          <t>Melissa</t>
        </is>
      </c>
      <c r="B1149" t="inlineStr">
        <is>
          <t>+5531984186869</t>
        </is>
      </c>
      <c r="C1149" t="inlineStr">
        <is>
          <t>Refill</t>
        </is>
      </c>
      <c r="D1149" t="inlineStr">
        <is>
          <t>Primer Liso</t>
        </is>
      </c>
      <c r="E1149" t="n">
        <v>1</v>
      </c>
      <c r="F1149" t="inlineStr">
        <is>
          <t>2025-11-28</t>
        </is>
      </c>
      <c r="G1149" t="n">
        <v>218</v>
      </c>
      <c r="H1149" t="inlineStr">
        <is>
          <t>Y</t>
        </is>
      </c>
      <c r="I1149">
        <f>HYPERLINK("https://admin.shopify.com/store/ge-beauty-cosmeticos/customers/9485860864320","abrir")</f>
        <v/>
      </c>
      <c r="J1149">
        <f>HYPERLINK("https://www.gebeauty.com.br/products/primer-liso-intacto?ref=review","review")</f>
        <v/>
      </c>
      <c r="K1149" t="inlineStr">
        <is>
          <t>SEND</t>
        </is>
      </c>
    </row>
    <row r="1150">
      <c r="A1150" t="inlineStr">
        <is>
          <t>Débora</t>
        </is>
      </c>
      <c r="B1150" t="inlineStr">
        <is>
          <t>+5541991654689</t>
        </is>
      </c>
      <c r="C1150" t="inlineStr">
        <is>
          <t>Refill</t>
        </is>
      </c>
      <c r="D1150" t="inlineStr">
        <is>
          <t>Primer Liso</t>
        </is>
      </c>
      <c r="E1150" t="n">
        <v>1</v>
      </c>
      <c r="F1150" t="inlineStr">
        <is>
          <t>2025-11-28</t>
        </is>
      </c>
      <c r="G1150" t="n">
        <v>218</v>
      </c>
      <c r="H1150" t="inlineStr">
        <is>
          <t>Y</t>
        </is>
      </c>
      <c r="I1150">
        <f>HYPERLINK("https://admin.shopify.com/store/ge-beauty-cosmeticos/customers/7760917528896","abrir")</f>
        <v/>
      </c>
      <c r="J1150">
        <f>HYPERLINK("https://www.gebeauty.com.br/products/primer-liso-intacto?ref=review","review")</f>
        <v/>
      </c>
      <c r="K1150" t="inlineStr">
        <is>
          <t>SEND</t>
        </is>
      </c>
    </row>
    <row r="1151">
      <c r="A1151" t="inlineStr">
        <is>
          <t>Natasha</t>
        </is>
      </c>
      <c r="B1151" t="inlineStr">
        <is>
          <t>+5585997751616</t>
        </is>
      </c>
      <c r="C1151" t="inlineStr">
        <is>
          <t>Refill</t>
        </is>
      </c>
      <c r="D1151" t="inlineStr">
        <is>
          <t>Primer Liso</t>
        </is>
      </c>
      <c r="E1151" t="n">
        <v>1</v>
      </c>
      <c r="F1151" t="inlineStr">
        <is>
          <t>2025-11-28</t>
        </is>
      </c>
      <c r="G1151" t="n">
        <v>218</v>
      </c>
      <c r="H1151" t="inlineStr">
        <is>
          <t>Y</t>
        </is>
      </c>
      <c r="I1151">
        <f>HYPERLINK("https://admin.shopify.com/store/ge-beauty-cosmeticos/customers/9909192491328","abrir")</f>
        <v/>
      </c>
      <c r="J1151">
        <f>HYPERLINK("https://www.gebeauty.com.br/products/primer-liso-intacto?ref=review","review")</f>
        <v/>
      </c>
      <c r="K1151" t="inlineStr">
        <is>
          <t>SEND</t>
        </is>
      </c>
    </row>
    <row r="1152">
      <c r="A1152" t="inlineStr">
        <is>
          <t>Rachel</t>
        </is>
      </c>
      <c r="B1152" t="inlineStr">
        <is>
          <t>+5521983316263</t>
        </is>
      </c>
      <c r="C1152" t="inlineStr">
        <is>
          <t>Refill</t>
        </is>
      </c>
      <c r="D1152" t="inlineStr">
        <is>
          <t>Primer Liso</t>
        </is>
      </c>
      <c r="E1152" t="n">
        <v>1</v>
      </c>
      <c r="F1152" t="inlineStr">
        <is>
          <t>2025-11-28</t>
        </is>
      </c>
      <c r="G1152" t="n">
        <v>218</v>
      </c>
      <c r="H1152" t="inlineStr">
        <is>
          <t>Y</t>
        </is>
      </c>
      <c r="I1152">
        <f>HYPERLINK("https://admin.shopify.com/store/ge-beauty-cosmeticos/customers/9909266645312","abrir")</f>
        <v/>
      </c>
      <c r="J1152">
        <f>HYPERLINK("https://www.gebeauty.com.br/products/primer-liso-intacto?ref=review","review")</f>
        <v/>
      </c>
      <c r="K1152" t="inlineStr">
        <is>
          <t>SEND</t>
        </is>
      </c>
    </row>
    <row r="1153">
      <c r="A1153" t="inlineStr">
        <is>
          <t>Juliana</t>
        </is>
      </c>
      <c r="B1153" t="inlineStr">
        <is>
          <t>+5511995420939</t>
        </is>
      </c>
      <c r="C1153" t="inlineStr">
        <is>
          <t>Refill</t>
        </is>
      </c>
      <c r="D1153" t="inlineStr">
        <is>
          <t>Primer Liso</t>
        </is>
      </c>
      <c r="E1153" t="n">
        <v>1</v>
      </c>
      <c r="F1153" t="inlineStr">
        <is>
          <t>2025-11-28</t>
        </is>
      </c>
      <c r="G1153" t="n">
        <v>218</v>
      </c>
      <c r="H1153" t="inlineStr">
        <is>
          <t>Y</t>
        </is>
      </c>
      <c r="I1153">
        <f>HYPERLINK("https://admin.shopify.com/store/ge-beauty-cosmeticos/customers/9668538663232","abrir")</f>
        <v/>
      </c>
      <c r="J1153">
        <f>HYPERLINK("https://www.gebeauty.com.br/products/primer-liso-intacto?ref=review","review")</f>
        <v/>
      </c>
      <c r="K1153" t="inlineStr">
        <is>
          <t>SEND</t>
        </is>
      </c>
    </row>
    <row r="1154">
      <c r="A1154" t="inlineStr">
        <is>
          <t>Isabella</t>
        </is>
      </c>
      <c r="B1154" t="inlineStr">
        <is>
          <t>+5521996088368</t>
        </is>
      </c>
      <c r="C1154" t="inlineStr">
        <is>
          <t>Refill</t>
        </is>
      </c>
      <c r="D1154" t="inlineStr">
        <is>
          <t>Primer Liso</t>
        </is>
      </c>
      <c r="E1154" t="n">
        <v>1</v>
      </c>
      <c r="F1154" t="inlineStr">
        <is>
          <t>2025-11-28</t>
        </is>
      </c>
      <c r="G1154" t="n">
        <v>218</v>
      </c>
      <c r="H1154" t="inlineStr">
        <is>
          <t>Y</t>
        </is>
      </c>
      <c r="I1154">
        <f>HYPERLINK("https://admin.shopify.com/store/ge-beauty-cosmeticos/customers/9907765772608","abrir")</f>
        <v/>
      </c>
      <c r="J1154">
        <f>HYPERLINK("https://www.gebeauty.com.br/products/primer-liso-intacto?ref=review","review")</f>
        <v/>
      </c>
      <c r="K1154" t="inlineStr">
        <is>
          <t>SEND</t>
        </is>
      </c>
    </row>
    <row r="1155">
      <c r="A1155" t="inlineStr">
        <is>
          <t>Adriely</t>
        </is>
      </c>
      <c r="B1155" t="inlineStr">
        <is>
          <t>+5581991712998</t>
        </is>
      </c>
      <c r="C1155" t="inlineStr">
        <is>
          <t>Refill</t>
        </is>
      </c>
      <c r="D1155" t="inlineStr">
        <is>
          <t>Primer Liso</t>
        </is>
      </c>
      <c r="E1155" t="n">
        <v>1</v>
      </c>
      <c r="F1155" t="inlineStr">
        <is>
          <t>2025-11-28</t>
        </is>
      </c>
      <c r="G1155" t="n">
        <v>218</v>
      </c>
      <c r="H1155" t="inlineStr">
        <is>
          <t>Y</t>
        </is>
      </c>
      <c r="I1155">
        <f>HYPERLINK("https://admin.shopify.com/store/ge-beauty-cosmeticos/customers/8324483580224","abrir")</f>
        <v/>
      </c>
      <c r="J1155">
        <f>HYPERLINK("https://www.gebeauty.com.br/products/primer-liso-intacto?ref=review","review")</f>
        <v/>
      </c>
      <c r="K1155" t="inlineStr">
        <is>
          <t>HOLDOUT</t>
        </is>
      </c>
    </row>
    <row r="1156">
      <c r="A1156" t="inlineStr">
        <is>
          <t>Taciana</t>
        </is>
      </c>
      <c r="B1156" t="inlineStr">
        <is>
          <t>+5511985242342</t>
        </is>
      </c>
      <c r="C1156" t="inlineStr">
        <is>
          <t>Refill</t>
        </is>
      </c>
      <c r="D1156" t="inlineStr">
        <is>
          <t>Primer Liso</t>
        </is>
      </c>
      <c r="E1156" t="n">
        <v>1</v>
      </c>
      <c r="F1156" t="inlineStr">
        <is>
          <t>2025-11-28</t>
        </is>
      </c>
      <c r="G1156" t="n">
        <v>218</v>
      </c>
      <c r="H1156" t="inlineStr">
        <is>
          <t>Y</t>
        </is>
      </c>
      <c r="I1156">
        <f>HYPERLINK("https://admin.shopify.com/store/ge-beauty-cosmeticos/customers/9486034305344","abrir")</f>
        <v/>
      </c>
      <c r="J1156">
        <f>HYPERLINK("https://www.gebeauty.com.br/products/primer-liso-intacto?ref=review","review")</f>
        <v/>
      </c>
      <c r="K1156" t="inlineStr">
        <is>
          <t>SEND</t>
        </is>
      </c>
    </row>
    <row r="1157">
      <c r="A1157" t="inlineStr">
        <is>
          <t>Cintia de Paola</t>
        </is>
      </c>
      <c r="B1157" t="inlineStr">
        <is>
          <t>+5513997266492</t>
        </is>
      </c>
      <c r="C1157" t="inlineStr">
        <is>
          <t>Refill</t>
        </is>
      </c>
      <c r="D1157" t="inlineStr">
        <is>
          <t>Primer Liso</t>
        </is>
      </c>
      <c r="E1157" t="n">
        <v>1</v>
      </c>
      <c r="F1157" t="inlineStr">
        <is>
          <t>2025-11-28</t>
        </is>
      </c>
      <c r="G1157" t="n">
        <v>218</v>
      </c>
      <c r="H1157" t="inlineStr">
        <is>
          <t>Y</t>
        </is>
      </c>
      <c r="I1157">
        <f>HYPERLINK("https://admin.shopify.com/store/ge-beauty-cosmeticos/customers/9646055129408","abrir")</f>
        <v/>
      </c>
      <c r="J1157">
        <f>HYPERLINK("https://www.gebeauty.com.br/products/primer-liso-intacto?ref=review","review")</f>
        <v/>
      </c>
      <c r="K1157" t="inlineStr">
        <is>
          <t>SEND</t>
        </is>
      </c>
    </row>
    <row r="1158">
      <c r="A1158" t="inlineStr">
        <is>
          <t>Damasio</t>
        </is>
      </c>
      <c r="B1158" t="inlineStr">
        <is>
          <t>+5581992412940</t>
        </is>
      </c>
      <c r="C1158" t="inlineStr">
        <is>
          <t>Refill</t>
        </is>
      </c>
      <c r="D1158" t="inlineStr">
        <is>
          <t>Primer Liso</t>
        </is>
      </c>
      <c r="E1158" t="n">
        <v>1</v>
      </c>
      <c r="F1158" t="inlineStr">
        <is>
          <t>2025-11-28</t>
        </is>
      </c>
      <c r="G1158" t="n">
        <v>218</v>
      </c>
      <c r="H1158" t="inlineStr">
        <is>
          <t>Y</t>
        </is>
      </c>
      <c r="I1158">
        <f>HYPERLINK("https://admin.shopify.com/store/ge-beauty-cosmeticos/customers/8719413805376","abrir")</f>
        <v/>
      </c>
      <c r="J1158">
        <f>HYPERLINK("https://www.gebeauty.com.br/products/primer-liso-intacto?ref=review","review")</f>
        <v/>
      </c>
      <c r="K1158" t="inlineStr">
        <is>
          <t>SEND</t>
        </is>
      </c>
    </row>
    <row r="1159">
      <c r="A1159" t="inlineStr">
        <is>
          <t>Renata</t>
        </is>
      </c>
      <c r="B1159" t="inlineStr">
        <is>
          <t>+5521999089364</t>
        </is>
      </c>
      <c r="C1159" t="inlineStr">
        <is>
          <t>Refill</t>
        </is>
      </c>
      <c r="D1159" t="inlineStr">
        <is>
          <t>Primer Liso</t>
        </is>
      </c>
      <c r="E1159" t="n">
        <v>1</v>
      </c>
      <c r="F1159" t="inlineStr">
        <is>
          <t>2025-11-28</t>
        </is>
      </c>
      <c r="G1159" t="n">
        <v>218</v>
      </c>
      <c r="H1159" t="inlineStr">
        <is>
          <t>Y</t>
        </is>
      </c>
      <c r="I1159">
        <f>HYPERLINK("https://admin.shopify.com/store/ge-beauty-cosmeticos/customers/9650455642432","abrir")</f>
        <v/>
      </c>
      <c r="J1159">
        <f>HYPERLINK("https://www.gebeauty.com.br/products/primer-liso-intacto?ref=review","review")</f>
        <v/>
      </c>
      <c r="K1159" t="inlineStr">
        <is>
          <t>SEND</t>
        </is>
      </c>
    </row>
    <row r="1160">
      <c r="A1160" t="inlineStr">
        <is>
          <t>Natalia</t>
        </is>
      </c>
      <c r="B1160" t="inlineStr">
        <is>
          <t>+5511950555202</t>
        </is>
      </c>
      <c r="C1160" t="inlineStr">
        <is>
          <t>Refill</t>
        </is>
      </c>
      <c r="D1160" t="inlineStr">
        <is>
          <t>Primer Liso</t>
        </is>
      </c>
      <c r="E1160" t="n">
        <v>1</v>
      </c>
      <c r="F1160" t="inlineStr">
        <is>
          <t>2025-11-28</t>
        </is>
      </c>
      <c r="G1160" t="n">
        <v>218</v>
      </c>
      <c r="H1160" t="inlineStr">
        <is>
          <t>Y</t>
        </is>
      </c>
      <c r="I1160">
        <f>HYPERLINK("https://admin.shopify.com/store/ge-beauty-cosmeticos/customers/7761929404736","abrir")</f>
        <v/>
      </c>
      <c r="J1160">
        <f>HYPERLINK("https://www.gebeauty.com.br/products/primer-liso-intacto?ref=review","review")</f>
        <v/>
      </c>
      <c r="K1160" t="inlineStr">
        <is>
          <t>SEND</t>
        </is>
      </c>
    </row>
    <row r="1161">
      <c r="A1161" t="inlineStr">
        <is>
          <t>Alessandra</t>
        </is>
      </c>
      <c r="B1161" t="inlineStr">
        <is>
          <t>+5595981290065</t>
        </is>
      </c>
      <c r="C1161" t="inlineStr">
        <is>
          <t>Refill</t>
        </is>
      </c>
      <c r="D1161" t="inlineStr">
        <is>
          <t>Primer Liso</t>
        </is>
      </c>
      <c r="E1161" t="n">
        <v>1</v>
      </c>
      <c r="F1161" t="inlineStr">
        <is>
          <t>2025-11-28</t>
        </is>
      </c>
      <c r="G1161" t="n">
        <v>218</v>
      </c>
      <c r="H1161" t="inlineStr">
        <is>
          <t>Y</t>
        </is>
      </c>
      <c r="I1161">
        <f>HYPERLINK("https://admin.shopify.com/store/ge-beauty-cosmeticos/customers/9824868073792","abrir")</f>
        <v/>
      </c>
      <c r="J1161">
        <f>HYPERLINK("https://www.gebeauty.com.br/products/primer-liso-intacto?ref=review","review")</f>
        <v/>
      </c>
      <c r="K1161" t="inlineStr">
        <is>
          <t>SEND</t>
        </is>
      </c>
    </row>
    <row r="1162">
      <c r="A1162" t="inlineStr">
        <is>
          <t>Luciana</t>
        </is>
      </c>
      <c r="B1162" t="inlineStr">
        <is>
          <t>+5581996279612</t>
        </is>
      </c>
      <c r="C1162" t="inlineStr">
        <is>
          <t>Refill</t>
        </is>
      </c>
      <c r="D1162" t="inlineStr">
        <is>
          <t>Primer Liso</t>
        </is>
      </c>
      <c r="E1162" t="n">
        <v>1</v>
      </c>
      <c r="F1162" t="inlineStr">
        <is>
          <t>2025-11-28</t>
        </is>
      </c>
      <c r="G1162" t="n">
        <v>218</v>
      </c>
      <c r="H1162" t="inlineStr">
        <is>
          <t>Y</t>
        </is>
      </c>
      <c r="I1162">
        <f>HYPERLINK("https://admin.shopify.com/store/ge-beauty-cosmeticos/customers/9485941014848","abrir")</f>
        <v/>
      </c>
      <c r="J1162">
        <f>HYPERLINK("https://www.gebeauty.com.br/products/primer-liso-intacto?ref=review","review")</f>
        <v/>
      </c>
      <c r="K1162" t="inlineStr">
        <is>
          <t>SEND</t>
        </is>
      </c>
    </row>
    <row r="1163">
      <c r="A1163" t="inlineStr">
        <is>
          <t>Laís</t>
        </is>
      </c>
      <c r="B1163" t="inlineStr">
        <is>
          <t>+5532998198141</t>
        </is>
      </c>
      <c r="C1163" t="inlineStr">
        <is>
          <t>Refill</t>
        </is>
      </c>
      <c r="D1163" t="inlineStr">
        <is>
          <t>Primer Liso</t>
        </is>
      </c>
      <c r="E1163" t="n">
        <v>1</v>
      </c>
      <c r="F1163" t="inlineStr">
        <is>
          <t>2025-11-28</t>
        </is>
      </c>
      <c r="G1163" t="n">
        <v>218</v>
      </c>
      <c r="H1163" t="inlineStr">
        <is>
          <t>Y</t>
        </is>
      </c>
      <c r="I1163">
        <f>HYPERLINK("https://admin.shopify.com/store/ge-beauty-cosmeticos/customers/9909634990400","abrir")</f>
        <v/>
      </c>
      <c r="J1163">
        <f>HYPERLINK("https://www.gebeauty.com.br/products/primer-liso-intacto?ref=review","review")</f>
        <v/>
      </c>
      <c r="K1163" t="inlineStr">
        <is>
          <t>HOLDOUT</t>
        </is>
      </c>
    </row>
    <row r="1164">
      <c r="A1164" t="inlineStr">
        <is>
          <t>Caroline</t>
        </is>
      </c>
      <c r="B1164" t="inlineStr">
        <is>
          <t>+5521981087082</t>
        </is>
      </c>
      <c r="C1164" t="inlineStr">
        <is>
          <t>Refill</t>
        </is>
      </c>
      <c r="D1164" t="inlineStr">
        <is>
          <t>Primer Liso</t>
        </is>
      </c>
      <c r="E1164" t="n">
        <v>1</v>
      </c>
      <c r="F1164" t="inlineStr">
        <is>
          <t>2025-11-28</t>
        </is>
      </c>
      <c r="G1164" t="n">
        <v>218</v>
      </c>
      <c r="H1164" t="inlineStr">
        <is>
          <t>Y</t>
        </is>
      </c>
      <c r="I1164">
        <f>HYPERLINK("https://admin.shopify.com/store/ge-beauty-cosmeticos/customers/9638184845632","abrir")</f>
        <v/>
      </c>
      <c r="J1164">
        <f>HYPERLINK("https://www.gebeauty.com.br/products/primer-liso-intacto?ref=review","review")</f>
        <v/>
      </c>
      <c r="K1164" t="inlineStr">
        <is>
          <t>HOLDOUT</t>
        </is>
      </c>
    </row>
    <row r="1165">
      <c r="A1165" t="inlineStr">
        <is>
          <t>Maria</t>
        </is>
      </c>
      <c r="B1165" t="inlineStr">
        <is>
          <t>+5581998725259</t>
        </is>
      </c>
      <c r="C1165" t="inlineStr">
        <is>
          <t>Refill</t>
        </is>
      </c>
      <c r="D1165" t="inlineStr">
        <is>
          <t>Primer Liso</t>
        </is>
      </c>
      <c r="E1165" t="n">
        <v>1</v>
      </c>
      <c r="F1165" t="inlineStr">
        <is>
          <t>2025-11-28</t>
        </is>
      </c>
      <c r="G1165" t="n">
        <v>218</v>
      </c>
      <c r="H1165" t="inlineStr">
        <is>
          <t>Y</t>
        </is>
      </c>
      <c r="I1165">
        <f>HYPERLINK("https://admin.shopify.com/store/ge-beauty-cosmeticos/customers/9910011920704","abrir")</f>
        <v/>
      </c>
      <c r="J1165">
        <f>HYPERLINK("https://www.gebeauty.com.br/products/primer-liso-intacto?ref=review","review")</f>
        <v/>
      </c>
      <c r="K1165" t="inlineStr">
        <is>
          <t>SEND</t>
        </is>
      </c>
    </row>
    <row r="1166">
      <c r="A1166" t="inlineStr">
        <is>
          <t>Marcela</t>
        </is>
      </c>
      <c r="B1166" t="inlineStr">
        <is>
          <t>+5511971101443</t>
        </is>
      </c>
      <c r="C1166" t="inlineStr">
        <is>
          <t>Refill</t>
        </is>
      </c>
      <c r="D1166" t="inlineStr">
        <is>
          <t>Primer Liso</t>
        </is>
      </c>
      <c r="E1166" t="n">
        <v>1</v>
      </c>
      <c r="F1166" t="inlineStr">
        <is>
          <t>2025-11-28</t>
        </is>
      </c>
      <c r="G1166" t="n">
        <v>218</v>
      </c>
      <c r="H1166" t="inlineStr">
        <is>
          <t>Y</t>
        </is>
      </c>
      <c r="I1166">
        <f>HYPERLINK("https://admin.shopify.com/store/ge-beauty-cosmeticos/customers/9909927248192","abrir")</f>
        <v/>
      </c>
      <c r="J1166">
        <f>HYPERLINK("https://www.gebeauty.com.br/products/primer-liso-intacto?ref=review","review")</f>
        <v/>
      </c>
      <c r="K1166" t="inlineStr">
        <is>
          <t>HOLDOUT</t>
        </is>
      </c>
    </row>
    <row r="1167">
      <c r="A1167" t="inlineStr">
        <is>
          <t>Sophi</t>
        </is>
      </c>
      <c r="B1167" t="inlineStr">
        <is>
          <t>+5581991304664</t>
        </is>
      </c>
      <c r="C1167" t="inlineStr">
        <is>
          <t>Refill</t>
        </is>
      </c>
      <c r="D1167" t="inlineStr">
        <is>
          <t>Primer Liso</t>
        </is>
      </c>
      <c r="E1167" t="n">
        <v>1</v>
      </c>
      <c r="F1167" t="inlineStr">
        <is>
          <t>2025-11-28</t>
        </is>
      </c>
      <c r="G1167" t="n">
        <v>218</v>
      </c>
      <c r="H1167" t="inlineStr">
        <is>
          <t>Y</t>
        </is>
      </c>
      <c r="I1167">
        <f>HYPERLINK("https://admin.shopify.com/store/ge-beauty-cosmeticos/customers/9910109307200","abrir")</f>
        <v/>
      </c>
      <c r="J1167">
        <f>HYPERLINK("https://www.gebeauty.com.br/products/primer-liso-intacto?ref=review","review")</f>
        <v/>
      </c>
      <c r="K1167" t="inlineStr">
        <is>
          <t>SEND</t>
        </is>
      </c>
    </row>
    <row r="1168">
      <c r="A1168" t="inlineStr">
        <is>
          <t>Danielle</t>
        </is>
      </c>
      <c r="B1168" t="inlineStr">
        <is>
          <t>+5561981040929</t>
        </is>
      </c>
      <c r="C1168" t="inlineStr">
        <is>
          <t>Refill</t>
        </is>
      </c>
      <c r="D1168" t="inlineStr">
        <is>
          <t>Primer Liso</t>
        </is>
      </c>
      <c r="E1168" t="n">
        <v>1</v>
      </c>
      <c r="F1168" t="inlineStr">
        <is>
          <t>2025-11-28</t>
        </is>
      </c>
      <c r="G1168" t="n">
        <v>218</v>
      </c>
      <c r="H1168" t="inlineStr">
        <is>
          <t>Y</t>
        </is>
      </c>
      <c r="I1168">
        <f>HYPERLINK("https://admin.shopify.com/store/ge-beauty-cosmeticos/customers/9890510635328","abrir")</f>
        <v/>
      </c>
      <c r="J1168">
        <f>HYPERLINK("https://www.gebeauty.com.br/products/primer-liso-intacto?ref=review","review")</f>
        <v/>
      </c>
      <c r="K1168" t="inlineStr">
        <is>
          <t>SEND</t>
        </is>
      </c>
    </row>
    <row r="1169">
      <c r="A1169" t="inlineStr">
        <is>
          <t>Fabiana</t>
        </is>
      </c>
      <c r="B1169" t="inlineStr">
        <is>
          <t>+5511996160042</t>
        </is>
      </c>
      <c r="C1169" t="inlineStr">
        <is>
          <t>Refill</t>
        </is>
      </c>
      <c r="D1169" t="inlineStr">
        <is>
          <t>Primer Liso</t>
        </is>
      </c>
      <c r="E1169" t="n">
        <v>1</v>
      </c>
      <c r="F1169" t="inlineStr">
        <is>
          <t>2025-11-28</t>
        </is>
      </c>
      <c r="G1169" t="n">
        <v>218</v>
      </c>
      <c r="H1169" t="inlineStr">
        <is>
          <t>Y</t>
        </is>
      </c>
      <c r="I1169">
        <f>HYPERLINK("https://admin.shopify.com/store/ge-beauty-cosmeticos/customers/9910118482240","abrir")</f>
        <v/>
      </c>
      <c r="J1169">
        <f>HYPERLINK("https://www.gebeauty.com.br/products/primer-liso-intacto?ref=review","review")</f>
        <v/>
      </c>
      <c r="K1169" t="inlineStr">
        <is>
          <t>SEND</t>
        </is>
      </c>
    </row>
    <row r="1170">
      <c r="A1170" t="inlineStr">
        <is>
          <t>Tatiana</t>
        </is>
      </c>
      <c r="B1170" t="inlineStr">
        <is>
          <t>+5581995377313</t>
        </is>
      </c>
      <c r="C1170" t="inlineStr">
        <is>
          <t>Refill</t>
        </is>
      </c>
      <c r="D1170" t="inlineStr">
        <is>
          <t>Primer Liso</t>
        </is>
      </c>
      <c r="E1170" t="n">
        <v>1</v>
      </c>
      <c r="F1170" t="inlineStr">
        <is>
          <t>2025-11-28</t>
        </is>
      </c>
      <c r="G1170" t="n">
        <v>218</v>
      </c>
      <c r="H1170" t="inlineStr">
        <is>
          <t>Y</t>
        </is>
      </c>
      <c r="I1170">
        <f>HYPERLINK("https://admin.shopify.com/store/ge-beauty-cosmeticos/customers/9910358671680","abrir")</f>
        <v/>
      </c>
      <c r="J1170">
        <f>HYPERLINK("https://www.gebeauty.com.br/products/primer-liso-intacto?ref=review","review")</f>
        <v/>
      </c>
      <c r="K1170" t="inlineStr">
        <is>
          <t>SEND</t>
        </is>
      </c>
    </row>
    <row r="1171">
      <c r="A1171" t="inlineStr">
        <is>
          <t>Alice</t>
        </is>
      </c>
      <c r="B1171" t="inlineStr">
        <is>
          <t>+5531988986645</t>
        </is>
      </c>
      <c r="C1171" t="inlineStr">
        <is>
          <t>Refill</t>
        </is>
      </c>
      <c r="D1171" t="inlineStr">
        <is>
          <t>Primer Liso</t>
        </is>
      </c>
      <c r="E1171" t="n">
        <v>1</v>
      </c>
      <c r="F1171" t="inlineStr">
        <is>
          <t>2025-11-28</t>
        </is>
      </c>
      <c r="G1171" t="n">
        <v>218</v>
      </c>
      <c r="H1171" t="inlineStr">
        <is>
          <t>Y</t>
        </is>
      </c>
      <c r="I1171">
        <f>HYPERLINK("https://admin.shopify.com/store/ge-beauty-cosmeticos/customers/9709434044736","abrir")</f>
        <v/>
      </c>
      <c r="J1171">
        <f>HYPERLINK("https://www.gebeauty.com.br/products/primer-liso-intacto?ref=review","review")</f>
        <v/>
      </c>
      <c r="K1171" t="inlineStr">
        <is>
          <t>HOLDOUT</t>
        </is>
      </c>
    </row>
    <row r="1172">
      <c r="A1172" t="inlineStr">
        <is>
          <t>Ana</t>
        </is>
      </c>
      <c r="B1172" t="inlineStr">
        <is>
          <t>+5521971753130</t>
        </is>
      </c>
      <c r="C1172" t="inlineStr">
        <is>
          <t>Refill</t>
        </is>
      </c>
      <c r="D1172" t="inlineStr">
        <is>
          <t>Primer Liso</t>
        </is>
      </c>
      <c r="E1172" t="n">
        <v>1</v>
      </c>
      <c r="F1172" t="inlineStr">
        <is>
          <t>2025-11-28</t>
        </is>
      </c>
      <c r="G1172" t="n">
        <v>218</v>
      </c>
      <c r="H1172" t="inlineStr">
        <is>
          <t>Y</t>
        </is>
      </c>
      <c r="I1172">
        <f>HYPERLINK("https://admin.shopify.com/store/ge-beauty-cosmeticos/customers/9910506750272","abrir")</f>
        <v/>
      </c>
      <c r="J1172">
        <f>HYPERLINK("https://www.gebeauty.com.br/products/primer-liso-intacto?ref=review","review")</f>
        <v/>
      </c>
      <c r="K1172" t="inlineStr">
        <is>
          <t>HOLDOUT</t>
        </is>
      </c>
    </row>
    <row r="1173">
      <c r="A1173" t="inlineStr">
        <is>
          <t>Beatriz</t>
        </is>
      </c>
      <c r="B1173" t="inlineStr">
        <is>
          <t>+551932545832</t>
        </is>
      </c>
      <c r="C1173" t="inlineStr">
        <is>
          <t>Refill</t>
        </is>
      </c>
      <c r="D1173" t="inlineStr">
        <is>
          <t>Primer Liso</t>
        </is>
      </c>
      <c r="E1173" t="n">
        <v>1</v>
      </c>
      <c r="F1173" t="inlineStr">
        <is>
          <t>2025-11-28</t>
        </is>
      </c>
      <c r="G1173" t="n">
        <v>218</v>
      </c>
      <c r="H1173" t="inlineStr">
        <is>
          <t>Y</t>
        </is>
      </c>
      <c r="I1173">
        <f>HYPERLINK("https://admin.shopify.com/store/ge-beauty-cosmeticos/customers/9910532309312","abrir")</f>
        <v/>
      </c>
      <c r="J1173">
        <f>HYPERLINK("https://www.gebeauty.com.br/products/primer-liso-intacto?ref=review","review")</f>
        <v/>
      </c>
      <c r="K1173" t="inlineStr">
        <is>
          <t>SEND</t>
        </is>
      </c>
    </row>
    <row r="1174">
      <c r="A1174" t="inlineStr">
        <is>
          <t>Bruna</t>
        </is>
      </c>
      <c r="B1174" t="inlineStr">
        <is>
          <t>+5581993194689</t>
        </is>
      </c>
      <c r="C1174" t="inlineStr">
        <is>
          <t>Refill</t>
        </is>
      </c>
      <c r="D1174" t="inlineStr">
        <is>
          <t>Primer Liso</t>
        </is>
      </c>
      <c r="E1174" t="n">
        <v>1</v>
      </c>
      <c r="F1174" t="inlineStr">
        <is>
          <t>2025-11-29</t>
        </is>
      </c>
      <c r="G1174" t="n">
        <v>217</v>
      </c>
      <c r="H1174" t="inlineStr">
        <is>
          <t>Y</t>
        </is>
      </c>
      <c r="I1174">
        <f>HYPERLINK("https://admin.shopify.com/store/ge-beauty-cosmeticos/customers/9910398419264","abrir")</f>
        <v/>
      </c>
      <c r="J1174">
        <f>HYPERLINK("https://www.gebeauty.com.br/products/primer-liso-intacto?ref=review","review")</f>
        <v/>
      </c>
      <c r="K1174" t="inlineStr">
        <is>
          <t>HOLDOUT</t>
        </is>
      </c>
    </row>
    <row r="1175">
      <c r="A1175" t="inlineStr">
        <is>
          <t>Vivian</t>
        </is>
      </c>
      <c r="B1175" t="inlineStr">
        <is>
          <t>+5511981796336</t>
        </is>
      </c>
      <c r="C1175" t="inlineStr">
        <is>
          <t>Refill</t>
        </is>
      </c>
      <c r="D1175" t="inlineStr">
        <is>
          <t>Primer Liso</t>
        </is>
      </c>
      <c r="E1175" t="n">
        <v>1</v>
      </c>
      <c r="F1175" t="inlineStr">
        <is>
          <t>2025-11-29</t>
        </is>
      </c>
      <c r="G1175" t="n">
        <v>217</v>
      </c>
      <c r="H1175" t="inlineStr">
        <is>
          <t>Y</t>
        </is>
      </c>
      <c r="I1175">
        <f>HYPERLINK("https://admin.shopify.com/store/ge-beauty-cosmeticos/customers/8308194804032","abrir")</f>
        <v/>
      </c>
      <c r="J1175">
        <f>HYPERLINK("https://www.gebeauty.com.br/products/primer-liso-intacto?ref=review","review")</f>
        <v/>
      </c>
      <c r="K1175" t="inlineStr">
        <is>
          <t>SEND</t>
        </is>
      </c>
    </row>
    <row r="1176">
      <c r="A1176" t="inlineStr">
        <is>
          <t>Marcela</t>
        </is>
      </c>
      <c r="B1176" t="inlineStr">
        <is>
          <t>+5561999669951</t>
        </is>
      </c>
      <c r="C1176" t="inlineStr">
        <is>
          <t>Refill</t>
        </is>
      </c>
      <c r="D1176" t="inlineStr">
        <is>
          <t>Primer Liso</t>
        </is>
      </c>
      <c r="E1176" t="n">
        <v>1</v>
      </c>
      <c r="F1176" t="inlineStr">
        <is>
          <t>2025-11-29</t>
        </is>
      </c>
      <c r="G1176" t="n">
        <v>217</v>
      </c>
      <c r="H1176" t="inlineStr">
        <is>
          <t>Y</t>
        </is>
      </c>
      <c r="I1176">
        <f>HYPERLINK("https://admin.shopify.com/store/ge-beauty-cosmeticos/customers/8910138671424","abrir")</f>
        <v/>
      </c>
      <c r="J1176">
        <f>HYPERLINK("https://www.gebeauty.com.br/products/primer-liso-intacto?ref=review","review")</f>
        <v/>
      </c>
      <c r="K1176" t="inlineStr">
        <is>
          <t>SEND</t>
        </is>
      </c>
    </row>
    <row r="1177">
      <c r="A1177" t="inlineStr">
        <is>
          <t>Fernanda</t>
        </is>
      </c>
      <c r="B1177" t="inlineStr">
        <is>
          <t>+5511991844450</t>
        </is>
      </c>
      <c r="C1177" t="inlineStr">
        <is>
          <t>Refill</t>
        </is>
      </c>
      <c r="D1177" t="inlineStr">
        <is>
          <t>Primer Liso</t>
        </is>
      </c>
      <c r="E1177" t="n">
        <v>1</v>
      </c>
      <c r="F1177" t="inlineStr">
        <is>
          <t>2025-11-29</t>
        </is>
      </c>
      <c r="G1177" t="n">
        <v>217</v>
      </c>
      <c r="H1177" t="inlineStr">
        <is>
          <t>Y</t>
        </is>
      </c>
      <c r="I1177">
        <f>HYPERLINK("https://admin.shopify.com/store/ge-beauty-cosmeticos/customers/7760982868288","abrir")</f>
        <v/>
      </c>
      <c r="J1177">
        <f>HYPERLINK("https://www.gebeauty.com.br/products/primer-liso-intacto?ref=review","review")</f>
        <v/>
      </c>
      <c r="K1177" t="inlineStr">
        <is>
          <t>SEND</t>
        </is>
      </c>
    </row>
    <row r="1178">
      <c r="A1178" t="inlineStr">
        <is>
          <t>Manuela</t>
        </is>
      </c>
      <c r="B1178" t="inlineStr">
        <is>
          <t>+5571992601034</t>
        </is>
      </c>
      <c r="C1178" t="inlineStr">
        <is>
          <t>Refill</t>
        </is>
      </c>
      <c r="D1178" t="inlineStr">
        <is>
          <t>Primer Liso</t>
        </is>
      </c>
      <c r="E1178" t="n">
        <v>1</v>
      </c>
      <c r="F1178" t="inlineStr">
        <is>
          <t>2025-11-29</t>
        </is>
      </c>
      <c r="G1178" t="n">
        <v>217</v>
      </c>
      <c r="H1178" t="inlineStr">
        <is>
          <t>Y</t>
        </is>
      </c>
      <c r="I1178">
        <f>HYPERLINK("https://admin.shopify.com/store/ge-beauty-cosmeticos/customers/7762404802880","abrir")</f>
        <v/>
      </c>
      <c r="J1178">
        <f>HYPERLINK("https://www.gebeauty.com.br/products/primer-liso-intacto?ref=review","review")</f>
        <v/>
      </c>
      <c r="K1178" t="inlineStr">
        <is>
          <t>SEND</t>
        </is>
      </c>
    </row>
    <row r="1179">
      <c r="A1179" t="inlineStr">
        <is>
          <t>Beatriz</t>
        </is>
      </c>
      <c r="B1179" t="inlineStr">
        <is>
          <t>+5511999212012</t>
        </is>
      </c>
      <c r="C1179" t="inlineStr">
        <is>
          <t>Refill</t>
        </is>
      </c>
      <c r="D1179" t="inlineStr">
        <is>
          <t>Primer Liso</t>
        </is>
      </c>
      <c r="E1179" t="n">
        <v>1</v>
      </c>
      <c r="F1179" t="inlineStr">
        <is>
          <t>2025-11-29</t>
        </is>
      </c>
      <c r="G1179" t="n">
        <v>217</v>
      </c>
      <c r="H1179" t="inlineStr">
        <is>
          <t>Y</t>
        </is>
      </c>
      <c r="I1179">
        <f>HYPERLINK("https://admin.shopify.com/store/ge-beauty-cosmeticos/customers/9909933670720","abrir")</f>
        <v/>
      </c>
      <c r="J1179">
        <f>HYPERLINK("https://www.gebeauty.com.br/products/primer-liso-intacto?ref=review","review")</f>
        <v/>
      </c>
      <c r="K1179" t="inlineStr">
        <is>
          <t>SEND</t>
        </is>
      </c>
    </row>
    <row r="1180">
      <c r="A1180" t="inlineStr">
        <is>
          <t>Raira</t>
        </is>
      </c>
      <c r="B1180" t="inlineStr">
        <is>
          <t>+5511984302889</t>
        </is>
      </c>
      <c r="C1180" t="inlineStr">
        <is>
          <t>Refill</t>
        </is>
      </c>
      <c r="D1180" t="inlineStr">
        <is>
          <t>Primer Liso</t>
        </is>
      </c>
      <c r="E1180" t="n">
        <v>1</v>
      </c>
      <c r="F1180" t="inlineStr">
        <is>
          <t>2025-11-29</t>
        </is>
      </c>
      <c r="G1180" t="n">
        <v>217</v>
      </c>
      <c r="H1180" t="inlineStr">
        <is>
          <t>Y</t>
        </is>
      </c>
      <c r="I1180">
        <f>HYPERLINK("https://admin.shopify.com/store/ge-beauty-cosmeticos/customers/7760057008448","abrir")</f>
        <v/>
      </c>
      <c r="J1180">
        <f>HYPERLINK("https://www.gebeauty.com.br/products/primer-liso-intacto?ref=review","review")</f>
        <v/>
      </c>
      <c r="K1180" t="inlineStr">
        <is>
          <t>HOLDOUT</t>
        </is>
      </c>
    </row>
    <row r="1181">
      <c r="A1181" t="inlineStr">
        <is>
          <t>Tais</t>
        </is>
      </c>
      <c r="B1181" t="inlineStr">
        <is>
          <t>+5511982891041</t>
        </is>
      </c>
      <c r="C1181" t="inlineStr">
        <is>
          <t>Refill</t>
        </is>
      </c>
      <c r="D1181" t="inlineStr">
        <is>
          <t>Primer Liso</t>
        </is>
      </c>
      <c r="E1181" t="n">
        <v>1</v>
      </c>
      <c r="F1181" t="inlineStr">
        <is>
          <t>2025-11-29</t>
        </is>
      </c>
      <c r="G1181" t="n">
        <v>217</v>
      </c>
      <c r="H1181" t="inlineStr">
        <is>
          <t>Y</t>
        </is>
      </c>
      <c r="I1181">
        <f>HYPERLINK("https://admin.shopify.com/store/ge-beauty-cosmeticos/customers/9485674283328","abrir")</f>
        <v/>
      </c>
      <c r="J1181">
        <f>HYPERLINK("https://www.gebeauty.com.br/products/primer-liso-intacto?ref=review","review")</f>
        <v/>
      </c>
      <c r="K1181" t="inlineStr">
        <is>
          <t>SEND</t>
        </is>
      </c>
    </row>
    <row r="1182">
      <c r="A1182" t="inlineStr">
        <is>
          <t>Ricarda</t>
        </is>
      </c>
      <c r="B1182" t="inlineStr">
        <is>
          <t>+5583996067005</t>
        </is>
      </c>
      <c r="C1182" t="inlineStr">
        <is>
          <t>Refill</t>
        </is>
      </c>
      <c r="D1182" t="inlineStr">
        <is>
          <t>Primer Liso</t>
        </is>
      </c>
      <c r="E1182" t="n">
        <v>1</v>
      </c>
      <c r="F1182" t="inlineStr">
        <is>
          <t>2025-11-29</t>
        </is>
      </c>
      <c r="G1182" t="n">
        <v>217</v>
      </c>
      <c r="H1182" t="inlineStr">
        <is>
          <t>Y</t>
        </is>
      </c>
      <c r="I1182">
        <f>HYPERLINK("https://admin.shopify.com/store/ge-beauty-cosmeticos/customers/9847862264128","abrir")</f>
        <v/>
      </c>
      <c r="J1182">
        <f>HYPERLINK("https://www.gebeauty.com.br/products/primer-liso-intacto?ref=review","review")</f>
        <v/>
      </c>
      <c r="K1182" t="inlineStr">
        <is>
          <t>SEND</t>
        </is>
      </c>
    </row>
    <row r="1183">
      <c r="A1183" t="inlineStr">
        <is>
          <t>Renata</t>
        </is>
      </c>
      <c r="B1183" t="inlineStr">
        <is>
          <t>+5585994316522</t>
        </is>
      </c>
      <c r="C1183" t="inlineStr">
        <is>
          <t>Refill</t>
        </is>
      </c>
      <c r="D1183" t="inlineStr">
        <is>
          <t>Primer Liso</t>
        </is>
      </c>
      <c r="E1183" t="n">
        <v>1</v>
      </c>
      <c r="F1183" t="inlineStr">
        <is>
          <t>2025-11-29</t>
        </is>
      </c>
      <c r="G1183" t="n">
        <v>217</v>
      </c>
      <c r="H1183" t="inlineStr">
        <is>
          <t>Y</t>
        </is>
      </c>
      <c r="I1183">
        <f>HYPERLINK("https://admin.shopify.com/store/ge-beauty-cosmeticos/customers/8405023752512","abrir")</f>
        <v/>
      </c>
      <c r="J1183">
        <f>HYPERLINK("https://www.gebeauty.com.br/products/primer-liso-intacto?ref=review","review")</f>
        <v/>
      </c>
      <c r="K1183" t="inlineStr">
        <is>
          <t>SEND</t>
        </is>
      </c>
    </row>
    <row r="1184">
      <c r="A1184" t="inlineStr">
        <is>
          <t>Natalee</t>
        </is>
      </c>
      <c r="B1184" t="inlineStr">
        <is>
          <t>+5512988395022</t>
        </is>
      </c>
      <c r="C1184" t="inlineStr">
        <is>
          <t>Refill</t>
        </is>
      </c>
      <c r="D1184" t="inlineStr">
        <is>
          <t>Primer Liso</t>
        </is>
      </c>
      <c r="E1184" t="n">
        <v>1</v>
      </c>
      <c r="F1184" t="inlineStr">
        <is>
          <t>2025-11-29</t>
        </is>
      </c>
      <c r="G1184" t="n">
        <v>217</v>
      </c>
      <c r="H1184" t="inlineStr">
        <is>
          <t>Y</t>
        </is>
      </c>
      <c r="I1184">
        <f>HYPERLINK("https://admin.shopify.com/store/ge-beauty-cosmeticos/customers/9911478845760","abrir")</f>
        <v/>
      </c>
      <c r="J1184">
        <f>HYPERLINK("https://www.gebeauty.com.br/products/primer-liso-intacto?ref=review","review")</f>
        <v/>
      </c>
      <c r="K1184" t="inlineStr">
        <is>
          <t>SEND</t>
        </is>
      </c>
    </row>
    <row r="1185">
      <c r="A1185" t="inlineStr">
        <is>
          <t>Lilian</t>
        </is>
      </c>
      <c r="B1185" t="inlineStr">
        <is>
          <t>+5522998251312</t>
        </is>
      </c>
      <c r="C1185" t="inlineStr">
        <is>
          <t>Refill</t>
        </is>
      </c>
      <c r="D1185" t="inlineStr">
        <is>
          <t>Primer Liso</t>
        </is>
      </c>
      <c r="E1185" t="n">
        <v>1</v>
      </c>
      <c r="F1185" t="inlineStr">
        <is>
          <t>2026-02-20</t>
        </is>
      </c>
      <c r="G1185" t="n">
        <v>134</v>
      </c>
      <c r="H1185" t="inlineStr">
        <is>
          <t>Y</t>
        </is>
      </c>
      <c r="I1185">
        <f>HYPERLINK("https://admin.shopify.com/store/ge-beauty-cosmeticos/customers/9907792937280","abrir")</f>
        <v/>
      </c>
      <c r="J1185">
        <f>HYPERLINK("https://www.gebeauty.com.br/products/primer-liso-intacto?ref=review","review")</f>
        <v/>
      </c>
      <c r="K1185" t="inlineStr">
        <is>
          <t>SEND</t>
        </is>
      </c>
    </row>
    <row r="1186">
      <c r="A1186" t="inlineStr">
        <is>
          <t>Marta</t>
        </is>
      </c>
      <c r="B1186" t="inlineStr">
        <is>
          <t>+5581991227624</t>
        </is>
      </c>
      <c r="C1186" t="inlineStr">
        <is>
          <t>Refill</t>
        </is>
      </c>
      <c r="D1186" t="inlineStr">
        <is>
          <t>Primer Liso</t>
        </is>
      </c>
      <c r="E1186" t="n">
        <v>1</v>
      </c>
      <c r="F1186" t="inlineStr">
        <is>
          <t>2025-11-29</t>
        </is>
      </c>
      <c r="G1186" t="n">
        <v>217</v>
      </c>
      <c r="H1186" t="inlineStr">
        <is>
          <t>Y</t>
        </is>
      </c>
      <c r="I1186">
        <f>HYPERLINK("https://admin.shopify.com/store/ge-beauty-cosmeticos/customers/9912147378496","abrir")</f>
        <v/>
      </c>
      <c r="J1186">
        <f>HYPERLINK("https://www.gebeauty.com.br/products/primer-liso-intacto?ref=review","review")</f>
        <v/>
      </c>
      <c r="K1186" t="inlineStr">
        <is>
          <t>SEND</t>
        </is>
      </c>
    </row>
    <row r="1187">
      <c r="A1187" t="inlineStr">
        <is>
          <t>Luisa</t>
        </is>
      </c>
      <c r="B1187" t="inlineStr">
        <is>
          <t>+5581987954155</t>
        </is>
      </c>
      <c r="C1187" t="inlineStr">
        <is>
          <t>Refill</t>
        </is>
      </c>
      <c r="D1187" t="inlineStr">
        <is>
          <t>Primer Liso</t>
        </is>
      </c>
      <c r="E1187" t="n">
        <v>1</v>
      </c>
      <c r="F1187" t="inlineStr">
        <is>
          <t>2025-11-29</t>
        </is>
      </c>
      <c r="G1187" t="n">
        <v>217</v>
      </c>
      <c r="H1187" t="inlineStr">
        <is>
          <t>Y</t>
        </is>
      </c>
      <c r="I1187">
        <f>HYPERLINK("https://admin.shopify.com/store/ge-beauty-cosmeticos/customers/7760287990080","abrir")</f>
        <v/>
      </c>
      <c r="J1187">
        <f>HYPERLINK("https://www.gebeauty.com.br/products/primer-liso-intacto?ref=review","review")</f>
        <v/>
      </c>
      <c r="K1187" t="inlineStr">
        <is>
          <t>SEND</t>
        </is>
      </c>
    </row>
    <row r="1188">
      <c r="A1188" t="inlineStr">
        <is>
          <t>Moema</t>
        </is>
      </c>
      <c r="B1188" t="inlineStr">
        <is>
          <t>+5571987781465</t>
        </is>
      </c>
      <c r="C1188" t="inlineStr">
        <is>
          <t>Refill</t>
        </is>
      </c>
      <c r="D1188" t="inlineStr">
        <is>
          <t>Primer Liso</t>
        </is>
      </c>
      <c r="E1188" t="n">
        <v>1</v>
      </c>
      <c r="F1188" t="inlineStr">
        <is>
          <t>2025-11-29</t>
        </is>
      </c>
      <c r="G1188" t="n">
        <v>217</v>
      </c>
      <c r="H1188" t="inlineStr">
        <is>
          <t>Y</t>
        </is>
      </c>
      <c r="I1188">
        <f>HYPERLINK("https://admin.shopify.com/store/ge-beauty-cosmeticos/customers/9912206426432","abrir")</f>
        <v/>
      </c>
      <c r="J1188">
        <f>HYPERLINK("https://www.gebeauty.com.br/products/primer-liso-intacto?ref=review","review")</f>
        <v/>
      </c>
      <c r="K1188" t="inlineStr">
        <is>
          <t>SEND</t>
        </is>
      </c>
    </row>
    <row r="1189">
      <c r="A1189" t="inlineStr">
        <is>
          <t>Thais</t>
        </is>
      </c>
      <c r="B1189" t="inlineStr">
        <is>
          <t>+5511999953920</t>
        </is>
      </c>
      <c r="C1189" t="inlineStr">
        <is>
          <t>Refill</t>
        </is>
      </c>
      <c r="D1189" t="inlineStr">
        <is>
          <t>Primer Liso</t>
        </is>
      </c>
      <c r="E1189" t="n">
        <v>1</v>
      </c>
      <c r="F1189" t="inlineStr">
        <is>
          <t>2025-11-29</t>
        </is>
      </c>
      <c r="G1189" t="n">
        <v>217</v>
      </c>
      <c r="H1189" t="inlineStr">
        <is>
          <t>Y</t>
        </is>
      </c>
      <c r="I1189">
        <f>HYPERLINK("https://admin.shopify.com/store/ge-beauty-cosmeticos/customers/8320343703872","abrir")</f>
        <v/>
      </c>
      <c r="J1189">
        <f>HYPERLINK("https://www.gebeauty.com.br/products/primer-liso-intacto?ref=review","review")</f>
        <v/>
      </c>
      <c r="K1189" t="inlineStr">
        <is>
          <t>HOLDOUT</t>
        </is>
      </c>
    </row>
    <row r="1190">
      <c r="A1190" t="inlineStr">
        <is>
          <t>Bruna</t>
        </is>
      </c>
      <c r="B1190" t="inlineStr">
        <is>
          <t>+5511986384233</t>
        </is>
      </c>
      <c r="C1190" t="inlineStr">
        <is>
          <t>Refill</t>
        </is>
      </c>
      <c r="D1190" t="inlineStr">
        <is>
          <t>Primer Liso</t>
        </is>
      </c>
      <c r="E1190" t="n">
        <v>1</v>
      </c>
      <c r="F1190" t="inlineStr">
        <is>
          <t>2025-11-29</t>
        </is>
      </c>
      <c r="G1190" t="n">
        <v>217</v>
      </c>
      <c r="H1190" t="inlineStr">
        <is>
          <t>Y</t>
        </is>
      </c>
      <c r="I1190">
        <f>HYPERLINK("https://admin.shopify.com/store/ge-beauty-cosmeticos/customers/8860799336768","abrir")</f>
        <v/>
      </c>
      <c r="J1190">
        <f>HYPERLINK("https://www.gebeauty.com.br/products/primer-liso-intacto?ref=review","review")</f>
        <v/>
      </c>
      <c r="K1190" t="inlineStr">
        <is>
          <t>SEND</t>
        </is>
      </c>
    </row>
    <row r="1191">
      <c r="A1191" t="inlineStr">
        <is>
          <t>Amanda</t>
        </is>
      </c>
      <c r="B1191" t="inlineStr">
        <is>
          <t>+5581994118469</t>
        </is>
      </c>
      <c r="C1191" t="inlineStr">
        <is>
          <t>Refill</t>
        </is>
      </c>
      <c r="D1191" t="inlineStr">
        <is>
          <t>Primer Liso</t>
        </is>
      </c>
      <c r="E1191" t="n">
        <v>1</v>
      </c>
      <c r="F1191" t="inlineStr">
        <is>
          <t>2025-11-29</t>
        </is>
      </c>
      <c r="G1191" t="n">
        <v>217</v>
      </c>
      <c r="H1191" t="inlineStr">
        <is>
          <t>Y</t>
        </is>
      </c>
      <c r="I1191">
        <f>HYPERLINK("https://admin.shopify.com/store/ge-beauty-cosmeticos/customers/9912797331776","abrir")</f>
        <v/>
      </c>
      <c r="J1191">
        <f>HYPERLINK("https://www.gebeauty.com.br/products/primer-liso-intacto?ref=review","review")</f>
        <v/>
      </c>
      <c r="K1191" t="inlineStr">
        <is>
          <t>HOLDOUT</t>
        </is>
      </c>
    </row>
    <row r="1192">
      <c r="A1192" t="inlineStr">
        <is>
          <t>Anna</t>
        </is>
      </c>
      <c r="B1192" t="inlineStr">
        <is>
          <t>+5561981349771</t>
        </is>
      </c>
      <c r="C1192" t="inlineStr">
        <is>
          <t>Refill</t>
        </is>
      </c>
      <c r="D1192" t="inlineStr">
        <is>
          <t>Primer Liso</t>
        </is>
      </c>
      <c r="E1192" t="n">
        <v>1</v>
      </c>
      <c r="F1192" t="inlineStr">
        <is>
          <t>2025-11-29</t>
        </is>
      </c>
      <c r="G1192" t="n">
        <v>217</v>
      </c>
      <c r="H1192" t="inlineStr">
        <is>
          <t>Y</t>
        </is>
      </c>
      <c r="I1192">
        <f>HYPERLINK("https://admin.shopify.com/store/ge-beauty-cosmeticos/customers/9896581136704","abrir")</f>
        <v/>
      </c>
      <c r="J1192">
        <f>HYPERLINK("https://www.gebeauty.com.br/products/primer-liso-intacto?ref=review","review")</f>
        <v/>
      </c>
      <c r="K1192" t="inlineStr">
        <is>
          <t>SEND</t>
        </is>
      </c>
    </row>
    <row r="1193">
      <c r="A1193" t="inlineStr">
        <is>
          <t>Daniela</t>
        </is>
      </c>
      <c r="B1193" t="inlineStr">
        <is>
          <t>+5511983164294</t>
        </is>
      </c>
      <c r="C1193" t="inlineStr">
        <is>
          <t>Refill</t>
        </is>
      </c>
      <c r="D1193" t="inlineStr">
        <is>
          <t>Primer Liso</t>
        </is>
      </c>
      <c r="E1193" t="n">
        <v>1</v>
      </c>
      <c r="F1193" t="inlineStr">
        <is>
          <t>2025-11-29</t>
        </is>
      </c>
      <c r="G1193" t="n">
        <v>217</v>
      </c>
      <c r="H1193" t="inlineStr">
        <is>
          <t>Y</t>
        </is>
      </c>
      <c r="I1193">
        <f>HYPERLINK("https://admin.shopify.com/store/ge-beauty-cosmeticos/customers/9844499284288","abrir")</f>
        <v/>
      </c>
      <c r="J1193">
        <f>HYPERLINK("https://www.gebeauty.com.br/products/primer-liso-intacto?ref=review","review")</f>
        <v/>
      </c>
      <c r="K1193" t="inlineStr">
        <is>
          <t>SEND</t>
        </is>
      </c>
    </row>
    <row r="1194">
      <c r="A1194" t="inlineStr">
        <is>
          <t>Helga</t>
        </is>
      </c>
      <c r="B1194" t="inlineStr">
        <is>
          <t>+5599981114902</t>
        </is>
      </c>
      <c r="C1194" t="inlineStr">
        <is>
          <t>Refill</t>
        </is>
      </c>
      <c r="D1194" t="inlineStr">
        <is>
          <t>Primer Liso</t>
        </is>
      </c>
      <c r="E1194" t="n">
        <v>1</v>
      </c>
      <c r="F1194" t="inlineStr">
        <is>
          <t>2025-11-29</t>
        </is>
      </c>
      <c r="G1194" t="n">
        <v>217</v>
      </c>
      <c r="H1194" t="inlineStr">
        <is>
          <t>Y</t>
        </is>
      </c>
      <c r="I1194">
        <f>HYPERLINK("https://admin.shopify.com/store/ge-beauty-cosmeticos/customers/9484547653952","abrir")</f>
        <v/>
      </c>
      <c r="J1194">
        <f>HYPERLINK("https://www.gebeauty.com.br/products/primer-liso-intacto?ref=review","review")</f>
        <v/>
      </c>
      <c r="K1194" t="inlineStr">
        <is>
          <t>SEND</t>
        </is>
      </c>
    </row>
    <row r="1195">
      <c r="A1195" t="inlineStr">
        <is>
          <t>Ana Luisa</t>
        </is>
      </c>
      <c r="B1195" t="inlineStr">
        <is>
          <t>+5571992897807</t>
        </is>
      </c>
      <c r="C1195" t="inlineStr">
        <is>
          <t>Refill</t>
        </is>
      </c>
      <c r="D1195" t="inlineStr">
        <is>
          <t>Primer Liso</t>
        </is>
      </c>
      <c r="E1195" t="n">
        <v>1</v>
      </c>
      <c r="F1195" t="inlineStr">
        <is>
          <t>2025-11-29</t>
        </is>
      </c>
      <c r="G1195" t="n">
        <v>217</v>
      </c>
      <c r="H1195" t="inlineStr">
        <is>
          <t>Y</t>
        </is>
      </c>
      <c r="I1195">
        <f>HYPERLINK("https://admin.shopify.com/store/ge-beauty-cosmeticos/customers/9913264144704","abrir")</f>
        <v/>
      </c>
      <c r="J1195">
        <f>HYPERLINK("https://www.gebeauty.com.br/products/primer-liso-intacto?ref=review","review")</f>
        <v/>
      </c>
      <c r="K1195" t="inlineStr">
        <is>
          <t>SEND</t>
        </is>
      </c>
    </row>
    <row r="1196">
      <c r="A1196" t="inlineStr">
        <is>
          <t>Vivian</t>
        </is>
      </c>
      <c r="B1196" t="inlineStr">
        <is>
          <t>+5521988104741</t>
        </is>
      </c>
      <c r="C1196" t="inlineStr">
        <is>
          <t>Refill</t>
        </is>
      </c>
      <c r="D1196" t="inlineStr">
        <is>
          <t>Primer Liso</t>
        </is>
      </c>
      <c r="E1196" t="n">
        <v>1</v>
      </c>
      <c r="F1196" t="inlineStr">
        <is>
          <t>2025-11-29</t>
        </is>
      </c>
      <c r="G1196" t="n">
        <v>217</v>
      </c>
      <c r="H1196" t="inlineStr">
        <is>
          <t>Y</t>
        </is>
      </c>
      <c r="I1196">
        <f>HYPERLINK("https://admin.shopify.com/store/ge-beauty-cosmeticos/customers/7761933533504","abrir")</f>
        <v/>
      </c>
      <c r="J1196">
        <f>HYPERLINK("https://www.gebeauty.com.br/products/primer-liso-intacto?ref=review","review")</f>
        <v/>
      </c>
      <c r="K1196" t="inlineStr">
        <is>
          <t>SEND</t>
        </is>
      </c>
    </row>
    <row r="1197">
      <c r="A1197" t="inlineStr">
        <is>
          <t>Sandra</t>
        </is>
      </c>
      <c r="B1197" t="inlineStr">
        <is>
          <t>+5511983686510</t>
        </is>
      </c>
      <c r="C1197" t="inlineStr">
        <is>
          <t>Refill</t>
        </is>
      </c>
      <c r="D1197" t="inlineStr">
        <is>
          <t>Primer Liso</t>
        </is>
      </c>
      <c r="E1197" t="n">
        <v>1</v>
      </c>
      <c r="F1197" t="inlineStr">
        <is>
          <t>2025-11-29</t>
        </is>
      </c>
      <c r="G1197" t="n">
        <v>217</v>
      </c>
      <c r="H1197" t="inlineStr">
        <is>
          <t>Y</t>
        </is>
      </c>
      <c r="I1197">
        <f>HYPERLINK("https://admin.shopify.com/store/ge-beauty-cosmeticos/customers/9898705420608","abrir")</f>
        <v/>
      </c>
      <c r="J1197">
        <f>HYPERLINK("https://www.gebeauty.com.br/products/primer-liso-intacto?ref=review","review")</f>
        <v/>
      </c>
      <c r="K1197" t="inlineStr">
        <is>
          <t>SEND</t>
        </is>
      </c>
    </row>
    <row r="1198">
      <c r="A1198" t="inlineStr">
        <is>
          <t>Rafael</t>
        </is>
      </c>
      <c r="B1198" t="inlineStr">
        <is>
          <t>+5511966050377</t>
        </is>
      </c>
      <c r="C1198" t="inlineStr">
        <is>
          <t>Refill</t>
        </is>
      </c>
      <c r="D1198" t="inlineStr">
        <is>
          <t>Primer Liso</t>
        </is>
      </c>
      <c r="E1198" t="n">
        <v>1</v>
      </c>
      <c r="F1198" t="inlineStr">
        <is>
          <t>2025-11-29</t>
        </is>
      </c>
      <c r="G1198" t="n">
        <v>217</v>
      </c>
      <c r="H1198" t="inlineStr">
        <is>
          <t>Y</t>
        </is>
      </c>
      <c r="I1198">
        <f>HYPERLINK("https://admin.shopify.com/store/ge-beauty-cosmeticos/customers/9913619906880","abrir")</f>
        <v/>
      </c>
      <c r="J1198">
        <f>HYPERLINK("https://www.gebeauty.com.br/products/primer-liso-intacto?ref=review","review")</f>
        <v/>
      </c>
      <c r="K1198" t="inlineStr">
        <is>
          <t>SEND</t>
        </is>
      </c>
    </row>
    <row r="1199">
      <c r="A1199" t="inlineStr">
        <is>
          <t>Ana</t>
        </is>
      </c>
      <c r="B1199" t="inlineStr">
        <is>
          <t>+5581999245513</t>
        </is>
      </c>
      <c r="C1199" t="inlineStr">
        <is>
          <t>Refill</t>
        </is>
      </c>
      <c r="D1199" t="inlineStr">
        <is>
          <t>Primer Liso</t>
        </is>
      </c>
      <c r="E1199" t="n">
        <v>1</v>
      </c>
      <c r="F1199" t="inlineStr">
        <is>
          <t>2025-11-29</t>
        </is>
      </c>
      <c r="G1199" t="n">
        <v>217</v>
      </c>
      <c r="H1199" t="inlineStr">
        <is>
          <t>Y</t>
        </is>
      </c>
      <c r="I1199">
        <f>HYPERLINK("https://admin.shopify.com/store/ge-beauty-cosmeticos/customers/9913654182208","abrir")</f>
        <v/>
      </c>
      <c r="J1199">
        <f>HYPERLINK("https://www.gebeauty.com.br/products/primer-liso-intacto?ref=review","review")</f>
        <v/>
      </c>
      <c r="K1199" t="inlineStr">
        <is>
          <t>SEND</t>
        </is>
      </c>
    </row>
    <row r="1200">
      <c r="A1200" t="inlineStr">
        <is>
          <t>Renata</t>
        </is>
      </c>
      <c r="B1200" t="inlineStr">
        <is>
          <t>+5511967668976</t>
        </is>
      </c>
      <c r="C1200" t="inlineStr">
        <is>
          <t>Refill</t>
        </is>
      </c>
      <c r="D1200" t="inlineStr">
        <is>
          <t>Primer Liso</t>
        </is>
      </c>
      <c r="E1200" t="n">
        <v>1</v>
      </c>
      <c r="F1200" t="inlineStr">
        <is>
          <t>2025-11-29</t>
        </is>
      </c>
      <c r="G1200" t="n">
        <v>217</v>
      </c>
      <c r="H1200" t="inlineStr">
        <is>
          <t>Y</t>
        </is>
      </c>
      <c r="I1200">
        <f>HYPERLINK("https://admin.shopify.com/store/ge-beauty-cosmeticos/customers/9913688719680","abrir")</f>
        <v/>
      </c>
      <c r="J1200">
        <f>HYPERLINK("https://www.gebeauty.com.br/products/primer-liso-intacto?ref=review","review")</f>
        <v/>
      </c>
      <c r="K1200" t="inlineStr">
        <is>
          <t>SEND</t>
        </is>
      </c>
    </row>
    <row r="1201">
      <c r="A1201" t="inlineStr">
        <is>
          <t>Ester</t>
        </is>
      </c>
      <c r="B1201" t="inlineStr">
        <is>
          <t>+5561994228762</t>
        </is>
      </c>
      <c r="C1201" t="inlineStr">
        <is>
          <t>Refill</t>
        </is>
      </c>
      <c r="D1201" t="inlineStr">
        <is>
          <t>Primer Liso</t>
        </is>
      </c>
      <c r="E1201" t="n">
        <v>1</v>
      </c>
      <c r="F1201" t="inlineStr">
        <is>
          <t>2025-11-29</t>
        </is>
      </c>
      <c r="G1201" t="n">
        <v>217</v>
      </c>
      <c r="H1201" t="inlineStr">
        <is>
          <t>Y</t>
        </is>
      </c>
      <c r="I1201">
        <f>HYPERLINK("https://admin.shopify.com/store/ge-beauty-cosmeticos/customers/9913881854272","abrir")</f>
        <v/>
      </c>
      <c r="J1201">
        <f>HYPERLINK("https://www.gebeauty.com.br/products/primer-liso-intacto?ref=review","review")</f>
        <v/>
      </c>
      <c r="K1201" t="inlineStr">
        <is>
          <t>SEND</t>
        </is>
      </c>
    </row>
    <row r="1202">
      <c r="A1202" t="inlineStr">
        <is>
          <t>Mariana</t>
        </is>
      </c>
      <c r="B1202" t="inlineStr">
        <is>
          <t>+5561999814778</t>
        </is>
      </c>
      <c r="C1202" t="inlineStr">
        <is>
          <t>Refill</t>
        </is>
      </c>
      <c r="D1202" t="inlineStr">
        <is>
          <t>Primer Liso</t>
        </is>
      </c>
      <c r="E1202" t="n">
        <v>1</v>
      </c>
      <c r="F1202" t="inlineStr">
        <is>
          <t>2025-11-29</t>
        </is>
      </c>
      <c r="G1202" t="n">
        <v>217</v>
      </c>
      <c r="H1202" t="inlineStr">
        <is>
          <t>Y</t>
        </is>
      </c>
      <c r="I1202">
        <f>HYPERLINK("https://admin.shopify.com/store/ge-beauty-cosmeticos/customers/9913913114944","abrir")</f>
        <v/>
      </c>
      <c r="J1202">
        <f>HYPERLINK("https://www.gebeauty.com.br/products/primer-liso-intacto?ref=review","review")</f>
        <v/>
      </c>
      <c r="K1202" t="inlineStr">
        <is>
          <t>SEND</t>
        </is>
      </c>
    </row>
    <row r="1203">
      <c r="A1203" t="inlineStr">
        <is>
          <t>Hannah</t>
        </is>
      </c>
      <c r="B1203" t="inlineStr">
        <is>
          <t>+5511973006111</t>
        </is>
      </c>
      <c r="C1203" t="inlineStr">
        <is>
          <t>Refill</t>
        </is>
      </c>
      <c r="D1203" t="inlineStr">
        <is>
          <t>Primer Liso</t>
        </is>
      </c>
      <c r="E1203" t="n">
        <v>1</v>
      </c>
      <c r="F1203" t="inlineStr">
        <is>
          <t>2025-11-29</t>
        </is>
      </c>
      <c r="G1203" t="n">
        <v>217</v>
      </c>
      <c r="H1203" t="inlineStr">
        <is>
          <t>Y</t>
        </is>
      </c>
      <c r="I1203">
        <f>HYPERLINK("https://admin.shopify.com/store/ge-beauty-cosmeticos/customers/9913967837504","abrir")</f>
        <v/>
      </c>
      <c r="J1203">
        <f>HYPERLINK("https://www.gebeauty.com.br/products/primer-liso-intacto?ref=review","review")</f>
        <v/>
      </c>
      <c r="K1203" t="inlineStr">
        <is>
          <t>SEND</t>
        </is>
      </c>
    </row>
    <row r="1204">
      <c r="A1204" t="inlineStr">
        <is>
          <t>Clecia</t>
        </is>
      </c>
      <c r="B1204" t="inlineStr">
        <is>
          <t>+5531985594917</t>
        </is>
      </c>
      <c r="C1204" t="inlineStr">
        <is>
          <t>Refill</t>
        </is>
      </c>
      <c r="D1204" t="inlineStr">
        <is>
          <t>Primer Liso</t>
        </is>
      </c>
      <c r="E1204" t="n">
        <v>1</v>
      </c>
      <c r="F1204" t="inlineStr">
        <is>
          <t>2025-12-14</t>
        </is>
      </c>
      <c r="G1204" t="n">
        <v>202</v>
      </c>
      <c r="H1204" t="inlineStr">
        <is>
          <t>Y</t>
        </is>
      </c>
      <c r="I1204">
        <f>HYPERLINK("https://admin.shopify.com/store/ge-beauty-cosmeticos/customers/9914016366912","abrir")</f>
        <v/>
      </c>
      <c r="J1204">
        <f>HYPERLINK("https://www.gebeauty.com.br/products/primer-liso-intacto?ref=review","review")</f>
        <v/>
      </c>
      <c r="K1204" t="inlineStr">
        <is>
          <t>SEND</t>
        </is>
      </c>
    </row>
    <row r="1205">
      <c r="A1205" t="inlineStr">
        <is>
          <t>Gabrielle</t>
        </is>
      </c>
      <c r="B1205" t="inlineStr">
        <is>
          <t>+5521996393919</t>
        </is>
      </c>
      <c r="C1205" t="inlineStr">
        <is>
          <t>Refill</t>
        </is>
      </c>
      <c r="D1205" t="inlineStr">
        <is>
          <t>Primer Liso</t>
        </is>
      </c>
      <c r="E1205" t="n">
        <v>1</v>
      </c>
      <c r="F1205" t="inlineStr">
        <is>
          <t>2025-11-29</t>
        </is>
      </c>
      <c r="G1205" t="n">
        <v>217</v>
      </c>
      <c r="H1205" t="inlineStr">
        <is>
          <t>Y</t>
        </is>
      </c>
      <c r="I1205">
        <f>HYPERLINK("https://admin.shopify.com/store/ge-beauty-cosmeticos/customers/9591016653120","abrir")</f>
        <v/>
      </c>
      <c r="J1205">
        <f>HYPERLINK("https://www.gebeauty.com.br/products/primer-liso-intacto?ref=review","review")</f>
        <v/>
      </c>
      <c r="K1205" t="inlineStr">
        <is>
          <t>HOLDOUT</t>
        </is>
      </c>
    </row>
    <row r="1206">
      <c r="A1206" t="inlineStr">
        <is>
          <t>Amanda</t>
        </is>
      </c>
      <c r="B1206" t="inlineStr">
        <is>
          <t>+5511948366970</t>
        </is>
      </c>
      <c r="C1206" t="inlineStr">
        <is>
          <t>Refill</t>
        </is>
      </c>
      <c r="D1206" t="inlineStr">
        <is>
          <t>Primer Liso</t>
        </is>
      </c>
      <c r="E1206" t="n">
        <v>1</v>
      </c>
      <c r="F1206" t="inlineStr">
        <is>
          <t>2025-11-29</t>
        </is>
      </c>
      <c r="G1206" t="n">
        <v>217</v>
      </c>
      <c r="H1206" t="inlineStr">
        <is>
          <t>Y</t>
        </is>
      </c>
      <c r="I1206">
        <f>HYPERLINK("https://admin.shopify.com/store/ge-beauty-cosmeticos/customers/9645917864256","abrir")</f>
        <v/>
      </c>
      <c r="J1206">
        <f>HYPERLINK("https://www.gebeauty.com.br/products/primer-liso-intacto?ref=review","review")</f>
        <v/>
      </c>
      <c r="K1206" t="inlineStr">
        <is>
          <t>SEND</t>
        </is>
      </c>
    </row>
    <row r="1207">
      <c r="A1207" t="inlineStr">
        <is>
          <t>Nayara</t>
        </is>
      </c>
      <c r="B1207" t="inlineStr">
        <is>
          <t>+5531975223143</t>
        </is>
      </c>
      <c r="C1207" t="inlineStr">
        <is>
          <t>Refill</t>
        </is>
      </c>
      <c r="D1207" t="inlineStr">
        <is>
          <t>Primer Liso</t>
        </is>
      </c>
      <c r="E1207" t="n">
        <v>1</v>
      </c>
      <c r="F1207" t="inlineStr">
        <is>
          <t>2025-11-29</t>
        </is>
      </c>
      <c r="G1207" t="n">
        <v>217</v>
      </c>
      <c r="H1207" t="inlineStr">
        <is>
          <t>Y</t>
        </is>
      </c>
      <c r="I1207">
        <f>HYPERLINK("https://admin.shopify.com/store/ge-beauty-cosmeticos/customers/9793545437504","abrir")</f>
        <v/>
      </c>
      <c r="J1207">
        <f>HYPERLINK("https://www.gebeauty.com.br/products/primer-liso-intacto?ref=review","review")</f>
        <v/>
      </c>
      <c r="K1207" t="inlineStr">
        <is>
          <t>SEND</t>
        </is>
      </c>
    </row>
    <row r="1208">
      <c r="A1208" t="inlineStr">
        <is>
          <t>Stephanie</t>
        </is>
      </c>
      <c r="B1208" t="inlineStr">
        <is>
          <t>+5592995075855</t>
        </is>
      </c>
      <c r="C1208" t="inlineStr">
        <is>
          <t>Refill</t>
        </is>
      </c>
      <c r="D1208" t="inlineStr">
        <is>
          <t>Primer Liso</t>
        </is>
      </c>
      <c r="E1208" t="n">
        <v>1</v>
      </c>
      <c r="F1208" t="inlineStr">
        <is>
          <t>2025-11-29</t>
        </is>
      </c>
      <c r="G1208" t="n">
        <v>217</v>
      </c>
      <c r="H1208" t="inlineStr">
        <is>
          <t>Y</t>
        </is>
      </c>
      <c r="I1208">
        <f>HYPERLINK("https://admin.shopify.com/store/ge-beauty-cosmeticos/customers/9828390338880","abrir")</f>
        <v/>
      </c>
      <c r="J1208">
        <f>HYPERLINK("https://www.gebeauty.com.br/products/primer-liso-intacto?ref=review","review")</f>
        <v/>
      </c>
      <c r="K1208" t="inlineStr">
        <is>
          <t>SEND</t>
        </is>
      </c>
    </row>
    <row r="1209">
      <c r="A1209" t="inlineStr">
        <is>
          <t>Erika</t>
        </is>
      </c>
      <c r="B1209" t="inlineStr">
        <is>
          <t>+5521971769415</t>
        </is>
      </c>
      <c r="C1209" t="inlineStr">
        <is>
          <t>Refill</t>
        </is>
      </c>
      <c r="D1209" t="inlineStr">
        <is>
          <t>Primer Liso</t>
        </is>
      </c>
      <c r="E1209" t="n">
        <v>1</v>
      </c>
      <c r="F1209" t="inlineStr">
        <is>
          <t>2025-11-30</t>
        </is>
      </c>
      <c r="G1209" t="n">
        <v>216</v>
      </c>
      <c r="H1209" t="inlineStr">
        <is>
          <t>Y</t>
        </is>
      </c>
      <c r="I1209">
        <f>HYPERLINK("https://admin.shopify.com/store/ge-beauty-cosmeticos/customers/8438856253760","abrir")</f>
        <v/>
      </c>
      <c r="J1209">
        <f>HYPERLINK("https://www.gebeauty.com.br/products/primer-liso-intacto?ref=review","review")</f>
        <v/>
      </c>
      <c r="K1209" t="inlineStr">
        <is>
          <t>SEND</t>
        </is>
      </c>
    </row>
    <row r="1210">
      <c r="A1210" t="inlineStr">
        <is>
          <t>Mirela</t>
        </is>
      </c>
      <c r="B1210" t="inlineStr">
        <is>
          <t>+5561998805133</t>
        </is>
      </c>
      <c r="C1210" t="inlineStr">
        <is>
          <t>Refill</t>
        </is>
      </c>
      <c r="D1210" t="inlineStr">
        <is>
          <t>Primer Liso</t>
        </is>
      </c>
      <c r="E1210" t="n">
        <v>1</v>
      </c>
      <c r="F1210" t="inlineStr">
        <is>
          <t>2025-11-30</t>
        </is>
      </c>
      <c r="G1210" t="n">
        <v>216</v>
      </c>
      <c r="H1210" t="inlineStr">
        <is>
          <t>Y</t>
        </is>
      </c>
      <c r="I1210">
        <f>HYPERLINK("https://admin.shopify.com/store/ge-beauty-cosmeticos/customers/7760970056000","abrir")</f>
        <v/>
      </c>
      <c r="J1210">
        <f>HYPERLINK("https://www.gebeauty.com.br/products/primer-liso-intacto?ref=review","review")</f>
        <v/>
      </c>
      <c r="K1210" t="inlineStr">
        <is>
          <t>SEND</t>
        </is>
      </c>
    </row>
    <row r="1211">
      <c r="A1211" t="inlineStr">
        <is>
          <t>Carolina</t>
        </is>
      </c>
      <c r="B1211" t="inlineStr">
        <is>
          <t>+5581984611324</t>
        </is>
      </c>
      <c r="C1211" t="inlineStr">
        <is>
          <t>Refill</t>
        </is>
      </c>
      <c r="D1211" t="inlineStr">
        <is>
          <t>Primer Liso</t>
        </is>
      </c>
      <c r="E1211" t="n">
        <v>1</v>
      </c>
      <c r="F1211" t="inlineStr">
        <is>
          <t>2025-11-30</t>
        </is>
      </c>
      <c r="G1211" t="n">
        <v>216</v>
      </c>
      <c r="H1211" t="inlineStr">
        <is>
          <t>Y</t>
        </is>
      </c>
      <c r="I1211">
        <f>HYPERLINK("https://admin.shopify.com/store/ge-beauty-cosmeticos/customers/9858312438080","abrir")</f>
        <v/>
      </c>
      <c r="J1211">
        <f>HYPERLINK("https://www.gebeauty.com.br/products/primer-liso-intacto?ref=review","review")</f>
        <v/>
      </c>
      <c r="K1211" t="inlineStr">
        <is>
          <t>SEND</t>
        </is>
      </c>
    </row>
    <row r="1212">
      <c r="A1212" t="inlineStr">
        <is>
          <t>Laís</t>
        </is>
      </c>
      <c r="B1212" t="inlineStr">
        <is>
          <t>+5581996759525</t>
        </is>
      </c>
      <c r="C1212" t="inlineStr">
        <is>
          <t>Refill</t>
        </is>
      </c>
      <c r="D1212" t="inlineStr">
        <is>
          <t>Primer Liso</t>
        </is>
      </c>
      <c r="E1212" t="n">
        <v>1</v>
      </c>
      <c r="F1212" t="inlineStr">
        <is>
          <t>2025-11-30</t>
        </is>
      </c>
      <c r="G1212" t="n">
        <v>216</v>
      </c>
      <c r="H1212" t="inlineStr">
        <is>
          <t>Y</t>
        </is>
      </c>
      <c r="I1212">
        <f>HYPERLINK("https://admin.shopify.com/store/ge-beauty-cosmeticos/customers/9485418627392","abrir")</f>
        <v/>
      </c>
      <c r="J1212">
        <f>HYPERLINK("https://www.gebeauty.com.br/products/primer-liso-intacto?ref=review","review")</f>
        <v/>
      </c>
      <c r="K1212" t="inlineStr">
        <is>
          <t>SEND</t>
        </is>
      </c>
    </row>
    <row r="1213">
      <c r="A1213" t="inlineStr">
        <is>
          <t>Ana Luísa</t>
        </is>
      </c>
      <c r="B1213" t="inlineStr">
        <is>
          <t>+5511987972323</t>
        </is>
      </c>
      <c r="C1213" t="inlineStr">
        <is>
          <t>Refill</t>
        </is>
      </c>
      <c r="D1213" t="inlineStr">
        <is>
          <t>Primer Liso</t>
        </is>
      </c>
      <c r="E1213" t="n">
        <v>1</v>
      </c>
      <c r="F1213" t="inlineStr">
        <is>
          <t>2025-11-30</t>
        </is>
      </c>
      <c r="G1213" t="n">
        <v>216</v>
      </c>
      <c r="H1213" t="inlineStr">
        <is>
          <t>Y</t>
        </is>
      </c>
      <c r="I1213">
        <f>HYPERLINK("https://admin.shopify.com/store/ge-beauty-cosmeticos/customers/9861224563008","abrir")</f>
        <v/>
      </c>
      <c r="J1213">
        <f>HYPERLINK("https://www.gebeauty.com.br/products/primer-liso-intacto?ref=review","review")</f>
        <v/>
      </c>
      <c r="K1213" t="inlineStr">
        <is>
          <t>SEND</t>
        </is>
      </c>
    </row>
    <row r="1214">
      <c r="A1214" t="inlineStr">
        <is>
          <t>Bruna</t>
        </is>
      </c>
      <c r="B1214" t="inlineStr">
        <is>
          <t>+5551991952311</t>
        </is>
      </c>
      <c r="C1214" t="inlineStr">
        <is>
          <t>Refill</t>
        </is>
      </c>
      <c r="D1214" t="inlineStr">
        <is>
          <t>Primer Liso</t>
        </is>
      </c>
      <c r="E1214" t="n">
        <v>1</v>
      </c>
      <c r="F1214" t="inlineStr">
        <is>
          <t>2025-11-30</t>
        </is>
      </c>
      <c r="G1214" t="n">
        <v>216</v>
      </c>
      <c r="H1214" t="inlineStr">
        <is>
          <t>Y</t>
        </is>
      </c>
      <c r="I1214">
        <f>HYPERLINK("https://admin.shopify.com/store/ge-beauty-cosmeticos/customers/9915901739328","abrir")</f>
        <v/>
      </c>
      <c r="J1214">
        <f>HYPERLINK("https://www.gebeauty.com.br/products/primer-liso-intacto?ref=review","review")</f>
        <v/>
      </c>
      <c r="K1214" t="inlineStr">
        <is>
          <t>HOLDOUT</t>
        </is>
      </c>
    </row>
    <row r="1215">
      <c r="A1215" t="inlineStr">
        <is>
          <t>Thauana</t>
        </is>
      </c>
      <c r="B1215" t="inlineStr">
        <is>
          <t>+5561996076961</t>
        </is>
      </c>
      <c r="C1215" t="inlineStr">
        <is>
          <t>Refill</t>
        </is>
      </c>
      <c r="D1215" t="inlineStr">
        <is>
          <t>Primer Liso</t>
        </is>
      </c>
      <c r="E1215" t="n">
        <v>1</v>
      </c>
      <c r="F1215" t="inlineStr">
        <is>
          <t>2025-11-30</t>
        </is>
      </c>
      <c r="G1215" t="n">
        <v>216</v>
      </c>
      <c r="H1215" t="inlineStr">
        <is>
          <t>Y</t>
        </is>
      </c>
      <c r="I1215">
        <f>HYPERLINK("https://admin.shopify.com/store/ge-beauty-cosmeticos/customers/9915935752512","abrir")</f>
        <v/>
      </c>
      <c r="J1215">
        <f>HYPERLINK("https://www.gebeauty.com.br/products/primer-liso-intacto?ref=review","review")</f>
        <v/>
      </c>
      <c r="K1215" t="inlineStr">
        <is>
          <t>SEND</t>
        </is>
      </c>
    </row>
    <row r="1216">
      <c r="A1216" t="inlineStr">
        <is>
          <t>Pablo</t>
        </is>
      </c>
      <c r="B1216" t="inlineStr">
        <is>
          <t>+5521964887993</t>
        </is>
      </c>
      <c r="C1216" t="inlineStr">
        <is>
          <t>Refill</t>
        </is>
      </c>
      <c r="D1216" t="inlineStr">
        <is>
          <t>Primer Liso</t>
        </is>
      </c>
      <c r="E1216" t="n">
        <v>1</v>
      </c>
      <c r="F1216" t="inlineStr">
        <is>
          <t>2025-11-30</t>
        </is>
      </c>
      <c r="G1216" t="n">
        <v>216</v>
      </c>
      <c r="H1216" t="inlineStr">
        <is>
          <t>Y</t>
        </is>
      </c>
      <c r="I1216">
        <f>HYPERLINK("https://admin.shopify.com/store/ge-beauty-cosmeticos/customers/9916120203584","abrir")</f>
        <v/>
      </c>
      <c r="J1216">
        <f>HYPERLINK("https://www.gebeauty.com.br/products/primer-liso-intacto?ref=review","review")</f>
        <v/>
      </c>
      <c r="K1216" t="inlineStr">
        <is>
          <t>SEND</t>
        </is>
      </c>
    </row>
    <row r="1217">
      <c r="A1217" t="inlineStr">
        <is>
          <t>Flavia</t>
        </is>
      </c>
      <c r="B1217" t="inlineStr">
        <is>
          <t>+5564992299404</t>
        </is>
      </c>
      <c r="C1217" t="inlineStr">
        <is>
          <t>Refill</t>
        </is>
      </c>
      <c r="D1217" t="inlineStr">
        <is>
          <t>Primer Liso</t>
        </is>
      </c>
      <c r="E1217" t="n">
        <v>1</v>
      </c>
      <c r="F1217" t="inlineStr">
        <is>
          <t>2025-11-30</t>
        </is>
      </c>
      <c r="G1217" t="n">
        <v>216</v>
      </c>
      <c r="H1217" t="inlineStr">
        <is>
          <t>Y</t>
        </is>
      </c>
      <c r="I1217">
        <f>HYPERLINK("https://admin.shopify.com/store/ge-beauty-cosmeticos/customers/9486528053568","abrir")</f>
        <v/>
      </c>
      <c r="J1217">
        <f>HYPERLINK("https://www.gebeauty.com.br/products/primer-liso-intacto?ref=review","review")</f>
        <v/>
      </c>
      <c r="K1217" t="inlineStr">
        <is>
          <t>SEND</t>
        </is>
      </c>
    </row>
    <row r="1218">
      <c r="A1218" t="inlineStr">
        <is>
          <t>Talice</t>
        </is>
      </c>
      <c r="B1218" t="inlineStr">
        <is>
          <t>+5592982170309</t>
        </is>
      </c>
      <c r="C1218" t="inlineStr">
        <is>
          <t>Refill</t>
        </is>
      </c>
      <c r="D1218" t="inlineStr">
        <is>
          <t>Primer Liso</t>
        </is>
      </c>
      <c r="E1218" t="n">
        <v>1</v>
      </c>
      <c r="F1218" t="inlineStr">
        <is>
          <t>2025-11-30</t>
        </is>
      </c>
      <c r="G1218" t="n">
        <v>216</v>
      </c>
      <c r="H1218" t="inlineStr">
        <is>
          <t>Y</t>
        </is>
      </c>
      <c r="I1218">
        <f>HYPERLINK("https://admin.shopify.com/store/ge-beauty-cosmeticos/customers/9916220506432","abrir")</f>
        <v/>
      </c>
      <c r="J1218">
        <f>HYPERLINK("https://www.gebeauty.com.br/products/primer-liso-intacto?ref=review","review")</f>
        <v/>
      </c>
      <c r="K1218" t="inlineStr">
        <is>
          <t>SEND</t>
        </is>
      </c>
    </row>
    <row r="1219">
      <c r="A1219" t="inlineStr">
        <is>
          <t>Laura</t>
        </is>
      </c>
      <c r="B1219" t="inlineStr">
        <is>
          <t>+5511915512136</t>
        </is>
      </c>
      <c r="C1219" t="inlineStr">
        <is>
          <t>Refill</t>
        </is>
      </c>
      <c r="D1219" t="inlineStr">
        <is>
          <t>Primer Liso</t>
        </is>
      </c>
      <c r="E1219" t="n">
        <v>1</v>
      </c>
      <c r="F1219" t="inlineStr">
        <is>
          <t>2025-11-30</t>
        </is>
      </c>
      <c r="G1219" t="n">
        <v>216</v>
      </c>
      <c r="H1219" t="inlineStr">
        <is>
          <t>Y</t>
        </is>
      </c>
      <c r="I1219">
        <f>HYPERLINK("https://admin.shopify.com/store/ge-beauty-cosmeticos/customers/7761661952320","abrir")</f>
        <v/>
      </c>
      <c r="J1219">
        <f>HYPERLINK("https://www.gebeauty.com.br/products/primer-liso-intacto?ref=review","review")</f>
        <v/>
      </c>
      <c r="K1219" t="inlineStr">
        <is>
          <t>SEND</t>
        </is>
      </c>
    </row>
    <row r="1220">
      <c r="A1220" t="inlineStr">
        <is>
          <t>Mariana</t>
        </is>
      </c>
      <c r="B1220" t="inlineStr">
        <is>
          <t>+5541995372202</t>
        </is>
      </c>
      <c r="C1220" t="inlineStr">
        <is>
          <t>Refill</t>
        </is>
      </c>
      <c r="D1220" t="inlineStr">
        <is>
          <t>Primer Liso</t>
        </is>
      </c>
      <c r="E1220" t="n">
        <v>1</v>
      </c>
      <c r="F1220" t="inlineStr">
        <is>
          <t>2025-11-30</t>
        </is>
      </c>
      <c r="G1220" t="n">
        <v>216</v>
      </c>
      <c r="H1220" t="inlineStr">
        <is>
          <t>Y</t>
        </is>
      </c>
      <c r="I1220">
        <f>HYPERLINK("https://admin.shopify.com/store/ge-beauty-cosmeticos/customers/9916374516032","abrir")</f>
        <v/>
      </c>
      <c r="J1220">
        <f>HYPERLINK("https://www.gebeauty.com.br/products/primer-liso-intacto?ref=review","review")</f>
        <v/>
      </c>
      <c r="K1220" t="inlineStr">
        <is>
          <t>HOLDOUT</t>
        </is>
      </c>
    </row>
    <row r="1221">
      <c r="A1221" t="inlineStr">
        <is>
          <t>Suria</t>
        </is>
      </c>
      <c r="B1221" t="inlineStr">
        <is>
          <t>+5521998246429</t>
        </is>
      </c>
      <c r="C1221" t="inlineStr">
        <is>
          <t>Refill</t>
        </is>
      </c>
      <c r="D1221" t="inlineStr">
        <is>
          <t>Primer Liso</t>
        </is>
      </c>
      <c r="E1221" t="n">
        <v>1</v>
      </c>
      <c r="F1221" t="inlineStr">
        <is>
          <t>2025-11-30</t>
        </is>
      </c>
      <c r="G1221" t="n">
        <v>216</v>
      </c>
      <c r="H1221" t="inlineStr">
        <is>
          <t>Y</t>
        </is>
      </c>
      <c r="I1221">
        <f>HYPERLINK("https://admin.shopify.com/store/ge-beauty-cosmeticos/customers/9915249918272","abrir")</f>
        <v/>
      </c>
      <c r="J1221">
        <f>HYPERLINK("https://www.gebeauty.com.br/products/primer-liso-intacto?ref=review","review")</f>
        <v/>
      </c>
      <c r="K1221" t="inlineStr">
        <is>
          <t>SEND</t>
        </is>
      </c>
    </row>
    <row r="1222">
      <c r="A1222" t="inlineStr">
        <is>
          <t>Maria Victoria</t>
        </is>
      </c>
      <c r="B1222" t="inlineStr">
        <is>
          <t>+5511964304244</t>
        </is>
      </c>
      <c r="C1222" t="inlineStr">
        <is>
          <t>Refill</t>
        </is>
      </c>
      <c r="D1222" t="inlineStr">
        <is>
          <t>Primer Liso</t>
        </is>
      </c>
      <c r="E1222" t="n">
        <v>1</v>
      </c>
      <c r="F1222" t="inlineStr">
        <is>
          <t>2025-11-30</t>
        </is>
      </c>
      <c r="G1222" t="n">
        <v>216</v>
      </c>
      <c r="H1222" t="inlineStr">
        <is>
          <t>Y</t>
        </is>
      </c>
      <c r="I1222">
        <f>HYPERLINK("https://admin.shopify.com/store/ge-beauty-cosmeticos/customers/9515091132736","abrir")</f>
        <v/>
      </c>
      <c r="J1222">
        <f>HYPERLINK("https://www.gebeauty.com.br/products/primer-liso-intacto?ref=review","review")</f>
        <v/>
      </c>
      <c r="K1222" t="inlineStr">
        <is>
          <t>SEND</t>
        </is>
      </c>
    </row>
    <row r="1223">
      <c r="A1223" t="inlineStr">
        <is>
          <t>Heloisa</t>
        </is>
      </c>
      <c r="B1223" t="inlineStr">
        <is>
          <t>+5511988688098</t>
        </is>
      </c>
      <c r="C1223" t="inlineStr">
        <is>
          <t>Refill</t>
        </is>
      </c>
      <c r="D1223" t="inlineStr">
        <is>
          <t>Primer Liso</t>
        </is>
      </c>
      <c r="E1223" t="n">
        <v>1</v>
      </c>
      <c r="F1223" t="inlineStr">
        <is>
          <t>2025-11-30</t>
        </is>
      </c>
      <c r="G1223" t="n">
        <v>216</v>
      </c>
      <c r="H1223" t="inlineStr">
        <is>
          <t>Y</t>
        </is>
      </c>
      <c r="I1223">
        <f>HYPERLINK("https://admin.shopify.com/store/ge-beauty-cosmeticos/customers/9916537864512","abrir")</f>
        <v/>
      </c>
      <c r="J1223">
        <f>HYPERLINK("https://www.gebeauty.com.br/products/primer-liso-intacto?ref=review","review")</f>
        <v/>
      </c>
      <c r="K1223" t="inlineStr">
        <is>
          <t>SEND</t>
        </is>
      </c>
    </row>
    <row r="1224">
      <c r="A1224" t="inlineStr">
        <is>
          <t>Ingrid</t>
        </is>
      </c>
      <c r="B1224" t="inlineStr">
        <is>
          <t>+5521981333172</t>
        </is>
      </c>
      <c r="C1224" t="inlineStr">
        <is>
          <t>Refill</t>
        </is>
      </c>
      <c r="D1224" t="inlineStr">
        <is>
          <t>Primer Liso</t>
        </is>
      </c>
      <c r="E1224" t="n">
        <v>1</v>
      </c>
      <c r="F1224" t="inlineStr">
        <is>
          <t>2025-11-30</t>
        </is>
      </c>
      <c r="G1224" t="n">
        <v>216</v>
      </c>
      <c r="H1224" t="inlineStr">
        <is>
          <t>Y</t>
        </is>
      </c>
      <c r="I1224">
        <f>HYPERLINK("https://admin.shopify.com/store/ge-beauty-cosmeticos/customers/9916703932736","abrir")</f>
        <v/>
      </c>
      <c r="J1224">
        <f>HYPERLINK("https://www.gebeauty.com.br/products/primer-liso-intacto?ref=review","review")</f>
        <v/>
      </c>
      <c r="K1224" t="inlineStr">
        <is>
          <t>SEND</t>
        </is>
      </c>
    </row>
    <row r="1225">
      <c r="A1225" t="inlineStr">
        <is>
          <t>Tanara</t>
        </is>
      </c>
      <c r="B1225" t="inlineStr">
        <is>
          <t>+5555999553124</t>
        </is>
      </c>
      <c r="C1225" t="inlineStr">
        <is>
          <t>Refill</t>
        </is>
      </c>
      <c r="D1225" t="inlineStr">
        <is>
          <t>Primer Liso</t>
        </is>
      </c>
      <c r="E1225" t="n">
        <v>1</v>
      </c>
      <c r="F1225" t="inlineStr">
        <is>
          <t>2025-11-30</t>
        </is>
      </c>
      <c r="G1225" t="n">
        <v>216</v>
      </c>
      <c r="H1225" t="inlineStr">
        <is>
          <t>Y</t>
        </is>
      </c>
      <c r="I1225">
        <f>HYPERLINK("https://admin.shopify.com/store/ge-beauty-cosmeticos/customers/8353811104064","abrir")</f>
        <v/>
      </c>
      <c r="J1225">
        <f>HYPERLINK("https://www.gebeauty.com.br/products/primer-liso-intacto?ref=review","review")</f>
        <v/>
      </c>
      <c r="K1225" t="inlineStr">
        <is>
          <t>SEND</t>
        </is>
      </c>
    </row>
    <row r="1226">
      <c r="A1226" t="inlineStr">
        <is>
          <t>Nillian</t>
        </is>
      </c>
      <c r="B1226" t="inlineStr">
        <is>
          <t>+5599981249646</t>
        </is>
      </c>
      <c r="C1226" t="inlineStr">
        <is>
          <t>Refill</t>
        </is>
      </c>
      <c r="D1226" t="inlineStr">
        <is>
          <t>Primer Liso</t>
        </is>
      </c>
      <c r="E1226" t="n">
        <v>1</v>
      </c>
      <c r="F1226" t="inlineStr">
        <is>
          <t>2025-11-30</t>
        </is>
      </c>
      <c r="G1226" t="n">
        <v>216</v>
      </c>
      <c r="H1226" t="inlineStr">
        <is>
          <t>Y</t>
        </is>
      </c>
      <c r="I1226">
        <f>HYPERLINK("https://admin.shopify.com/store/ge-beauty-cosmeticos/customers/9916767797568","abrir")</f>
        <v/>
      </c>
      <c r="J1226">
        <f>HYPERLINK("https://www.gebeauty.com.br/products/primer-liso-intacto?ref=review","review")</f>
        <v/>
      </c>
      <c r="K1226" t="inlineStr">
        <is>
          <t>SEND</t>
        </is>
      </c>
    </row>
    <row r="1227">
      <c r="A1227" t="inlineStr">
        <is>
          <t>Luana</t>
        </is>
      </c>
      <c r="B1227" t="inlineStr">
        <is>
          <t>+5574981034300</t>
        </is>
      </c>
      <c r="C1227" t="inlineStr">
        <is>
          <t>Refill</t>
        </is>
      </c>
      <c r="D1227" t="inlineStr">
        <is>
          <t>Primer Liso</t>
        </is>
      </c>
      <c r="E1227" t="n">
        <v>1</v>
      </c>
      <c r="F1227" t="inlineStr">
        <is>
          <t>2025-11-30</t>
        </is>
      </c>
      <c r="G1227" t="n">
        <v>216</v>
      </c>
      <c r="H1227" t="inlineStr">
        <is>
          <t>Y</t>
        </is>
      </c>
      <c r="I1227">
        <f>HYPERLINK("https://admin.shopify.com/store/ge-beauty-cosmeticos/customers/9913594773824","abrir")</f>
        <v/>
      </c>
      <c r="J1227">
        <f>HYPERLINK("https://www.gebeauty.com.br/products/primer-liso-intacto?ref=review","review")</f>
        <v/>
      </c>
      <c r="K1227" t="inlineStr">
        <is>
          <t>SEND</t>
        </is>
      </c>
    </row>
    <row r="1228">
      <c r="A1228" t="inlineStr">
        <is>
          <t>Flavia</t>
        </is>
      </c>
      <c r="B1228" t="inlineStr">
        <is>
          <t>+5582993348019</t>
        </is>
      </c>
      <c r="C1228" t="inlineStr">
        <is>
          <t>Refill</t>
        </is>
      </c>
      <c r="D1228" t="inlineStr">
        <is>
          <t>Primer Liso</t>
        </is>
      </c>
      <c r="E1228" t="n">
        <v>1</v>
      </c>
      <c r="F1228" t="inlineStr">
        <is>
          <t>2025-11-30</t>
        </is>
      </c>
      <c r="G1228" t="n">
        <v>216</v>
      </c>
      <c r="H1228" t="inlineStr">
        <is>
          <t>Y</t>
        </is>
      </c>
      <c r="I1228">
        <f>HYPERLINK("https://admin.shopify.com/store/ge-beauty-cosmeticos/customers/9486171308352","abrir")</f>
        <v/>
      </c>
      <c r="J1228">
        <f>HYPERLINK("https://www.gebeauty.com.br/products/primer-liso-intacto?ref=review","review")</f>
        <v/>
      </c>
      <c r="K1228" t="inlineStr">
        <is>
          <t>SEND</t>
        </is>
      </c>
    </row>
    <row r="1229">
      <c r="A1229" t="inlineStr">
        <is>
          <t>Cassia</t>
        </is>
      </c>
      <c r="B1229" t="inlineStr">
        <is>
          <t>+5581982502450</t>
        </is>
      </c>
      <c r="C1229" t="inlineStr">
        <is>
          <t>Refill</t>
        </is>
      </c>
      <c r="D1229" t="inlineStr">
        <is>
          <t>Primer Liso</t>
        </is>
      </c>
      <c r="E1229" t="n">
        <v>1</v>
      </c>
      <c r="F1229" t="inlineStr">
        <is>
          <t>2025-11-30</t>
        </is>
      </c>
      <c r="G1229" t="n">
        <v>216</v>
      </c>
      <c r="H1229" t="inlineStr">
        <is>
          <t>Y</t>
        </is>
      </c>
      <c r="I1229">
        <f>HYPERLINK("https://admin.shopify.com/store/ge-beauty-cosmeticos/customers/9916879929664","abrir")</f>
        <v/>
      </c>
      <c r="J1229">
        <f>HYPERLINK("https://www.gebeauty.com.br/products/primer-liso-intacto?ref=review","review")</f>
        <v/>
      </c>
      <c r="K1229" t="inlineStr">
        <is>
          <t>SEND</t>
        </is>
      </c>
    </row>
    <row r="1230">
      <c r="A1230" t="inlineStr">
        <is>
          <t>Tainara</t>
        </is>
      </c>
      <c r="B1230" t="inlineStr">
        <is>
          <t>+5512991387910</t>
        </is>
      </c>
      <c r="C1230" t="inlineStr">
        <is>
          <t>Refill</t>
        </is>
      </c>
      <c r="D1230" t="inlineStr">
        <is>
          <t>Primer Liso</t>
        </is>
      </c>
      <c r="E1230" t="n">
        <v>1</v>
      </c>
      <c r="F1230" t="inlineStr">
        <is>
          <t>2025-11-30</t>
        </is>
      </c>
      <c r="G1230" t="n">
        <v>216</v>
      </c>
      <c r="H1230" t="inlineStr">
        <is>
          <t>Y</t>
        </is>
      </c>
      <c r="I1230">
        <f>HYPERLINK("https://admin.shopify.com/store/ge-beauty-cosmeticos/customers/9916900016448","abrir")</f>
        <v/>
      </c>
      <c r="J1230">
        <f>HYPERLINK("https://www.gebeauty.com.br/products/primer-liso-intacto?ref=review","review")</f>
        <v/>
      </c>
      <c r="K1230" t="inlineStr">
        <is>
          <t>SEND</t>
        </is>
      </c>
    </row>
    <row r="1231">
      <c r="A1231" t="inlineStr">
        <is>
          <t>Renata</t>
        </is>
      </c>
      <c r="B1231" t="inlineStr">
        <is>
          <t>+5581999891363</t>
        </is>
      </c>
      <c r="C1231" t="inlineStr">
        <is>
          <t>Refill</t>
        </is>
      </c>
      <c r="D1231" t="inlineStr">
        <is>
          <t>Primer Liso</t>
        </is>
      </c>
      <c r="E1231" t="n">
        <v>1</v>
      </c>
      <c r="F1231" t="inlineStr">
        <is>
          <t>2025-11-30</t>
        </is>
      </c>
      <c r="G1231" t="n">
        <v>216</v>
      </c>
      <c r="H1231" t="inlineStr">
        <is>
          <t>Y</t>
        </is>
      </c>
      <c r="I1231">
        <f>HYPERLINK("https://admin.shopify.com/store/ge-beauty-cosmeticos/customers/7759953363264","abrir")</f>
        <v/>
      </c>
      <c r="J1231">
        <f>HYPERLINK("https://www.gebeauty.com.br/products/primer-liso-intacto?ref=review","review")</f>
        <v/>
      </c>
      <c r="K1231" t="inlineStr">
        <is>
          <t>SEND</t>
        </is>
      </c>
    </row>
    <row r="1232">
      <c r="A1232" t="inlineStr">
        <is>
          <t>Vanessa</t>
        </is>
      </c>
      <c r="B1232" t="inlineStr">
        <is>
          <t>+5511982479696</t>
        </is>
      </c>
      <c r="C1232" t="inlineStr">
        <is>
          <t>Refill</t>
        </is>
      </c>
      <c r="D1232" t="inlineStr">
        <is>
          <t>Primer Liso</t>
        </is>
      </c>
      <c r="E1232" t="n">
        <v>1</v>
      </c>
      <c r="F1232" t="inlineStr">
        <is>
          <t>2025-11-30</t>
        </is>
      </c>
      <c r="G1232" t="n">
        <v>216</v>
      </c>
      <c r="H1232" t="inlineStr">
        <is>
          <t>Y</t>
        </is>
      </c>
      <c r="I1232">
        <f>HYPERLINK("https://admin.shopify.com/store/ge-beauty-cosmeticos/customers/9916938191168","abrir")</f>
        <v/>
      </c>
      <c r="J1232">
        <f>HYPERLINK("https://www.gebeauty.com.br/products/primer-liso-intacto?ref=review","review")</f>
        <v/>
      </c>
      <c r="K1232" t="inlineStr">
        <is>
          <t>SEND</t>
        </is>
      </c>
    </row>
    <row r="1233">
      <c r="A1233" t="inlineStr">
        <is>
          <t>Camila</t>
        </is>
      </c>
      <c r="B1233" t="inlineStr">
        <is>
          <t>+5535991345549</t>
        </is>
      </c>
      <c r="C1233" t="inlineStr">
        <is>
          <t>Refill</t>
        </is>
      </c>
      <c r="D1233" t="inlineStr">
        <is>
          <t>Primer Liso</t>
        </is>
      </c>
      <c r="E1233" t="n">
        <v>1</v>
      </c>
      <c r="F1233" t="inlineStr">
        <is>
          <t>2025-11-30</t>
        </is>
      </c>
      <c r="G1233" t="n">
        <v>216</v>
      </c>
      <c r="H1233" t="inlineStr">
        <is>
          <t>Y</t>
        </is>
      </c>
      <c r="I1233">
        <f>HYPERLINK("https://admin.shopify.com/store/ge-beauty-cosmeticos/customers/9485803749696","abrir")</f>
        <v/>
      </c>
      <c r="J1233">
        <f>HYPERLINK("https://www.gebeauty.com.br/products/primer-liso-intacto?ref=review","review")</f>
        <v/>
      </c>
      <c r="K1233" t="inlineStr">
        <is>
          <t>SEND</t>
        </is>
      </c>
    </row>
    <row r="1234">
      <c r="A1234" t="inlineStr">
        <is>
          <t>Thalita Maria</t>
        </is>
      </c>
      <c r="B1234" t="inlineStr">
        <is>
          <t>+5511982748182</t>
        </is>
      </c>
      <c r="C1234" t="inlineStr">
        <is>
          <t>Refill</t>
        </is>
      </c>
      <c r="D1234" t="inlineStr">
        <is>
          <t>Primer Liso</t>
        </is>
      </c>
      <c r="E1234" t="n">
        <v>1</v>
      </c>
      <c r="F1234" t="inlineStr">
        <is>
          <t>2025-11-30</t>
        </is>
      </c>
      <c r="G1234" t="n">
        <v>216</v>
      </c>
      <c r="H1234" t="inlineStr">
        <is>
          <t>Y</t>
        </is>
      </c>
      <c r="I1234">
        <f>HYPERLINK("https://admin.shopify.com/store/ge-beauty-cosmeticos/customers/9485081805120","abrir")</f>
        <v/>
      </c>
      <c r="J1234">
        <f>HYPERLINK("https://www.gebeauty.com.br/products/primer-liso-intacto?ref=review","review")</f>
        <v/>
      </c>
      <c r="K1234" t="inlineStr">
        <is>
          <t>SEND</t>
        </is>
      </c>
    </row>
    <row r="1235">
      <c r="A1235" t="inlineStr">
        <is>
          <t>Diana</t>
        </is>
      </c>
      <c r="B1235" t="inlineStr">
        <is>
          <t>+5511984173232</t>
        </is>
      </c>
      <c r="C1235" t="inlineStr">
        <is>
          <t>Refill</t>
        </is>
      </c>
      <c r="D1235" t="inlineStr">
        <is>
          <t>Primer Liso</t>
        </is>
      </c>
      <c r="E1235" t="n">
        <v>1</v>
      </c>
      <c r="F1235" t="inlineStr">
        <is>
          <t>2025-11-30</t>
        </is>
      </c>
      <c r="G1235" t="n">
        <v>216</v>
      </c>
      <c r="H1235" t="inlineStr">
        <is>
          <t>Y</t>
        </is>
      </c>
      <c r="I1235">
        <f>HYPERLINK("https://admin.shopify.com/store/ge-beauty-cosmeticos/customers/9917164650816","abrir")</f>
        <v/>
      </c>
      <c r="J1235">
        <f>HYPERLINK("https://www.gebeauty.com.br/products/primer-liso-intacto?ref=review","review")</f>
        <v/>
      </c>
      <c r="K1235" t="inlineStr">
        <is>
          <t>SEND</t>
        </is>
      </c>
    </row>
    <row r="1236">
      <c r="A1236" t="inlineStr">
        <is>
          <t>Thais</t>
        </is>
      </c>
      <c r="B1236" t="inlineStr">
        <is>
          <t>+5511911984659</t>
        </is>
      </c>
      <c r="C1236" t="inlineStr">
        <is>
          <t>Refill</t>
        </is>
      </c>
      <c r="D1236" t="inlineStr">
        <is>
          <t>Primer Liso</t>
        </is>
      </c>
      <c r="E1236" t="n">
        <v>1</v>
      </c>
      <c r="F1236" t="inlineStr">
        <is>
          <t>2025-11-30</t>
        </is>
      </c>
      <c r="G1236" t="n">
        <v>216</v>
      </c>
      <c r="H1236" t="inlineStr">
        <is>
          <t>Y</t>
        </is>
      </c>
      <c r="I1236">
        <f>HYPERLINK("https://admin.shopify.com/store/ge-beauty-cosmeticos/customers/9916958966080","abrir")</f>
        <v/>
      </c>
      <c r="J1236">
        <f>HYPERLINK("https://www.gebeauty.com.br/products/primer-liso-intacto?ref=review","review")</f>
        <v/>
      </c>
      <c r="K1236" t="inlineStr">
        <is>
          <t>HOLDOUT</t>
        </is>
      </c>
    </row>
    <row r="1237">
      <c r="A1237" t="inlineStr">
        <is>
          <t>Débora</t>
        </is>
      </c>
      <c r="B1237" t="inlineStr">
        <is>
          <t>+5521986967017</t>
        </is>
      </c>
      <c r="C1237" t="inlineStr">
        <is>
          <t>Refill</t>
        </is>
      </c>
      <c r="D1237" t="inlineStr">
        <is>
          <t>Primer Liso</t>
        </is>
      </c>
      <c r="E1237" t="n">
        <v>1</v>
      </c>
      <c r="F1237" t="inlineStr">
        <is>
          <t>2025-11-30</t>
        </is>
      </c>
      <c r="G1237" t="n">
        <v>216</v>
      </c>
      <c r="H1237" t="inlineStr">
        <is>
          <t>Y</t>
        </is>
      </c>
      <c r="I1237">
        <f>HYPERLINK("https://admin.shopify.com/store/ge-beauty-cosmeticos/customers/8471586505024","abrir")</f>
        <v/>
      </c>
      <c r="J1237">
        <f>HYPERLINK("https://www.gebeauty.com.br/products/primer-liso-intacto?ref=review","review")</f>
        <v/>
      </c>
      <c r="K1237" t="inlineStr">
        <is>
          <t>SEND</t>
        </is>
      </c>
    </row>
    <row r="1238">
      <c r="A1238" t="inlineStr">
        <is>
          <t>Tarciana Cecilia</t>
        </is>
      </c>
      <c r="B1238" t="inlineStr">
        <is>
          <t>+5561982745775</t>
        </is>
      </c>
      <c r="C1238" t="inlineStr">
        <is>
          <t>Refill</t>
        </is>
      </c>
      <c r="D1238" t="inlineStr">
        <is>
          <t>Primer Liso</t>
        </is>
      </c>
      <c r="E1238" t="n">
        <v>1</v>
      </c>
      <c r="F1238" t="inlineStr">
        <is>
          <t>2025-11-30</t>
        </is>
      </c>
      <c r="G1238" t="n">
        <v>216</v>
      </c>
      <c r="H1238" t="inlineStr">
        <is>
          <t>Y</t>
        </is>
      </c>
      <c r="I1238">
        <f>HYPERLINK("https://admin.shopify.com/store/ge-beauty-cosmeticos/customers/9917169271104","abrir")</f>
        <v/>
      </c>
      <c r="J1238">
        <f>HYPERLINK("https://www.gebeauty.com.br/products/primer-liso-intacto?ref=review","review")</f>
        <v/>
      </c>
      <c r="K1238" t="inlineStr">
        <is>
          <t>HOLDOUT</t>
        </is>
      </c>
    </row>
    <row r="1239">
      <c r="A1239" t="inlineStr">
        <is>
          <t>Gabriela</t>
        </is>
      </c>
      <c r="B1239" t="inlineStr">
        <is>
          <t>+5512982661000</t>
        </is>
      </c>
      <c r="C1239" t="inlineStr">
        <is>
          <t>Refill</t>
        </is>
      </c>
      <c r="D1239" t="inlineStr">
        <is>
          <t>Primer Liso</t>
        </is>
      </c>
      <c r="E1239" t="n">
        <v>1</v>
      </c>
      <c r="F1239" t="inlineStr">
        <is>
          <t>2025-11-30</t>
        </is>
      </c>
      <c r="G1239" t="n">
        <v>216</v>
      </c>
      <c r="H1239" t="inlineStr">
        <is>
          <t>Y</t>
        </is>
      </c>
      <c r="I1239">
        <f>HYPERLINK("https://admin.shopify.com/store/ge-beauty-cosmeticos/customers/9917230481728","abrir")</f>
        <v/>
      </c>
      <c r="J1239">
        <f>HYPERLINK("https://www.gebeauty.com.br/products/primer-liso-intacto?ref=review","review")</f>
        <v/>
      </c>
      <c r="K1239" t="inlineStr">
        <is>
          <t>SEND</t>
        </is>
      </c>
    </row>
    <row r="1240">
      <c r="A1240" t="inlineStr">
        <is>
          <t>Camila</t>
        </is>
      </c>
      <c r="B1240" t="inlineStr">
        <is>
          <t>+5581991614017</t>
        </is>
      </c>
      <c r="C1240" t="inlineStr">
        <is>
          <t>Refill</t>
        </is>
      </c>
      <c r="D1240" t="inlineStr">
        <is>
          <t>Primer Liso</t>
        </is>
      </c>
      <c r="E1240" t="n">
        <v>1</v>
      </c>
      <c r="F1240" t="inlineStr">
        <is>
          <t>2025-11-30</t>
        </is>
      </c>
      <c r="G1240" t="n">
        <v>216</v>
      </c>
      <c r="H1240" t="inlineStr">
        <is>
          <t>Y</t>
        </is>
      </c>
      <c r="I1240">
        <f>HYPERLINK("https://admin.shopify.com/store/ge-beauty-cosmeticos/customers/9917415686464","abrir")</f>
        <v/>
      </c>
      <c r="J1240">
        <f>HYPERLINK("https://www.gebeauty.com.br/products/primer-liso-intacto?ref=review","review")</f>
        <v/>
      </c>
      <c r="K1240" t="inlineStr">
        <is>
          <t>SEND</t>
        </is>
      </c>
    </row>
    <row r="1241">
      <c r="A1241" t="inlineStr">
        <is>
          <t>Luiza</t>
        </is>
      </c>
      <c r="B1241" t="inlineStr">
        <is>
          <t>+5521972763031</t>
        </is>
      </c>
      <c r="C1241" t="inlineStr">
        <is>
          <t>Refill</t>
        </is>
      </c>
      <c r="D1241" t="inlineStr">
        <is>
          <t>Primer Liso</t>
        </is>
      </c>
      <c r="E1241" t="n">
        <v>1</v>
      </c>
      <c r="F1241" t="inlineStr">
        <is>
          <t>2025-11-30</t>
        </is>
      </c>
      <c r="G1241" t="n">
        <v>216</v>
      </c>
      <c r="H1241" t="inlineStr">
        <is>
          <t>Y</t>
        </is>
      </c>
      <c r="I1241">
        <f>HYPERLINK("https://admin.shopify.com/store/ge-beauty-cosmeticos/customers/9111437377856","abrir")</f>
        <v/>
      </c>
      <c r="J1241">
        <f>HYPERLINK("https://www.gebeauty.com.br/products/primer-liso-intacto?ref=review","review")</f>
        <v/>
      </c>
      <c r="K1241" t="inlineStr">
        <is>
          <t>SEND</t>
        </is>
      </c>
    </row>
    <row r="1242">
      <c r="A1242" t="inlineStr">
        <is>
          <t>Julia</t>
        </is>
      </c>
      <c r="B1242" t="inlineStr">
        <is>
          <t>+5516991638599</t>
        </is>
      </c>
      <c r="C1242" t="inlineStr">
        <is>
          <t>Refill</t>
        </is>
      </c>
      <c r="D1242" t="inlineStr">
        <is>
          <t>Primer Liso</t>
        </is>
      </c>
      <c r="E1242" t="n">
        <v>1</v>
      </c>
      <c r="F1242" t="inlineStr">
        <is>
          <t>2025-12-01</t>
        </is>
      </c>
      <c r="G1242" t="n">
        <v>215</v>
      </c>
      <c r="H1242" t="inlineStr">
        <is>
          <t>Y</t>
        </is>
      </c>
      <c r="I1242">
        <f>HYPERLINK("https://admin.shopify.com/store/ge-beauty-cosmeticos/customers/8445018341696","abrir")</f>
        <v/>
      </c>
      <c r="J1242">
        <f>HYPERLINK("https://www.gebeauty.com.br/products/primer-liso-intacto?ref=review","review")</f>
        <v/>
      </c>
      <c r="K1242" t="inlineStr">
        <is>
          <t>SEND</t>
        </is>
      </c>
    </row>
    <row r="1243">
      <c r="A1243" t="inlineStr">
        <is>
          <t>Carolina</t>
        </is>
      </c>
      <c r="B1243" t="inlineStr">
        <is>
          <t>+5541991188820</t>
        </is>
      </c>
      <c r="C1243" t="inlineStr">
        <is>
          <t>Refill</t>
        </is>
      </c>
      <c r="D1243" t="inlineStr">
        <is>
          <t>Primer Liso</t>
        </is>
      </c>
      <c r="E1243" t="n">
        <v>1</v>
      </c>
      <c r="F1243" t="inlineStr">
        <is>
          <t>2025-12-01</t>
        </is>
      </c>
      <c r="G1243" t="n">
        <v>215</v>
      </c>
      <c r="H1243" t="inlineStr">
        <is>
          <t>Y</t>
        </is>
      </c>
      <c r="I1243">
        <f>HYPERLINK("https://admin.shopify.com/store/ge-beauty-cosmeticos/customers/9911062135104","abrir")</f>
        <v/>
      </c>
      <c r="J1243">
        <f>HYPERLINK("https://www.gebeauty.com.br/products/primer-liso-intacto?ref=review","review")</f>
        <v/>
      </c>
      <c r="K1243" t="inlineStr">
        <is>
          <t>SEND</t>
        </is>
      </c>
    </row>
    <row r="1244">
      <c r="A1244" t="inlineStr">
        <is>
          <t>Manoelle</t>
        </is>
      </c>
      <c r="B1244" t="inlineStr">
        <is>
          <t>+5547999690899</t>
        </is>
      </c>
      <c r="C1244" t="inlineStr">
        <is>
          <t>Refill</t>
        </is>
      </c>
      <c r="D1244" t="inlineStr">
        <is>
          <t>Primer Liso</t>
        </is>
      </c>
      <c r="E1244" t="n">
        <v>1</v>
      </c>
      <c r="F1244" t="inlineStr">
        <is>
          <t>2025-12-01</t>
        </is>
      </c>
      <c r="G1244" t="n">
        <v>215</v>
      </c>
      <c r="H1244" t="inlineStr">
        <is>
          <t>Y</t>
        </is>
      </c>
      <c r="I1244">
        <f>HYPERLINK("https://admin.shopify.com/store/ge-beauty-cosmeticos/customers/9552742940992","abrir")</f>
        <v/>
      </c>
      <c r="J1244">
        <f>HYPERLINK("https://www.gebeauty.com.br/products/primer-liso-intacto?ref=review","review")</f>
        <v/>
      </c>
      <c r="K1244" t="inlineStr">
        <is>
          <t>SEND</t>
        </is>
      </c>
    </row>
    <row r="1245">
      <c r="A1245" t="inlineStr">
        <is>
          <t>Lais</t>
        </is>
      </c>
      <c r="B1245" t="inlineStr">
        <is>
          <t>+5511979539995</t>
        </is>
      </c>
      <c r="C1245" t="inlineStr">
        <is>
          <t>Refill</t>
        </is>
      </c>
      <c r="D1245" t="inlineStr">
        <is>
          <t>Primer Liso</t>
        </is>
      </c>
      <c r="E1245" t="n">
        <v>1</v>
      </c>
      <c r="F1245" t="inlineStr">
        <is>
          <t>2025-12-01</t>
        </is>
      </c>
      <c r="G1245" t="n">
        <v>215</v>
      </c>
      <c r="H1245" t="inlineStr">
        <is>
          <t>Y</t>
        </is>
      </c>
      <c r="I1245">
        <f>HYPERLINK("https://admin.shopify.com/store/ge-beauty-cosmeticos/customers/9917776593216","abrir")</f>
        <v/>
      </c>
      <c r="J1245">
        <f>HYPERLINK("https://www.gebeauty.com.br/products/primer-liso-intacto?ref=review","review")</f>
        <v/>
      </c>
      <c r="K1245" t="inlineStr">
        <is>
          <t>SEND</t>
        </is>
      </c>
    </row>
    <row r="1246">
      <c r="A1246" t="inlineStr">
        <is>
          <t>Carolina</t>
        </is>
      </c>
      <c r="B1246" t="inlineStr">
        <is>
          <t>+5521999142172</t>
        </is>
      </c>
      <c r="C1246" t="inlineStr">
        <is>
          <t>Refill</t>
        </is>
      </c>
      <c r="D1246" t="inlineStr">
        <is>
          <t>Primer Liso</t>
        </is>
      </c>
      <c r="E1246" t="n">
        <v>1</v>
      </c>
      <c r="F1246" t="inlineStr">
        <is>
          <t>2025-12-01</t>
        </is>
      </c>
      <c r="G1246" t="n">
        <v>215</v>
      </c>
      <c r="H1246" t="inlineStr">
        <is>
          <t>Y</t>
        </is>
      </c>
      <c r="I1246">
        <f>HYPERLINK("https://admin.shopify.com/store/ge-beauty-cosmeticos/customers/9486474346816","abrir")</f>
        <v/>
      </c>
      <c r="J1246">
        <f>HYPERLINK("https://www.gebeauty.com.br/products/primer-liso-intacto?ref=review","review")</f>
        <v/>
      </c>
      <c r="K1246" t="inlineStr">
        <is>
          <t>SEND</t>
        </is>
      </c>
    </row>
    <row r="1247">
      <c r="A1247" t="inlineStr">
        <is>
          <t>Priscilla</t>
        </is>
      </c>
      <c r="B1247" t="inlineStr">
        <is>
          <t>+5583987029887</t>
        </is>
      </c>
      <c r="C1247" t="inlineStr">
        <is>
          <t>Refill</t>
        </is>
      </c>
      <c r="D1247" t="inlineStr">
        <is>
          <t>Primer Liso</t>
        </is>
      </c>
      <c r="E1247" t="n">
        <v>1</v>
      </c>
      <c r="F1247" t="inlineStr">
        <is>
          <t>2025-12-01</t>
        </is>
      </c>
      <c r="G1247" t="n">
        <v>215</v>
      </c>
      <c r="H1247" t="inlineStr">
        <is>
          <t>Y</t>
        </is>
      </c>
      <c r="I1247">
        <f>HYPERLINK("https://admin.shopify.com/store/ge-beauty-cosmeticos/customers/9917768630592","abrir")</f>
        <v/>
      </c>
      <c r="J1247">
        <f>HYPERLINK("https://www.gebeauty.com.br/products/primer-liso-intacto?ref=review","review")</f>
        <v/>
      </c>
      <c r="K1247" t="inlineStr">
        <is>
          <t>SEND</t>
        </is>
      </c>
    </row>
    <row r="1248">
      <c r="A1248" t="inlineStr">
        <is>
          <t>Victoria</t>
        </is>
      </c>
      <c r="B1248" t="inlineStr">
        <is>
          <t>+5531998423556</t>
        </is>
      </c>
      <c r="C1248" t="inlineStr">
        <is>
          <t>Refill</t>
        </is>
      </c>
      <c r="D1248" t="inlineStr">
        <is>
          <t>Primer Liso</t>
        </is>
      </c>
      <c r="E1248" t="n">
        <v>1</v>
      </c>
      <c r="F1248" t="inlineStr">
        <is>
          <t>2025-12-01</t>
        </is>
      </c>
      <c r="G1248" t="n">
        <v>215</v>
      </c>
      <c r="H1248" t="inlineStr">
        <is>
          <t>Y</t>
        </is>
      </c>
      <c r="I1248">
        <f>HYPERLINK("https://admin.shopify.com/store/ge-beauty-cosmeticos/customers/9916966994240","abrir")</f>
        <v/>
      </c>
      <c r="J1248">
        <f>HYPERLINK("https://www.gebeauty.com.br/products/primer-liso-intacto?ref=review","review")</f>
        <v/>
      </c>
      <c r="K1248" t="inlineStr">
        <is>
          <t>SEND</t>
        </is>
      </c>
    </row>
    <row r="1249">
      <c r="A1249" t="inlineStr">
        <is>
          <t>Joana</t>
        </is>
      </c>
      <c r="B1249" t="inlineStr">
        <is>
          <t>+5521997471033</t>
        </is>
      </c>
      <c r="C1249" t="inlineStr">
        <is>
          <t>Refill</t>
        </is>
      </c>
      <c r="D1249" t="inlineStr">
        <is>
          <t>Primer Liso</t>
        </is>
      </c>
      <c r="E1249" t="n">
        <v>1</v>
      </c>
      <c r="F1249" t="inlineStr">
        <is>
          <t>2025-12-01</t>
        </is>
      </c>
      <c r="G1249" t="n">
        <v>215</v>
      </c>
      <c r="H1249" t="inlineStr">
        <is>
          <t>Y</t>
        </is>
      </c>
      <c r="I1249">
        <f>HYPERLINK("https://admin.shopify.com/store/ge-beauty-cosmeticos/customers/9918840176960","abrir")</f>
        <v/>
      </c>
      <c r="J1249">
        <f>HYPERLINK("https://www.gebeauty.com.br/products/primer-liso-intacto?ref=review","review")</f>
        <v/>
      </c>
      <c r="K1249" t="inlineStr">
        <is>
          <t>SEND</t>
        </is>
      </c>
    </row>
    <row r="1250">
      <c r="A1250" t="inlineStr">
        <is>
          <t>Bruno</t>
        </is>
      </c>
      <c r="B1250" t="inlineStr">
        <is>
          <t>+5511949805646</t>
        </is>
      </c>
      <c r="C1250" t="inlineStr">
        <is>
          <t>Refill</t>
        </is>
      </c>
      <c r="D1250" t="inlineStr">
        <is>
          <t>Primer Liso</t>
        </is>
      </c>
      <c r="E1250" t="n">
        <v>1</v>
      </c>
      <c r="F1250" t="inlineStr">
        <is>
          <t>2025-12-01</t>
        </is>
      </c>
      <c r="G1250" t="n">
        <v>215</v>
      </c>
      <c r="H1250" t="inlineStr">
        <is>
          <t>Y</t>
        </is>
      </c>
      <c r="I1250">
        <f>HYPERLINK("https://admin.shopify.com/store/ge-beauty-cosmeticos/customers/9918982291776","abrir")</f>
        <v/>
      </c>
      <c r="J1250">
        <f>HYPERLINK("https://www.gebeauty.com.br/products/primer-liso-intacto?ref=review","review")</f>
        <v/>
      </c>
      <c r="K1250" t="inlineStr">
        <is>
          <t>SEND</t>
        </is>
      </c>
    </row>
    <row r="1251">
      <c r="A1251" t="inlineStr">
        <is>
          <t>Marianna</t>
        </is>
      </c>
      <c r="B1251" t="inlineStr">
        <is>
          <t>+5538991163216</t>
        </is>
      </c>
      <c r="C1251" t="inlineStr">
        <is>
          <t>Refill</t>
        </is>
      </c>
      <c r="D1251" t="inlineStr">
        <is>
          <t>Primer Liso</t>
        </is>
      </c>
      <c r="E1251" t="n">
        <v>1</v>
      </c>
      <c r="F1251" t="inlineStr">
        <is>
          <t>2025-12-01</t>
        </is>
      </c>
      <c r="G1251" t="n">
        <v>215</v>
      </c>
      <c r="H1251" t="inlineStr">
        <is>
          <t>Y</t>
        </is>
      </c>
      <c r="I1251">
        <f>HYPERLINK("https://admin.shopify.com/store/ge-beauty-cosmeticos/customers/9914498285888","abrir")</f>
        <v/>
      </c>
      <c r="J1251">
        <f>HYPERLINK("https://www.gebeauty.com.br/products/primer-liso-intacto?ref=review","review")</f>
        <v/>
      </c>
      <c r="K1251" t="inlineStr">
        <is>
          <t>SEND</t>
        </is>
      </c>
    </row>
    <row r="1252">
      <c r="A1252" t="inlineStr">
        <is>
          <t>Bruna</t>
        </is>
      </c>
      <c r="B1252" t="inlineStr">
        <is>
          <t>+5528999332523</t>
        </is>
      </c>
      <c r="C1252" t="inlineStr">
        <is>
          <t>Refill</t>
        </is>
      </c>
      <c r="D1252" t="inlineStr">
        <is>
          <t>Primer Liso</t>
        </is>
      </c>
      <c r="E1252" t="n">
        <v>1</v>
      </c>
      <c r="F1252" t="inlineStr">
        <is>
          <t>2025-12-01</t>
        </is>
      </c>
      <c r="G1252" t="n">
        <v>215</v>
      </c>
      <c r="H1252" t="inlineStr">
        <is>
          <t>Y</t>
        </is>
      </c>
      <c r="I1252">
        <f>HYPERLINK("https://admin.shopify.com/store/ge-beauty-cosmeticos/customers/9749267415360","abrir")</f>
        <v/>
      </c>
      <c r="J1252">
        <f>HYPERLINK("https://www.gebeauty.com.br/products/primer-liso-intacto?ref=review","review")</f>
        <v/>
      </c>
      <c r="K1252" t="inlineStr">
        <is>
          <t>SEND</t>
        </is>
      </c>
    </row>
    <row r="1253">
      <c r="A1253" t="inlineStr">
        <is>
          <t>Camila</t>
        </is>
      </c>
      <c r="B1253" t="inlineStr">
        <is>
          <t>+5579991112405</t>
        </is>
      </c>
      <c r="C1253" t="inlineStr">
        <is>
          <t>Refill</t>
        </is>
      </c>
      <c r="D1253" t="inlineStr">
        <is>
          <t>Primer Liso</t>
        </is>
      </c>
      <c r="E1253" t="n">
        <v>1</v>
      </c>
      <c r="F1253" t="inlineStr">
        <is>
          <t>2025-12-01</t>
        </is>
      </c>
      <c r="G1253" t="n">
        <v>215</v>
      </c>
      <c r="H1253" t="inlineStr">
        <is>
          <t>Y</t>
        </is>
      </c>
      <c r="I1253">
        <f>HYPERLINK("https://admin.shopify.com/store/ge-beauty-cosmeticos/customers/9916874096960","abrir")</f>
        <v/>
      </c>
      <c r="J1253">
        <f>HYPERLINK("https://www.gebeauty.com.br/products/primer-liso-intacto?ref=review","review")</f>
        <v/>
      </c>
      <c r="K1253" t="inlineStr">
        <is>
          <t>SEND</t>
        </is>
      </c>
    </row>
    <row r="1254">
      <c r="A1254" t="inlineStr">
        <is>
          <t>Paula</t>
        </is>
      </c>
      <c r="B1254" t="inlineStr">
        <is>
          <t>+5581996778813</t>
        </is>
      </c>
      <c r="C1254" t="inlineStr">
        <is>
          <t>Refill</t>
        </is>
      </c>
      <c r="D1254" t="inlineStr">
        <is>
          <t>Primer Liso</t>
        </is>
      </c>
      <c r="E1254" t="n">
        <v>1</v>
      </c>
      <c r="F1254" t="inlineStr">
        <is>
          <t>2025-12-01</t>
        </is>
      </c>
      <c r="G1254" t="n">
        <v>215</v>
      </c>
      <c r="H1254" t="inlineStr">
        <is>
          <t>Y</t>
        </is>
      </c>
      <c r="I1254">
        <f>HYPERLINK("https://admin.shopify.com/store/ge-beauty-cosmeticos/customers/9486017167680","abrir")</f>
        <v/>
      </c>
      <c r="J1254">
        <f>HYPERLINK("https://www.gebeauty.com.br/products/primer-liso-intacto?ref=review","review")</f>
        <v/>
      </c>
      <c r="K1254" t="inlineStr">
        <is>
          <t>SEND</t>
        </is>
      </c>
    </row>
    <row r="1255">
      <c r="A1255" t="inlineStr">
        <is>
          <t>Ana</t>
        </is>
      </c>
      <c r="B1255" t="inlineStr">
        <is>
          <t>+5584999402919</t>
        </is>
      </c>
      <c r="C1255" t="inlineStr">
        <is>
          <t>Refill</t>
        </is>
      </c>
      <c r="D1255" t="inlineStr">
        <is>
          <t>Primer Liso</t>
        </is>
      </c>
      <c r="E1255" t="n">
        <v>1</v>
      </c>
      <c r="F1255" t="inlineStr">
        <is>
          <t>2025-12-01</t>
        </is>
      </c>
      <c r="G1255" t="n">
        <v>215</v>
      </c>
      <c r="H1255" t="inlineStr">
        <is>
          <t>Y</t>
        </is>
      </c>
      <c r="I1255">
        <f>HYPERLINK("https://admin.shopify.com/store/ge-beauty-cosmeticos/customers/9906542149952","abrir")</f>
        <v/>
      </c>
      <c r="J1255">
        <f>HYPERLINK("https://www.gebeauty.com.br/products/primer-liso-intacto?ref=review","review")</f>
        <v/>
      </c>
      <c r="K1255" t="inlineStr">
        <is>
          <t>SEND</t>
        </is>
      </c>
    </row>
    <row r="1256">
      <c r="A1256" t="inlineStr">
        <is>
          <t>Carla</t>
        </is>
      </c>
      <c r="B1256" t="inlineStr">
        <is>
          <t>+5511995439294</t>
        </is>
      </c>
      <c r="C1256" t="inlineStr">
        <is>
          <t>Refill</t>
        </is>
      </c>
      <c r="D1256" t="inlineStr">
        <is>
          <t>Primer Liso</t>
        </is>
      </c>
      <c r="E1256" t="n">
        <v>1</v>
      </c>
      <c r="F1256" t="inlineStr">
        <is>
          <t>2025-12-01</t>
        </is>
      </c>
      <c r="G1256" t="n">
        <v>215</v>
      </c>
      <c r="H1256" t="inlineStr">
        <is>
          <t>Y</t>
        </is>
      </c>
      <c r="I1256">
        <f>HYPERLINK("https://admin.shopify.com/store/ge-beauty-cosmeticos/customers/9799997292864","abrir")</f>
        <v/>
      </c>
      <c r="J1256">
        <f>HYPERLINK("https://www.gebeauty.com.br/products/primer-liso-intacto?ref=review","review")</f>
        <v/>
      </c>
      <c r="K1256" t="inlineStr">
        <is>
          <t>SEND</t>
        </is>
      </c>
    </row>
    <row r="1257">
      <c r="A1257" t="inlineStr">
        <is>
          <t>Luisa</t>
        </is>
      </c>
      <c r="B1257" t="inlineStr">
        <is>
          <t>+5581999762325</t>
        </is>
      </c>
      <c r="C1257" t="inlineStr">
        <is>
          <t>Refill</t>
        </is>
      </c>
      <c r="D1257" t="inlineStr">
        <is>
          <t>Primer Liso</t>
        </is>
      </c>
      <c r="E1257" t="n">
        <v>1</v>
      </c>
      <c r="F1257" t="inlineStr">
        <is>
          <t>2025-12-01</t>
        </is>
      </c>
      <c r="G1257" t="n">
        <v>215</v>
      </c>
      <c r="H1257" t="inlineStr">
        <is>
          <t>Y</t>
        </is>
      </c>
      <c r="I1257">
        <f>HYPERLINK("https://admin.shopify.com/store/ge-beauty-cosmeticos/customers/9919788548416","abrir")</f>
        <v/>
      </c>
      <c r="J1257">
        <f>HYPERLINK("https://www.gebeauty.com.br/products/primer-liso-intacto?ref=review","review")</f>
        <v/>
      </c>
      <c r="K1257" t="inlineStr">
        <is>
          <t>SEND</t>
        </is>
      </c>
    </row>
    <row r="1258">
      <c r="A1258" t="inlineStr">
        <is>
          <t>Barbara</t>
        </is>
      </c>
      <c r="B1258" t="inlineStr">
        <is>
          <t>+5554999726803</t>
        </is>
      </c>
      <c r="C1258" t="inlineStr">
        <is>
          <t>Refill</t>
        </is>
      </c>
      <c r="D1258" t="inlineStr">
        <is>
          <t>Primer Liso</t>
        </is>
      </c>
      <c r="E1258" t="n">
        <v>1</v>
      </c>
      <c r="F1258" t="inlineStr">
        <is>
          <t>2025-12-01</t>
        </is>
      </c>
      <c r="G1258" t="n">
        <v>215</v>
      </c>
      <c r="H1258" t="inlineStr">
        <is>
          <t>Y</t>
        </is>
      </c>
      <c r="I1258">
        <f>HYPERLINK("https://admin.shopify.com/store/ge-beauty-cosmeticos/customers/9918794203456","abrir")</f>
        <v/>
      </c>
      <c r="J1258">
        <f>HYPERLINK("https://www.gebeauty.com.br/products/primer-liso-intacto?ref=review","review")</f>
        <v/>
      </c>
      <c r="K1258" t="inlineStr">
        <is>
          <t>SEND</t>
        </is>
      </c>
    </row>
    <row r="1259">
      <c r="A1259" t="inlineStr">
        <is>
          <t>Rafaela</t>
        </is>
      </c>
      <c r="B1259" t="inlineStr">
        <is>
          <t>+5511979930438</t>
        </is>
      </c>
      <c r="C1259" t="inlineStr">
        <is>
          <t>Refill</t>
        </is>
      </c>
      <c r="D1259" t="inlineStr">
        <is>
          <t>Primer Liso</t>
        </is>
      </c>
      <c r="E1259" t="n">
        <v>1</v>
      </c>
      <c r="F1259" t="inlineStr">
        <is>
          <t>2025-12-01</t>
        </is>
      </c>
      <c r="G1259" t="n">
        <v>215</v>
      </c>
      <c r="H1259" t="inlineStr">
        <is>
          <t>Y</t>
        </is>
      </c>
      <c r="I1259">
        <f>HYPERLINK("https://admin.shopify.com/store/ge-beauty-cosmeticos/customers/7760685400384","abrir")</f>
        <v/>
      </c>
      <c r="J1259">
        <f>HYPERLINK("https://www.gebeauty.com.br/products/primer-liso-intacto?ref=review","review")</f>
        <v/>
      </c>
      <c r="K1259" t="inlineStr">
        <is>
          <t>SEND</t>
        </is>
      </c>
    </row>
    <row r="1260">
      <c r="A1260" t="inlineStr">
        <is>
          <t>Gabriela</t>
        </is>
      </c>
      <c r="B1260" t="inlineStr">
        <is>
          <t>+5515997901208</t>
        </is>
      </c>
      <c r="C1260" t="inlineStr">
        <is>
          <t>Refill</t>
        </is>
      </c>
      <c r="D1260" t="inlineStr">
        <is>
          <t>Primer Liso</t>
        </is>
      </c>
      <c r="E1260" t="n">
        <v>1</v>
      </c>
      <c r="F1260" t="inlineStr">
        <is>
          <t>2025-12-01</t>
        </is>
      </c>
      <c r="G1260" t="n">
        <v>215</v>
      </c>
      <c r="H1260" t="inlineStr">
        <is>
          <t>Y</t>
        </is>
      </c>
      <c r="I1260">
        <f>HYPERLINK("https://admin.shopify.com/store/ge-beauty-cosmeticos/customers/9484609945920","abrir")</f>
        <v/>
      </c>
      <c r="J1260">
        <f>HYPERLINK("https://www.gebeauty.com.br/products/primer-liso-intacto?ref=review","review")</f>
        <v/>
      </c>
      <c r="K1260" t="inlineStr">
        <is>
          <t>SEND</t>
        </is>
      </c>
    </row>
    <row r="1261">
      <c r="A1261" t="inlineStr">
        <is>
          <t>Rafaela</t>
        </is>
      </c>
      <c r="B1261" t="inlineStr">
        <is>
          <t>+5571981812086</t>
        </is>
      </c>
      <c r="C1261" t="inlineStr">
        <is>
          <t>Refill</t>
        </is>
      </c>
      <c r="D1261" t="inlineStr">
        <is>
          <t>Primer Liso</t>
        </is>
      </c>
      <c r="E1261" t="n">
        <v>1</v>
      </c>
      <c r="F1261" t="inlineStr">
        <is>
          <t>2025-12-01</t>
        </is>
      </c>
      <c r="G1261" t="n">
        <v>215</v>
      </c>
      <c r="H1261" t="inlineStr">
        <is>
          <t>Y</t>
        </is>
      </c>
      <c r="I1261">
        <f>HYPERLINK("https://admin.shopify.com/store/ge-beauty-cosmeticos/customers/7761578328384","abrir")</f>
        <v/>
      </c>
      <c r="J1261">
        <f>HYPERLINK("https://www.gebeauty.com.br/products/primer-liso-intacto?ref=review","review")</f>
        <v/>
      </c>
      <c r="K1261" t="inlineStr">
        <is>
          <t>SEND</t>
        </is>
      </c>
    </row>
    <row r="1262">
      <c r="A1262" t="inlineStr">
        <is>
          <t>Ligia</t>
        </is>
      </c>
      <c r="B1262" t="inlineStr">
        <is>
          <t>+5518997086061</t>
        </is>
      </c>
      <c r="C1262" t="inlineStr">
        <is>
          <t>Refill</t>
        </is>
      </c>
      <c r="D1262" t="inlineStr">
        <is>
          <t>Primer Liso</t>
        </is>
      </c>
      <c r="E1262" t="n">
        <v>1</v>
      </c>
      <c r="F1262" t="inlineStr">
        <is>
          <t>2025-12-01</t>
        </is>
      </c>
      <c r="G1262" t="n">
        <v>215</v>
      </c>
      <c r="H1262" t="inlineStr">
        <is>
          <t>Y</t>
        </is>
      </c>
      <c r="I1262">
        <f>HYPERLINK("https://admin.shopify.com/store/ge-beauty-cosmeticos/customers/9916644000064","abrir")</f>
        <v/>
      </c>
      <c r="J1262">
        <f>HYPERLINK("https://www.gebeauty.com.br/products/primer-liso-intacto?ref=review","review")</f>
        <v/>
      </c>
      <c r="K1262" t="inlineStr">
        <is>
          <t>SEND</t>
        </is>
      </c>
    </row>
    <row r="1263">
      <c r="A1263" t="inlineStr">
        <is>
          <t>Maria Helena</t>
        </is>
      </c>
      <c r="B1263" t="inlineStr">
        <is>
          <t>+5516982211010</t>
        </is>
      </c>
      <c r="C1263" t="inlineStr">
        <is>
          <t>Refill</t>
        </is>
      </c>
      <c r="D1263" t="inlineStr">
        <is>
          <t>Primer Liso</t>
        </is>
      </c>
      <c r="E1263" t="n">
        <v>1</v>
      </c>
      <c r="F1263" t="inlineStr">
        <is>
          <t>2025-12-01</t>
        </is>
      </c>
      <c r="G1263" t="n">
        <v>215</v>
      </c>
      <c r="H1263" t="inlineStr">
        <is>
          <t>Y</t>
        </is>
      </c>
      <c r="I1263">
        <f>HYPERLINK("https://admin.shopify.com/store/ge-beauty-cosmeticos/customers/9920293011776","abrir")</f>
        <v/>
      </c>
      <c r="J1263">
        <f>HYPERLINK("https://www.gebeauty.com.br/products/primer-liso-intacto?ref=review","review")</f>
        <v/>
      </c>
      <c r="K1263" t="inlineStr">
        <is>
          <t>SEND</t>
        </is>
      </c>
    </row>
    <row r="1264">
      <c r="A1264" t="inlineStr">
        <is>
          <t>Luana</t>
        </is>
      </c>
      <c r="B1264" t="inlineStr">
        <is>
          <t>+5574988044930</t>
        </is>
      </c>
      <c r="C1264" t="inlineStr">
        <is>
          <t>Refill</t>
        </is>
      </c>
      <c r="D1264" t="inlineStr">
        <is>
          <t>Primer Liso</t>
        </is>
      </c>
      <c r="E1264" t="n">
        <v>1</v>
      </c>
      <c r="F1264" t="inlineStr">
        <is>
          <t>2025-12-01</t>
        </is>
      </c>
      <c r="G1264" t="n">
        <v>215</v>
      </c>
      <c r="H1264" t="inlineStr">
        <is>
          <t>Y</t>
        </is>
      </c>
      <c r="I1264">
        <f>HYPERLINK("https://admin.shopify.com/store/ge-beauty-cosmeticos/customers/9485099106624","abrir")</f>
        <v/>
      </c>
      <c r="J1264">
        <f>HYPERLINK("https://www.gebeauty.com.br/products/primer-liso-intacto?ref=review","review")</f>
        <v/>
      </c>
      <c r="K1264" t="inlineStr">
        <is>
          <t>SEND</t>
        </is>
      </c>
    </row>
    <row r="1265">
      <c r="A1265" t="inlineStr">
        <is>
          <t>Larissa</t>
        </is>
      </c>
      <c r="B1265" t="inlineStr">
        <is>
          <t>+5531996959031</t>
        </is>
      </c>
      <c r="C1265" t="inlineStr">
        <is>
          <t>Refill</t>
        </is>
      </c>
      <c r="D1265" t="inlineStr">
        <is>
          <t>Primer Liso</t>
        </is>
      </c>
      <c r="E1265" t="n">
        <v>1</v>
      </c>
      <c r="F1265" t="inlineStr">
        <is>
          <t>2025-12-01</t>
        </is>
      </c>
      <c r="G1265" t="n">
        <v>215</v>
      </c>
      <c r="H1265" t="inlineStr">
        <is>
          <t>Y</t>
        </is>
      </c>
      <c r="I1265">
        <f>HYPERLINK("https://admin.shopify.com/store/ge-beauty-cosmeticos/customers/9920648806720","abrir")</f>
        <v/>
      </c>
      <c r="J1265">
        <f>HYPERLINK("https://www.gebeauty.com.br/products/primer-liso-intacto?ref=review","review")</f>
        <v/>
      </c>
      <c r="K1265" t="inlineStr">
        <is>
          <t>SEND</t>
        </is>
      </c>
    </row>
    <row r="1266">
      <c r="A1266" t="inlineStr">
        <is>
          <t>Aglaupy</t>
        </is>
      </c>
      <c r="B1266" t="inlineStr">
        <is>
          <t>+5581999999552</t>
        </is>
      </c>
      <c r="C1266" t="inlineStr">
        <is>
          <t>Refill</t>
        </is>
      </c>
      <c r="D1266" t="inlineStr">
        <is>
          <t>Primer Liso</t>
        </is>
      </c>
      <c r="E1266" t="n">
        <v>1</v>
      </c>
      <c r="F1266" t="inlineStr">
        <is>
          <t>2025-12-01</t>
        </is>
      </c>
      <c r="G1266" t="n">
        <v>215</v>
      </c>
      <c r="H1266" t="inlineStr">
        <is>
          <t>Y</t>
        </is>
      </c>
      <c r="I1266">
        <f>HYPERLINK("https://admin.shopify.com/store/ge-beauty-cosmeticos/customers/9920840073536","abrir")</f>
        <v/>
      </c>
      <c r="J1266">
        <f>HYPERLINK("https://www.gebeauty.com.br/products/primer-liso-intacto?ref=review","review")</f>
        <v/>
      </c>
      <c r="K1266" t="inlineStr">
        <is>
          <t>SEND</t>
        </is>
      </c>
    </row>
    <row r="1267">
      <c r="A1267" t="inlineStr">
        <is>
          <t>Cristine</t>
        </is>
      </c>
      <c r="B1267" t="inlineStr">
        <is>
          <t>+5585988594824</t>
        </is>
      </c>
      <c r="C1267" t="inlineStr">
        <is>
          <t>Refill</t>
        </is>
      </c>
      <c r="D1267" t="inlineStr">
        <is>
          <t>Primer Liso</t>
        </is>
      </c>
      <c r="E1267" t="n">
        <v>1</v>
      </c>
      <c r="F1267" t="inlineStr">
        <is>
          <t>2025-12-02</t>
        </is>
      </c>
      <c r="G1267" t="n">
        <v>214</v>
      </c>
      <c r="H1267" t="inlineStr">
        <is>
          <t>Y</t>
        </is>
      </c>
      <c r="I1267">
        <f>HYPERLINK("https://admin.shopify.com/store/ge-beauty-cosmeticos/customers/9920948502848","abrir")</f>
        <v/>
      </c>
      <c r="J1267">
        <f>HYPERLINK("https://www.gebeauty.com.br/products/primer-liso-intacto?ref=review","review")</f>
        <v/>
      </c>
      <c r="K1267" t="inlineStr">
        <is>
          <t>SEND</t>
        </is>
      </c>
    </row>
    <row r="1268">
      <c r="A1268" t="inlineStr">
        <is>
          <t>Rachel</t>
        </is>
      </c>
      <c r="B1268" t="inlineStr">
        <is>
          <t>+5521967496739</t>
        </is>
      </c>
      <c r="C1268" t="inlineStr">
        <is>
          <t>Refill</t>
        </is>
      </c>
      <c r="D1268" t="inlineStr">
        <is>
          <t>Primer Liso</t>
        </is>
      </c>
      <c r="E1268" t="n">
        <v>1</v>
      </c>
      <c r="F1268" t="inlineStr">
        <is>
          <t>2025-12-02</t>
        </is>
      </c>
      <c r="G1268" t="n">
        <v>214</v>
      </c>
      <c r="H1268" t="inlineStr">
        <is>
          <t>Y</t>
        </is>
      </c>
      <c r="I1268">
        <f>HYPERLINK("https://admin.shopify.com/store/ge-beauty-cosmeticos/customers/9920953188672","abrir")</f>
        <v/>
      </c>
      <c r="J1268">
        <f>HYPERLINK("https://www.gebeauty.com.br/products/primer-liso-intacto?ref=review","review")</f>
        <v/>
      </c>
      <c r="K1268" t="inlineStr">
        <is>
          <t>SEND</t>
        </is>
      </c>
    </row>
    <row r="1269">
      <c r="A1269" t="inlineStr">
        <is>
          <t>Renata</t>
        </is>
      </c>
      <c r="B1269" t="inlineStr">
        <is>
          <t>+5535992001717</t>
        </is>
      </c>
      <c r="C1269" t="inlineStr">
        <is>
          <t>Refill</t>
        </is>
      </c>
      <c r="D1269" t="inlineStr">
        <is>
          <t>Primer Liso</t>
        </is>
      </c>
      <c r="E1269" t="n">
        <v>1</v>
      </c>
      <c r="F1269" t="inlineStr">
        <is>
          <t>2025-12-02</t>
        </is>
      </c>
      <c r="G1269" t="n">
        <v>214</v>
      </c>
      <c r="H1269" t="inlineStr">
        <is>
          <t>Y</t>
        </is>
      </c>
      <c r="I1269">
        <f>HYPERLINK("https://admin.shopify.com/store/ge-beauty-cosmeticos/customers/9920968556864","abrir")</f>
        <v/>
      </c>
      <c r="J1269">
        <f>HYPERLINK("https://www.gebeauty.com.br/products/primer-liso-intacto?ref=review","review")</f>
        <v/>
      </c>
      <c r="K1269" t="inlineStr">
        <is>
          <t>SEND</t>
        </is>
      </c>
    </row>
    <row r="1270">
      <c r="A1270" t="inlineStr">
        <is>
          <t>Thayse</t>
        </is>
      </c>
      <c r="B1270" t="inlineStr">
        <is>
          <t>+5571991514592</t>
        </is>
      </c>
      <c r="C1270" t="inlineStr">
        <is>
          <t>Refill</t>
        </is>
      </c>
      <c r="D1270" t="inlineStr">
        <is>
          <t>Primer Liso</t>
        </is>
      </c>
      <c r="E1270" t="n">
        <v>1</v>
      </c>
      <c r="F1270" t="inlineStr">
        <is>
          <t>2025-12-02</t>
        </is>
      </c>
      <c r="G1270" t="n">
        <v>214</v>
      </c>
      <c r="H1270" t="inlineStr">
        <is>
          <t>Y</t>
        </is>
      </c>
      <c r="I1270">
        <f>HYPERLINK("https://admin.shopify.com/store/ge-beauty-cosmeticos/customers/9486643036480","abrir")</f>
        <v/>
      </c>
      <c r="J1270">
        <f>HYPERLINK("https://www.gebeauty.com.br/products/primer-liso-intacto?ref=review","review")</f>
        <v/>
      </c>
      <c r="K1270" t="inlineStr">
        <is>
          <t>SEND</t>
        </is>
      </c>
    </row>
    <row r="1271">
      <c r="A1271" t="inlineStr">
        <is>
          <t>Alice</t>
        </is>
      </c>
      <c r="B1271" t="inlineStr">
        <is>
          <t>+5511916121606</t>
        </is>
      </c>
      <c r="C1271" t="inlineStr">
        <is>
          <t>Refill</t>
        </is>
      </c>
      <c r="D1271" t="inlineStr">
        <is>
          <t>Primer Liso</t>
        </is>
      </c>
      <c r="E1271" t="n">
        <v>1</v>
      </c>
      <c r="F1271" t="inlineStr">
        <is>
          <t>2025-12-02</t>
        </is>
      </c>
      <c r="G1271" t="n">
        <v>214</v>
      </c>
      <c r="H1271" t="inlineStr">
        <is>
          <t>Y</t>
        </is>
      </c>
      <c r="I1271">
        <f>HYPERLINK("https://admin.shopify.com/store/ge-beauty-cosmeticos/customers/9921163034944","abrir")</f>
        <v/>
      </c>
      <c r="J1271">
        <f>HYPERLINK("https://www.gebeauty.com.br/products/primer-liso-intacto?ref=review","review")</f>
        <v/>
      </c>
      <c r="K1271" t="inlineStr">
        <is>
          <t>SEND</t>
        </is>
      </c>
    </row>
    <row r="1272">
      <c r="A1272" t="inlineStr">
        <is>
          <t>Maria</t>
        </is>
      </c>
      <c r="B1272" t="inlineStr">
        <is>
          <t>+5521996606094</t>
        </is>
      </c>
      <c r="C1272" t="inlineStr">
        <is>
          <t>Refill</t>
        </is>
      </c>
      <c r="D1272" t="inlineStr">
        <is>
          <t>Primer Liso</t>
        </is>
      </c>
      <c r="E1272" t="n">
        <v>1</v>
      </c>
      <c r="F1272" t="inlineStr">
        <is>
          <t>2025-12-02</t>
        </is>
      </c>
      <c r="G1272" t="n">
        <v>214</v>
      </c>
      <c r="H1272" t="inlineStr">
        <is>
          <t>Y</t>
        </is>
      </c>
      <c r="I1272">
        <f>HYPERLINK("https://admin.shopify.com/store/ge-beauty-cosmeticos/customers/8297796927808","abrir")</f>
        <v/>
      </c>
      <c r="J1272">
        <f>HYPERLINK("https://www.gebeauty.com.br/products/primer-liso-intacto?ref=review","review")</f>
        <v/>
      </c>
      <c r="K1272" t="inlineStr">
        <is>
          <t>SEND</t>
        </is>
      </c>
    </row>
    <row r="1273">
      <c r="A1273" t="inlineStr">
        <is>
          <t>Barbara</t>
        </is>
      </c>
      <c r="B1273" t="inlineStr">
        <is>
          <t>+5513996440465</t>
        </is>
      </c>
      <c r="C1273" t="inlineStr">
        <is>
          <t>Refill</t>
        </is>
      </c>
      <c r="D1273" t="inlineStr">
        <is>
          <t>Primer Liso</t>
        </is>
      </c>
      <c r="E1273" t="n">
        <v>1</v>
      </c>
      <c r="F1273" t="inlineStr">
        <is>
          <t>2025-12-02</t>
        </is>
      </c>
      <c r="G1273" t="n">
        <v>214</v>
      </c>
      <c r="H1273" t="inlineStr">
        <is>
          <t>Y</t>
        </is>
      </c>
      <c r="I1273">
        <f>HYPERLINK("https://admin.shopify.com/store/ge-beauty-cosmeticos/customers/9923342467392","abrir")</f>
        <v/>
      </c>
      <c r="J1273">
        <f>HYPERLINK("https://www.gebeauty.com.br/products/primer-liso-intacto?ref=review","review")</f>
        <v/>
      </c>
      <c r="K1273" t="inlineStr">
        <is>
          <t>SEND</t>
        </is>
      </c>
    </row>
    <row r="1274">
      <c r="A1274" t="inlineStr">
        <is>
          <t>Laura</t>
        </is>
      </c>
      <c r="B1274" t="inlineStr">
        <is>
          <t>+5585999014645</t>
        </is>
      </c>
      <c r="C1274" t="inlineStr">
        <is>
          <t>Refill</t>
        </is>
      </c>
      <c r="D1274" t="inlineStr">
        <is>
          <t>Primer Liso</t>
        </is>
      </c>
      <c r="E1274" t="n">
        <v>1</v>
      </c>
      <c r="F1274" t="inlineStr">
        <is>
          <t>2025-12-03</t>
        </is>
      </c>
      <c r="G1274" t="n">
        <v>213</v>
      </c>
      <c r="H1274" t="inlineStr">
        <is>
          <t>Y</t>
        </is>
      </c>
      <c r="I1274">
        <f>HYPERLINK("https://admin.shopify.com/store/ge-beauty-cosmeticos/customers/7759404532032","abrir")</f>
        <v/>
      </c>
      <c r="J1274">
        <f>HYPERLINK("https://www.gebeauty.com.br/products/primer-liso-intacto?ref=review","review")</f>
        <v/>
      </c>
      <c r="K1274" t="inlineStr">
        <is>
          <t>SEND</t>
        </is>
      </c>
    </row>
    <row r="1275">
      <c r="A1275" t="inlineStr">
        <is>
          <t>Giovanna</t>
        </is>
      </c>
      <c r="B1275" t="inlineStr">
        <is>
          <t>+5585997431052</t>
        </is>
      </c>
      <c r="C1275" t="inlineStr">
        <is>
          <t>Refill</t>
        </is>
      </c>
      <c r="D1275" t="inlineStr">
        <is>
          <t>Primer Liso</t>
        </is>
      </c>
      <c r="E1275" t="n">
        <v>1</v>
      </c>
      <c r="F1275" t="inlineStr">
        <is>
          <t>2025-12-04</t>
        </is>
      </c>
      <c r="G1275" t="n">
        <v>212</v>
      </c>
      <c r="H1275" t="inlineStr">
        <is>
          <t>Y</t>
        </is>
      </c>
      <c r="I1275">
        <f>HYPERLINK("https://admin.shopify.com/store/ge-beauty-cosmeticos/customers/9486044463424","abrir")</f>
        <v/>
      </c>
      <c r="J1275">
        <f>HYPERLINK("https://www.gebeauty.com.br/products/primer-liso-intacto?ref=review","review")</f>
        <v/>
      </c>
      <c r="K1275" t="inlineStr">
        <is>
          <t>HOLDOUT</t>
        </is>
      </c>
    </row>
    <row r="1276">
      <c r="A1276" t="inlineStr">
        <is>
          <t>Alexandra</t>
        </is>
      </c>
      <c r="B1276" t="inlineStr">
        <is>
          <t>+5527996109990</t>
        </is>
      </c>
      <c r="C1276" t="inlineStr">
        <is>
          <t>Refill</t>
        </is>
      </c>
      <c r="D1276" t="inlineStr">
        <is>
          <t>Primer Liso</t>
        </is>
      </c>
      <c r="E1276" t="n">
        <v>1</v>
      </c>
      <c r="F1276" t="inlineStr">
        <is>
          <t>2025-12-04</t>
        </is>
      </c>
      <c r="G1276" t="n">
        <v>212</v>
      </c>
      <c r="H1276" t="inlineStr">
        <is>
          <t>Y</t>
        </is>
      </c>
      <c r="I1276">
        <f>HYPERLINK("https://admin.shopify.com/store/ge-beauty-cosmeticos/customers/9642841604416","abrir")</f>
        <v/>
      </c>
      <c r="J1276">
        <f>HYPERLINK("https://www.gebeauty.com.br/products/primer-liso-intacto?ref=review","review")</f>
        <v/>
      </c>
      <c r="K1276" t="inlineStr">
        <is>
          <t>SEND</t>
        </is>
      </c>
    </row>
    <row r="1277">
      <c r="A1277" t="inlineStr">
        <is>
          <t>Tânia</t>
        </is>
      </c>
      <c r="B1277" t="inlineStr">
        <is>
          <t>+5581994346373</t>
        </is>
      </c>
      <c r="C1277" t="inlineStr">
        <is>
          <t>Refill</t>
        </is>
      </c>
      <c r="D1277" t="inlineStr">
        <is>
          <t>Primer Liso</t>
        </is>
      </c>
      <c r="E1277" t="n">
        <v>1</v>
      </c>
      <c r="F1277" t="inlineStr">
        <is>
          <t>2025-12-04</t>
        </is>
      </c>
      <c r="G1277" t="n">
        <v>212</v>
      </c>
      <c r="H1277" t="inlineStr">
        <is>
          <t>Y</t>
        </is>
      </c>
      <c r="I1277">
        <f>HYPERLINK("https://admin.shopify.com/store/ge-beauty-cosmeticos/customers/9929309225280","abrir")</f>
        <v/>
      </c>
      <c r="J1277">
        <f>HYPERLINK("https://www.gebeauty.com.br/products/primer-liso-intacto?ref=review","review")</f>
        <v/>
      </c>
      <c r="K1277" t="inlineStr">
        <is>
          <t>SEND</t>
        </is>
      </c>
    </row>
    <row r="1278">
      <c r="A1278" t="inlineStr">
        <is>
          <t>Paula</t>
        </is>
      </c>
      <c r="B1278" t="inlineStr">
        <is>
          <t>+5521987675171</t>
        </is>
      </c>
      <c r="C1278" t="inlineStr">
        <is>
          <t>Refill</t>
        </is>
      </c>
      <c r="D1278" t="inlineStr">
        <is>
          <t>Primer Liso</t>
        </is>
      </c>
      <c r="E1278" t="n">
        <v>1</v>
      </c>
      <c r="F1278" t="inlineStr">
        <is>
          <t>2025-12-04</t>
        </is>
      </c>
      <c r="G1278" t="n">
        <v>212</v>
      </c>
      <c r="H1278" t="inlineStr">
        <is>
          <t>Y</t>
        </is>
      </c>
      <c r="I1278">
        <f>HYPERLINK("https://admin.shopify.com/store/ge-beauty-cosmeticos/customers/9929558556992","abrir")</f>
        <v/>
      </c>
      <c r="J1278">
        <f>HYPERLINK("https://www.gebeauty.com.br/products/primer-liso-intacto?ref=review","review")</f>
        <v/>
      </c>
      <c r="K1278" t="inlineStr">
        <is>
          <t>SEND</t>
        </is>
      </c>
    </row>
    <row r="1279">
      <c r="A1279" t="inlineStr">
        <is>
          <t>Beatriz</t>
        </is>
      </c>
      <c r="B1279" t="inlineStr">
        <is>
          <t>+5581986205620</t>
        </is>
      </c>
      <c r="C1279" t="inlineStr">
        <is>
          <t>Refill</t>
        </is>
      </c>
      <c r="D1279" t="inlineStr">
        <is>
          <t>Primer Liso</t>
        </is>
      </c>
      <c r="E1279" t="n">
        <v>1</v>
      </c>
      <c r="F1279" t="inlineStr">
        <is>
          <t>2025-12-04</t>
        </is>
      </c>
      <c r="G1279" t="n">
        <v>212</v>
      </c>
      <c r="H1279" t="inlineStr">
        <is>
          <t>Y</t>
        </is>
      </c>
      <c r="I1279">
        <f>HYPERLINK("https://admin.shopify.com/store/ge-beauty-cosmeticos/customers/8297969156416","abrir")</f>
        <v/>
      </c>
      <c r="J1279">
        <f>HYPERLINK("https://www.gebeauty.com.br/products/primer-liso-intacto?ref=review","review")</f>
        <v/>
      </c>
      <c r="K1279" t="inlineStr">
        <is>
          <t>SEND</t>
        </is>
      </c>
    </row>
    <row r="1280">
      <c r="A1280" t="inlineStr">
        <is>
          <t>Luciana</t>
        </is>
      </c>
      <c r="B1280" t="inlineStr">
        <is>
          <t>+5581981245453</t>
        </is>
      </c>
      <c r="C1280" t="inlineStr">
        <is>
          <t>Refill</t>
        </is>
      </c>
      <c r="D1280" t="inlineStr">
        <is>
          <t>Primer Liso</t>
        </is>
      </c>
      <c r="E1280" t="n">
        <v>1</v>
      </c>
      <c r="F1280" t="inlineStr">
        <is>
          <t>2025-12-04</t>
        </is>
      </c>
      <c r="G1280" t="n">
        <v>212</v>
      </c>
      <c r="H1280" t="inlineStr">
        <is>
          <t>Y</t>
        </is>
      </c>
      <c r="I1280">
        <f>HYPERLINK("https://admin.shopify.com/store/ge-beauty-cosmeticos/customers/9929771352384","abrir")</f>
        <v/>
      </c>
      <c r="J1280">
        <f>HYPERLINK("https://www.gebeauty.com.br/products/primer-liso-intacto?ref=review","review")</f>
        <v/>
      </c>
      <c r="K1280" t="inlineStr">
        <is>
          <t>SEND</t>
        </is>
      </c>
    </row>
    <row r="1281">
      <c r="A1281" t="inlineStr">
        <is>
          <t>Ana</t>
        </is>
      </c>
      <c r="B1281" t="inlineStr">
        <is>
          <t>+5511989030005</t>
        </is>
      </c>
      <c r="C1281" t="inlineStr">
        <is>
          <t>Refill</t>
        </is>
      </c>
      <c r="D1281" t="inlineStr">
        <is>
          <t>Primer Liso</t>
        </is>
      </c>
      <c r="E1281" t="n">
        <v>1</v>
      </c>
      <c r="F1281" t="inlineStr">
        <is>
          <t>2025-12-07</t>
        </is>
      </c>
      <c r="G1281" t="n">
        <v>209</v>
      </c>
      <c r="H1281" t="inlineStr">
        <is>
          <t>Y</t>
        </is>
      </c>
      <c r="I1281">
        <f>HYPERLINK("https://admin.shopify.com/store/ge-beauty-cosmeticos/customers/9929792454976","abrir")</f>
        <v/>
      </c>
      <c r="J1281">
        <f>HYPERLINK("https://www.gebeauty.com.br/products/primer-liso-intacto?ref=review","review")</f>
        <v/>
      </c>
      <c r="K1281" t="inlineStr">
        <is>
          <t>SEND</t>
        </is>
      </c>
    </row>
    <row r="1282">
      <c r="A1282" t="inlineStr">
        <is>
          <t>Ariana</t>
        </is>
      </c>
      <c r="B1282" t="inlineStr">
        <is>
          <t>+5581996856029</t>
        </is>
      </c>
      <c r="C1282" t="inlineStr">
        <is>
          <t>Refill</t>
        </is>
      </c>
      <c r="D1282" t="inlineStr">
        <is>
          <t>Primer Liso</t>
        </is>
      </c>
      <c r="E1282" t="n">
        <v>1</v>
      </c>
      <c r="F1282" t="inlineStr">
        <is>
          <t>2025-12-05</t>
        </is>
      </c>
      <c r="G1282" t="n">
        <v>211</v>
      </c>
      <c r="H1282" t="inlineStr">
        <is>
          <t>Y</t>
        </is>
      </c>
      <c r="I1282">
        <f>HYPERLINK("https://admin.shopify.com/store/ge-beauty-cosmeticos/customers/9931555242304","abrir")</f>
        <v/>
      </c>
      <c r="J1282">
        <f>HYPERLINK("https://www.gebeauty.com.br/products/primer-liso-intacto?ref=review","review")</f>
        <v/>
      </c>
      <c r="K1282" t="inlineStr">
        <is>
          <t>SEND</t>
        </is>
      </c>
    </row>
    <row r="1283">
      <c r="A1283" t="inlineStr">
        <is>
          <t>Amanda</t>
        </is>
      </c>
      <c r="B1283" t="inlineStr">
        <is>
          <t>+5581987861828</t>
        </is>
      </c>
      <c r="C1283" t="inlineStr">
        <is>
          <t>Refill</t>
        </is>
      </c>
      <c r="D1283" t="inlineStr">
        <is>
          <t>Primer Liso</t>
        </is>
      </c>
      <c r="E1283" t="n">
        <v>1</v>
      </c>
      <c r="F1283" t="inlineStr">
        <is>
          <t>2025-12-05</t>
        </is>
      </c>
      <c r="G1283" t="n">
        <v>211</v>
      </c>
      <c r="H1283" t="inlineStr">
        <is>
          <t>Y</t>
        </is>
      </c>
      <c r="I1283">
        <f>HYPERLINK("https://admin.shopify.com/store/ge-beauty-cosmeticos/customers/9932056723776","abrir")</f>
        <v/>
      </c>
      <c r="J1283">
        <f>HYPERLINK("https://www.gebeauty.com.br/products/primer-liso-intacto?ref=review","review")</f>
        <v/>
      </c>
      <c r="K1283" t="inlineStr">
        <is>
          <t>SEND</t>
        </is>
      </c>
    </row>
    <row r="1284">
      <c r="A1284" t="inlineStr">
        <is>
          <t>Giulia</t>
        </is>
      </c>
      <c r="B1284" t="inlineStr">
        <is>
          <t>+5551995490726</t>
        </is>
      </c>
      <c r="C1284" t="inlineStr">
        <is>
          <t>Refill</t>
        </is>
      </c>
      <c r="D1284" t="inlineStr">
        <is>
          <t>Primer Liso</t>
        </is>
      </c>
      <c r="E1284" t="n">
        <v>1</v>
      </c>
      <c r="F1284" t="inlineStr">
        <is>
          <t>2025-12-05</t>
        </is>
      </c>
      <c r="G1284" t="n">
        <v>211</v>
      </c>
      <c r="H1284" t="inlineStr">
        <is>
          <t>Y</t>
        </is>
      </c>
      <c r="I1284">
        <f>HYPERLINK("https://admin.shopify.com/store/ge-beauty-cosmeticos/customers/9926082756928","abrir")</f>
        <v/>
      </c>
      <c r="J1284">
        <f>HYPERLINK("https://www.gebeauty.com.br/products/primer-liso-intacto?ref=review","review")</f>
        <v/>
      </c>
      <c r="K1284" t="inlineStr">
        <is>
          <t>SEND</t>
        </is>
      </c>
    </row>
    <row r="1285">
      <c r="A1285" t="inlineStr">
        <is>
          <t>Mariana</t>
        </is>
      </c>
      <c r="B1285" t="inlineStr">
        <is>
          <t>+5511976270212</t>
        </is>
      </c>
      <c r="C1285" t="inlineStr">
        <is>
          <t>Refill</t>
        </is>
      </c>
      <c r="D1285" t="inlineStr">
        <is>
          <t>Primer Liso</t>
        </is>
      </c>
      <c r="E1285" t="n">
        <v>1</v>
      </c>
      <c r="F1285" t="inlineStr">
        <is>
          <t>2025-12-05</t>
        </is>
      </c>
      <c r="G1285" t="n">
        <v>211</v>
      </c>
      <c r="H1285" t="inlineStr">
        <is>
          <t>Y</t>
        </is>
      </c>
      <c r="I1285">
        <f>HYPERLINK("https://admin.shopify.com/store/ge-beauty-cosmeticos/customers/7761926750528","abrir")</f>
        <v/>
      </c>
      <c r="J1285">
        <f>HYPERLINK("https://www.gebeauty.com.br/products/primer-liso-intacto?ref=review","review")</f>
        <v/>
      </c>
      <c r="K1285" t="inlineStr">
        <is>
          <t>SEND</t>
        </is>
      </c>
    </row>
    <row r="1286">
      <c r="A1286" t="inlineStr">
        <is>
          <t>Natalia</t>
        </is>
      </c>
      <c r="B1286" t="inlineStr">
        <is>
          <t>+5511972881599</t>
        </is>
      </c>
      <c r="C1286" t="inlineStr">
        <is>
          <t>Refill</t>
        </is>
      </c>
      <c r="D1286" t="inlineStr">
        <is>
          <t>Primer Liso</t>
        </is>
      </c>
      <c r="E1286" t="n">
        <v>1</v>
      </c>
      <c r="F1286" t="inlineStr">
        <is>
          <t>2025-12-05</t>
        </is>
      </c>
      <c r="G1286" t="n">
        <v>211</v>
      </c>
      <c r="H1286" t="inlineStr">
        <is>
          <t>Y</t>
        </is>
      </c>
      <c r="I1286">
        <f>HYPERLINK("https://admin.shopify.com/store/ge-beauty-cosmeticos/customers/7760189030720","abrir")</f>
        <v/>
      </c>
      <c r="J1286">
        <f>HYPERLINK("https://www.gebeauty.com.br/products/primer-liso-intacto?ref=review","review")</f>
        <v/>
      </c>
      <c r="K1286" t="inlineStr">
        <is>
          <t>SEND</t>
        </is>
      </c>
    </row>
    <row r="1287">
      <c r="A1287" t="inlineStr">
        <is>
          <t>Fernanda</t>
        </is>
      </c>
      <c r="B1287" t="inlineStr">
        <is>
          <t>+5521987796500</t>
        </is>
      </c>
      <c r="C1287" t="inlineStr">
        <is>
          <t>Refill</t>
        </is>
      </c>
      <c r="D1287" t="inlineStr">
        <is>
          <t>Primer Liso</t>
        </is>
      </c>
      <c r="E1287" t="n">
        <v>1</v>
      </c>
      <c r="F1287" t="inlineStr">
        <is>
          <t>2025-12-05</t>
        </is>
      </c>
      <c r="G1287" t="n">
        <v>211</v>
      </c>
      <c r="H1287" t="inlineStr">
        <is>
          <t>Y</t>
        </is>
      </c>
      <c r="I1287">
        <f>HYPERLINK("https://admin.shopify.com/store/ge-beauty-cosmeticos/customers/9932954927424","abrir")</f>
        <v/>
      </c>
      <c r="J1287">
        <f>HYPERLINK("https://www.gebeauty.com.br/products/primer-liso-intacto?ref=review","review")</f>
        <v/>
      </c>
      <c r="K1287" t="inlineStr">
        <is>
          <t>SEND</t>
        </is>
      </c>
    </row>
    <row r="1288">
      <c r="A1288" t="inlineStr">
        <is>
          <t>Isis Gabrielle</t>
        </is>
      </c>
      <c r="B1288" t="inlineStr">
        <is>
          <t>+5575991480850</t>
        </is>
      </c>
      <c r="C1288" t="inlineStr">
        <is>
          <t>Refill</t>
        </is>
      </c>
      <c r="D1288" t="inlineStr">
        <is>
          <t>Primer Liso</t>
        </is>
      </c>
      <c r="E1288" t="n">
        <v>1</v>
      </c>
      <c r="F1288" t="inlineStr">
        <is>
          <t>2025-12-05</t>
        </is>
      </c>
      <c r="G1288" t="n">
        <v>211</v>
      </c>
      <c r="H1288" t="inlineStr">
        <is>
          <t>Y</t>
        </is>
      </c>
      <c r="I1288">
        <f>HYPERLINK("https://admin.shopify.com/store/ge-beauty-cosmeticos/customers/9933105529152","abrir")</f>
        <v/>
      </c>
      <c r="J1288">
        <f>HYPERLINK("https://www.gebeauty.com.br/products/primer-liso-intacto?ref=review","review")</f>
        <v/>
      </c>
      <c r="K1288" t="inlineStr">
        <is>
          <t>SEND</t>
        </is>
      </c>
    </row>
    <row r="1289">
      <c r="A1289" t="inlineStr">
        <is>
          <t>Maria</t>
        </is>
      </c>
      <c r="B1289" t="inlineStr">
        <is>
          <t>+5521999942580</t>
        </is>
      </c>
      <c r="C1289" t="inlineStr">
        <is>
          <t>Refill</t>
        </is>
      </c>
      <c r="D1289" t="inlineStr">
        <is>
          <t>Primer Liso</t>
        </is>
      </c>
      <c r="E1289" t="n">
        <v>1</v>
      </c>
      <c r="F1289" t="inlineStr">
        <is>
          <t>2025-12-06</t>
        </is>
      </c>
      <c r="G1289" t="n">
        <v>210</v>
      </c>
      <c r="H1289" t="inlineStr">
        <is>
          <t>N</t>
        </is>
      </c>
      <c r="I1289">
        <f>HYPERLINK("https://admin.shopify.com/store/ge-beauty-cosmeticos/customers/9166251295040","abrir")</f>
        <v/>
      </c>
      <c r="J1289">
        <f>HYPERLINK("https://www.gebeauty.com.br/products/primer-liso-intacto?ref=review","review")</f>
        <v/>
      </c>
      <c r="K1289" t="inlineStr">
        <is>
          <t>SEND</t>
        </is>
      </c>
    </row>
    <row r="1290">
      <c r="A1290" t="inlineStr">
        <is>
          <t>Izabella</t>
        </is>
      </c>
      <c r="B1290" t="inlineStr">
        <is>
          <t>+5534988182132</t>
        </is>
      </c>
      <c r="C1290" t="inlineStr">
        <is>
          <t>Refill</t>
        </is>
      </c>
      <c r="D1290" t="inlineStr">
        <is>
          <t>Primer Liso</t>
        </is>
      </c>
      <c r="E1290" t="n">
        <v>1</v>
      </c>
      <c r="F1290" t="inlineStr">
        <is>
          <t>2025-12-06</t>
        </is>
      </c>
      <c r="G1290" t="n">
        <v>210</v>
      </c>
      <c r="H1290" t="inlineStr">
        <is>
          <t>Y</t>
        </is>
      </c>
      <c r="I1290">
        <f>HYPERLINK("https://admin.shopify.com/store/ge-beauty-cosmeticos/customers/9935303639360","abrir")</f>
        <v/>
      </c>
      <c r="J1290">
        <f>HYPERLINK("https://www.gebeauty.com.br/products/primer-liso-intacto?ref=review","review")</f>
        <v/>
      </c>
      <c r="K1290" t="inlineStr">
        <is>
          <t>SEND</t>
        </is>
      </c>
    </row>
    <row r="1291">
      <c r="A1291" t="inlineStr">
        <is>
          <t>Giovanna</t>
        </is>
      </c>
      <c r="B1291" t="inlineStr">
        <is>
          <t>+5583999352002</t>
        </is>
      </c>
      <c r="C1291" t="inlineStr">
        <is>
          <t>Refill</t>
        </is>
      </c>
      <c r="D1291" t="inlineStr">
        <is>
          <t>Primer Liso</t>
        </is>
      </c>
      <c r="E1291" t="n">
        <v>1</v>
      </c>
      <c r="F1291" t="inlineStr">
        <is>
          <t>2025-12-06</t>
        </is>
      </c>
      <c r="G1291" t="n">
        <v>210</v>
      </c>
      <c r="H1291" t="inlineStr">
        <is>
          <t>Y</t>
        </is>
      </c>
      <c r="I1291">
        <f>HYPERLINK("https://admin.shopify.com/store/ge-beauty-cosmeticos/customers/9919412142400","abrir")</f>
        <v/>
      </c>
      <c r="J1291">
        <f>HYPERLINK("https://www.gebeauty.com.br/products/primer-liso-intacto?ref=review","review")</f>
        <v/>
      </c>
      <c r="K1291" t="inlineStr">
        <is>
          <t>SEND</t>
        </is>
      </c>
    </row>
    <row r="1292">
      <c r="A1292" t="inlineStr">
        <is>
          <t>Bárbara</t>
        </is>
      </c>
      <c r="B1292" t="inlineStr">
        <is>
          <t>+5561996097994</t>
        </is>
      </c>
      <c r="C1292" t="inlineStr">
        <is>
          <t>Refill</t>
        </is>
      </c>
      <c r="D1292" t="inlineStr">
        <is>
          <t>Primer Liso</t>
        </is>
      </c>
      <c r="E1292" t="n">
        <v>1</v>
      </c>
      <c r="F1292" t="inlineStr">
        <is>
          <t>2025-12-06</t>
        </is>
      </c>
      <c r="G1292" t="n">
        <v>210</v>
      </c>
      <c r="H1292" t="inlineStr">
        <is>
          <t>Y</t>
        </is>
      </c>
      <c r="I1292">
        <f>HYPERLINK("https://admin.shopify.com/store/ge-beauty-cosmeticos/customers/9936662004032","abrir")</f>
        <v/>
      </c>
      <c r="J1292">
        <f>HYPERLINK("https://www.gebeauty.com.br/products/primer-liso-intacto?ref=review","review")</f>
        <v/>
      </c>
      <c r="K1292" t="inlineStr">
        <is>
          <t>SEND</t>
        </is>
      </c>
    </row>
    <row r="1293">
      <c r="A1293" t="inlineStr">
        <is>
          <t>Dominique</t>
        </is>
      </c>
      <c r="B1293" t="inlineStr">
        <is>
          <t>+5511974444002</t>
        </is>
      </c>
      <c r="C1293" t="inlineStr">
        <is>
          <t>Refill</t>
        </is>
      </c>
      <c r="D1293" t="inlineStr">
        <is>
          <t>Primer Liso</t>
        </is>
      </c>
      <c r="E1293" t="n">
        <v>1</v>
      </c>
      <c r="F1293" t="inlineStr">
        <is>
          <t>2025-12-07</t>
        </is>
      </c>
      <c r="G1293" t="n">
        <v>209</v>
      </c>
      <c r="H1293" t="inlineStr">
        <is>
          <t>Y</t>
        </is>
      </c>
      <c r="I1293">
        <f>HYPERLINK("https://admin.shopify.com/store/ge-beauty-cosmeticos/customers/9485869351232","abrir")</f>
        <v/>
      </c>
      <c r="J1293">
        <f>HYPERLINK("https://www.gebeauty.com.br/products/primer-liso-intacto?ref=review","review")</f>
        <v/>
      </c>
      <c r="K1293" t="inlineStr">
        <is>
          <t>SEND</t>
        </is>
      </c>
    </row>
    <row r="1294">
      <c r="A1294" t="inlineStr">
        <is>
          <t>Camila</t>
        </is>
      </c>
      <c r="B1294" t="inlineStr">
        <is>
          <t>+5532999739496</t>
        </is>
      </c>
      <c r="C1294" t="inlineStr">
        <is>
          <t>Refill</t>
        </is>
      </c>
      <c r="D1294" t="inlineStr">
        <is>
          <t>Primer Liso</t>
        </is>
      </c>
      <c r="E1294" t="n">
        <v>1</v>
      </c>
      <c r="F1294" t="inlineStr">
        <is>
          <t>2025-12-07</t>
        </is>
      </c>
      <c r="G1294" t="n">
        <v>209</v>
      </c>
      <c r="H1294" t="inlineStr">
        <is>
          <t>Y</t>
        </is>
      </c>
      <c r="I1294">
        <f>HYPERLINK("https://admin.shopify.com/store/ge-beauty-cosmeticos/customers/9937845780800","abrir")</f>
        <v/>
      </c>
      <c r="J1294">
        <f>HYPERLINK("https://www.gebeauty.com.br/products/primer-liso-intacto?ref=review","review")</f>
        <v/>
      </c>
      <c r="K1294" t="inlineStr">
        <is>
          <t>SEND</t>
        </is>
      </c>
    </row>
    <row r="1295">
      <c r="A1295" t="inlineStr">
        <is>
          <t>Flávia</t>
        </is>
      </c>
      <c r="B1295" t="inlineStr">
        <is>
          <t>+5571999007070</t>
        </is>
      </c>
      <c r="C1295" t="inlineStr">
        <is>
          <t>Refill</t>
        </is>
      </c>
      <c r="D1295" t="inlineStr">
        <is>
          <t>Primer Liso</t>
        </is>
      </c>
      <c r="E1295" t="n">
        <v>1</v>
      </c>
      <c r="F1295" t="inlineStr">
        <is>
          <t>2025-12-07</t>
        </is>
      </c>
      <c r="G1295" t="n">
        <v>209</v>
      </c>
      <c r="H1295" t="inlineStr">
        <is>
          <t>Y</t>
        </is>
      </c>
      <c r="I1295">
        <f>HYPERLINK("https://admin.shopify.com/store/ge-beauty-cosmeticos/customers/9485926728000","abrir")</f>
        <v/>
      </c>
      <c r="J1295">
        <f>HYPERLINK("https://www.gebeauty.com.br/products/primer-liso-intacto?ref=review","review")</f>
        <v/>
      </c>
      <c r="K1295" t="inlineStr">
        <is>
          <t>SEND</t>
        </is>
      </c>
    </row>
    <row r="1296">
      <c r="A1296" t="inlineStr">
        <is>
          <t>Juliana</t>
        </is>
      </c>
      <c r="B1296" t="inlineStr">
        <is>
          <t>+5581984426060</t>
        </is>
      </c>
      <c r="C1296" t="inlineStr">
        <is>
          <t>Refill</t>
        </is>
      </c>
      <c r="D1296" t="inlineStr">
        <is>
          <t>Primer Liso</t>
        </is>
      </c>
      <c r="E1296" t="n">
        <v>1</v>
      </c>
      <c r="F1296" t="inlineStr">
        <is>
          <t>2025-12-07</t>
        </is>
      </c>
      <c r="G1296" t="n">
        <v>209</v>
      </c>
      <c r="H1296" t="inlineStr">
        <is>
          <t>Y</t>
        </is>
      </c>
      <c r="I1296">
        <f>HYPERLINK("https://admin.shopify.com/store/ge-beauty-cosmeticos/customers/9687054418240","abrir")</f>
        <v/>
      </c>
      <c r="J1296">
        <f>HYPERLINK("https://www.gebeauty.com.br/products/primer-liso-intacto?ref=review","review")</f>
        <v/>
      </c>
      <c r="K1296" t="inlineStr">
        <is>
          <t>SEND</t>
        </is>
      </c>
    </row>
    <row r="1297">
      <c r="A1297" t="inlineStr">
        <is>
          <t>Natalia</t>
        </is>
      </c>
      <c r="B1297" t="inlineStr">
        <is>
          <t>+5511996474889</t>
        </is>
      </c>
      <c r="C1297" t="inlineStr">
        <is>
          <t>Refill</t>
        </is>
      </c>
      <c r="D1297" t="inlineStr">
        <is>
          <t>Primer Liso</t>
        </is>
      </c>
      <c r="E1297" t="n">
        <v>1</v>
      </c>
      <c r="F1297" t="inlineStr">
        <is>
          <t>2025-12-07</t>
        </is>
      </c>
      <c r="G1297" t="n">
        <v>209</v>
      </c>
      <c r="H1297" t="inlineStr">
        <is>
          <t>Y</t>
        </is>
      </c>
      <c r="I1297">
        <f>HYPERLINK("https://admin.shopify.com/store/ge-beauty-cosmeticos/customers/9484726174016","abrir")</f>
        <v/>
      </c>
      <c r="J1297">
        <f>HYPERLINK("https://www.gebeauty.com.br/products/primer-liso-intacto?ref=review","review")</f>
        <v/>
      </c>
      <c r="K1297" t="inlineStr">
        <is>
          <t>SEND</t>
        </is>
      </c>
    </row>
    <row r="1298">
      <c r="A1298" t="inlineStr">
        <is>
          <t>Mariana</t>
        </is>
      </c>
      <c r="B1298" t="inlineStr">
        <is>
          <t>+5531996670542</t>
        </is>
      </c>
      <c r="C1298" t="inlineStr">
        <is>
          <t>Refill</t>
        </is>
      </c>
      <c r="D1298" t="inlineStr">
        <is>
          <t>Primer Liso</t>
        </is>
      </c>
      <c r="E1298" t="n">
        <v>1</v>
      </c>
      <c r="F1298" t="inlineStr">
        <is>
          <t>2025-12-07</t>
        </is>
      </c>
      <c r="G1298" t="n">
        <v>209</v>
      </c>
      <c r="H1298" t="inlineStr">
        <is>
          <t>Y</t>
        </is>
      </c>
      <c r="I1298">
        <f>HYPERLINK("https://admin.shopify.com/store/ge-beauty-cosmeticos/customers/9522272207168","abrir")</f>
        <v/>
      </c>
      <c r="J1298">
        <f>HYPERLINK("https://www.gebeauty.com.br/products/primer-liso-intacto?ref=review","review")</f>
        <v/>
      </c>
      <c r="K1298" t="inlineStr">
        <is>
          <t>SEND</t>
        </is>
      </c>
    </row>
    <row r="1299">
      <c r="A1299" t="inlineStr">
        <is>
          <t>Mariana</t>
        </is>
      </c>
      <c r="B1299" t="inlineStr">
        <is>
          <t>+5511994321191</t>
        </is>
      </c>
      <c r="C1299" t="inlineStr">
        <is>
          <t>Refill</t>
        </is>
      </c>
      <c r="D1299" t="inlineStr">
        <is>
          <t>Primer Liso</t>
        </is>
      </c>
      <c r="E1299" t="n">
        <v>1</v>
      </c>
      <c r="F1299" t="inlineStr">
        <is>
          <t>2025-12-08</t>
        </is>
      </c>
      <c r="G1299" t="n">
        <v>208</v>
      </c>
      <c r="H1299" t="inlineStr">
        <is>
          <t>Y</t>
        </is>
      </c>
      <c r="I1299">
        <f>HYPERLINK("https://admin.shopify.com/store/ge-beauty-cosmeticos/customers/9486276034880","abrir")</f>
        <v/>
      </c>
      <c r="J1299">
        <f>HYPERLINK("https://www.gebeauty.com.br/products/primer-liso-intacto?ref=review","review")</f>
        <v/>
      </c>
      <c r="K1299" t="inlineStr">
        <is>
          <t>SEND</t>
        </is>
      </c>
    </row>
    <row r="1300">
      <c r="A1300" t="inlineStr">
        <is>
          <t>Ana Claudia</t>
        </is>
      </c>
      <c r="B1300" t="inlineStr">
        <is>
          <t>+5581996037085</t>
        </is>
      </c>
      <c r="C1300" t="inlineStr">
        <is>
          <t>Refill</t>
        </is>
      </c>
      <c r="D1300" t="inlineStr">
        <is>
          <t>Primer Liso</t>
        </is>
      </c>
      <c r="E1300" t="n">
        <v>1</v>
      </c>
      <c r="F1300" t="inlineStr">
        <is>
          <t>2025-12-08</t>
        </is>
      </c>
      <c r="G1300" t="n">
        <v>208</v>
      </c>
      <c r="H1300" t="inlineStr">
        <is>
          <t>Y</t>
        </is>
      </c>
      <c r="I1300">
        <f>HYPERLINK("https://admin.shopify.com/store/ge-beauty-cosmeticos/customers/9941345698112","abrir")</f>
        <v/>
      </c>
      <c r="J1300">
        <f>HYPERLINK("https://www.gebeauty.com.br/products/primer-liso-intacto?ref=review","review")</f>
        <v/>
      </c>
      <c r="K1300" t="inlineStr">
        <is>
          <t>SEND</t>
        </is>
      </c>
    </row>
    <row r="1301">
      <c r="A1301" t="inlineStr">
        <is>
          <t>Josiane</t>
        </is>
      </c>
      <c r="B1301" t="inlineStr">
        <is>
          <t>+5511992611919</t>
        </is>
      </c>
      <c r="C1301" t="inlineStr">
        <is>
          <t>Refill</t>
        </is>
      </c>
      <c r="D1301" t="inlineStr">
        <is>
          <t>Primer Liso</t>
        </is>
      </c>
      <c r="E1301" t="n">
        <v>1</v>
      </c>
      <c r="F1301" t="inlineStr">
        <is>
          <t>2025-12-08</t>
        </is>
      </c>
      <c r="G1301" t="n">
        <v>208</v>
      </c>
      <c r="H1301" t="inlineStr">
        <is>
          <t>Y</t>
        </is>
      </c>
      <c r="I1301">
        <f>HYPERLINK("https://admin.shopify.com/store/ge-beauty-cosmeticos/customers/9942273917248","abrir")</f>
        <v/>
      </c>
      <c r="J1301">
        <f>HYPERLINK("https://www.gebeauty.com.br/products/primer-liso-intacto?ref=review","review")</f>
        <v/>
      </c>
      <c r="K1301" t="inlineStr">
        <is>
          <t>SEND</t>
        </is>
      </c>
    </row>
    <row r="1302">
      <c r="A1302" t="inlineStr">
        <is>
          <t>Ana</t>
        </is>
      </c>
      <c r="B1302" t="inlineStr">
        <is>
          <t>+5581995286997</t>
        </is>
      </c>
      <c r="C1302" t="inlineStr">
        <is>
          <t>Refill</t>
        </is>
      </c>
      <c r="D1302" t="inlineStr">
        <is>
          <t>Primer Liso</t>
        </is>
      </c>
      <c r="E1302" t="n">
        <v>1</v>
      </c>
      <c r="F1302" t="inlineStr">
        <is>
          <t>2025-12-08</t>
        </is>
      </c>
      <c r="G1302" t="n">
        <v>208</v>
      </c>
      <c r="H1302" t="inlineStr">
        <is>
          <t>Y</t>
        </is>
      </c>
      <c r="I1302">
        <f>HYPERLINK("https://admin.shopify.com/store/ge-beauty-cosmeticos/customers/9942816620864","abrir")</f>
        <v/>
      </c>
      <c r="J1302">
        <f>HYPERLINK("https://www.gebeauty.com.br/products/primer-liso-intacto?ref=review","review")</f>
        <v/>
      </c>
      <c r="K1302" t="inlineStr">
        <is>
          <t>SEND</t>
        </is>
      </c>
    </row>
    <row r="1303">
      <c r="A1303" t="inlineStr">
        <is>
          <t>Luiza</t>
        </is>
      </c>
      <c r="B1303" t="inlineStr">
        <is>
          <t>+5551998611889</t>
        </is>
      </c>
      <c r="C1303" t="inlineStr">
        <is>
          <t>Refill</t>
        </is>
      </c>
      <c r="D1303" t="inlineStr">
        <is>
          <t>Primer Liso</t>
        </is>
      </c>
      <c r="E1303" t="n">
        <v>1</v>
      </c>
      <c r="F1303" t="inlineStr">
        <is>
          <t>2025-12-08</t>
        </is>
      </c>
      <c r="G1303" t="n">
        <v>208</v>
      </c>
      <c r="H1303" t="inlineStr">
        <is>
          <t>Y</t>
        </is>
      </c>
      <c r="I1303">
        <f>HYPERLINK("https://admin.shopify.com/store/ge-beauty-cosmeticos/customers/9943284777280","abrir")</f>
        <v/>
      </c>
      <c r="J1303">
        <f>HYPERLINK("https://www.gebeauty.com.br/products/primer-liso-intacto?ref=review","review")</f>
        <v/>
      </c>
      <c r="K1303" t="inlineStr">
        <is>
          <t>SEND</t>
        </is>
      </c>
    </row>
    <row r="1304">
      <c r="A1304" t="inlineStr">
        <is>
          <t>Maria</t>
        </is>
      </c>
      <c r="B1304" t="inlineStr">
        <is>
          <t>+5521982578227</t>
        </is>
      </c>
      <c r="C1304" t="inlineStr">
        <is>
          <t>Refill</t>
        </is>
      </c>
      <c r="D1304" t="inlineStr">
        <is>
          <t>Primer Liso</t>
        </is>
      </c>
      <c r="E1304" t="n">
        <v>1</v>
      </c>
      <c r="F1304" t="inlineStr">
        <is>
          <t>2025-12-08</t>
        </is>
      </c>
      <c r="G1304" t="n">
        <v>208</v>
      </c>
      <c r="H1304" t="inlineStr">
        <is>
          <t>Y</t>
        </is>
      </c>
      <c r="I1304">
        <f>HYPERLINK("https://admin.shopify.com/store/ge-beauty-cosmeticos/customers/9830505349440","abrir")</f>
        <v/>
      </c>
      <c r="J1304">
        <f>HYPERLINK("https://www.gebeauty.com.br/products/primer-liso-intacto?ref=review","review")</f>
        <v/>
      </c>
      <c r="K1304" t="inlineStr">
        <is>
          <t>SEND</t>
        </is>
      </c>
    </row>
    <row r="1305">
      <c r="A1305" t="inlineStr">
        <is>
          <t>Ayala</t>
        </is>
      </c>
      <c r="B1305" t="inlineStr">
        <is>
          <t>+5583996533954</t>
        </is>
      </c>
      <c r="C1305" t="inlineStr">
        <is>
          <t>Refill</t>
        </is>
      </c>
      <c r="D1305" t="inlineStr">
        <is>
          <t>Primer Liso</t>
        </is>
      </c>
      <c r="E1305" t="n">
        <v>1</v>
      </c>
      <c r="F1305" t="inlineStr">
        <is>
          <t>2025-12-09</t>
        </is>
      </c>
      <c r="G1305" t="n">
        <v>207</v>
      </c>
      <c r="H1305" t="inlineStr">
        <is>
          <t>Y</t>
        </is>
      </c>
      <c r="I1305">
        <f>HYPERLINK("https://admin.shopify.com/store/ge-beauty-cosmeticos/customers/9945376424256","abrir")</f>
        <v/>
      </c>
      <c r="J1305">
        <f>HYPERLINK("https://www.gebeauty.com.br/products/primer-liso-intacto?ref=review","review")</f>
        <v/>
      </c>
      <c r="K1305" t="inlineStr">
        <is>
          <t>SEND</t>
        </is>
      </c>
    </row>
    <row r="1306">
      <c r="A1306" t="inlineStr">
        <is>
          <t>Livia</t>
        </is>
      </c>
      <c r="B1306" t="inlineStr">
        <is>
          <t>+5511971803060</t>
        </is>
      </c>
      <c r="C1306" t="inlineStr">
        <is>
          <t>Refill</t>
        </is>
      </c>
      <c r="D1306" t="inlineStr">
        <is>
          <t>Primer Liso</t>
        </is>
      </c>
      <c r="E1306" t="n">
        <v>1</v>
      </c>
      <c r="F1306" t="inlineStr">
        <is>
          <t>2025-12-09</t>
        </is>
      </c>
      <c r="G1306" t="n">
        <v>207</v>
      </c>
      <c r="H1306" t="inlineStr">
        <is>
          <t>Y</t>
        </is>
      </c>
      <c r="I1306">
        <f>HYPERLINK("https://admin.shopify.com/store/ge-beauty-cosmeticos/customers/9486010876224","abrir")</f>
        <v/>
      </c>
      <c r="J1306">
        <f>HYPERLINK("https://www.gebeauty.com.br/products/primer-liso-intacto?ref=review","review")</f>
        <v/>
      </c>
      <c r="K1306" t="inlineStr">
        <is>
          <t>SEND</t>
        </is>
      </c>
    </row>
    <row r="1307">
      <c r="A1307" t="inlineStr">
        <is>
          <t>Ana</t>
        </is>
      </c>
      <c r="B1307" t="inlineStr">
        <is>
          <t>+5586999919198</t>
        </is>
      </c>
      <c r="C1307" t="inlineStr">
        <is>
          <t>Refill</t>
        </is>
      </c>
      <c r="D1307" t="inlineStr">
        <is>
          <t>Primer Liso</t>
        </is>
      </c>
      <c r="E1307" t="n">
        <v>1</v>
      </c>
      <c r="F1307" t="inlineStr">
        <is>
          <t>2025-12-10</t>
        </is>
      </c>
      <c r="G1307" t="n">
        <v>206</v>
      </c>
      <c r="H1307" t="inlineStr">
        <is>
          <t>Y</t>
        </is>
      </c>
      <c r="I1307">
        <f>HYPERLINK("https://admin.shopify.com/store/ge-beauty-cosmeticos/customers/9947819016512","abrir")</f>
        <v/>
      </c>
      <c r="J1307">
        <f>HYPERLINK("https://www.gebeauty.com.br/products/primer-liso-intacto?ref=review","review")</f>
        <v/>
      </c>
      <c r="K1307" t="inlineStr">
        <is>
          <t>HOLDOUT</t>
        </is>
      </c>
    </row>
    <row r="1308">
      <c r="A1308" t="inlineStr">
        <is>
          <t>Nina</t>
        </is>
      </c>
      <c r="B1308" t="inlineStr">
        <is>
          <t>+5571994060226</t>
        </is>
      </c>
      <c r="C1308" t="inlineStr">
        <is>
          <t>Refill</t>
        </is>
      </c>
      <c r="D1308" t="inlineStr">
        <is>
          <t>Primer Liso</t>
        </is>
      </c>
      <c r="E1308" t="n">
        <v>1</v>
      </c>
      <c r="F1308" t="inlineStr">
        <is>
          <t>2025-12-10</t>
        </is>
      </c>
      <c r="G1308" t="n">
        <v>206</v>
      </c>
      <c r="H1308" t="inlineStr">
        <is>
          <t>Y</t>
        </is>
      </c>
      <c r="I1308">
        <f>HYPERLINK("https://admin.shopify.com/store/ge-beauty-cosmeticos/customers/9950370005312","abrir")</f>
        <v/>
      </c>
      <c r="J1308">
        <f>HYPERLINK("https://www.gebeauty.com.br/products/primer-liso-intacto?ref=review","review")</f>
        <v/>
      </c>
      <c r="K1308" t="inlineStr">
        <is>
          <t>SEND</t>
        </is>
      </c>
    </row>
    <row r="1309">
      <c r="A1309" t="inlineStr">
        <is>
          <t>Julia</t>
        </is>
      </c>
      <c r="B1309" t="inlineStr">
        <is>
          <t>+5585989634458</t>
        </is>
      </c>
      <c r="C1309" t="inlineStr">
        <is>
          <t>Refill</t>
        </is>
      </c>
      <c r="D1309" t="inlineStr">
        <is>
          <t>Primer Liso</t>
        </is>
      </c>
      <c r="E1309" t="n">
        <v>1</v>
      </c>
      <c r="F1309" t="inlineStr">
        <is>
          <t>2025-12-10</t>
        </is>
      </c>
      <c r="G1309" t="n">
        <v>206</v>
      </c>
      <c r="H1309" t="inlineStr">
        <is>
          <t>Y</t>
        </is>
      </c>
      <c r="I1309">
        <f>HYPERLINK("https://admin.shopify.com/store/ge-beauty-cosmeticos/customers/9118292476224","abrir")</f>
        <v/>
      </c>
      <c r="J1309">
        <f>HYPERLINK("https://www.gebeauty.com.br/products/primer-liso-intacto?ref=review","review")</f>
        <v/>
      </c>
      <c r="K1309" t="inlineStr">
        <is>
          <t>SEND</t>
        </is>
      </c>
    </row>
    <row r="1310">
      <c r="A1310" t="inlineStr">
        <is>
          <t>Luiza</t>
        </is>
      </c>
      <c r="B1310" t="inlineStr">
        <is>
          <t>+5561981711746</t>
        </is>
      </c>
      <c r="C1310" t="inlineStr">
        <is>
          <t>Refill</t>
        </is>
      </c>
      <c r="D1310" t="inlineStr">
        <is>
          <t>Primer Liso</t>
        </is>
      </c>
      <c r="E1310" t="n">
        <v>1</v>
      </c>
      <c r="F1310" t="inlineStr">
        <is>
          <t>2025-12-12</t>
        </is>
      </c>
      <c r="G1310" t="n">
        <v>204</v>
      </c>
      <c r="H1310" t="inlineStr">
        <is>
          <t>Y</t>
        </is>
      </c>
      <c r="I1310">
        <f>HYPERLINK("https://admin.shopify.com/store/ge-beauty-cosmeticos/customers/9486453932352","abrir")</f>
        <v/>
      </c>
      <c r="J1310">
        <f>HYPERLINK("https://www.gebeauty.com.br/products/primer-liso-intacto?ref=review","review")</f>
        <v/>
      </c>
      <c r="K1310" t="inlineStr">
        <is>
          <t>SEND</t>
        </is>
      </c>
    </row>
    <row r="1311">
      <c r="A1311" t="inlineStr">
        <is>
          <t>Livia Maria</t>
        </is>
      </c>
      <c r="B1311" t="inlineStr">
        <is>
          <t>+5581991634075</t>
        </is>
      </c>
      <c r="C1311" t="inlineStr">
        <is>
          <t>Refill</t>
        </is>
      </c>
      <c r="D1311" t="inlineStr">
        <is>
          <t>Primer Liso</t>
        </is>
      </c>
      <c r="E1311" t="n">
        <v>1</v>
      </c>
      <c r="F1311" t="inlineStr">
        <is>
          <t>2025-12-12</t>
        </is>
      </c>
      <c r="G1311" t="n">
        <v>204</v>
      </c>
      <c r="H1311" t="inlineStr">
        <is>
          <t>Y</t>
        </is>
      </c>
      <c r="I1311">
        <f>HYPERLINK("https://admin.shopify.com/store/ge-beauty-cosmeticos/customers/9955510124864","abrir")</f>
        <v/>
      </c>
      <c r="J1311">
        <f>HYPERLINK("https://www.gebeauty.com.br/products/primer-liso-intacto?ref=review","review")</f>
        <v/>
      </c>
      <c r="K1311" t="inlineStr">
        <is>
          <t>SEND</t>
        </is>
      </c>
    </row>
    <row r="1312">
      <c r="A1312" t="inlineStr">
        <is>
          <t>Heloisy</t>
        </is>
      </c>
      <c r="B1312" t="inlineStr">
        <is>
          <t>+5511994654419</t>
        </is>
      </c>
      <c r="C1312" t="inlineStr">
        <is>
          <t>Refill</t>
        </is>
      </c>
      <c r="D1312" t="inlineStr">
        <is>
          <t>Primer Liso</t>
        </is>
      </c>
      <c r="E1312" t="n">
        <v>1</v>
      </c>
      <c r="F1312" t="inlineStr">
        <is>
          <t>2025-12-12</t>
        </is>
      </c>
      <c r="G1312" t="n">
        <v>204</v>
      </c>
      <c r="H1312" t="inlineStr">
        <is>
          <t>Y</t>
        </is>
      </c>
      <c r="I1312">
        <f>HYPERLINK("https://admin.shopify.com/store/ge-beauty-cosmeticos/customers/9955700539712","abrir")</f>
        <v/>
      </c>
      <c r="J1312">
        <f>HYPERLINK("https://www.gebeauty.com.br/products/primer-liso-intacto?ref=review","review")</f>
        <v/>
      </c>
      <c r="K1312" t="inlineStr">
        <is>
          <t>SEND</t>
        </is>
      </c>
    </row>
    <row r="1313">
      <c r="A1313" t="inlineStr">
        <is>
          <t>Aline</t>
        </is>
      </c>
      <c r="B1313" t="inlineStr">
        <is>
          <t>+5511997110880</t>
        </is>
      </c>
      <c r="C1313" t="inlineStr">
        <is>
          <t>Refill</t>
        </is>
      </c>
      <c r="D1313" t="inlineStr">
        <is>
          <t>Primer Liso</t>
        </is>
      </c>
      <c r="E1313" t="n">
        <v>1</v>
      </c>
      <c r="F1313" t="inlineStr">
        <is>
          <t>2025-12-12</t>
        </is>
      </c>
      <c r="G1313" t="n">
        <v>204</v>
      </c>
      <c r="H1313" t="inlineStr">
        <is>
          <t>Y</t>
        </is>
      </c>
      <c r="I1313">
        <f>HYPERLINK("https://admin.shopify.com/store/ge-beauty-cosmeticos/customers/9956147429696","abrir")</f>
        <v/>
      </c>
      <c r="J1313">
        <f>HYPERLINK("https://www.gebeauty.com.br/products/primer-liso-intacto?ref=review","review")</f>
        <v/>
      </c>
      <c r="K1313" t="inlineStr">
        <is>
          <t>SEND</t>
        </is>
      </c>
    </row>
    <row r="1314">
      <c r="A1314" t="inlineStr">
        <is>
          <t>Lara</t>
        </is>
      </c>
      <c r="B1314" t="inlineStr">
        <is>
          <t>+5598991171530</t>
        </is>
      </c>
      <c r="C1314" t="inlineStr">
        <is>
          <t>Refill</t>
        </is>
      </c>
      <c r="D1314" t="inlineStr">
        <is>
          <t>Primer Liso</t>
        </is>
      </c>
      <c r="E1314" t="n">
        <v>1</v>
      </c>
      <c r="F1314" t="inlineStr">
        <is>
          <t>2025-12-13</t>
        </is>
      </c>
      <c r="G1314" t="n">
        <v>203</v>
      </c>
      <c r="H1314" t="inlineStr">
        <is>
          <t>Y</t>
        </is>
      </c>
      <c r="I1314">
        <f>HYPERLINK("https://admin.shopify.com/store/ge-beauty-cosmeticos/customers/9958236881216","abrir")</f>
        <v/>
      </c>
      <c r="J1314">
        <f>HYPERLINK("https://www.gebeauty.com.br/products/primer-liso-intacto?ref=review","review")</f>
        <v/>
      </c>
      <c r="K1314" t="inlineStr">
        <is>
          <t>SEND</t>
        </is>
      </c>
    </row>
    <row r="1315">
      <c r="A1315" t="inlineStr">
        <is>
          <t>Isabele</t>
        </is>
      </c>
      <c r="B1315" t="inlineStr">
        <is>
          <t>+5521975376556</t>
        </is>
      </c>
      <c r="C1315" t="inlineStr">
        <is>
          <t>Refill</t>
        </is>
      </c>
      <c r="D1315" t="inlineStr">
        <is>
          <t>Primer Liso</t>
        </is>
      </c>
      <c r="E1315" t="n">
        <v>1</v>
      </c>
      <c r="F1315" t="inlineStr">
        <is>
          <t>2025-12-13</t>
        </is>
      </c>
      <c r="G1315" t="n">
        <v>203</v>
      </c>
      <c r="H1315" t="inlineStr">
        <is>
          <t>Y</t>
        </is>
      </c>
      <c r="I1315">
        <f>HYPERLINK("https://admin.shopify.com/store/ge-beauty-cosmeticos/customers/7761431298368","abrir")</f>
        <v/>
      </c>
      <c r="J1315">
        <f>HYPERLINK("https://www.gebeauty.com.br/products/primer-liso-intacto?ref=review","review")</f>
        <v/>
      </c>
      <c r="K1315" t="inlineStr">
        <is>
          <t>SEND</t>
        </is>
      </c>
    </row>
    <row r="1316">
      <c r="A1316" t="inlineStr">
        <is>
          <t>Paula</t>
        </is>
      </c>
      <c r="B1316" t="inlineStr">
        <is>
          <t>+5583991074963</t>
        </is>
      </c>
      <c r="C1316" t="inlineStr">
        <is>
          <t>Refill</t>
        </is>
      </c>
      <c r="D1316" t="inlineStr">
        <is>
          <t>Primer Liso</t>
        </is>
      </c>
      <c r="E1316" t="n">
        <v>1</v>
      </c>
      <c r="F1316" t="inlineStr">
        <is>
          <t>2025-12-13</t>
        </is>
      </c>
      <c r="G1316" t="n">
        <v>203</v>
      </c>
      <c r="H1316" t="inlineStr">
        <is>
          <t>Y</t>
        </is>
      </c>
      <c r="I1316">
        <f>HYPERLINK("https://admin.shopify.com/store/ge-beauty-cosmeticos/customers/9855926632768","abrir")</f>
        <v/>
      </c>
      <c r="J1316">
        <f>HYPERLINK("https://www.gebeauty.com.br/products/primer-liso-intacto?ref=review","review")</f>
        <v/>
      </c>
      <c r="K1316" t="inlineStr">
        <is>
          <t>SEND</t>
        </is>
      </c>
    </row>
    <row r="1317">
      <c r="A1317" t="inlineStr">
        <is>
          <t>Talita</t>
        </is>
      </c>
      <c r="B1317" t="inlineStr">
        <is>
          <t>+5598981967319</t>
        </is>
      </c>
      <c r="C1317" t="inlineStr">
        <is>
          <t>Refill</t>
        </is>
      </c>
      <c r="D1317" t="inlineStr">
        <is>
          <t>Primer Liso</t>
        </is>
      </c>
      <c r="E1317" t="n">
        <v>1</v>
      </c>
      <c r="F1317" t="inlineStr">
        <is>
          <t>2025-12-14</t>
        </is>
      </c>
      <c r="G1317" t="n">
        <v>202</v>
      </c>
      <c r="H1317" t="inlineStr">
        <is>
          <t>Y</t>
        </is>
      </c>
      <c r="I1317">
        <f>HYPERLINK("https://admin.shopify.com/store/ge-beauty-cosmeticos/customers/9959238205760","abrir")</f>
        <v/>
      </c>
      <c r="J1317">
        <f>HYPERLINK("https://www.gebeauty.com.br/products/primer-liso-intacto?ref=review","review")</f>
        <v/>
      </c>
      <c r="K1317" t="inlineStr">
        <is>
          <t>HOLDOUT</t>
        </is>
      </c>
    </row>
    <row r="1318">
      <c r="A1318" t="inlineStr">
        <is>
          <t>Marcela</t>
        </is>
      </c>
      <c r="B1318" t="inlineStr">
        <is>
          <t>+5511989281194</t>
        </is>
      </c>
      <c r="C1318" t="inlineStr">
        <is>
          <t>Refill</t>
        </is>
      </c>
      <c r="D1318" t="inlineStr">
        <is>
          <t>Primer Liso</t>
        </is>
      </c>
      <c r="E1318" t="n">
        <v>1</v>
      </c>
      <c r="F1318" t="inlineStr">
        <is>
          <t>2025-12-14</t>
        </is>
      </c>
      <c r="G1318" t="n">
        <v>202</v>
      </c>
      <c r="H1318" t="inlineStr">
        <is>
          <t>Y</t>
        </is>
      </c>
      <c r="I1318">
        <f>HYPERLINK("https://admin.shopify.com/store/ge-beauty-cosmeticos/customers/9960777974080","abrir")</f>
        <v/>
      </c>
      <c r="J1318">
        <f>HYPERLINK("https://www.gebeauty.com.br/products/primer-liso-intacto?ref=review","review")</f>
        <v/>
      </c>
      <c r="K1318" t="inlineStr">
        <is>
          <t>SEND</t>
        </is>
      </c>
    </row>
    <row r="1319">
      <c r="A1319" t="inlineStr">
        <is>
          <t>Carolina</t>
        </is>
      </c>
      <c r="B1319" t="inlineStr">
        <is>
          <t>+5512997551588</t>
        </is>
      </c>
      <c r="C1319" t="inlineStr">
        <is>
          <t>Refill</t>
        </is>
      </c>
      <c r="D1319" t="inlineStr">
        <is>
          <t>Primer Liso</t>
        </is>
      </c>
      <c r="E1319" t="n">
        <v>1</v>
      </c>
      <c r="F1319" t="inlineStr">
        <is>
          <t>2025-12-14</t>
        </is>
      </c>
      <c r="G1319" t="n">
        <v>202</v>
      </c>
      <c r="H1319" t="inlineStr">
        <is>
          <t>Y</t>
        </is>
      </c>
      <c r="I1319">
        <f>HYPERLINK("https://admin.shopify.com/store/ge-beauty-cosmeticos/customers/9961307570496","abrir")</f>
        <v/>
      </c>
      <c r="J1319">
        <f>HYPERLINK("https://www.gebeauty.com.br/products/primer-liso-intacto?ref=review","review")</f>
        <v/>
      </c>
      <c r="K1319" t="inlineStr">
        <is>
          <t>SEND</t>
        </is>
      </c>
    </row>
    <row r="1320">
      <c r="A1320" t="inlineStr">
        <is>
          <t>Marcelo</t>
        </is>
      </c>
      <c r="B1320" t="inlineStr">
        <is>
          <t>+5585997824440</t>
        </is>
      </c>
      <c r="C1320" t="inlineStr">
        <is>
          <t>Refill</t>
        </is>
      </c>
      <c r="D1320" t="inlineStr">
        <is>
          <t>Primer Liso</t>
        </is>
      </c>
      <c r="E1320" t="n">
        <v>1</v>
      </c>
      <c r="F1320" t="inlineStr">
        <is>
          <t>2025-12-14</t>
        </is>
      </c>
      <c r="G1320" t="n">
        <v>202</v>
      </c>
      <c r="H1320" t="inlineStr">
        <is>
          <t>Y</t>
        </is>
      </c>
      <c r="I1320">
        <f>HYPERLINK("https://admin.shopify.com/store/ge-beauty-cosmeticos/customers/9961574465856","abrir")</f>
        <v/>
      </c>
      <c r="J1320">
        <f>HYPERLINK("https://www.gebeauty.com.br/products/primer-liso-intacto?ref=review","review")</f>
        <v/>
      </c>
      <c r="K1320" t="inlineStr">
        <is>
          <t>SEND</t>
        </is>
      </c>
    </row>
    <row r="1321">
      <c r="A1321" t="inlineStr">
        <is>
          <t>Lívia</t>
        </is>
      </c>
      <c r="B1321" t="inlineStr">
        <is>
          <t>+5581996705312</t>
        </is>
      </c>
      <c r="C1321" t="inlineStr">
        <is>
          <t>Refill</t>
        </is>
      </c>
      <c r="D1321" t="inlineStr">
        <is>
          <t>Primer Liso</t>
        </is>
      </c>
      <c r="E1321" t="n">
        <v>1</v>
      </c>
      <c r="F1321" t="inlineStr">
        <is>
          <t>2025-12-15</t>
        </is>
      </c>
      <c r="G1321" t="n">
        <v>201</v>
      </c>
      <c r="H1321" t="inlineStr">
        <is>
          <t>Y</t>
        </is>
      </c>
      <c r="I1321">
        <f>HYPERLINK("https://admin.shopify.com/store/ge-beauty-cosmeticos/customers/9961777856832","abrir")</f>
        <v/>
      </c>
      <c r="J1321">
        <f>HYPERLINK("https://www.gebeauty.com.br/products/primer-liso-intacto?ref=review","review")</f>
        <v/>
      </c>
      <c r="K1321" t="inlineStr">
        <is>
          <t>SEND</t>
        </is>
      </c>
    </row>
    <row r="1322">
      <c r="A1322" t="inlineStr">
        <is>
          <t>Rose</t>
        </is>
      </c>
      <c r="B1322" t="inlineStr">
        <is>
          <t>+5554996181955</t>
        </is>
      </c>
      <c r="C1322" t="inlineStr">
        <is>
          <t>Refill</t>
        </is>
      </c>
      <c r="D1322" t="inlineStr">
        <is>
          <t>Primer Liso</t>
        </is>
      </c>
      <c r="E1322" t="n">
        <v>1</v>
      </c>
      <c r="F1322" t="inlineStr">
        <is>
          <t>2025-12-15</t>
        </is>
      </c>
      <c r="G1322" t="n">
        <v>201</v>
      </c>
      <c r="H1322" t="inlineStr">
        <is>
          <t>Y</t>
        </is>
      </c>
      <c r="I1322">
        <f>HYPERLINK("https://admin.shopify.com/store/ge-beauty-cosmeticos/customers/9962021224768","abrir")</f>
        <v/>
      </c>
      <c r="J1322">
        <f>HYPERLINK("https://www.gebeauty.com.br/products/primer-liso-intacto?ref=review","review")</f>
        <v/>
      </c>
      <c r="K1322" t="inlineStr">
        <is>
          <t>SEND</t>
        </is>
      </c>
    </row>
    <row r="1323">
      <c r="A1323" t="inlineStr">
        <is>
          <t>Cristiane</t>
        </is>
      </c>
      <c r="B1323" t="inlineStr">
        <is>
          <t>+5519993912556</t>
        </is>
      </c>
      <c r="C1323" t="inlineStr">
        <is>
          <t>Refill</t>
        </is>
      </c>
      <c r="D1323" t="inlineStr">
        <is>
          <t>Primer Liso</t>
        </is>
      </c>
      <c r="E1323" t="n">
        <v>1</v>
      </c>
      <c r="F1323" t="inlineStr">
        <is>
          <t>2025-12-16</t>
        </is>
      </c>
      <c r="G1323" t="n">
        <v>200</v>
      </c>
      <c r="H1323" t="inlineStr">
        <is>
          <t>N</t>
        </is>
      </c>
      <c r="I1323">
        <f>HYPERLINK("https://admin.shopify.com/store/ge-beauty-cosmeticos/customers/7762062246208","abrir")</f>
        <v/>
      </c>
      <c r="J1323">
        <f>HYPERLINK("https://www.gebeauty.com.br/products/primer-liso-intacto?ref=review","review")</f>
        <v/>
      </c>
      <c r="K1323" t="inlineStr">
        <is>
          <t>SEND</t>
        </is>
      </c>
    </row>
    <row r="1324">
      <c r="A1324" t="inlineStr">
        <is>
          <t>Jaqueline</t>
        </is>
      </c>
      <c r="B1324" t="inlineStr">
        <is>
          <t>+5511913188243</t>
        </is>
      </c>
      <c r="C1324" t="inlineStr">
        <is>
          <t>Refill</t>
        </is>
      </c>
      <c r="D1324" t="inlineStr">
        <is>
          <t>Primer Liso</t>
        </is>
      </c>
      <c r="E1324" t="n">
        <v>1</v>
      </c>
      <c r="F1324" t="inlineStr">
        <is>
          <t>2025-12-16</t>
        </is>
      </c>
      <c r="G1324" t="n">
        <v>200</v>
      </c>
      <c r="H1324" t="inlineStr">
        <is>
          <t>Y</t>
        </is>
      </c>
      <c r="I1324">
        <f>HYPERLINK("https://admin.shopify.com/store/ge-beauty-cosmeticos/customers/9486378074432","abrir")</f>
        <v/>
      </c>
      <c r="J1324">
        <f>HYPERLINK("https://www.gebeauty.com.br/products/primer-liso-intacto?ref=review","review")</f>
        <v/>
      </c>
      <c r="K1324" t="inlineStr">
        <is>
          <t>SEND</t>
        </is>
      </c>
    </row>
    <row r="1325">
      <c r="A1325" t="inlineStr">
        <is>
          <t>Orhana</t>
        </is>
      </c>
      <c r="B1325" t="inlineStr">
        <is>
          <t>+5535991328068</t>
        </is>
      </c>
      <c r="C1325" t="inlineStr">
        <is>
          <t>Refill</t>
        </is>
      </c>
      <c r="D1325" t="inlineStr">
        <is>
          <t>Primer Liso</t>
        </is>
      </c>
      <c r="E1325" t="n">
        <v>1</v>
      </c>
      <c r="F1325" t="inlineStr">
        <is>
          <t>2025-12-16</t>
        </is>
      </c>
      <c r="G1325" t="n">
        <v>200</v>
      </c>
      <c r="H1325" t="inlineStr">
        <is>
          <t>Y</t>
        </is>
      </c>
      <c r="I1325">
        <f>HYPERLINK("https://admin.shopify.com/store/ge-beauty-cosmeticos/customers/9966879899968","abrir")</f>
        <v/>
      </c>
      <c r="J1325">
        <f>HYPERLINK("https://www.gebeauty.com.br/products/primer-liso-intacto?ref=review","review")</f>
        <v/>
      </c>
      <c r="K1325" t="inlineStr">
        <is>
          <t>HOLDOUT</t>
        </is>
      </c>
    </row>
    <row r="1326">
      <c r="A1326" t="inlineStr">
        <is>
          <t>Fernanda</t>
        </is>
      </c>
      <c r="B1326" t="inlineStr">
        <is>
          <t>+5571999796939</t>
        </is>
      </c>
      <c r="C1326" t="inlineStr">
        <is>
          <t>Refill</t>
        </is>
      </c>
      <c r="D1326" t="inlineStr">
        <is>
          <t>Primer Liso</t>
        </is>
      </c>
      <c r="E1326" t="n">
        <v>1</v>
      </c>
      <c r="F1326" t="inlineStr">
        <is>
          <t>2025-12-16</t>
        </is>
      </c>
      <c r="G1326" t="n">
        <v>200</v>
      </c>
      <c r="H1326" t="inlineStr">
        <is>
          <t>Y</t>
        </is>
      </c>
      <c r="I1326">
        <f>HYPERLINK("https://admin.shopify.com/store/ge-beauty-cosmeticos/customers/9967688188224","abrir")</f>
        <v/>
      </c>
      <c r="J1326">
        <f>HYPERLINK("https://www.gebeauty.com.br/products/primer-liso-intacto?ref=review","review")</f>
        <v/>
      </c>
      <c r="K1326" t="inlineStr">
        <is>
          <t>SEND</t>
        </is>
      </c>
    </row>
    <row r="1327">
      <c r="A1327" t="inlineStr">
        <is>
          <t>Maria</t>
        </is>
      </c>
      <c r="B1327" t="inlineStr">
        <is>
          <t>+5531998714884</t>
        </is>
      </c>
      <c r="C1327" t="inlineStr">
        <is>
          <t>Refill</t>
        </is>
      </c>
      <c r="D1327" t="inlineStr">
        <is>
          <t>Primer Liso</t>
        </is>
      </c>
      <c r="E1327" t="n">
        <v>1</v>
      </c>
      <c r="F1327" t="inlineStr">
        <is>
          <t>2025-12-17</t>
        </is>
      </c>
      <c r="G1327" t="n">
        <v>199</v>
      </c>
      <c r="H1327" t="inlineStr">
        <is>
          <t>Y</t>
        </is>
      </c>
      <c r="I1327">
        <f>HYPERLINK("https://admin.shopify.com/store/ge-beauty-cosmeticos/customers/9835065311552","abrir")</f>
        <v/>
      </c>
      <c r="J1327">
        <f>HYPERLINK("https://www.gebeauty.com.br/products/primer-liso-intacto?ref=review","review")</f>
        <v/>
      </c>
      <c r="K1327" t="inlineStr">
        <is>
          <t>HOLDOUT</t>
        </is>
      </c>
    </row>
    <row r="1328">
      <c r="A1328" t="inlineStr">
        <is>
          <t>Iana</t>
        </is>
      </c>
      <c r="B1328" t="inlineStr">
        <is>
          <t>+5555991718579</t>
        </is>
      </c>
      <c r="C1328" t="inlineStr">
        <is>
          <t>Refill</t>
        </is>
      </c>
      <c r="D1328" t="inlineStr">
        <is>
          <t>Primer Liso</t>
        </is>
      </c>
      <c r="E1328" t="n">
        <v>1</v>
      </c>
      <c r="F1328" t="inlineStr">
        <is>
          <t>2025-12-17</t>
        </is>
      </c>
      <c r="G1328" t="n">
        <v>199</v>
      </c>
      <c r="H1328" t="inlineStr">
        <is>
          <t>Y</t>
        </is>
      </c>
      <c r="I1328">
        <f>HYPERLINK("https://admin.shopify.com/store/ge-beauty-cosmeticos/customers/9645996278080","abrir")</f>
        <v/>
      </c>
      <c r="J1328">
        <f>HYPERLINK("https://www.gebeauty.com.br/products/primer-liso-intacto?ref=review","review")</f>
        <v/>
      </c>
      <c r="K1328" t="inlineStr">
        <is>
          <t>HOLDOUT</t>
        </is>
      </c>
    </row>
    <row r="1329">
      <c r="A1329" t="inlineStr">
        <is>
          <t>Anna Carolina</t>
        </is>
      </c>
      <c r="B1329" t="inlineStr">
        <is>
          <t>+5561999615805</t>
        </is>
      </c>
      <c r="C1329" t="inlineStr">
        <is>
          <t>Refill</t>
        </is>
      </c>
      <c r="D1329" t="inlineStr">
        <is>
          <t>Primer Liso</t>
        </is>
      </c>
      <c r="E1329" t="n">
        <v>1</v>
      </c>
      <c r="F1329" t="inlineStr">
        <is>
          <t>2025-12-17</t>
        </is>
      </c>
      <c r="G1329" t="n">
        <v>199</v>
      </c>
      <c r="H1329" t="inlineStr">
        <is>
          <t>Y</t>
        </is>
      </c>
      <c r="I1329">
        <f>HYPERLINK("https://admin.shopify.com/store/ge-beauty-cosmeticos/customers/9486262796608","abrir")</f>
        <v/>
      </c>
      <c r="J1329">
        <f>HYPERLINK("https://www.gebeauty.com.br/products/primer-liso-intacto?ref=review","review")</f>
        <v/>
      </c>
      <c r="K1329" t="inlineStr">
        <is>
          <t>SEND</t>
        </is>
      </c>
    </row>
    <row r="1330">
      <c r="A1330" t="inlineStr">
        <is>
          <t>Deborah</t>
        </is>
      </c>
      <c r="B1330" t="inlineStr">
        <is>
          <t>+5511997599915</t>
        </is>
      </c>
      <c r="C1330" t="inlineStr">
        <is>
          <t>Refill</t>
        </is>
      </c>
      <c r="D1330" t="inlineStr">
        <is>
          <t>Primer Liso</t>
        </is>
      </c>
      <c r="E1330" t="n">
        <v>1</v>
      </c>
      <c r="F1330" t="inlineStr">
        <is>
          <t>2025-12-17</t>
        </is>
      </c>
      <c r="G1330" t="n">
        <v>199</v>
      </c>
      <c r="H1330" t="inlineStr">
        <is>
          <t>Y</t>
        </is>
      </c>
      <c r="I1330">
        <f>HYPERLINK("https://admin.shopify.com/store/ge-beauty-cosmeticos/customers/9914321568064","abrir")</f>
        <v/>
      </c>
      <c r="J1330">
        <f>HYPERLINK("https://www.gebeauty.com.br/products/primer-liso-intacto?ref=review","review")</f>
        <v/>
      </c>
      <c r="K1330" t="inlineStr">
        <is>
          <t>SEND</t>
        </is>
      </c>
    </row>
    <row r="1331">
      <c r="A1331" t="inlineStr">
        <is>
          <t>Larissa</t>
        </is>
      </c>
      <c r="B1331" t="inlineStr">
        <is>
          <t>+5571992772785</t>
        </is>
      </c>
      <c r="C1331" t="inlineStr">
        <is>
          <t>Refill</t>
        </is>
      </c>
      <c r="D1331" t="inlineStr">
        <is>
          <t>Primer Liso</t>
        </is>
      </c>
      <c r="E1331" t="n">
        <v>1</v>
      </c>
      <c r="F1331" t="inlineStr">
        <is>
          <t>2025-12-17</t>
        </is>
      </c>
      <c r="G1331" t="n">
        <v>199</v>
      </c>
      <c r="H1331" t="inlineStr">
        <is>
          <t>Y</t>
        </is>
      </c>
      <c r="I1331">
        <f>HYPERLINK("https://admin.shopify.com/store/ge-beauty-cosmeticos/customers/9970510266688","abrir")</f>
        <v/>
      </c>
      <c r="J1331">
        <f>HYPERLINK("https://www.gebeauty.com.br/products/primer-liso-intacto?ref=review","review")</f>
        <v/>
      </c>
      <c r="K1331" t="inlineStr">
        <is>
          <t>SEND</t>
        </is>
      </c>
    </row>
    <row r="1332">
      <c r="A1332" t="inlineStr">
        <is>
          <t>Irys</t>
        </is>
      </c>
      <c r="B1332" t="inlineStr">
        <is>
          <t>+5561981169114</t>
        </is>
      </c>
      <c r="C1332" t="inlineStr">
        <is>
          <t>Refill</t>
        </is>
      </c>
      <c r="D1332" t="inlineStr">
        <is>
          <t>Primer Liso</t>
        </is>
      </c>
      <c r="E1332" t="n">
        <v>1</v>
      </c>
      <c r="F1332" t="inlineStr">
        <is>
          <t>2025-12-17</t>
        </is>
      </c>
      <c r="G1332" t="n">
        <v>199</v>
      </c>
      <c r="H1332" t="inlineStr">
        <is>
          <t>Y</t>
        </is>
      </c>
      <c r="I1332">
        <f>HYPERLINK("https://admin.shopify.com/store/ge-beauty-cosmeticos/customers/9970510201152","abrir")</f>
        <v/>
      </c>
      <c r="J1332">
        <f>HYPERLINK("https://www.gebeauty.com.br/products/primer-liso-intacto?ref=review","review")</f>
        <v/>
      </c>
      <c r="K1332" t="inlineStr">
        <is>
          <t>SEND</t>
        </is>
      </c>
    </row>
    <row r="1333">
      <c r="A1333" t="inlineStr">
        <is>
          <t>Karoline</t>
        </is>
      </c>
      <c r="B1333" t="inlineStr">
        <is>
          <t>+5519996211412</t>
        </is>
      </c>
      <c r="C1333" t="inlineStr">
        <is>
          <t>Refill</t>
        </is>
      </c>
      <c r="D1333" t="inlineStr">
        <is>
          <t>Primer Liso</t>
        </is>
      </c>
      <c r="E1333" t="n">
        <v>1</v>
      </c>
      <c r="F1333" t="inlineStr">
        <is>
          <t>2025-12-18</t>
        </is>
      </c>
      <c r="G1333" t="n">
        <v>198</v>
      </c>
      <c r="H1333" t="inlineStr">
        <is>
          <t>Y</t>
        </is>
      </c>
      <c r="I1333">
        <f>HYPERLINK("https://admin.shopify.com/store/ge-beauty-cosmeticos/customers/9970773164352","abrir")</f>
        <v/>
      </c>
      <c r="J1333">
        <f>HYPERLINK("https://www.gebeauty.com.br/products/primer-liso-intacto?ref=review","review")</f>
        <v/>
      </c>
      <c r="K1333" t="inlineStr">
        <is>
          <t>SEND</t>
        </is>
      </c>
    </row>
    <row r="1334">
      <c r="A1334" t="inlineStr">
        <is>
          <t>Ana Luiza</t>
        </is>
      </c>
      <c r="B1334" t="inlineStr">
        <is>
          <t>+5561991818582</t>
        </is>
      </c>
      <c r="C1334" t="inlineStr">
        <is>
          <t>Refill</t>
        </is>
      </c>
      <c r="D1334" t="inlineStr">
        <is>
          <t>Primer Liso</t>
        </is>
      </c>
      <c r="E1334" t="n">
        <v>1</v>
      </c>
      <c r="F1334" t="inlineStr">
        <is>
          <t>2025-12-18</t>
        </is>
      </c>
      <c r="G1334" t="n">
        <v>198</v>
      </c>
      <c r="H1334" t="inlineStr">
        <is>
          <t>Y</t>
        </is>
      </c>
      <c r="I1334">
        <f>HYPERLINK("https://admin.shopify.com/store/ge-beauty-cosmeticos/customers/9972925825344","abrir")</f>
        <v/>
      </c>
      <c r="J1334">
        <f>HYPERLINK("https://www.gebeauty.com.br/products/primer-liso-intacto?ref=review","review")</f>
        <v/>
      </c>
      <c r="K1334" t="inlineStr">
        <is>
          <t>SEND</t>
        </is>
      </c>
    </row>
    <row r="1335">
      <c r="A1335" t="inlineStr">
        <is>
          <t>Stephany</t>
        </is>
      </c>
      <c r="B1335" t="inlineStr">
        <is>
          <t>+5511986757134</t>
        </is>
      </c>
      <c r="C1335" t="inlineStr">
        <is>
          <t>Refill</t>
        </is>
      </c>
      <c r="D1335" t="inlineStr">
        <is>
          <t>Primer Liso</t>
        </is>
      </c>
      <c r="E1335" t="n">
        <v>1</v>
      </c>
      <c r="F1335" t="inlineStr">
        <is>
          <t>2025-12-18</t>
        </is>
      </c>
      <c r="G1335" t="n">
        <v>198</v>
      </c>
      <c r="H1335" t="inlineStr">
        <is>
          <t>Y</t>
        </is>
      </c>
      <c r="I1335">
        <f>HYPERLINK("https://admin.shopify.com/store/ge-beauty-cosmeticos/customers/9486125531456","abrir")</f>
        <v/>
      </c>
      <c r="J1335">
        <f>HYPERLINK("https://www.gebeauty.com.br/products/primer-liso-intacto?ref=review","review")</f>
        <v/>
      </c>
      <c r="K1335" t="inlineStr">
        <is>
          <t>SEND</t>
        </is>
      </c>
    </row>
    <row r="1336">
      <c r="A1336" t="inlineStr">
        <is>
          <t>Lorena</t>
        </is>
      </c>
      <c r="B1336" t="inlineStr">
        <is>
          <t>+5511993286377</t>
        </is>
      </c>
      <c r="C1336" t="inlineStr">
        <is>
          <t>Refill</t>
        </is>
      </c>
      <c r="D1336" t="inlineStr">
        <is>
          <t>Primer Liso</t>
        </is>
      </c>
      <c r="E1336" t="n">
        <v>1</v>
      </c>
      <c r="F1336" t="inlineStr">
        <is>
          <t>2025-12-18</t>
        </is>
      </c>
      <c r="G1336" t="n">
        <v>198</v>
      </c>
      <c r="H1336" t="inlineStr">
        <is>
          <t>Y</t>
        </is>
      </c>
      <c r="I1336">
        <f>HYPERLINK("https://admin.shopify.com/store/ge-beauty-cosmeticos/customers/9973026783552","abrir")</f>
        <v/>
      </c>
      <c r="J1336">
        <f>HYPERLINK("https://www.gebeauty.com.br/products/primer-liso-intacto?ref=review","review")</f>
        <v/>
      </c>
      <c r="K1336" t="inlineStr">
        <is>
          <t>SEND</t>
        </is>
      </c>
    </row>
    <row r="1337">
      <c r="A1337" t="inlineStr">
        <is>
          <t>Carla</t>
        </is>
      </c>
      <c r="B1337" t="inlineStr">
        <is>
          <t>+5585982022272</t>
        </is>
      </c>
      <c r="C1337" t="inlineStr">
        <is>
          <t>Refill</t>
        </is>
      </c>
      <c r="D1337" t="inlineStr">
        <is>
          <t>Primer Liso</t>
        </is>
      </c>
      <c r="E1337" t="n">
        <v>1</v>
      </c>
      <c r="F1337" t="inlineStr">
        <is>
          <t>2025-12-18</t>
        </is>
      </c>
      <c r="G1337" t="n">
        <v>198</v>
      </c>
      <c r="H1337" t="inlineStr">
        <is>
          <t>Y</t>
        </is>
      </c>
      <c r="I1337">
        <f>HYPERLINK("https://admin.shopify.com/store/ge-beauty-cosmeticos/customers/9125583225152","abrir")</f>
        <v/>
      </c>
      <c r="J1337">
        <f>HYPERLINK("https://www.gebeauty.com.br/products/primer-liso-intacto?ref=review","review")</f>
        <v/>
      </c>
      <c r="K1337" t="inlineStr">
        <is>
          <t>SEND</t>
        </is>
      </c>
    </row>
    <row r="1338">
      <c r="A1338" t="inlineStr">
        <is>
          <t>Aline</t>
        </is>
      </c>
      <c r="B1338" t="inlineStr">
        <is>
          <t>+5581992929238</t>
        </is>
      </c>
      <c r="C1338" t="inlineStr">
        <is>
          <t>Refill</t>
        </is>
      </c>
      <c r="D1338" t="inlineStr">
        <is>
          <t>Primer Liso</t>
        </is>
      </c>
      <c r="E1338" t="n">
        <v>1</v>
      </c>
      <c r="F1338" t="inlineStr">
        <is>
          <t>2025-12-19</t>
        </is>
      </c>
      <c r="G1338" t="n">
        <v>197</v>
      </c>
      <c r="H1338" t="inlineStr">
        <is>
          <t>Y</t>
        </is>
      </c>
      <c r="I1338">
        <f>HYPERLINK("https://admin.shopify.com/store/ge-beauty-cosmeticos/customers/9974048784704","abrir")</f>
        <v/>
      </c>
      <c r="J1338">
        <f>HYPERLINK("https://www.gebeauty.com.br/products/primer-liso-intacto?ref=review","review")</f>
        <v/>
      </c>
      <c r="K1338" t="inlineStr">
        <is>
          <t>SEND</t>
        </is>
      </c>
    </row>
    <row r="1339">
      <c r="A1339" t="inlineStr">
        <is>
          <t>Fernanda</t>
        </is>
      </c>
      <c r="B1339" t="inlineStr">
        <is>
          <t>+5517991319624</t>
        </is>
      </c>
      <c r="C1339" t="inlineStr">
        <is>
          <t>Refill</t>
        </is>
      </c>
      <c r="D1339" t="inlineStr">
        <is>
          <t>Primer Liso</t>
        </is>
      </c>
      <c r="E1339" t="n">
        <v>1</v>
      </c>
      <c r="F1339" t="inlineStr">
        <is>
          <t>2025-12-19</t>
        </is>
      </c>
      <c r="G1339" t="n">
        <v>197</v>
      </c>
      <c r="H1339" t="inlineStr">
        <is>
          <t>Y</t>
        </is>
      </c>
      <c r="I1339">
        <f>HYPERLINK("https://admin.shopify.com/store/ge-beauty-cosmeticos/customers/9975112532288","abrir")</f>
        <v/>
      </c>
      <c r="J1339">
        <f>HYPERLINK("https://www.gebeauty.com.br/products/primer-liso-intacto?ref=review","review")</f>
        <v/>
      </c>
      <c r="K1339" t="inlineStr">
        <is>
          <t>SEND</t>
        </is>
      </c>
    </row>
    <row r="1340">
      <c r="A1340" t="inlineStr">
        <is>
          <t>Shirley</t>
        </is>
      </c>
      <c r="B1340" t="inlineStr">
        <is>
          <t>+5581991950286</t>
        </is>
      </c>
      <c r="C1340" t="inlineStr">
        <is>
          <t>Refill</t>
        </is>
      </c>
      <c r="D1340" t="inlineStr">
        <is>
          <t>Primer Liso</t>
        </is>
      </c>
      <c r="E1340" t="n">
        <v>1</v>
      </c>
      <c r="F1340" t="inlineStr">
        <is>
          <t>2025-12-19</t>
        </is>
      </c>
      <c r="G1340" t="n">
        <v>197</v>
      </c>
      <c r="H1340" t="inlineStr">
        <is>
          <t>Y</t>
        </is>
      </c>
      <c r="I1340">
        <f>HYPERLINK("https://admin.shopify.com/store/ge-beauty-cosmeticos/customers/9975412425024","abrir")</f>
        <v/>
      </c>
      <c r="J1340">
        <f>HYPERLINK("https://www.gebeauty.com.br/products/primer-liso-intacto?ref=review","review")</f>
        <v/>
      </c>
      <c r="K1340" t="inlineStr">
        <is>
          <t>SEND</t>
        </is>
      </c>
    </row>
    <row r="1341">
      <c r="A1341" t="inlineStr">
        <is>
          <t>Pollyanna</t>
        </is>
      </c>
      <c r="B1341" t="inlineStr">
        <is>
          <t>+5571991650468</t>
        </is>
      </c>
      <c r="C1341" t="inlineStr">
        <is>
          <t>Refill</t>
        </is>
      </c>
      <c r="D1341" t="inlineStr">
        <is>
          <t>Primer Liso</t>
        </is>
      </c>
      <c r="E1341" t="n">
        <v>1</v>
      </c>
      <c r="F1341" t="inlineStr">
        <is>
          <t>2025-12-19</t>
        </is>
      </c>
      <c r="G1341" t="n">
        <v>197</v>
      </c>
      <c r="H1341" t="inlineStr">
        <is>
          <t>Y</t>
        </is>
      </c>
      <c r="I1341">
        <f>HYPERLINK("https://admin.shopify.com/store/ge-beauty-cosmeticos/customers/9975500013888","abrir")</f>
        <v/>
      </c>
      <c r="J1341">
        <f>HYPERLINK("https://www.gebeauty.com.br/products/primer-liso-intacto?ref=review","review")</f>
        <v/>
      </c>
      <c r="K1341" t="inlineStr">
        <is>
          <t>SEND</t>
        </is>
      </c>
    </row>
    <row r="1342">
      <c r="A1342" t="inlineStr">
        <is>
          <t>Larissa</t>
        </is>
      </c>
      <c r="B1342" t="inlineStr">
        <is>
          <t>+5562999792999</t>
        </is>
      </c>
      <c r="C1342" t="inlineStr">
        <is>
          <t>Refill</t>
        </is>
      </c>
      <c r="D1342" t="inlineStr">
        <is>
          <t>Primer Liso</t>
        </is>
      </c>
      <c r="E1342" t="n">
        <v>1</v>
      </c>
      <c r="F1342" t="inlineStr">
        <is>
          <t>2025-12-19</t>
        </is>
      </c>
      <c r="G1342" t="n">
        <v>197</v>
      </c>
      <c r="H1342" t="inlineStr">
        <is>
          <t>Y</t>
        </is>
      </c>
      <c r="I1342">
        <f>HYPERLINK("https://admin.shopify.com/store/ge-beauty-cosmeticos/customers/9975951294784","abrir")</f>
        <v/>
      </c>
      <c r="J1342">
        <f>HYPERLINK("https://www.gebeauty.com.br/products/primer-liso-intacto?ref=review","review")</f>
        <v/>
      </c>
      <c r="K1342" t="inlineStr">
        <is>
          <t>SEND</t>
        </is>
      </c>
    </row>
    <row r="1343">
      <c r="A1343" t="inlineStr">
        <is>
          <t>Renata</t>
        </is>
      </c>
      <c r="B1343" t="inlineStr">
        <is>
          <t>+5527981168443</t>
        </is>
      </c>
      <c r="C1343" t="inlineStr">
        <is>
          <t>Refill</t>
        </is>
      </c>
      <c r="D1343" t="inlineStr">
        <is>
          <t>Primer Liso</t>
        </is>
      </c>
      <c r="E1343" t="n">
        <v>1</v>
      </c>
      <c r="F1343" t="inlineStr">
        <is>
          <t>2025-12-19</t>
        </is>
      </c>
      <c r="G1343" t="n">
        <v>197</v>
      </c>
      <c r="H1343" t="inlineStr">
        <is>
          <t>Y</t>
        </is>
      </c>
      <c r="I1343">
        <f>HYPERLINK("https://admin.shopify.com/store/ge-beauty-cosmeticos/customers/9081605062976","abrir")</f>
        <v/>
      </c>
      <c r="J1343">
        <f>HYPERLINK("https://www.gebeauty.com.br/products/primer-liso-intacto?ref=review","review")</f>
        <v/>
      </c>
      <c r="K1343" t="inlineStr">
        <is>
          <t>SEND</t>
        </is>
      </c>
    </row>
    <row r="1344">
      <c r="A1344" t="inlineStr">
        <is>
          <t>Patricia</t>
        </is>
      </c>
      <c r="B1344" t="inlineStr">
        <is>
          <t>+5531994262501</t>
        </is>
      </c>
      <c r="C1344" t="inlineStr">
        <is>
          <t>Refill</t>
        </is>
      </c>
      <c r="D1344" t="inlineStr">
        <is>
          <t>Primer Liso</t>
        </is>
      </c>
      <c r="E1344" t="n">
        <v>1</v>
      </c>
      <c r="F1344" t="inlineStr">
        <is>
          <t>2025-12-20</t>
        </is>
      </c>
      <c r="G1344" t="n">
        <v>196</v>
      </c>
      <c r="H1344" t="inlineStr">
        <is>
          <t>Y</t>
        </is>
      </c>
      <c r="I1344">
        <f>HYPERLINK("https://admin.shopify.com/store/ge-beauty-cosmeticos/customers/7761521344832","abrir")</f>
        <v/>
      </c>
      <c r="J1344">
        <f>HYPERLINK("https://www.gebeauty.com.br/products/primer-liso-intacto?ref=review","review")</f>
        <v/>
      </c>
      <c r="K1344" t="inlineStr">
        <is>
          <t>SEND</t>
        </is>
      </c>
    </row>
    <row r="1345">
      <c r="A1345" t="inlineStr">
        <is>
          <t>Kendra</t>
        </is>
      </c>
      <c r="B1345" t="inlineStr">
        <is>
          <t>+5521971757577</t>
        </is>
      </c>
      <c r="C1345" t="inlineStr">
        <is>
          <t>Refill</t>
        </is>
      </c>
      <c r="D1345" t="inlineStr">
        <is>
          <t>Primer Liso</t>
        </is>
      </c>
      <c r="E1345" t="n">
        <v>1</v>
      </c>
      <c r="F1345" t="inlineStr">
        <is>
          <t>2025-12-20</t>
        </is>
      </c>
      <c r="G1345" t="n">
        <v>196</v>
      </c>
      <c r="H1345" t="inlineStr">
        <is>
          <t>Y</t>
        </is>
      </c>
      <c r="I1345">
        <f>HYPERLINK("https://admin.shopify.com/store/ge-beauty-cosmeticos/customers/9303291527488","abrir")</f>
        <v/>
      </c>
      <c r="J1345">
        <f>HYPERLINK("https://www.gebeauty.com.br/products/primer-liso-intacto?ref=review","review")</f>
        <v/>
      </c>
      <c r="K1345" t="inlineStr">
        <is>
          <t>SEND</t>
        </is>
      </c>
    </row>
    <row r="1346">
      <c r="A1346" t="inlineStr">
        <is>
          <t>Rafaela</t>
        </is>
      </c>
      <c r="B1346" t="inlineStr">
        <is>
          <t>+5511913041929</t>
        </is>
      </c>
      <c r="C1346" t="inlineStr">
        <is>
          <t>Refill</t>
        </is>
      </c>
      <c r="D1346" t="inlineStr">
        <is>
          <t>Primer Liso</t>
        </is>
      </c>
      <c r="E1346" t="n">
        <v>1</v>
      </c>
      <c r="F1346" t="inlineStr">
        <is>
          <t>2025-12-20</t>
        </is>
      </c>
      <c r="G1346" t="n">
        <v>196</v>
      </c>
      <c r="H1346" t="inlineStr">
        <is>
          <t>Y</t>
        </is>
      </c>
      <c r="I1346">
        <f>HYPERLINK("https://admin.shopify.com/store/ge-beauty-cosmeticos/customers/9977913475392","abrir")</f>
        <v/>
      </c>
      <c r="J1346">
        <f>HYPERLINK("https://www.gebeauty.com.br/products/primer-liso-intacto?ref=review","review")</f>
        <v/>
      </c>
      <c r="K1346" t="inlineStr">
        <is>
          <t>SEND</t>
        </is>
      </c>
    </row>
    <row r="1347">
      <c r="A1347" t="inlineStr">
        <is>
          <t>Camila</t>
        </is>
      </c>
      <c r="B1347" t="inlineStr">
        <is>
          <t>+5511973374427</t>
        </is>
      </c>
      <c r="C1347" t="inlineStr">
        <is>
          <t>Refill</t>
        </is>
      </c>
      <c r="D1347" t="inlineStr">
        <is>
          <t>Primer Liso</t>
        </is>
      </c>
      <c r="E1347" t="n">
        <v>1</v>
      </c>
      <c r="F1347" t="inlineStr">
        <is>
          <t>2025-12-20</t>
        </is>
      </c>
      <c r="G1347" t="n">
        <v>196</v>
      </c>
      <c r="H1347" t="inlineStr">
        <is>
          <t>Y</t>
        </is>
      </c>
      <c r="I1347">
        <f>HYPERLINK("https://admin.shopify.com/store/ge-beauty-cosmeticos/customers/9919181455680","abrir")</f>
        <v/>
      </c>
      <c r="J1347">
        <f>HYPERLINK("https://www.gebeauty.com.br/products/primer-liso-intacto?ref=review","review")</f>
        <v/>
      </c>
      <c r="K1347" t="inlineStr">
        <is>
          <t>SEND</t>
        </is>
      </c>
    </row>
    <row r="1348">
      <c r="A1348" t="inlineStr">
        <is>
          <t>Mateus</t>
        </is>
      </c>
      <c r="B1348" t="inlineStr">
        <is>
          <t>+5511959517052</t>
        </is>
      </c>
      <c r="C1348" t="inlineStr">
        <is>
          <t>Refill</t>
        </is>
      </c>
      <c r="D1348" t="inlineStr">
        <is>
          <t>Primer Liso</t>
        </is>
      </c>
      <c r="E1348" t="n">
        <v>1</v>
      </c>
      <c r="F1348" t="inlineStr">
        <is>
          <t>2025-12-21</t>
        </is>
      </c>
      <c r="G1348" t="n">
        <v>195</v>
      </c>
      <c r="H1348" t="inlineStr">
        <is>
          <t>Y</t>
        </is>
      </c>
      <c r="I1348">
        <f>HYPERLINK("https://admin.shopify.com/store/ge-beauty-cosmeticos/customers/9978604323136","abrir")</f>
        <v/>
      </c>
      <c r="J1348">
        <f>HYPERLINK("https://www.gebeauty.com.br/products/primer-liso-intacto?ref=review","review")</f>
        <v/>
      </c>
      <c r="K1348" t="inlineStr">
        <is>
          <t>SEND</t>
        </is>
      </c>
    </row>
    <row r="1349">
      <c r="A1349" t="inlineStr">
        <is>
          <t>Marisa</t>
        </is>
      </c>
      <c r="B1349" t="inlineStr">
        <is>
          <t>+5521999713161</t>
        </is>
      </c>
      <c r="C1349" t="inlineStr">
        <is>
          <t>Refill</t>
        </is>
      </c>
      <c r="D1349" t="inlineStr">
        <is>
          <t>Primer Liso</t>
        </is>
      </c>
      <c r="E1349" t="n">
        <v>1</v>
      </c>
      <c r="F1349" t="inlineStr">
        <is>
          <t>2025-12-21</t>
        </is>
      </c>
      <c r="G1349" t="n">
        <v>195</v>
      </c>
      <c r="H1349" t="inlineStr">
        <is>
          <t>Y</t>
        </is>
      </c>
      <c r="I1349">
        <f>HYPERLINK("https://admin.shopify.com/store/ge-beauty-cosmeticos/customers/9978752926016","abrir")</f>
        <v/>
      </c>
      <c r="J1349">
        <f>HYPERLINK("https://www.gebeauty.com.br/products/primer-liso-intacto?ref=review","review")</f>
        <v/>
      </c>
      <c r="K1349" t="inlineStr">
        <is>
          <t>HOLDOUT</t>
        </is>
      </c>
    </row>
    <row r="1350">
      <c r="A1350" t="inlineStr">
        <is>
          <t>Naira</t>
        </is>
      </c>
      <c r="B1350" t="inlineStr">
        <is>
          <t>+5571996107361</t>
        </is>
      </c>
      <c r="C1350" t="inlineStr">
        <is>
          <t>Refill</t>
        </is>
      </c>
      <c r="D1350" t="inlineStr">
        <is>
          <t>Primer Liso</t>
        </is>
      </c>
      <c r="E1350" t="n">
        <v>1</v>
      </c>
      <c r="F1350" t="inlineStr">
        <is>
          <t>2025-12-21</t>
        </is>
      </c>
      <c r="G1350" t="n">
        <v>195</v>
      </c>
      <c r="H1350" t="inlineStr">
        <is>
          <t>Y</t>
        </is>
      </c>
      <c r="I1350">
        <f>HYPERLINK("https://admin.shopify.com/store/ge-beauty-cosmeticos/customers/9979752546624","abrir")</f>
        <v/>
      </c>
      <c r="J1350">
        <f>HYPERLINK("https://www.gebeauty.com.br/products/primer-liso-intacto?ref=review","review")</f>
        <v/>
      </c>
      <c r="K1350" t="inlineStr">
        <is>
          <t>SEND</t>
        </is>
      </c>
    </row>
    <row r="1351">
      <c r="A1351" t="inlineStr">
        <is>
          <t>Rafaela</t>
        </is>
      </c>
      <c r="B1351" t="inlineStr">
        <is>
          <t>+5551997268582</t>
        </is>
      </c>
      <c r="C1351" t="inlineStr">
        <is>
          <t>Refill</t>
        </is>
      </c>
      <c r="D1351" t="inlineStr">
        <is>
          <t>Primer Liso</t>
        </is>
      </c>
      <c r="E1351" t="n">
        <v>1</v>
      </c>
      <c r="F1351" t="inlineStr">
        <is>
          <t>2025-12-21</t>
        </is>
      </c>
      <c r="G1351" t="n">
        <v>195</v>
      </c>
      <c r="H1351" t="inlineStr">
        <is>
          <t>Y</t>
        </is>
      </c>
      <c r="I1351">
        <f>HYPERLINK("https://admin.shopify.com/store/ge-beauty-cosmeticos/customers/9486419460416","abrir")</f>
        <v/>
      </c>
      <c r="J1351">
        <f>HYPERLINK("https://www.gebeauty.com.br/products/primer-liso-intacto?ref=review","review")</f>
        <v/>
      </c>
      <c r="K1351" t="inlineStr">
        <is>
          <t>SEND</t>
        </is>
      </c>
    </row>
    <row r="1352">
      <c r="A1352" t="inlineStr">
        <is>
          <t>Marcela</t>
        </is>
      </c>
      <c r="B1352" t="inlineStr">
        <is>
          <t>+5511933620053</t>
        </is>
      </c>
      <c r="C1352" t="inlineStr">
        <is>
          <t>Refill</t>
        </is>
      </c>
      <c r="D1352" t="inlineStr">
        <is>
          <t>Primer Liso</t>
        </is>
      </c>
      <c r="E1352" t="n">
        <v>1</v>
      </c>
      <c r="F1352" t="inlineStr">
        <is>
          <t>2025-12-21</t>
        </is>
      </c>
      <c r="G1352" t="n">
        <v>195</v>
      </c>
      <c r="H1352" t="inlineStr">
        <is>
          <t>Y</t>
        </is>
      </c>
      <c r="I1352">
        <f>HYPERLINK("https://admin.shopify.com/store/ge-beauty-cosmeticos/customers/9980561228096","abrir")</f>
        <v/>
      </c>
      <c r="J1352">
        <f>HYPERLINK("https://www.gebeauty.com.br/products/primer-liso-intacto?ref=review","review")</f>
        <v/>
      </c>
      <c r="K1352" t="inlineStr">
        <is>
          <t>SEND</t>
        </is>
      </c>
    </row>
    <row r="1353">
      <c r="A1353" t="inlineStr">
        <is>
          <t>Sonia</t>
        </is>
      </c>
      <c r="B1353" t="inlineStr">
        <is>
          <t>+5581996234041</t>
        </is>
      </c>
      <c r="C1353" t="inlineStr">
        <is>
          <t>Refill</t>
        </is>
      </c>
      <c r="D1353" t="inlineStr">
        <is>
          <t>Primer Liso</t>
        </is>
      </c>
      <c r="E1353" t="n">
        <v>1</v>
      </c>
      <c r="F1353" t="inlineStr">
        <is>
          <t>2025-12-21</t>
        </is>
      </c>
      <c r="G1353" t="n">
        <v>195</v>
      </c>
      <c r="H1353" t="inlineStr">
        <is>
          <t>Y</t>
        </is>
      </c>
      <c r="I1353">
        <f>HYPERLINK("https://admin.shopify.com/store/ge-beauty-cosmeticos/customers/9980828156224","abrir")</f>
        <v/>
      </c>
      <c r="J1353">
        <f>HYPERLINK("https://www.gebeauty.com.br/products/primer-liso-intacto?ref=review","review")</f>
        <v/>
      </c>
      <c r="K1353" t="inlineStr">
        <is>
          <t>SEND</t>
        </is>
      </c>
    </row>
    <row r="1354">
      <c r="A1354" t="inlineStr">
        <is>
          <t>Gabrielle</t>
        </is>
      </c>
      <c r="B1354" t="inlineStr">
        <is>
          <t>+5561981113176</t>
        </is>
      </c>
      <c r="C1354" t="inlineStr">
        <is>
          <t>Refill</t>
        </is>
      </c>
      <c r="D1354" t="inlineStr">
        <is>
          <t>Primer Liso</t>
        </is>
      </c>
      <c r="E1354" t="n">
        <v>1</v>
      </c>
      <c r="F1354" t="inlineStr">
        <is>
          <t>2025-12-22</t>
        </is>
      </c>
      <c r="G1354" t="n">
        <v>194</v>
      </c>
      <c r="H1354" t="inlineStr">
        <is>
          <t>Y</t>
        </is>
      </c>
      <c r="I1354">
        <f>HYPERLINK("https://admin.shopify.com/store/ge-beauty-cosmeticos/customers/9486182351168","abrir")</f>
        <v/>
      </c>
      <c r="J1354">
        <f>HYPERLINK("https://www.gebeauty.com.br/products/primer-liso-intacto?ref=review","review")</f>
        <v/>
      </c>
      <c r="K1354" t="inlineStr">
        <is>
          <t>SEND</t>
        </is>
      </c>
    </row>
    <row r="1355">
      <c r="A1355" t="inlineStr">
        <is>
          <t>Fernando</t>
        </is>
      </c>
      <c r="B1355" t="inlineStr">
        <is>
          <t>+5541988093919</t>
        </is>
      </c>
      <c r="C1355" t="inlineStr">
        <is>
          <t>Refill</t>
        </is>
      </c>
      <c r="D1355" t="inlineStr">
        <is>
          <t>Primer Liso</t>
        </is>
      </c>
      <c r="E1355" t="n">
        <v>1</v>
      </c>
      <c r="F1355" t="inlineStr">
        <is>
          <t>2025-12-22</t>
        </is>
      </c>
      <c r="G1355" t="n">
        <v>194</v>
      </c>
      <c r="H1355" t="inlineStr">
        <is>
          <t>Y</t>
        </is>
      </c>
      <c r="I1355">
        <f>HYPERLINK("https://admin.shopify.com/store/ge-beauty-cosmeticos/customers/9893868634432","abrir")</f>
        <v/>
      </c>
      <c r="J1355">
        <f>HYPERLINK("https://www.gebeauty.com.br/products/primer-liso-intacto?ref=review","review")</f>
        <v/>
      </c>
      <c r="K1355" t="inlineStr">
        <is>
          <t>SEND</t>
        </is>
      </c>
    </row>
    <row r="1356">
      <c r="A1356" t="inlineStr">
        <is>
          <t>Clara</t>
        </is>
      </c>
      <c r="B1356" t="inlineStr">
        <is>
          <t>+5521988228566</t>
        </is>
      </c>
      <c r="C1356" t="inlineStr">
        <is>
          <t>Refill</t>
        </is>
      </c>
      <c r="D1356" t="inlineStr">
        <is>
          <t>Primer Liso</t>
        </is>
      </c>
      <c r="E1356" t="n">
        <v>1</v>
      </c>
      <c r="F1356" t="inlineStr">
        <is>
          <t>2025-12-22</t>
        </is>
      </c>
      <c r="G1356" t="n">
        <v>194</v>
      </c>
      <c r="H1356" t="inlineStr">
        <is>
          <t>Y</t>
        </is>
      </c>
      <c r="I1356">
        <f>HYPERLINK("https://admin.shopify.com/store/ge-beauty-cosmeticos/customers/9061836816704","abrir")</f>
        <v/>
      </c>
      <c r="J1356">
        <f>HYPERLINK("https://www.gebeauty.com.br/products/primer-liso-intacto?ref=review","review")</f>
        <v/>
      </c>
      <c r="K1356" t="inlineStr">
        <is>
          <t>SEND</t>
        </is>
      </c>
    </row>
    <row r="1357">
      <c r="A1357" t="inlineStr">
        <is>
          <t>Brena</t>
        </is>
      </c>
      <c r="B1357" t="inlineStr">
        <is>
          <t>+5585999865328</t>
        </is>
      </c>
      <c r="C1357" t="inlineStr">
        <is>
          <t>Refill</t>
        </is>
      </c>
      <c r="D1357" t="inlineStr">
        <is>
          <t>Primer Liso</t>
        </is>
      </c>
      <c r="E1357" t="n">
        <v>1</v>
      </c>
      <c r="F1357" t="inlineStr">
        <is>
          <t>2025-12-22</t>
        </is>
      </c>
      <c r="G1357" t="n">
        <v>194</v>
      </c>
      <c r="H1357" t="inlineStr">
        <is>
          <t>Y</t>
        </is>
      </c>
      <c r="I1357">
        <f>HYPERLINK("https://admin.shopify.com/store/ge-beauty-cosmeticos/customers/9484395512128","abrir")</f>
        <v/>
      </c>
      <c r="J1357">
        <f>HYPERLINK("https://www.gebeauty.com.br/products/primer-liso-intacto?ref=review","review")</f>
        <v/>
      </c>
      <c r="K1357" t="inlineStr">
        <is>
          <t>SEND</t>
        </is>
      </c>
    </row>
    <row r="1358">
      <c r="A1358" t="inlineStr">
        <is>
          <t>Aline</t>
        </is>
      </c>
      <c r="B1358" t="inlineStr">
        <is>
          <t>+5583998280055</t>
        </is>
      </c>
      <c r="C1358" t="inlineStr">
        <is>
          <t>Refill</t>
        </is>
      </c>
      <c r="D1358" t="inlineStr">
        <is>
          <t>Primer Liso</t>
        </is>
      </c>
      <c r="E1358" t="n">
        <v>1</v>
      </c>
      <c r="F1358" t="inlineStr">
        <is>
          <t>2025-12-22</t>
        </is>
      </c>
      <c r="G1358" t="n">
        <v>194</v>
      </c>
      <c r="H1358" t="inlineStr">
        <is>
          <t>Y</t>
        </is>
      </c>
      <c r="I1358">
        <f>HYPERLINK("https://admin.shopify.com/store/ge-beauty-cosmeticos/customers/9983511200064","abrir")</f>
        <v/>
      </c>
      <c r="J1358">
        <f>HYPERLINK("https://www.gebeauty.com.br/products/primer-liso-intacto?ref=review","review")</f>
        <v/>
      </c>
      <c r="K1358" t="inlineStr">
        <is>
          <t>SEND</t>
        </is>
      </c>
    </row>
    <row r="1359">
      <c r="A1359" t="inlineStr">
        <is>
          <t>Isabela</t>
        </is>
      </c>
      <c r="B1359" t="inlineStr">
        <is>
          <t>+5581998970807</t>
        </is>
      </c>
      <c r="C1359" t="inlineStr">
        <is>
          <t>Refill</t>
        </is>
      </c>
      <c r="D1359" t="inlineStr">
        <is>
          <t>Primer Liso</t>
        </is>
      </c>
      <c r="E1359" t="n">
        <v>1</v>
      </c>
      <c r="F1359" t="inlineStr">
        <is>
          <t>2025-12-23</t>
        </is>
      </c>
      <c r="G1359" t="n">
        <v>193</v>
      </c>
      <c r="H1359" t="inlineStr">
        <is>
          <t>Y</t>
        </is>
      </c>
      <c r="I1359">
        <f>HYPERLINK("https://admin.shopify.com/store/ge-beauty-cosmeticos/customers/9983640863040","abrir")</f>
        <v/>
      </c>
      <c r="J1359">
        <f>HYPERLINK("https://www.gebeauty.com.br/products/primer-liso-intacto?ref=review","review")</f>
        <v/>
      </c>
      <c r="K1359" t="inlineStr">
        <is>
          <t>SEND</t>
        </is>
      </c>
    </row>
    <row r="1360">
      <c r="A1360" t="inlineStr">
        <is>
          <t>Gabriela</t>
        </is>
      </c>
      <c r="B1360" t="inlineStr">
        <is>
          <t>+5585991380224</t>
        </is>
      </c>
      <c r="C1360" t="inlineStr">
        <is>
          <t>Refill</t>
        </is>
      </c>
      <c r="D1360" t="inlineStr">
        <is>
          <t>Primer Liso</t>
        </is>
      </c>
      <c r="E1360" t="n">
        <v>1</v>
      </c>
      <c r="F1360" t="inlineStr">
        <is>
          <t>2025-12-23</t>
        </is>
      </c>
      <c r="G1360" t="n">
        <v>193</v>
      </c>
      <c r="H1360" t="inlineStr">
        <is>
          <t>Y</t>
        </is>
      </c>
      <c r="I1360">
        <f>HYPERLINK("https://admin.shopify.com/store/ge-beauty-cosmeticos/customers/9983715279168","abrir")</f>
        <v/>
      </c>
      <c r="J1360">
        <f>HYPERLINK("https://www.gebeauty.com.br/products/primer-liso-intacto?ref=review","review")</f>
        <v/>
      </c>
      <c r="K1360" t="inlineStr">
        <is>
          <t>SEND</t>
        </is>
      </c>
    </row>
    <row r="1361">
      <c r="A1361" t="inlineStr">
        <is>
          <t>Julia</t>
        </is>
      </c>
      <c r="B1361" t="inlineStr">
        <is>
          <t>+5511970569521</t>
        </is>
      </c>
      <c r="C1361" t="inlineStr">
        <is>
          <t>Refill</t>
        </is>
      </c>
      <c r="D1361" t="inlineStr">
        <is>
          <t>Primer Liso</t>
        </is>
      </c>
      <c r="E1361" t="n">
        <v>1</v>
      </c>
      <c r="F1361" t="inlineStr">
        <is>
          <t>2025-12-23</t>
        </is>
      </c>
      <c r="G1361" t="n">
        <v>193</v>
      </c>
      <c r="H1361" t="inlineStr">
        <is>
          <t>Y</t>
        </is>
      </c>
      <c r="I1361">
        <f>HYPERLINK("https://admin.shopify.com/store/ge-beauty-cosmeticos/customers/9983983747392","abrir")</f>
        <v/>
      </c>
      <c r="J1361">
        <f>HYPERLINK("https://www.gebeauty.com.br/products/primer-liso-intacto?ref=review","review")</f>
        <v/>
      </c>
      <c r="K1361" t="inlineStr">
        <is>
          <t>SEND</t>
        </is>
      </c>
    </row>
    <row r="1362">
      <c r="A1362" t="inlineStr">
        <is>
          <t>Anselmo</t>
        </is>
      </c>
      <c r="B1362" t="inlineStr">
        <is>
          <t>+5581988410199</t>
        </is>
      </c>
      <c r="C1362" t="inlineStr">
        <is>
          <t>Refill</t>
        </is>
      </c>
      <c r="D1362" t="inlineStr">
        <is>
          <t>Primer Liso</t>
        </is>
      </c>
      <c r="E1362" t="n">
        <v>1</v>
      </c>
      <c r="F1362" t="inlineStr">
        <is>
          <t>2025-12-23</t>
        </is>
      </c>
      <c r="G1362" t="n">
        <v>193</v>
      </c>
      <c r="H1362" t="inlineStr">
        <is>
          <t>Y</t>
        </is>
      </c>
      <c r="I1362">
        <f>HYPERLINK("https://admin.shopify.com/store/ge-beauty-cosmeticos/customers/9984821461312","abrir")</f>
        <v/>
      </c>
      <c r="J1362">
        <f>HYPERLINK("https://www.gebeauty.com.br/products/primer-liso-intacto?ref=review","review")</f>
        <v/>
      </c>
      <c r="K1362" t="inlineStr">
        <is>
          <t>SEND</t>
        </is>
      </c>
    </row>
    <row r="1363">
      <c r="A1363" t="inlineStr">
        <is>
          <t>Janine</t>
        </is>
      </c>
      <c r="B1363" t="inlineStr">
        <is>
          <t>+5581987431117</t>
        </is>
      </c>
      <c r="C1363" t="inlineStr">
        <is>
          <t>Refill</t>
        </is>
      </c>
      <c r="D1363" t="inlineStr">
        <is>
          <t>Primer Liso</t>
        </is>
      </c>
      <c r="E1363" t="n">
        <v>1</v>
      </c>
      <c r="F1363" t="inlineStr">
        <is>
          <t>2025-12-23</t>
        </is>
      </c>
      <c r="G1363" t="n">
        <v>193</v>
      </c>
      <c r="H1363" t="inlineStr">
        <is>
          <t>Y</t>
        </is>
      </c>
      <c r="I1363">
        <f>HYPERLINK("https://admin.shopify.com/store/ge-beauty-cosmeticos/customers/9984998179136","abrir")</f>
        <v/>
      </c>
      <c r="J1363">
        <f>HYPERLINK("https://www.gebeauty.com.br/products/primer-liso-intacto?ref=review","review")</f>
        <v/>
      </c>
      <c r="K1363" t="inlineStr">
        <is>
          <t>SEND</t>
        </is>
      </c>
    </row>
    <row r="1364">
      <c r="A1364" t="inlineStr">
        <is>
          <t>Juliana</t>
        </is>
      </c>
      <c r="B1364" t="inlineStr">
        <is>
          <t>+5511999535021</t>
        </is>
      </c>
      <c r="C1364" t="inlineStr">
        <is>
          <t>Refill</t>
        </is>
      </c>
      <c r="D1364" t="inlineStr">
        <is>
          <t>Primer Liso</t>
        </is>
      </c>
      <c r="E1364" t="n">
        <v>1</v>
      </c>
      <c r="F1364" t="inlineStr">
        <is>
          <t>2025-12-23</t>
        </is>
      </c>
      <c r="G1364" t="n">
        <v>193</v>
      </c>
      <c r="H1364" t="inlineStr">
        <is>
          <t>Y</t>
        </is>
      </c>
      <c r="I1364">
        <f>HYPERLINK("https://admin.shopify.com/store/ge-beauty-cosmeticos/customers/9131790106944","abrir")</f>
        <v/>
      </c>
      <c r="J1364">
        <f>HYPERLINK("https://www.gebeauty.com.br/products/primer-liso-intacto?ref=review","review")</f>
        <v/>
      </c>
      <c r="K1364" t="inlineStr">
        <is>
          <t>HOLDOUT</t>
        </is>
      </c>
    </row>
    <row r="1365">
      <c r="A1365" t="inlineStr">
        <is>
          <t>Katia</t>
        </is>
      </c>
      <c r="B1365" t="inlineStr">
        <is>
          <t>+5521993252333</t>
        </is>
      </c>
      <c r="C1365" t="inlineStr">
        <is>
          <t>Refill</t>
        </is>
      </c>
      <c r="D1365" t="inlineStr">
        <is>
          <t>Primer Liso</t>
        </is>
      </c>
      <c r="E1365" t="n">
        <v>1</v>
      </c>
      <c r="F1365" t="inlineStr">
        <is>
          <t>2025-12-23</t>
        </is>
      </c>
      <c r="G1365" t="n">
        <v>193</v>
      </c>
      <c r="H1365" t="inlineStr">
        <is>
          <t>Y</t>
        </is>
      </c>
      <c r="I1365">
        <f>HYPERLINK("https://admin.shopify.com/store/ge-beauty-cosmeticos/customers/9985333526848","abrir")</f>
        <v/>
      </c>
      <c r="J1365">
        <f>HYPERLINK("https://www.gebeauty.com.br/products/primer-liso-intacto?ref=review","review")</f>
        <v/>
      </c>
      <c r="K1365" t="inlineStr">
        <is>
          <t>SEND</t>
        </is>
      </c>
    </row>
    <row r="1366">
      <c r="A1366" t="inlineStr">
        <is>
          <t>Maria</t>
        </is>
      </c>
      <c r="B1366" t="inlineStr">
        <is>
          <t>+5581988161907</t>
        </is>
      </c>
      <c r="C1366" t="inlineStr">
        <is>
          <t>Refill</t>
        </is>
      </c>
      <c r="D1366" t="inlineStr">
        <is>
          <t>Primer Liso</t>
        </is>
      </c>
      <c r="E1366" t="n">
        <v>1</v>
      </c>
      <c r="F1366" t="inlineStr">
        <is>
          <t>2025-12-23</t>
        </is>
      </c>
      <c r="G1366" t="n">
        <v>193</v>
      </c>
      <c r="H1366" t="inlineStr">
        <is>
          <t>Y</t>
        </is>
      </c>
      <c r="I1366">
        <f>HYPERLINK("https://admin.shopify.com/store/ge-beauty-cosmeticos/customers/9985720615232","abrir")</f>
        <v/>
      </c>
      <c r="J1366">
        <f>HYPERLINK("https://www.gebeauty.com.br/products/primer-liso-intacto?ref=review","review")</f>
        <v/>
      </c>
      <c r="K1366" t="inlineStr">
        <is>
          <t>HOLDOUT</t>
        </is>
      </c>
    </row>
    <row r="1367">
      <c r="A1367" t="inlineStr">
        <is>
          <t>Solange</t>
        </is>
      </c>
      <c r="B1367" t="inlineStr">
        <is>
          <t>+5562982598585</t>
        </is>
      </c>
      <c r="C1367" t="inlineStr">
        <is>
          <t>Refill</t>
        </is>
      </c>
      <c r="D1367" t="inlineStr">
        <is>
          <t>Primer Liso</t>
        </is>
      </c>
      <c r="E1367" t="n">
        <v>1</v>
      </c>
      <c r="F1367" t="inlineStr">
        <is>
          <t>2025-12-24</t>
        </is>
      </c>
      <c r="G1367" t="n">
        <v>192</v>
      </c>
      <c r="H1367" t="inlineStr">
        <is>
          <t>Y</t>
        </is>
      </c>
      <c r="I1367">
        <f>HYPERLINK("https://admin.shopify.com/store/ge-beauty-cosmeticos/customers/9985961263424","abrir")</f>
        <v/>
      </c>
      <c r="J1367">
        <f>HYPERLINK("https://www.gebeauty.com.br/products/primer-liso-intacto?ref=review","review")</f>
        <v/>
      </c>
      <c r="K1367" t="inlineStr">
        <is>
          <t>HOLDOUT</t>
        </is>
      </c>
    </row>
    <row r="1368">
      <c r="A1368" t="inlineStr">
        <is>
          <t>Fernanda</t>
        </is>
      </c>
      <c r="B1368" t="inlineStr">
        <is>
          <t>+5511953409544</t>
        </is>
      </c>
      <c r="C1368" t="inlineStr">
        <is>
          <t>Refill</t>
        </is>
      </c>
      <c r="D1368" t="inlineStr">
        <is>
          <t>Primer Liso</t>
        </is>
      </c>
      <c r="E1368" t="n">
        <v>1</v>
      </c>
      <c r="F1368" t="inlineStr">
        <is>
          <t>2025-12-24</t>
        </is>
      </c>
      <c r="G1368" t="n">
        <v>192</v>
      </c>
      <c r="H1368" t="inlineStr">
        <is>
          <t>Y</t>
        </is>
      </c>
      <c r="I1368">
        <f>HYPERLINK("https://admin.shopify.com/store/ge-beauty-cosmeticos/customers/9987499524416","abrir")</f>
        <v/>
      </c>
      <c r="J1368">
        <f>HYPERLINK("https://www.gebeauty.com.br/products/primer-liso-intacto?ref=review","review")</f>
        <v/>
      </c>
      <c r="K1368" t="inlineStr">
        <is>
          <t>SEND</t>
        </is>
      </c>
    </row>
    <row r="1369">
      <c r="A1369" t="inlineStr">
        <is>
          <t>Daniela</t>
        </is>
      </c>
      <c r="B1369" t="inlineStr">
        <is>
          <t>+5581999607140</t>
        </is>
      </c>
      <c r="C1369" t="inlineStr">
        <is>
          <t>Refill</t>
        </is>
      </c>
      <c r="D1369" t="inlineStr">
        <is>
          <t>Primer Liso</t>
        </is>
      </c>
      <c r="E1369" t="n">
        <v>1</v>
      </c>
      <c r="F1369" t="inlineStr">
        <is>
          <t>2025-12-24</t>
        </is>
      </c>
      <c r="G1369" t="n">
        <v>192</v>
      </c>
      <c r="H1369" t="inlineStr">
        <is>
          <t>Y</t>
        </is>
      </c>
      <c r="I1369">
        <f>HYPERLINK("https://admin.shopify.com/store/ge-beauty-cosmeticos/customers/9987526951232","abrir")</f>
        <v/>
      </c>
      <c r="J1369">
        <f>HYPERLINK("https://www.gebeauty.com.br/products/primer-liso-intacto?ref=review","review")</f>
        <v/>
      </c>
      <c r="K1369" t="inlineStr">
        <is>
          <t>SEND</t>
        </is>
      </c>
    </row>
    <row r="1370">
      <c r="A1370" t="inlineStr">
        <is>
          <t>Flavia</t>
        </is>
      </c>
      <c r="B1370" t="inlineStr">
        <is>
          <t>+5541996437374</t>
        </is>
      </c>
      <c r="C1370" t="inlineStr">
        <is>
          <t>Refill</t>
        </is>
      </c>
      <c r="D1370" t="inlineStr">
        <is>
          <t>Primer Liso</t>
        </is>
      </c>
      <c r="E1370" t="n">
        <v>1</v>
      </c>
      <c r="F1370" t="inlineStr">
        <is>
          <t>2025-12-24</t>
        </is>
      </c>
      <c r="G1370" t="n">
        <v>192</v>
      </c>
      <c r="H1370" t="inlineStr">
        <is>
          <t>Y</t>
        </is>
      </c>
      <c r="I1370">
        <f>HYPERLINK("https://admin.shopify.com/store/ge-beauty-cosmeticos/customers/9486667088192","abrir")</f>
        <v/>
      </c>
      <c r="J1370">
        <f>HYPERLINK("https://www.gebeauty.com.br/products/primer-liso-intacto?ref=review","review")</f>
        <v/>
      </c>
      <c r="K1370" t="inlineStr">
        <is>
          <t>SEND</t>
        </is>
      </c>
    </row>
    <row r="1371">
      <c r="A1371" t="inlineStr">
        <is>
          <t>Andre</t>
        </is>
      </c>
      <c r="B1371" t="inlineStr">
        <is>
          <t>+5511996710102</t>
        </is>
      </c>
      <c r="C1371" t="inlineStr">
        <is>
          <t>Refill</t>
        </is>
      </c>
      <c r="D1371" t="inlineStr">
        <is>
          <t>Primer Liso</t>
        </is>
      </c>
      <c r="E1371" t="n">
        <v>1</v>
      </c>
      <c r="F1371" t="inlineStr">
        <is>
          <t>2025-12-25</t>
        </is>
      </c>
      <c r="G1371" t="n">
        <v>191</v>
      </c>
      <c r="H1371" t="inlineStr">
        <is>
          <t>Y</t>
        </is>
      </c>
      <c r="I1371">
        <f>HYPERLINK("https://admin.shopify.com/store/ge-beauty-cosmeticos/customers/9985924596032","abrir")</f>
        <v/>
      </c>
      <c r="J1371">
        <f>HYPERLINK("https://www.gebeauty.com.br/products/primer-liso-intacto?ref=review","review")</f>
        <v/>
      </c>
      <c r="K1371" t="inlineStr">
        <is>
          <t>SEND</t>
        </is>
      </c>
    </row>
    <row r="1372">
      <c r="A1372" t="inlineStr">
        <is>
          <t>Olivia</t>
        </is>
      </c>
      <c r="B1372" t="inlineStr">
        <is>
          <t>+5511920073309</t>
        </is>
      </c>
      <c r="C1372" t="inlineStr">
        <is>
          <t>Refill</t>
        </is>
      </c>
      <c r="D1372" t="inlineStr">
        <is>
          <t>Primer Liso</t>
        </is>
      </c>
      <c r="E1372" t="n">
        <v>1</v>
      </c>
      <c r="F1372" t="inlineStr">
        <is>
          <t>2025-12-25</t>
        </is>
      </c>
      <c r="G1372" t="n">
        <v>191</v>
      </c>
      <c r="H1372" t="inlineStr">
        <is>
          <t>Y</t>
        </is>
      </c>
      <c r="I1372">
        <f>HYPERLINK("https://admin.shopify.com/store/ge-beauty-cosmeticos/customers/9989579276608","abrir")</f>
        <v/>
      </c>
      <c r="J1372">
        <f>HYPERLINK("https://www.gebeauty.com.br/products/primer-liso-intacto?ref=review","review")</f>
        <v/>
      </c>
      <c r="K1372" t="inlineStr">
        <is>
          <t>SEND</t>
        </is>
      </c>
    </row>
    <row r="1373">
      <c r="A1373" t="inlineStr">
        <is>
          <t>Ana Cristina</t>
        </is>
      </c>
      <c r="B1373" t="inlineStr">
        <is>
          <t>+5551991252989</t>
        </is>
      </c>
      <c r="C1373" t="inlineStr">
        <is>
          <t>Refill</t>
        </is>
      </c>
      <c r="D1373" t="inlineStr">
        <is>
          <t>Primer Liso</t>
        </is>
      </c>
      <c r="E1373" t="n">
        <v>1</v>
      </c>
      <c r="F1373" t="inlineStr">
        <is>
          <t>2025-12-26</t>
        </is>
      </c>
      <c r="G1373" t="n">
        <v>190</v>
      </c>
      <c r="H1373" t="inlineStr">
        <is>
          <t>Y</t>
        </is>
      </c>
      <c r="I1373">
        <f>HYPERLINK("https://admin.shopify.com/store/ge-beauty-cosmeticos/customers/9990338642240","abrir")</f>
        <v/>
      </c>
      <c r="J1373">
        <f>HYPERLINK("https://www.gebeauty.com.br/products/primer-liso-intacto?ref=review","review")</f>
        <v/>
      </c>
      <c r="K1373" t="inlineStr">
        <is>
          <t>SEND</t>
        </is>
      </c>
    </row>
    <row r="1374">
      <c r="A1374" t="inlineStr">
        <is>
          <t>Giovanna</t>
        </is>
      </c>
      <c r="B1374" t="inlineStr">
        <is>
          <t>+5519997150595</t>
        </is>
      </c>
      <c r="C1374" t="inlineStr">
        <is>
          <t>Refill</t>
        </is>
      </c>
      <c r="D1374" t="inlineStr">
        <is>
          <t>Primer Liso</t>
        </is>
      </c>
      <c r="E1374" t="n">
        <v>1</v>
      </c>
      <c r="F1374" t="inlineStr">
        <is>
          <t>2025-12-26</t>
        </is>
      </c>
      <c r="G1374" t="n">
        <v>190</v>
      </c>
      <c r="H1374" t="inlineStr">
        <is>
          <t>Y</t>
        </is>
      </c>
      <c r="I1374">
        <f>HYPERLINK("https://admin.shopify.com/store/ge-beauty-cosmeticos/customers/9990343459136","abrir")</f>
        <v/>
      </c>
      <c r="J1374">
        <f>HYPERLINK("https://www.gebeauty.com.br/products/primer-liso-intacto?ref=review","review")</f>
        <v/>
      </c>
      <c r="K1374" t="inlineStr">
        <is>
          <t>SEND</t>
        </is>
      </c>
    </row>
    <row r="1375">
      <c r="A1375" t="inlineStr">
        <is>
          <t>Camilla</t>
        </is>
      </c>
      <c r="B1375" t="inlineStr">
        <is>
          <t>+5541991250605</t>
        </is>
      </c>
      <c r="C1375" t="inlineStr">
        <is>
          <t>Refill</t>
        </is>
      </c>
      <c r="D1375" t="inlineStr">
        <is>
          <t>Primer Liso</t>
        </is>
      </c>
      <c r="E1375" t="n">
        <v>1</v>
      </c>
      <c r="F1375" t="inlineStr">
        <is>
          <t>2025-12-26</t>
        </is>
      </c>
      <c r="G1375" t="n">
        <v>190</v>
      </c>
      <c r="H1375" t="inlineStr">
        <is>
          <t>Y</t>
        </is>
      </c>
      <c r="I1375">
        <f>HYPERLINK("https://admin.shopify.com/store/ge-beauty-cosmeticos/customers/9486060912960","abrir")</f>
        <v/>
      </c>
      <c r="J1375">
        <f>HYPERLINK("https://www.gebeauty.com.br/products/primer-liso-intacto?ref=review","review")</f>
        <v/>
      </c>
      <c r="K1375" t="inlineStr">
        <is>
          <t>SEND</t>
        </is>
      </c>
    </row>
    <row r="1376">
      <c r="A1376" t="inlineStr">
        <is>
          <t>Vitória</t>
        </is>
      </c>
      <c r="B1376" t="inlineStr">
        <is>
          <t>+5584987011075</t>
        </is>
      </c>
      <c r="C1376" t="inlineStr">
        <is>
          <t>Refill</t>
        </is>
      </c>
      <c r="D1376" t="inlineStr">
        <is>
          <t>Primer Liso</t>
        </is>
      </c>
      <c r="E1376" t="n">
        <v>1</v>
      </c>
      <c r="F1376" t="inlineStr">
        <is>
          <t>2025-12-26</t>
        </is>
      </c>
      <c r="G1376" t="n">
        <v>190</v>
      </c>
      <c r="H1376" t="inlineStr">
        <is>
          <t>Y</t>
        </is>
      </c>
      <c r="I1376">
        <f>HYPERLINK("https://admin.shopify.com/store/ge-beauty-cosmeticos/customers/9991781253440","abrir")</f>
        <v/>
      </c>
      <c r="J1376">
        <f>HYPERLINK("https://www.gebeauty.com.br/products/primer-liso-intacto?ref=review","review")</f>
        <v/>
      </c>
      <c r="K1376" t="inlineStr">
        <is>
          <t>SEND</t>
        </is>
      </c>
    </row>
    <row r="1377">
      <c r="A1377" t="inlineStr">
        <is>
          <t>Tayane</t>
        </is>
      </c>
      <c r="B1377" t="inlineStr">
        <is>
          <t>+5592984046542</t>
        </is>
      </c>
      <c r="C1377" t="inlineStr">
        <is>
          <t>Refill</t>
        </is>
      </c>
      <c r="D1377" t="inlineStr">
        <is>
          <t>Primer Liso</t>
        </is>
      </c>
      <c r="E1377" t="n">
        <v>1</v>
      </c>
      <c r="F1377" t="inlineStr">
        <is>
          <t>2025-12-26</t>
        </is>
      </c>
      <c r="G1377" t="n">
        <v>190</v>
      </c>
      <c r="H1377" t="inlineStr">
        <is>
          <t>Y</t>
        </is>
      </c>
      <c r="I1377">
        <f>HYPERLINK("https://admin.shopify.com/store/ge-beauty-cosmeticos/customers/9992136098112","abrir")</f>
        <v/>
      </c>
      <c r="J1377">
        <f>HYPERLINK("https://www.gebeauty.com.br/products/primer-liso-intacto?ref=review","review")</f>
        <v/>
      </c>
      <c r="K1377" t="inlineStr">
        <is>
          <t>SEND</t>
        </is>
      </c>
    </row>
    <row r="1378">
      <c r="A1378" t="inlineStr">
        <is>
          <t>Ilana</t>
        </is>
      </c>
      <c r="B1378" t="inlineStr">
        <is>
          <t>+5585991354665</t>
        </is>
      </c>
      <c r="C1378" t="inlineStr">
        <is>
          <t>Refill</t>
        </is>
      </c>
      <c r="D1378" t="inlineStr">
        <is>
          <t>Primer Liso</t>
        </is>
      </c>
      <c r="E1378" t="n">
        <v>1</v>
      </c>
      <c r="F1378" t="inlineStr">
        <is>
          <t>2025-12-26</t>
        </is>
      </c>
      <c r="G1378" t="n">
        <v>190</v>
      </c>
      <c r="H1378" t="inlineStr">
        <is>
          <t>Y</t>
        </is>
      </c>
      <c r="I1378">
        <f>HYPERLINK("https://admin.shopify.com/store/ge-beauty-cosmeticos/customers/9992149532992","abrir")</f>
        <v/>
      </c>
      <c r="J1378">
        <f>HYPERLINK("https://www.gebeauty.com.br/products/primer-liso-intacto?ref=review","review")</f>
        <v/>
      </c>
      <c r="K1378" t="inlineStr">
        <is>
          <t>HOLDOUT</t>
        </is>
      </c>
    </row>
    <row r="1379">
      <c r="A1379" t="inlineStr">
        <is>
          <t>Renan</t>
        </is>
      </c>
      <c r="B1379" t="inlineStr">
        <is>
          <t>+5569993338936</t>
        </is>
      </c>
      <c r="C1379" t="inlineStr">
        <is>
          <t>Refill</t>
        </is>
      </c>
      <c r="D1379" t="inlineStr">
        <is>
          <t>Primer Liso</t>
        </is>
      </c>
      <c r="E1379" t="n">
        <v>1</v>
      </c>
      <c r="F1379" t="inlineStr">
        <is>
          <t>2025-12-26</t>
        </is>
      </c>
      <c r="G1379" t="n">
        <v>190</v>
      </c>
      <c r="H1379" t="inlineStr">
        <is>
          <t>Y</t>
        </is>
      </c>
      <c r="I1379">
        <f>HYPERLINK("https://admin.shopify.com/store/ge-beauty-cosmeticos/customers/9992434417984","abrir")</f>
        <v/>
      </c>
      <c r="J1379">
        <f>HYPERLINK("https://www.gebeauty.com.br/products/primer-liso-intacto?ref=review","review")</f>
        <v/>
      </c>
      <c r="K1379" t="inlineStr">
        <is>
          <t>HOLDOUT</t>
        </is>
      </c>
    </row>
    <row r="1380">
      <c r="A1380" t="inlineStr">
        <is>
          <t>Manoella</t>
        </is>
      </c>
      <c r="B1380" t="inlineStr">
        <is>
          <t>+5521981822957</t>
        </is>
      </c>
      <c r="C1380" t="inlineStr">
        <is>
          <t>Refill</t>
        </is>
      </c>
      <c r="D1380" t="inlineStr">
        <is>
          <t>Primer Liso</t>
        </is>
      </c>
      <c r="E1380" t="n">
        <v>1</v>
      </c>
      <c r="F1380" t="inlineStr">
        <is>
          <t>2025-12-27</t>
        </is>
      </c>
      <c r="G1380" t="n">
        <v>189</v>
      </c>
      <c r="H1380" t="inlineStr">
        <is>
          <t>Y</t>
        </is>
      </c>
      <c r="I1380">
        <f>HYPERLINK("https://admin.shopify.com/store/ge-beauty-cosmeticos/customers/8944615555392","abrir")</f>
        <v/>
      </c>
      <c r="J1380">
        <f>HYPERLINK("https://www.gebeauty.com.br/products/primer-liso-intacto?ref=review","review")</f>
        <v/>
      </c>
      <c r="K1380" t="inlineStr">
        <is>
          <t>SEND</t>
        </is>
      </c>
    </row>
    <row r="1381">
      <c r="A1381" t="inlineStr">
        <is>
          <t>Tatianny</t>
        </is>
      </c>
      <c r="B1381" t="inlineStr">
        <is>
          <t>+5581996532567</t>
        </is>
      </c>
      <c r="C1381" t="inlineStr">
        <is>
          <t>Refill</t>
        </is>
      </c>
      <c r="D1381" t="inlineStr">
        <is>
          <t>Primer Liso</t>
        </is>
      </c>
      <c r="E1381" t="n">
        <v>1</v>
      </c>
      <c r="F1381" t="inlineStr">
        <is>
          <t>2025-12-27</t>
        </is>
      </c>
      <c r="G1381" t="n">
        <v>189</v>
      </c>
      <c r="H1381" t="inlineStr">
        <is>
          <t>Y</t>
        </is>
      </c>
      <c r="I1381">
        <f>HYPERLINK("https://admin.shopify.com/store/ge-beauty-cosmeticos/customers/9994259726656","abrir")</f>
        <v/>
      </c>
      <c r="J1381">
        <f>HYPERLINK("https://www.gebeauty.com.br/products/primer-liso-intacto?ref=review","review")</f>
        <v/>
      </c>
      <c r="K1381" t="inlineStr">
        <is>
          <t>SEND</t>
        </is>
      </c>
    </row>
    <row r="1382">
      <c r="A1382" t="inlineStr">
        <is>
          <t>Betty</t>
        </is>
      </c>
      <c r="B1382" t="inlineStr">
        <is>
          <t>+5511932865689</t>
        </is>
      </c>
      <c r="C1382" t="inlineStr">
        <is>
          <t>Refill</t>
        </is>
      </c>
      <c r="D1382" t="inlineStr">
        <is>
          <t>Primer Liso</t>
        </is>
      </c>
      <c r="E1382" t="n">
        <v>1</v>
      </c>
      <c r="F1382" t="inlineStr">
        <is>
          <t>2025-12-27</t>
        </is>
      </c>
      <c r="G1382" t="n">
        <v>189</v>
      </c>
      <c r="H1382" t="inlineStr">
        <is>
          <t>Y</t>
        </is>
      </c>
      <c r="I1382">
        <f>HYPERLINK("https://admin.shopify.com/store/ge-beauty-cosmeticos/customers/9994307600704","abrir")</f>
        <v/>
      </c>
      <c r="J1382">
        <f>HYPERLINK("https://www.gebeauty.com.br/products/primer-liso-intacto?ref=review","review")</f>
        <v/>
      </c>
      <c r="K1382" t="inlineStr">
        <is>
          <t>SEND</t>
        </is>
      </c>
    </row>
    <row r="1383">
      <c r="A1383" t="inlineStr">
        <is>
          <t>Ana</t>
        </is>
      </c>
      <c r="B1383" t="inlineStr">
        <is>
          <t>+5581986395950</t>
        </is>
      </c>
      <c r="C1383" t="inlineStr">
        <is>
          <t>Refill</t>
        </is>
      </c>
      <c r="D1383" t="inlineStr">
        <is>
          <t>Primer Liso</t>
        </is>
      </c>
      <c r="E1383" t="n">
        <v>1</v>
      </c>
      <c r="F1383" t="inlineStr">
        <is>
          <t>2025-12-28</t>
        </is>
      </c>
      <c r="G1383" t="n">
        <v>188</v>
      </c>
      <c r="H1383" t="inlineStr">
        <is>
          <t>Y</t>
        </is>
      </c>
      <c r="I1383">
        <f>HYPERLINK("https://admin.shopify.com/store/ge-beauty-cosmeticos/customers/9994783129920","abrir")</f>
        <v/>
      </c>
      <c r="J1383">
        <f>HYPERLINK("https://www.gebeauty.com.br/products/primer-liso-intacto?ref=review","review")</f>
        <v/>
      </c>
      <c r="K1383" t="inlineStr">
        <is>
          <t>SEND</t>
        </is>
      </c>
    </row>
    <row r="1384">
      <c r="A1384" t="inlineStr">
        <is>
          <t>Carolina</t>
        </is>
      </c>
      <c r="B1384" t="inlineStr">
        <is>
          <t>+5532988527708</t>
        </is>
      </c>
      <c r="C1384" t="inlineStr">
        <is>
          <t>Refill</t>
        </is>
      </c>
      <c r="D1384" t="inlineStr">
        <is>
          <t>Primer Liso</t>
        </is>
      </c>
      <c r="E1384" t="n">
        <v>1</v>
      </c>
      <c r="F1384" t="inlineStr">
        <is>
          <t>2025-12-28</t>
        </is>
      </c>
      <c r="G1384" t="n">
        <v>188</v>
      </c>
      <c r="H1384" t="inlineStr">
        <is>
          <t>Y</t>
        </is>
      </c>
      <c r="I1384">
        <f>HYPERLINK("https://admin.shopify.com/store/ge-beauty-cosmeticos/customers/9996066160960","abrir")</f>
        <v/>
      </c>
      <c r="J1384">
        <f>HYPERLINK("https://www.gebeauty.com.br/products/primer-liso-intacto?ref=review","review")</f>
        <v/>
      </c>
      <c r="K1384" t="inlineStr">
        <is>
          <t>SEND</t>
        </is>
      </c>
    </row>
    <row r="1385">
      <c r="A1385" t="inlineStr">
        <is>
          <t>Stephanie</t>
        </is>
      </c>
      <c r="B1385" t="inlineStr">
        <is>
          <t>+5511998471717</t>
        </is>
      </c>
      <c r="C1385" t="inlineStr">
        <is>
          <t>Refill</t>
        </is>
      </c>
      <c r="D1385" t="inlineStr">
        <is>
          <t>Primer Liso</t>
        </is>
      </c>
      <c r="E1385" t="n">
        <v>1</v>
      </c>
      <c r="F1385" t="inlineStr">
        <is>
          <t>2025-12-28</t>
        </is>
      </c>
      <c r="G1385" t="n">
        <v>188</v>
      </c>
      <c r="H1385" t="inlineStr">
        <is>
          <t>Y</t>
        </is>
      </c>
      <c r="I1385">
        <f>HYPERLINK("https://admin.shopify.com/store/ge-beauty-cosmeticos/customers/9996170461504","abrir")</f>
        <v/>
      </c>
      <c r="J1385">
        <f>HYPERLINK("https://www.gebeauty.com.br/products/primer-liso-intacto?ref=review","review")</f>
        <v/>
      </c>
      <c r="K1385" t="inlineStr">
        <is>
          <t>HOLDOUT</t>
        </is>
      </c>
    </row>
    <row r="1386">
      <c r="A1386" t="inlineStr">
        <is>
          <t>Tatiana</t>
        </is>
      </c>
      <c r="B1386" t="inlineStr">
        <is>
          <t>+5511972749991</t>
        </is>
      </c>
      <c r="C1386" t="inlineStr">
        <is>
          <t>Refill</t>
        </is>
      </c>
      <c r="D1386" t="inlineStr">
        <is>
          <t>Primer Liso</t>
        </is>
      </c>
      <c r="E1386" t="n">
        <v>1</v>
      </c>
      <c r="F1386" t="inlineStr">
        <is>
          <t>2025-12-28</t>
        </is>
      </c>
      <c r="G1386" t="n">
        <v>188</v>
      </c>
      <c r="H1386" t="inlineStr">
        <is>
          <t>Y</t>
        </is>
      </c>
      <c r="I1386">
        <f>HYPERLINK("https://admin.shopify.com/store/ge-beauty-cosmeticos/customers/9486211711296","abrir")</f>
        <v/>
      </c>
      <c r="J1386">
        <f>HYPERLINK("https://www.gebeauty.com.br/products/primer-liso-intacto?ref=review","review")</f>
        <v/>
      </c>
      <c r="K1386" t="inlineStr">
        <is>
          <t>SEND</t>
        </is>
      </c>
    </row>
    <row r="1387">
      <c r="A1387" t="inlineStr">
        <is>
          <t>Gabriely</t>
        </is>
      </c>
      <c r="B1387" t="inlineStr">
        <is>
          <t>+5519999871744</t>
        </is>
      </c>
      <c r="C1387" t="inlineStr">
        <is>
          <t>Refill</t>
        </is>
      </c>
      <c r="D1387" t="inlineStr">
        <is>
          <t>Primer Liso</t>
        </is>
      </c>
      <c r="E1387" t="n">
        <v>1</v>
      </c>
      <c r="F1387" t="inlineStr">
        <is>
          <t>2025-12-28</t>
        </is>
      </c>
      <c r="G1387" t="n">
        <v>188</v>
      </c>
      <c r="H1387" t="inlineStr">
        <is>
          <t>Y</t>
        </is>
      </c>
      <c r="I1387">
        <f>HYPERLINK("https://admin.shopify.com/store/ge-beauty-cosmeticos/customers/9994516824384","abrir")</f>
        <v/>
      </c>
      <c r="J1387">
        <f>HYPERLINK("https://www.gebeauty.com.br/products/primer-liso-intacto?ref=review","review")</f>
        <v/>
      </c>
      <c r="K1387" t="inlineStr">
        <is>
          <t>SEND</t>
        </is>
      </c>
    </row>
    <row r="1388">
      <c r="A1388" t="inlineStr">
        <is>
          <t>Livia</t>
        </is>
      </c>
      <c r="B1388" t="inlineStr">
        <is>
          <t>+5511991894335</t>
        </is>
      </c>
      <c r="C1388" t="inlineStr">
        <is>
          <t>Refill</t>
        </is>
      </c>
      <c r="D1388" t="inlineStr">
        <is>
          <t>Primer Liso</t>
        </is>
      </c>
      <c r="E1388" t="n">
        <v>1</v>
      </c>
      <c r="F1388" t="inlineStr">
        <is>
          <t>2025-12-29</t>
        </is>
      </c>
      <c r="G1388" t="n">
        <v>187</v>
      </c>
      <c r="H1388" t="inlineStr">
        <is>
          <t>Y</t>
        </is>
      </c>
      <c r="I1388">
        <f>HYPERLINK("https://admin.shopify.com/store/ge-beauty-cosmeticos/customers/9997141901632","abrir")</f>
        <v/>
      </c>
      <c r="J1388">
        <f>HYPERLINK("https://www.gebeauty.com.br/products/primer-liso-intacto?ref=review","review")</f>
        <v/>
      </c>
      <c r="K1388" t="inlineStr">
        <is>
          <t>SEND</t>
        </is>
      </c>
    </row>
    <row r="1389">
      <c r="A1389" t="inlineStr">
        <is>
          <t>Joao</t>
        </is>
      </c>
      <c r="B1389" t="inlineStr">
        <is>
          <t>+5585998460979</t>
        </is>
      </c>
      <c r="C1389" t="inlineStr">
        <is>
          <t>Refill</t>
        </is>
      </c>
      <c r="D1389" t="inlineStr">
        <is>
          <t>Primer Liso</t>
        </is>
      </c>
      <c r="E1389" t="n">
        <v>1</v>
      </c>
      <c r="F1389" t="inlineStr">
        <is>
          <t>2025-12-29</t>
        </is>
      </c>
      <c r="G1389" t="n">
        <v>187</v>
      </c>
      <c r="H1389" t="inlineStr">
        <is>
          <t>Y</t>
        </is>
      </c>
      <c r="I1389">
        <f>HYPERLINK("https://admin.shopify.com/store/ge-beauty-cosmeticos/customers/8552194113856","abrir")</f>
        <v/>
      </c>
      <c r="J1389">
        <f>HYPERLINK("https://www.gebeauty.com.br/products/primer-liso-intacto?ref=review","review")</f>
        <v/>
      </c>
      <c r="K1389" t="inlineStr">
        <is>
          <t>SEND</t>
        </is>
      </c>
    </row>
    <row r="1390">
      <c r="A1390" t="inlineStr">
        <is>
          <t>Bruna</t>
        </is>
      </c>
      <c r="B1390" t="inlineStr">
        <is>
          <t>+5581998079620</t>
        </is>
      </c>
      <c r="C1390" t="inlineStr">
        <is>
          <t>Refill</t>
        </is>
      </c>
      <c r="D1390" t="inlineStr">
        <is>
          <t>Primer Liso</t>
        </is>
      </c>
      <c r="E1390" t="n">
        <v>1</v>
      </c>
      <c r="F1390" t="inlineStr">
        <is>
          <t>2025-12-29</t>
        </is>
      </c>
      <c r="G1390" t="n">
        <v>187</v>
      </c>
      <c r="H1390" t="inlineStr">
        <is>
          <t>Y</t>
        </is>
      </c>
      <c r="I1390">
        <f>HYPERLINK("https://admin.shopify.com/store/ge-beauty-cosmeticos/customers/9984853573952","abrir")</f>
        <v/>
      </c>
      <c r="J1390">
        <f>HYPERLINK("https://www.gebeauty.com.br/products/primer-liso-intacto?ref=review","review")</f>
        <v/>
      </c>
      <c r="K1390" t="inlineStr">
        <is>
          <t>SEND</t>
        </is>
      </c>
    </row>
    <row r="1391">
      <c r="A1391" t="inlineStr">
        <is>
          <t>Larissa</t>
        </is>
      </c>
      <c r="B1391" t="inlineStr">
        <is>
          <t>+5581999213344</t>
        </is>
      </c>
      <c r="C1391" t="inlineStr">
        <is>
          <t>Refill</t>
        </is>
      </c>
      <c r="D1391" t="inlineStr">
        <is>
          <t>Primer Liso</t>
        </is>
      </c>
      <c r="E1391" t="n">
        <v>1</v>
      </c>
      <c r="F1391" t="inlineStr">
        <is>
          <t>2025-12-29</t>
        </is>
      </c>
      <c r="G1391" t="n">
        <v>187</v>
      </c>
      <c r="H1391" t="inlineStr">
        <is>
          <t>Y</t>
        </is>
      </c>
      <c r="I1391">
        <f>HYPERLINK("https://admin.shopify.com/store/ge-beauty-cosmeticos/customers/10001471701312","abrir")</f>
        <v/>
      </c>
      <c r="J1391">
        <f>HYPERLINK("https://www.gebeauty.com.br/products/primer-liso-intacto?ref=review","review")</f>
        <v/>
      </c>
      <c r="K1391" t="inlineStr">
        <is>
          <t>SEND</t>
        </is>
      </c>
    </row>
    <row r="1392">
      <c r="A1392" t="inlineStr">
        <is>
          <t>Cíntia</t>
        </is>
      </c>
      <c r="B1392" t="inlineStr">
        <is>
          <t>+5586981622033</t>
        </is>
      </c>
      <c r="C1392" t="inlineStr">
        <is>
          <t>Refill</t>
        </is>
      </c>
      <c r="D1392" t="inlineStr">
        <is>
          <t>Primer Liso</t>
        </is>
      </c>
      <c r="E1392" t="n">
        <v>1</v>
      </c>
      <c r="F1392" t="inlineStr">
        <is>
          <t>2025-12-29</t>
        </is>
      </c>
      <c r="G1392" t="n">
        <v>187</v>
      </c>
      <c r="H1392" t="inlineStr">
        <is>
          <t>Y</t>
        </is>
      </c>
      <c r="I1392">
        <f>HYPERLINK("https://admin.shopify.com/store/ge-beauty-cosmeticos/customers/7760103801152","abrir")</f>
        <v/>
      </c>
      <c r="J1392">
        <f>HYPERLINK("https://www.gebeauty.com.br/products/primer-liso-intacto?ref=review","review")</f>
        <v/>
      </c>
      <c r="K1392" t="inlineStr">
        <is>
          <t>SEND</t>
        </is>
      </c>
    </row>
    <row r="1393">
      <c r="A1393" t="inlineStr">
        <is>
          <t>Lorena</t>
        </is>
      </c>
      <c r="B1393" t="inlineStr">
        <is>
          <t>+5586981132721</t>
        </is>
      </c>
      <c r="C1393" t="inlineStr">
        <is>
          <t>Refill</t>
        </is>
      </c>
      <c r="D1393" t="inlineStr">
        <is>
          <t>Primer Liso</t>
        </is>
      </c>
      <c r="E1393" t="n">
        <v>1</v>
      </c>
      <c r="F1393" t="inlineStr">
        <is>
          <t>2025-12-29</t>
        </is>
      </c>
      <c r="G1393" t="n">
        <v>187</v>
      </c>
      <c r="H1393" t="inlineStr">
        <is>
          <t>Y</t>
        </is>
      </c>
      <c r="I1393">
        <f>HYPERLINK("https://admin.shopify.com/store/ge-beauty-cosmeticos/customers/10001498669376","abrir")</f>
        <v/>
      </c>
      <c r="J1393">
        <f>HYPERLINK("https://www.gebeauty.com.br/products/primer-liso-intacto?ref=review","review")</f>
        <v/>
      </c>
      <c r="K1393" t="inlineStr">
        <is>
          <t>SEND</t>
        </is>
      </c>
    </row>
    <row r="1394">
      <c r="A1394" t="inlineStr">
        <is>
          <t>Livia</t>
        </is>
      </c>
      <c r="B1394" t="inlineStr">
        <is>
          <t>+5581997578140</t>
        </is>
      </c>
      <c r="C1394" t="inlineStr">
        <is>
          <t>Refill</t>
        </is>
      </c>
      <c r="D1394" t="inlineStr">
        <is>
          <t>Primer Liso</t>
        </is>
      </c>
      <c r="E1394" t="n">
        <v>1</v>
      </c>
      <c r="F1394" t="inlineStr">
        <is>
          <t>2025-12-29</t>
        </is>
      </c>
      <c r="G1394" t="n">
        <v>187</v>
      </c>
      <c r="H1394" t="inlineStr">
        <is>
          <t>Y</t>
        </is>
      </c>
      <c r="I1394">
        <f>HYPERLINK("https://admin.shopify.com/store/ge-beauty-cosmeticos/customers/10002209931584","abrir")</f>
        <v/>
      </c>
      <c r="J1394">
        <f>HYPERLINK("https://www.gebeauty.com.br/products/primer-liso-intacto?ref=review","review")</f>
        <v/>
      </c>
      <c r="K1394" t="inlineStr">
        <is>
          <t>SEND</t>
        </is>
      </c>
    </row>
    <row r="1395">
      <c r="A1395" t="inlineStr">
        <is>
          <t>Juliana</t>
        </is>
      </c>
      <c r="B1395" t="inlineStr">
        <is>
          <t>+5521971564507</t>
        </is>
      </c>
      <c r="C1395" t="inlineStr">
        <is>
          <t>Refill</t>
        </is>
      </c>
      <c r="D1395" t="inlineStr">
        <is>
          <t>Primer Liso</t>
        </is>
      </c>
      <c r="E1395" t="n">
        <v>1</v>
      </c>
      <c r="F1395" t="inlineStr">
        <is>
          <t>2025-12-29</t>
        </is>
      </c>
      <c r="G1395" t="n">
        <v>187</v>
      </c>
      <c r="H1395" t="inlineStr">
        <is>
          <t>Y</t>
        </is>
      </c>
      <c r="I1395">
        <f>HYPERLINK("https://admin.shopify.com/store/ge-beauty-cosmeticos/customers/9987326378304","abrir")</f>
        <v/>
      </c>
      <c r="J1395">
        <f>HYPERLINK("https://www.gebeauty.com.br/products/primer-liso-intacto?ref=review","review")</f>
        <v/>
      </c>
      <c r="K1395" t="inlineStr">
        <is>
          <t>SEND</t>
        </is>
      </c>
    </row>
    <row r="1396">
      <c r="A1396" t="inlineStr">
        <is>
          <t>Tiza</t>
        </is>
      </c>
      <c r="B1396" t="inlineStr">
        <is>
          <t>+5598992120050</t>
        </is>
      </c>
      <c r="C1396" t="inlineStr">
        <is>
          <t>Refill</t>
        </is>
      </c>
      <c r="D1396" t="inlineStr">
        <is>
          <t>Primer Liso</t>
        </is>
      </c>
      <c r="E1396" t="n">
        <v>1</v>
      </c>
      <c r="F1396" t="inlineStr">
        <is>
          <t>2025-12-30</t>
        </is>
      </c>
      <c r="G1396" t="n">
        <v>186</v>
      </c>
      <c r="H1396" t="inlineStr">
        <is>
          <t>Y</t>
        </is>
      </c>
      <c r="I1396">
        <f>HYPERLINK("https://admin.shopify.com/store/ge-beauty-cosmeticos/customers/9485199081792","abrir")</f>
        <v/>
      </c>
      <c r="J1396">
        <f>HYPERLINK("https://www.gebeauty.com.br/products/primer-liso-intacto?ref=review","review")</f>
        <v/>
      </c>
      <c r="K1396" t="inlineStr">
        <is>
          <t>SEND</t>
        </is>
      </c>
    </row>
    <row r="1397">
      <c r="A1397" t="inlineStr">
        <is>
          <t>Renata</t>
        </is>
      </c>
      <c r="B1397" t="inlineStr">
        <is>
          <t>+5587999952621</t>
        </is>
      </c>
      <c r="C1397" t="inlineStr">
        <is>
          <t>Refill</t>
        </is>
      </c>
      <c r="D1397" t="inlineStr">
        <is>
          <t>Primer Liso</t>
        </is>
      </c>
      <c r="E1397" t="n">
        <v>1</v>
      </c>
      <c r="F1397" t="inlineStr">
        <is>
          <t>2025-12-30</t>
        </is>
      </c>
      <c r="G1397" t="n">
        <v>186</v>
      </c>
      <c r="H1397" t="inlineStr">
        <is>
          <t>Y</t>
        </is>
      </c>
      <c r="I1397">
        <f>HYPERLINK("https://admin.shopify.com/store/ge-beauty-cosmeticos/customers/9972062552384","abrir")</f>
        <v/>
      </c>
      <c r="J1397">
        <f>HYPERLINK("https://www.gebeauty.com.br/products/primer-liso-intacto?ref=review","review")</f>
        <v/>
      </c>
      <c r="K1397" t="inlineStr">
        <is>
          <t>SEND</t>
        </is>
      </c>
    </row>
    <row r="1398">
      <c r="A1398" t="inlineStr">
        <is>
          <t>Giovana</t>
        </is>
      </c>
      <c r="B1398" t="inlineStr">
        <is>
          <t>+5514997272472</t>
        </is>
      </c>
      <c r="C1398" t="inlineStr">
        <is>
          <t>Refill</t>
        </is>
      </c>
      <c r="D1398" t="inlineStr">
        <is>
          <t>Primer Liso</t>
        </is>
      </c>
      <c r="E1398" t="n">
        <v>1</v>
      </c>
      <c r="F1398" t="inlineStr">
        <is>
          <t>2025-12-30</t>
        </is>
      </c>
      <c r="G1398" t="n">
        <v>186</v>
      </c>
      <c r="H1398" t="inlineStr">
        <is>
          <t>Y</t>
        </is>
      </c>
      <c r="I1398">
        <f>HYPERLINK("https://admin.shopify.com/store/ge-beauty-cosmeticos/customers/10006364815680","abrir")</f>
        <v/>
      </c>
      <c r="J1398">
        <f>HYPERLINK("https://www.gebeauty.com.br/products/primer-liso-intacto?ref=review","review")</f>
        <v/>
      </c>
      <c r="K1398" t="inlineStr">
        <is>
          <t>SEND</t>
        </is>
      </c>
    </row>
    <row r="1399">
      <c r="A1399" t="inlineStr">
        <is>
          <t>Layla</t>
        </is>
      </c>
      <c r="B1399" t="inlineStr">
        <is>
          <t>+5581991392728</t>
        </is>
      </c>
      <c r="C1399" t="inlineStr">
        <is>
          <t>Refill</t>
        </is>
      </c>
      <c r="D1399" t="inlineStr">
        <is>
          <t>Primer Liso</t>
        </is>
      </c>
      <c r="E1399" t="n">
        <v>1</v>
      </c>
      <c r="F1399" t="inlineStr">
        <is>
          <t>2025-12-30</t>
        </is>
      </c>
      <c r="G1399" t="n">
        <v>186</v>
      </c>
      <c r="H1399" t="inlineStr">
        <is>
          <t>Y</t>
        </is>
      </c>
      <c r="I1399">
        <f>HYPERLINK("https://admin.shopify.com/store/ge-beauty-cosmeticos/customers/9485976731968","abrir")</f>
        <v/>
      </c>
      <c r="J1399">
        <f>HYPERLINK("https://www.gebeauty.com.br/products/primer-liso-intacto?ref=review","review")</f>
        <v/>
      </c>
      <c r="K1399" t="inlineStr">
        <is>
          <t>SEND</t>
        </is>
      </c>
    </row>
    <row r="1400">
      <c r="A1400" t="inlineStr">
        <is>
          <t>Marina</t>
        </is>
      </c>
      <c r="B1400" t="inlineStr">
        <is>
          <t>+5511990266150</t>
        </is>
      </c>
      <c r="C1400" t="inlineStr">
        <is>
          <t>Refill</t>
        </is>
      </c>
      <c r="D1400" t="inlineStr">
        <is>
          <t>Primer Liso</t>
        </is>
      </c>
      <c r="E1400" t="n">
        <v>1</v>
      </c>
      <c r="F1400" t="inlineStr">
        <is>
          <t>2025-12-30</t>
        </is>
      </c>
      <c r="G1400" t="n">
        <v>186</v>
      </c>
      <c r="H1400" t="inlineStr">
        <is>
          <t>Y</t>
        </is>
      </c>
      <c r="I1400">
        <f>HYPERLINK("https://admin.shopify.com/store/ge-beauty-cosmeticos/customers/10006794961216","abrir")</f>
        <v/>
      </c>
      <c r="J1400">
        <f>HYPERLINK("https://www.gebeauty.com.br/products/primer-liso-intacto?ref=review","review")</f>
        <v/>
      </c>
      <c r="K1400" t="inlineStr">
        <is>
          <t>SEND</t>
        </is>
      </c>
    </row>
    <row r="1401">
      <c r="A1401" t="inlineStr">
        <is>
          <t>Mariana</t>
        </is>
      </c>
      <c r="B1401" t="inlineStr">
        <is>
          <t>+5585991317200</t>
        </is>
      </c>
      <c r="C1401" t="inlineStr">
        <is>
          <t>Refill</t>
        </is>
      </c>
      <c r="D1401" t="inlineStr">
        <is>
          <t>Primer Liso</t>
        </is>
      </c>
      <c r="E1401" t="n">
        <v>1</v>
      </c>
      <c r="F1401" t="inlineStr">
        <is>
          <t>2025-12-30</t>
        </is>
      </c>
      <c r="G1401" t="n">
        <v>186</v>
      </c>
      <c r="H1401" t="inlineStr">
        <is>
          <t>Y</t>
        </is>
      </c>
      <c r="I1401">
        <f>HYPERLINK("https://admin.shopify.com/store/ge-beauty-cosmeticos/customers/7761071472960","abrir")</f>
        <v/>
      </c>
      <c r="J1401">
        <f>HYPERLINK("https://www.gebeauty.com.br/products/primer-liso-intacto?ref=review","review")</f>
        <v/>
      </c>
      <c r="K1401" t="inlineStr">
        <is>
          <t>SEND</t>
        </is>
      </c>
    </row>
    <row r="1402">
      <c r="A1402" t="inlineStr">
        <is>
          <t>Ana</t>
        </is>
      </c>
      <c r="B1402" t="inlineStr">
        <is>
          <t>+5581991114374</t>
        </is>
      </c>
      <c r="C1402" t="inlineStr">
        <is>
          <t>Refill</t>
        </is>
      </c>
      <c r="D1402" t="inlineStr">
        <is>
          <t>Primer Liso</t>
        </is>
      </c>
      <c r="E1402" t="n">
        <v>1</v>
      </c>
      <c r="F1402" t="inlineStr">
        <is>
          <t>2025-12-30</t>
        </is>
      </c>
      <c r="G1402" t="n">
        <v>186</v>
      </c>
      <c r="H1402" t="inlineStr">
        <is>
          <t>Y</t>
        </is>
      </c>
      <c r="I1402">
        <f>HYPERLINK("https://admin.shopify.com/store/ge-beauty-cosmeticos/customers/10007525491008","abrir")</f>
        <v/>
      </c>
      <c r="J1402">
        <f>HYPERLINK("https://www.gebeauty.com.br/products/primer-liso-intacto?ref=review","review")</f>
        <v/>
      </c>
      <c r="K1402" t="inlineStr">
        <is>
          <t>SEND</t>
        </is>
      </c>
    </row>
    <row r="1403">
      <c r="A1403" t="inlineStr">
        <is>
          <t>Veronica</t>
        </is>
      </c>
      <c r="B1403" t="inlineStr">
        <is>
          <t>+5511976228556</t>
        </is>
      </c>
      <c r="C1403" t="inlineStr">
        <is>
          <t>Refill</t>
        </is>
      </c>
      <c r="D1403" t="inlineStr">
        <is>
          <t>Primer Liso</t>
        </is>
      </c>
      <c r="E1403" t="n">
        <v>1</v>
      </c>
      <c r="F1403" t="inlineStr">
        <is>
          <t>2025-12-31</t>
        </is>
      </c>
      <c r="G1403" t="n">
        <v>185</v>
      </c>
      <c r="H1403" t="inlineStr">
        <is>
          <t>Y</t>
        </is>
      </c>
      <c r="I1403">
        <f>HYPERLINK("https://admin.shopify.com/store/ge-beauty-cosmeticos/customers/10012154560832","abrir")</f>
        <v/>
      </c>
      <c r="J1403">
        <f>HYPERLINK("https://www.gebeauty.com.br/products/primer-liso-intacto?ref=review","review")</f>
        <v/>
      </c>
      <c r="K1403" t="inlineStr">
        <is>
          <t>SEND</t>
        </is>
      </c>
    </row>
    <row r="1404">
      <c r="A1404" t="inlineStr">
        <is>
          <t>Daniela</t>
        </is>
      </c>
      <c r="B1404" t="inlineStr">
        <is>
          <t>+5532999202838</t>
        </is>
      </c>
      <c r="C1404" t="inlineStr">
        <is>
          <t>Refill</t>
        </is>
      </c>
      <c r="D1404" t="inlineStr">
        <is>
          <t>Primer Liso</t>
        </is>
      </c>
      <c r="E1404" t="n">
        <v>1</v>
      </c>
      <c r="F1404" t="inlineStr">
        <is>
          <t>2025-12-31</t>
        </is>
      </c>
      <c r="G1404" t="n">
        <v>185</v>
      </c>
      <c r="H1404" t="inlineStr">
        <is>
          <t>Y</t>
        </is>
      </c>
      <c r="I1404">
        <f>HYPERLINK("https://admin.shopify.com/store/ge-beauty-cosmeticos/customers/9433957695808","abrir")</f>
        <v/>
      </c>
      <c r="J1404">
        <f>HYPERLINK("https://www.gebeauty.com.br/products/primer-liso-intacto?ref=review","review")</f>
        <v/>
      </c>
      <c r="K1404" t="inlineStr">
        <is>
          <t>SEND</t>
        </is>
      </c>
    </row>
    <row r="1405">
      <c r="A1405" t="inlineStr">
        <is>
          <t>Maria</t>
        </is>
      </c>
      <c r="B1405" t="inlineStr">
        <is>
          <t>+5511917535577</t>
        </is>
      </c>
      <c r="C1405" t="inlineStr">
        <is>
          <t>Refill</t>
        </is>
      </c>
      <c r="D1405" t="inlineStr">
        <is>
          <t>Primer Liso</t>
        </is>
      </c>
      <c r="E1405" t="n">
        <v>1</v>
      </c>
      <c r="F1405" t="inlineStr">
        <is>
          <t>2026-01-01</t>
        </is>
      </c>
      <c r="G1405" t="n">
        <v>184</v>
      </c>
      <c r="H1405" t="inlineStr">
        <is>
          <t>Y</t>
        </is>
      </c>
      <c r="I1405">
        <f>HYPERLINK("https://admin.shopify.com/store/ge-beauty-cosmeticos/customers/7760427155776","abrir")</f>
        <v/>
      </c>
      <c r="J1405">
        <f>HYPERLINK("https://www.gebeauty.com.br/products/primer-liso-intacto?ref=review","review")</f>
        <v/>
      </c>
      <c r="K1405" t="inlineStr">
        <is>
          <t>SEND</t>
        </is>
      </c>
    </row>
    <row r="1406">
      <c r="A1406" t="inlineStr">
        <is>
          <t>Marcela</t>
        </is>
      </c>
      <c r="B1406" t="inlineStr">
        <is>
          <t>+5554991889042</t>
        </is>
      </c>
      <c r="C1406" t="inlineStr">
        <is>
          <t>Refill</t>
        </is>
      </c>
      <c r="D1406" t="inlineStr">
        <is>
          <t>Primer Liso</t>
        </is>
      </c>
      <c r="E1406" t="n">
        <v>1</v>
      </c>
      <c r="F1406" t="inlineStr">
        <is>
          <t>2026-01-01</t>
        </is>
      </c>
      <c r="G1406" t="n">
        <v>184</v>
      </c>
      <c r="H1406" t="inlineStr">
        <is>
          <t>Y</t>
        </is>
      </c>
      <c r="I1406">
        <f>HYPERLINK("https://admin.shopify.com/store/ge-beauty-cosmeticos/customers/8430461780288","abrir")</f>
        <v/>
      </c>
      <c r="J1406">
        <f>HYPERLINK("https://www.gebeauty.com.br/products/primer-liso-intacto?ref=review","review")</f>
        <v/>
      </c>
      <c r="K1406" t="inlineStr">
        <is>
          <t>SEND</t>
        </is>
      </c>
    </row>
    <row r="1407">
      <c r="A1407" t="inlineStr">
        <is>
          <t>Renata</t>
        </is>
      </c>
      <c r="B1407" t="inlineStr">
        <is>
          <t>+5531991078379</t>
        </is>
      </c>
      <c r="C1407" t="inlineStr">
        <is>
          <t>Refill</t>
        </is>
      </c>
      <c r="D1407" t="inlineStr">
        <is>
          <t>Primer Liso</t>
        </is>
      </c>
      <c r="E1407" t="n">
        <v>1</v>
      </c>
      <c r="F1407" t="inlineStr">
        <is>
          <t>2026-01-01</t>
        </is>
      </c>
      <c r="G1407" t="n">
        <v>184</v>
      </c>
      <c r="H1407" t="inlineStr">
        <is>
          <t>Y</t>
        </is>
      </c>
      <c r="I1407">
        <f>HYPERLINK("https://admin.shopify.com/store/ge-beauty-cosmeticos/customers/10016682770752","abrir")</f>
        <v/>
      </c>
      <c r="J1407">
        <f>HYPERLINK("https://www.gebeauty.com.br/products/primer-liso-intacto?ref=review","review")</f>
        <v/>
      </c>
      <c r="K1407" t="inlineStr">
        <is>
          <t>SEND</t>
        </is>
      </c>
    </row>
    <row r="1408">
      <c r="A1408" t="inlineStr">
        <is>
          <t>Luciana</t>
        </is>
      </c>
      <c r="B1408" t="inlineStr">
        <is>
          <t>+5585996227799</t>
        </is>
      </c>
      <c r="C1408" t="inlineStr">
        <is>
          <t>Refill</t>
        </is>
      </c>
      <c r="D1408" t="inlineStr">
        <is>
          <t>Primer Liso</t>
        </is>
      </c>
      <c r="E1408" t="n">
        <v>1</v>
      </c>
      <c r="F1408" t="inlineStr">
        <is>
          <t>2026-01-01</t>
        </is>
      </c>
      <c r="G1408" t="n">
        <v>184</v>
      </c>
      <c r="H1408" t="inlineStr">
        <is>
          <t>Y</t>
        </is>
      </c>
      <c r="I1408">
        <f>HYPERLINK("https://admin.shopify.com/store/ge-beauty-cosmeticos/customers/9486194082112","abrir")</f>
        <v/>
      </c>
      <c r="J1408">
        <f>HYPERLINK("https://www.gebeauty.com.br/products/primer-liso-intacto?ref=review","review")</f>
        <v/>
      </c>
      <c r="K1408" t="inlineStr">
        <is>
          <t>SEND</t>
        </is>
      </c>
    </row>
    <row r="1409">
      <c r="A1409" t="inlineStr">
        <is>
          <t>Júlia</t>
        </is>
      </c>
      <c r="B1409" t="inlineStr">
        <is>
          <t>+5551998440505</t>
        </is>
      </c>
      <c r="C1409" t="inlineStr">
        <is>
          <t>Refill</t>
        </is>
      </c>
      <c r="D1409" t="inlineStr">
        <is>
          <t>Primer Liso</t>
        </is>
      </c>
      <c r="E1409" t="n">
        <v>1</v>
      </c>
      <c r="F1409" t="inlineStr">
        <is>
          <t>2026-01-01</t>
        </is>
      </c>
      <c r="G1409" t="n">
        <v>184</v>
      </c>
      <c r="H1409" t="inlineStr">
        <is>
          <t>Y</t>
        </is>
      </c>
      <c r="I1409">
        <f>HYPERLINK("https://admin.shopify.com/store/ge-beauty-cosmeticos/customers/10016847364416","abrir")</f>
        <v/>
      </c>
      <c r="J1409">
        <f>HYPERLINK("https://www.gebeauty.com.br/products/primer-liso-intacto?ref=review","review")</f>
        <v/>
      </c>
      <c r="K1409" t="inlineStr">
        <is>
          <t>SEND</t>
        </is>
      </c>
    </row>
    <row r="1410">
      <c r="A1410" t="inlineStr">
        <is>
          <t>Maria Luiza</t>
        </is>
      </c>
      <c r="B1410" t="inlineStr">
        <is>
          <t>+5534991616717</t>
        </is>
      </c>
      <c r="C1410" t="inlineStr">
        <is>
          <t>Refill</t>
        </is>
      </c>
      <c r="D1410" t="inlineStr">
        <is>
          <t>Primer Liso</t>
        </is>
      </c>
      <c r="E1410" t="n">
        <v>1</v>
      </c>
      <c r="F1410" t="inlineStr">
        <is>
          <t>2026-01-01</t>
        </is>
      </c>
      <c r="G1410" t="n">
        <v>184</v>
      </c>
      <c r="H1410" t="inlineStr">
        <is>
          <t>Y</t>
        </is>
      </c>
      <c r="I1410">
        <f>HYPERLINK("https://admin.shopify.com/store/ge-beauty-cosmeticos/customers/10017207877952","abrir")</f>
        <v/>
      </c>
      <c r="J1410">
        <f>HYPERLINK("https://www.gebeauty.com.br/products/primer-liso-intacto?ref=review","review")</f>
        <v/>
      </c>
      <c r="K1410" t="inlineStr">
        <is>
          <t>SEND</t>
        </is>
      </c>
    </row>
    <row r="1411">
      <c r="A1411" t="inlineStr">
        <is>
          <t>Camila</t>
        </is>
      </c>
      <c r="B1411" t="inlineStr">
        <is>
          <t>+5511994648821</t>
        </is>
      </c>
      <c r="C1411" t="inlineStr">
        <is>
          <t>Refill</t>
        </is>
      </c>
      <c r="D1411" t="inlineStr">
        <is>
          <t>Primer Liso</t>
        </is>
      </c>
      <c r="E1411" t="n">
        <v>1</v>
      </c>
      <c r="F1411" t="inlineStr">
        <is>
          <t>2026-01-02</t>
        </is>
      </c>
      <c r="G1411" t="n">
        <v>183</v>
      </c>
      <c r="H1411" t="inlineStr">
        <is>
          <t>Y</t>
        </is>
      </c>
      <c r="I1411">
        <f>HYPERLINK("https://admin.shopify.com/store/ge-beauty-cosmeticos/customers/9832073593152","abrir")</f>
        <v/>
      </c>
      <c r="J1411">
        <f>HYPERLINK("https://www.gebeauty.com.br/products/primer-liso-intacto?ref=review","review")</f>
        <v/>
      </c>
      <c r="K1411" t="inlineStr">
        <is>
          <t>SEND</t>
        </is>
      </c>
    </row>
    <row r="1412">
      <c r="A1412" t="inlineStr">
        <is>
          <t>Wliana</t>
        </is>
      </c>
      <c r="B1412" t="inlineStr">
        <is>
          <t>+5588921464032</t>
        </is>
      </c>
      <c r="C1412" t="inlineStr">
        <is>
          <t>Refill</t>
        </is>
      </c>
      <c r="D1412" t="inlineStr">
        <is>
          <t>Primer Liso</t>
        </is>
      </c>
      <c r="E1412" t="n">
        <v>1</v>
      </c>
      <c r="F1412" t="inlineStr">
        <is>
          <t>2026-01-02</t>
        </is>
      </c>
      <c r="G1412" t="n">
        <v>183</v>
      </c>
      <c r="H1412" t="inlineStr">
        <is>
          <t>Y</t>
        </is>
      </c>
      <c r="I1412">
        <f>HYPERLINK("https://admin.shopify.com/store/ge-beauty-cosmeticos/customers/10022996607296","abrir")</f>
        <v/>
      </c>
      <c r="J1412">
        <f>HYPERLINK("https://www.gebeauty.com.br/products/primer-liso-intacto?ref=review","review")</f>
        <v/>
      </c>
      <c r="K1412" t="inlineStr">
        <is>
          <t>SEND</t>
        </is>
      </c>
    </row>
    <row r="1413">
      <c r="A1413" t="inlineStr">
        <is>
          <t>Bárbara</t>
        </is>
      </c>
      <c r="B1413" t="inlineStr">
        <is>
          <t>+5518981215627</t>
        </is>
      </c>
      <c r="C1413" t="inlineStr">
        <is>
          <t>Refill</t>
        </is>
      </c>
      <c r="D1413" t="inlineStr">
        <is>
          <t>Primer Liso</t>
        </is>
      </c>
      <c r="E1413" t="n">
        <v>1</v>
      </c>
      <c r="F1413" t="inlineStr">
        <is>
          <t>2026-01-02</t>
        </is>
      </c>
      <c r="G1413" t="n">
        <v>183</v>
      </c>
      <c r="H1413" t="inlineStr">
        <is>
          <t>Y</t>
        </is>
      </c>
      <c r="I1413">
        <f>HYPERLINK("https://admin.shopify.com/store/ge-beauty-cosmeticos/customers/10024964030784","abrir")</f>
        <v/>
      </c>
      <c r="J1413">
        <f>HYPERLINK("https://www.gebeauty.com.br/products/primer-liso-intacto?ref=review","review")</f>
        <v/>
      </c>
      <c r="K1413" t="inlineStr">
        <is>
          <t>SEND</t>
        </is>
      </c>
    </row>
    <row r="1414">
      <c r="A1414" t="inlineStr">
        <is>
          <t>Luiza</t>
        </is>
      </c>
      <c r="B1414" t="inlineStr">
        <is>
          <t>+5511995844242</t>
        </is>
      </c>
      <c r="C1414" t="inlineStr">
        <is>
          <t>Refill</t>
        </is>
      </c>
      <c r="D1414" t="inlineStr">
        <is>
          <t>Primer Liso</t>
        </is>
      </c>
      <c r="E1414" t="n">
        <v>1</v>
      </c>
      <c r="F1414" t="inlineStr">
        <is>
          <t>2026-01-02</t>
        </is>
      </c>
      <c r="G1414" t="n">
        <v>183</v>
      </c>
      <c r="H1414" t="inlineStr">
        <is>
          <t>Y</t>
        </is>
      </c>
      <c r="I1414">
        <f>HYPERLINK("https://admin.shopify.com/store/ge-beauty-cosmeticos/customers/10025381429568","abrir")</f>
        <v/>
      </c>
      <c r="J1414">
        <f>HYPERLINK("https://www.gebeauty.com.br/products/primer-liso-intacto?ref=review","review")</f>
        <v/>
      </c>
      <c r="K1414" t="inlineStr">
        <is>
          <t>SEND</t>
        </is>
      </c>
    </row>
    <row r="1415">
      <c r="A1415" t="inlineStr">
        <is>
          <t>Bárbara</t>
        </is>
      </c>
      <c r="B1415" t="inlineStr">
        <is>
          <t>+5511999423345</t>
        </is>
      </c>
      <c r="C1415" t="inlineStr">
        <is>
          <t>Refill</t>
        </is>
      </c>
      <c r="D1415" t="inlineStr">
        <is>
          <t>Primer Liso</t>
        </is>
      </c>
      <c r="E1415" t="n">
        <v>1</v>
      </c>
      <c r="F1415" t="inlineStr">
        <is>
          <t>2026-01-03</t>
        </is>
      </c>
      <c r="G1415" t="n">
        <v>182</v>
      </c>
      <c r="H1415" t="inlineStr">
        <is>
          <t>Y</t>
        </is>
      </c>
      <c r="I1415">
        <f>HYPERLINK("https://admin.shopify.com/store/ge-beauty-cosmeticos/customers/9997039862080","abrir")</f>
        <v/>
      </c>
      <c r="J1415">
        <f>HYPERLINK("https://www.gebeauty.com.br/products/primer-liso-intacto?ref=review","review")</f>
        <v/>
      </c>
      <c r="K1415" t="inlineStr">
        <is>
          <t>SEND</t>
        </is>
      </c>
    </row>
    <row r="1416">
      <c r="A1416" t="inlineStr">
        <is>
          <t>Laira</t>
        </is>
      </c>
      <c r="B1416" t="inlineStr">
        <is>
          <t>+5571993031251</t>
        </is>
      </c>
      <c r="C1416" t="inlineStr">
        <is>
          <t>Refill</t>
        </is>
      </c>
      <c r="D1416" t="inlineStr">
        <is>
          <t>Primer Liso</t>
        </is>
      </c>
      <c r="E1416" t="n">
        <v>1</v>
      </c>
      <c r="F1416" t="inlineStr">
        <is>
          <t>2026-01-03</t>
        </is>
      </c>
      <c r="G1416" t="n">
        <v>182</v>
      </c>
      <c r="H1416" t="inlineStr">
        <is>
          <t>Y</t>
        </is>
      </c>
      <c r="I1416">
        <f>HYPERLINK("https://admin.shopify.com/store/ge-beauty-cosmeticos/customers/10027156275520","abrir")</f>
        <v/>
      </c>
      <c r="J1416">
        <f>HYPERLINK("https://www.gebeauty.com.br/products/primer-liso-intacto?ref=review","review")</f>
        <v/>
      </c>
      <c r="K1416" t="inlineStr">
        <is>
          <t>SEND</t>
        </is>
      </c>
    </row>
    <row r="1417">
      <c r="A1417" t="inlineStr">
        <is>
          <t>Ana Tais</t>
        </is>
      </c>
      <c r="B1417" t="inlineStr">
        <is>
          <t>+5593991685723</t>
        </is>
      </c>
      <c r="C1417" t="inlineStr">
        <is>
          <t>Refill</t>
        </is>
      </c>
      <c r="D1417" t="inlineStr">
        <is>
          <t>Primer Liso</t>
        </is>
      </c>
      <c r="E1417" t="n">
        <v>1</v>
      </c>
      <c r="F1417" t="inlineStr">
        <is>
          <t>2026-01-03</t>
        </is>
      </c>
      <c r="G1417" t="n">
        <v>182</v>
      </c>
      <c r="H1417" t="inlineStr">
        <is>
          <t>Y</t>
        </is>
      </c>
      <c r="I1417">
        <f>HYPERLINK("https://admin.shopify.com/store/ge-beauty-cosmeticos/customers/9992309178688","abrir")</f>
        <v/>
      </c>
      <c r="J1417">
        <f>HYPERLINK("https://www.gebeauty.com.br/products/primer-liso-intacto?ref=review","review")</f>
        <v/>
      </c>
      <c r="K1417" t="inlineStr">
        <is>
          <t>SEND</t>
        </is>
      </c>
    </row>
    <row r="1418">
      <c r="A1418" t="inlineStr">
        <is>
          <t>Adylla</t>
        </is>
      </c>
      <c r="B1418" t="inlineStr">
        <is>
          <t>+5585996124826</t>
        </is>
      </c>
      <c r="C1418" t="inlineStr">
        <is>
          <t>Refill</t>
        </is>
      </c>
      <c r="D1418" t="inlineStr">
        <is>
          <t>Primer Liso</t>
        </is>
      </c>
      <c r="E1418" t="n">
        <v>1</v>
      </c>
      <c r="F1418" t="inlineStr">
        <is>
          <t>2026-01-03</t>
        </is>
      </c>
      <c r="G1418" t="n">
        <v>182</v>
      </c>
      <c r="H1418" t="inlineStr">
        <is>
          <t>Y</t>
        </is>
      </c>
      <c r="I1418">
        <f>HYPERLINK("https://admin.shopify.com/store/ge-beauty-cosmeticos/customers/9984532185408","abrir")</f>
        <v/>
      </c>
      <c r="J1418">
        <f>HYPERLINK("https://www.gebeauty.com.br/products/primer-liso-intacto?ref=review","review")</f>
        <v/>
      </c>
      <c r="K1418" t="inlineStr">
        <is>
          <t>SEND</t>
        </is>
      </c>
    </row>
    <row r="1419">
      <c r="A1419" t="inlineStr">
        <is>
          <t>Anna</t>
        </is>
      </c>
      <c r="B1419" t="inlineStr">
        <is>
          <t>+5561991774076</t>
        </is>
      </c>
      <c r="C1419" t="inlineStr">
        <is>
          <t>Refill</t>
        </is>
      </c>
      <c r="D1419" t="inlineStr">
        <is>
          <t>Primer Liso</t>
        </is>
      </c>
      <c r="E1419" t="n">
        <v>1</v>
      </c>
      <c r="F1419" t="inlineStr">
        <is>
          <t>2026-01-03</t>
        </is>
      </c>
      <c r="G1419" t="n">
        <v>182</v>
      </c>
      <c r="H1419" t="inlineStr">
        <is>
          <t>Y</t>
        </is>
      </c>
      <c r="I1419">
        <f>HYPERLINK("https://admin.shopify.com/store/ge-beauty-cosmeticos/customers/10028138332480","abrir")</f>
        <v/>
      </c>
      <c r="J1419">
        <f>HYPERLINK("https://www.gebeauty.com.br/products/primer-liso-intacto?ref=review","review")</f>
        <v/>
      </c>
      <c r="K1419" t="inlineStr">
        <is>
          <t>HOLDOUT</t>
        </is>
      </c>
    </row>
    <row r="1420">
      <c r="A1420" t="inlineStr">
        <is>
          <t>Camilla</t>
        </is>
      </c>
      <c r="B1420" t="inlineStr">
        <is>
          <t>+5511999533122</t>
        </is>
      </c>
      <c r="C1420" t="inlineStr">
        <is>
          <t>Refill</t>
        </is>
      </c>
      <c r="D1420" t="inlineStr">
        <is>
          <t>Primer Liso</t>
        </is>
      </c>
      <c r="E1420" t="n">
        <v>1</v>
      </c>
      <c r="F1420" t="inlineStr">
        <is>
          <t>2026-01-04</t>
        </is>
      </c>
      <c r="G1420" t="n">
        <v>181</v>
      </c>
      <c r="H1420" t="inlineStr">
        <is>
          <t>Y</t>
        </is>
      </c>
      <c r="I1420">
        <f>HYPERLINK("https://admin.shopify.com/store/ge-beauty-cosmeticos/customers/10021556027712","abrir")</f>
        <v/>
      </c>
      <c r="J1420">
        <f>HYPERLINK("https://www.gebeauty.com.br/products/primer-liso-intacto?ref=review","review")</f>
        <v/>
      </c>
      <c r="K1420" t="inlineStr">
        <is>
          <t>SEND</t>
        </is>
      </c>
    </row>
    <row r="1421">
      <c r="A1421" t="inlineStr">
        <is>
          <t>Ana</t>
        </is>
      </c>
      <c r="B1421" t="inlineStr">
        <is>
          <t>+5585991114298</t>
        </is>
      </c>
      <c r="C1421" t="inlineStr">
        <is>
          <t>Refill</t>
        </is>
      </c>
      <c r="D1421" t="inlineStr">
        <is>
          <t>Primer Liso</t>
        </is>
      </c>
      <c r="E1421" t="n">
        <v>1</v>
      </c>
      <c r="F1421" t="inlineStr">
        <is>
          <t>2026-01-04</t>
        </is>
      </c>
      <c r="G1421" t="n">
        <v>181</v>
      </c>
      <c r="H1421" t="inlineStr">
        <is>
          <t>Y</t>
        </is>
      </c>
      <c r="I1421">
        <f>HYPERLINK("https://admin.shopify.com/store/ge-beauty-cosmeticos/customers/10030347288896","abrir")</f>
        <v/>
      </c>
      <c r="J1421">
        <f>HYPERLINK("https://www.gebeauty.com.br/products/primer-liso-intacto?ref=review","review")</f>
        <v/>
      </c>
      <c r="K1421" t="inlineStr">
        <is>
          <t>SEND</t>
        </is>
      </c>
    </row>
    <row r="1422">
      <c r="A1422" t="inlineStr">
        <is>
          <t>Fernanda</t>
        </is>
      </c>
      <c r="B1422" t="inlineStr">
        <is>
          <t>+5511967629497</t>
        </is>
      </c>
      <c r="C1422" t="inlineStr">
        <is>
          <t>Refill</t>
        </is>
      </c>
      <c r="D1422" t="inlineStr">
        <is>
          <t>Primer Liso</t>
        </is>
      </c>
      <c r="E1422" t="n">
        <v>1</v>
      </c>
      <c r="F1422" t="inlineStr">
        <is>
          <t>2026-01-04</t>
        </is>
      </c>
      <c r="G1422" t="n">
        <v>181</v>
      </c>
      <c r="H1422" t="inlineStr">
        <is>
          <t>Y</t>
        </is>
      </c>
      <c r="I1422">
        <f>HYPERLINK("https://admin.shopify.com/store/ge-beauty-cosmeticos/customers/10030612611392","abrir")</f>
        <v/>
      </c>
      <c r="J1422">
        <f>HYPERLINK("https://www.gebeauty.com.br/products/primer-liso-intacto?ref=review","review")</f>
        <v/>
      </c>
      <c r="K1422" t="inlineStr">
        <is>
          <t>SEND</t>
        </is>
      </c>
    </row>
    <row r="1423">
      <c r="A1423" t="inlineStr">
        <is>
          <t>Maria</t>
        </is>
      </c>
      <c r="B1423" t="inlineStr">
        <is>
          <t>+5521999224926</t>
        </is>
      </c>
      <c r="C1423" t="inlineStr">
        <is>
          <t>Refill</t>
        </is>
      </c>
      <c r="D1423" t="inlineStr">
        <is>
          <t>Primer Liso</t>
        </is>
      </c>
      <c r="E1423" t="n">
        <v>1</v>
      </c>
      <c r="F1423" t="inlineStr">
        <is>
          <t>2026-01-04</t>
        </is>
      </c>
      <c r="G1423" t="n">
        <v>181</v>
      </c>
      <c r="H1423" t="inlineStr">
        <is>
          <t>Y</t>
        </is>
      </c>
      <c r="I1423">
        <f>HYPERLINK("https://admin.shopify.com/store/ge-beauty-cosmeticos/customers/10030898676032","abrir")</f>
        <v/>
      </c>
      <c r="J1423">
        <f>HYPERLINK("https://www.gebeauty.com.br/products/primer-liso-intacto?ref=review","review")</f>
        <v/>
      </c>
      <c r="K1423" t="inlineStr">
        <is>
          <t>HOLDOUT</t>
        </is>
      </c>
    </row>
    <row r="1424">
      <c r="A1424" t="inlineStr">
        <is>
          <t>Juliana</t>
        </is>
      </c>
      <c r="B1424" t="inlineStr">
        <is>
          <t>+5581997802013</t>
        </is>
      </c>
      <c r="C1424" t="inlineStr">
        <is>
          <t>Refill</t>
        </is>
      </c>
      <c r="D1424" t="inlineStr">
        <is>
          <t>Primer Liso</t>
        </is>
      </c>
      <c r="E1424" t="n">
        <v>1</v>
      </c>
      <c r="F1424" t="inlineStr">
        <is>
          <t>2026-01-04</t>
        </is>
      </c>
      <c r="G1424" t="n">
        <v>181</v>
      </c>
      <c r="H1424" t="inlineStr">
        <is>
          <t>Y</t>
        </is>
      </c>
      <c r="I1424">
        <f>HYPERLINK("https://admin.shopify.com/store/ge-beauty-cosmeticos/customers/10000782360896","abrir")</f>
        <v/>
      </c>
      <c r="J1424">
        <f>HYPERLINK("https://www.gebeauty.com.br/products/primer-liso-intacto?ref=review","review")</f>
        <v/>
      </c>
      <c r="K1424" t="inlineStr">
        <is>
          <t>SEND</t>
        </is>
      </c>
    </row>
    <row r="1425">
      <c r="A1425" t="inlineStr">
        <is>
          <t>Bruna</t>
        </is>
      </c>
      <c r="B1425" t="inlineStr">
        <is>
          <t>+5561996727212</t>
        </is>
      </c>
      <c r="C1425" t="inlineStr">
        <is>
          <t>Refill</t>
        </is>
      </c>
      <c r="D1425" t="inlineStr">
        <is>
          <t>Primer Liso</t>
        </is>
      </c>
      <c r="E1425" t="n">
        <v>1</v>
      </c>
      <c r="F1425" t="inlineStr">
        <is>
          <t>2026-01-04</t>
        </is>
      </c>
      <c r="G1425" t="n">
        <v>181</v>
      </c>
      <c r="H1425" t="inlineStr">
        <is>
          <t>Y</t>
        </is>
      </c>
      <c r="I1425">
        <f>HYPERLINK("https://admin.shopify.com/store/ge-beauty-cosmeticos/customers/10031171338560","abrir")</f>
        <v/>
      </c>
      <c r="J1425">
        <f>HYPERLINK("https://www.gebeauty.com.br/products/primer-liso-intacto?ref=review","review")</f>
        <v/>
      </c>
      <c r="K1425" t="inlineStr">
        <is>
          <t>SEND</t>
        </is>
      </c>
    </row>
    <row r="1426">
      <c r="A1426" t="inlineStr">
        <is>
          <t>Vivian Renata</t>
        </is>
      </c>
      <c r="B1426" t="inlineStr">
        <is>
          <t>+5511973288894</t>
        </is>
      </c>
      <c r="C1426" t="inlineStr">
        <is>
          <t>Refill</t>
        </is>
      </c>
      <c r="D1426" t="inlineStr">
        <is>
          <t>Primer Liso</t>
        </is>
      </c>
      <c r="E1426" t="n">
        <v>1</v>
      </c>
      <c r="F1426" t="inlineStr">
        <is>
          <t>2026-01-05</t>
        </is>
      </c>
      <c r="G1426" t="n">
        <v>180</v>
      </c>
      <c r="H1426" t="inlineStr">
        <is>
          <t>Y</t>
        </is>
      </c>
      <c r="I1426">
        <f>HYPERLINK("https://admin.shopify.com/store/ge-beauty-cosmeticos/customers/9485610975552","abrir")</f>
        <v/>
      </c>
      <c r="J1426">
        <f>HYPERLINK("https://www.gebeauty.com.br/products/primer-liso-intacto?ref=review","review")</f>
        <v/>
      </c>
      <c r="K1426" t="inlineStr">
        <is>
          <t>SEND</t>
        </is>
      </c>
    </row>
    <row r="1427">
      <c r="A1427" t="inlineStr">
        <is>
          <t>Roberta</t>
        </is>
      </c>
      <c r="B1427" t="inlineStr">
        <is>
          <t>+5581996660064</t>
        </is>
      </c>
      <c r="C1427" t="inlineStr">
        <is>
          <t>Refill</t>
        </is>
      </c>
      <c r="D1427" t="inlineStr">
        <is>
          <t>Primer Liso</t>
        </is>
      </c>
      <c r="E1427" t="n">
        <v>1</v>
      </c>
      <c r="F1427" t="inlineStr">
        <is>
          <t>2026-01-05</t>
        </is>
      </c>
      <c r="G1427" t="n">
        <v>180</v>
      </c>
      <c r="H1427" t="inlineStr">
        <is>
          <t>Y</t>
        </is>
      </c>
      <c r="I1427">
        <f>HYPERLINK("https://admin.shopify.com/store/ge-beauty-cosmeticos/customers/10032614768960","abrir")</f>
        <v/>
      </c>
      <c r="J1427">
        <f>HYPERLINK("https://www.gebeauty.com.br/products/primer-liso-intacto?ref=review","review")</f>
        <v/>
      </c>
      <c r="K1427" t="inlineStr">
        <is>
          <t>SEND</t>
        </is>
      </c>
    </row>
    <row r="1428">
      <c r="A1428" t="inlineStr">
        <is>
          <t>Isabelle</t>
        </is>
      </c>
      <c r="B1428" t="inlineStr">
        <is>
          <t>+5579999834470</t>
        </is>
      </c>
      <c r="C1428" t="inlineStr">
        <is>
          <t>Refill</t>
        </is>
      </c>
      <c r="D1428" t="inlineStr">
        <is>
          <t>Primer Liso</t>
        </is>
      </c>
      <c r="E1428" t="n">
        <v>1</v>
      </c>
      <c r="F1428" t="inlineStr">
        <is>
          <t>2026-01-05</t>
        </is>
      </c>
      <c r="G1428" t="n">
        <v>180</v>
      </c>
      <c r="H1428" t="inlineStr">
        <is>
          <t>Y</t>
        </is>
      </c>
      <c r="I1428">
        <f>HYPERLINK("https://admin.shopify.com/store/ge-beauty-cosmeticos/customers/10033137484096","abrir")</f>
        <v/>
      </c>
      <c r="J1428">
        <f>HYPERLINK("https://www.gebeauty.com.br/products/primer-liso-intacto?ref=review","review")</f>
        <v/>
      </c>
      <c r="K1428" t="inlineStr">
        <is>
          <t>SEND</t>
        </is>
      </c>
    </row>
    <row r="1429">
      <c r="A1429" t="inlineStr">
        <is>
          <t>Érica</t>
        </is>
      </c>
      <c r="B1429" t="inlineStr">
        <is>
          <t>+5575992327908</t>
        </is>
      </c>
      <c r="C1429" t="inlineStr">
        <is>
          <t>Refill</t>
        </is>
      </c>
      <c r="D1429" t="inlineStr">
        <is>
          <t>Primer Liso</t>
        </is>
      </c>
      <c r="E1429" t="n">
        <v>1</v>
      </c>
      <c r="F1429" t="inlineStr">
        <is>
          <t>2026-01-05</t>
        </is>
      </c>
      <c r="G1429" t="n">
        <v>180</v>
      </c>
      <c r="H1429" t="inlineStr">
        <is>
          <t>Y</t>
        </is>
      </c>
      <c r="I1429">
        <f>HYPERLINK("https://admin.shopify.com/store/ge-beauty-cosmeticos/customers/9486120550720","abrir")</f>
        <v/>
      </c>
      <c r="J1429">
        <f>HYPERLINK("https://www.gebeauty.com.br/products/primer-liso-intacto?ref=review","review")</f>
        <v/>
      </c>
      <c r="K1429" t="inlineStr">
        <is>
          <t>SEND</t>
        </is>
      </c>
    </row>
    <row r="1430">
      <c r="A1430" t="inlineStr">
        <is>
          <t>Kathleen</t>
        </is>
      </c>
      <c r="B1430" t="inlineStr">
        <is>
          <t>+5519996083030</t>
        </is>
      </c>
      <c r="C1430" t="inlineStr">
        <is>
          <t>Refill</t>
        </is>
      </c>
      <c r="D1430" t="inlineStr">
        <is>
          <t>Primer Liso</t>
        </is>
      </c>
      <c r="E1430" t="n">
        <v>1</v>
      </c>
      <c r="F1430" t="inlineStr">
        <is>
          <t>2026-01-05</t>
        </is>
      </c>
      <c r="G1430" t="n">
        <v>180</v>
      </c>
      <c r="H1430" t="inlineStr">
        <is>
          <t>Y</t>
        </is>
      </c>
      <c r="I1430">
        <f>HYPERLINK("https://admin.shopify.com/store/ge-beauty-cosmeticos/customers/9937016422720","abrir")</f>
        <v/>
      </c>
      <c r="J1430">
        <f>HYPERLINK("https://www.gebeauty.com.br/products/primer-liso-intacto?ref=review","review")</f>
        <v/>
      </c>
      <c r="K1430" t="inlineStr">
        <is>
          <t>SEND</t>
        </is>
      </c>
    </row>
    <row r="1431">
      <c r="A1431" t="inlineStr">
        <is>
          <t>Hanna</t>
        </is>
      </c>
      <c r="B1431" t="inlineStr">
        <is>
          <t>+5585997397031</t>
        </is>
      </c>
      <c r="C1431" t="inlineStr">
        <is>
          <t>Refill</t>
        </is>
      </c>
      <c r="D1431" t="inlineStr">
        <is>
          <t>Primer Liso</t>
        </is>
      </c>
      <c r="E1431" t="n">
        <v>1</v>
      </c>
      <c r="F1431" t="inlineStr">
        <is>
          <t>2026-01-05</t>
        </is>
      </c>
      <c r="G1431" t="n">
        <v>180</v>
      </c>
      <c r="H1431" t="inlineStr">
        <is>
          <t>Y</t>
        </is>
      </c>
      <c r="I1431">
        <f>HYPERLINK("https://admin.shopify.com/store/ge-beauty-cosmeticos/customers/10033658462528","abrir")</f>
        <v/>
      </c>
      <c r="J1431">
        <f>HYPERLINK("https://www.gebeauty.com.br/products/primer-liso-intacto?ref=review","review")</f>
        <v/>
      </c>
      <c r="K1431" t="inlineStr">
        <is>
          <t>SEND</t>
        </is>
      </c>
    </row>
    <row r="1432">
      <c r="A1432" t="inlineStr">
        <is>
          <t>Daniela</t>
        </is>
      </c>
      <c r="B1432" t="inlineStr">
        <is>
          <t>+5511969998949</t>
        </is>
      </c>
      <c r="C1432" t="inlineStr">
        <is>
          <t>Refill</t>
        </is>
      </c>
      <c r="D1432" t="inlineStr">
        <is>
          <t>Primer Liso</t>
        </is>
      </c>
      <c r="E1432" t="n">
        <v>1</v>
      </c>
      <c r="F1432" t="inlineStr">
        <is>
          <t>2026-01-06</t>
        </is>
      </c>
      <c r="G1432" t="n">
        <v>179</v>
      </c>
      <c r="H1432" t="inlineStr">
        <is>
          <t>Y</t>
        </is>
      </c>
      <c r="I1432">
        <f>HYPERLINK("https://admin.shopify.com/store/ge-beauty-cosmeticos/customers/10033823220032","abrir")</f>
        <v/>
      </c>
      <c r="J1432">
        <f>HYPERLINK("https://www.gebeauty.com.br/products/primer-liso-intacto?ref=review","review")</f>
        <v/>
      </c>
      <c r="K1432" t="inlineStr">
        <is>
          <t>SEND</t>
        </is>
      </c>
    </row>
    <row r="1433">
      <c r="A1433" t="inlineStr">
        <is>
          <t>Renata</t>
        </is>
      </c>
      <c r="B1433" t="inlineStr">
        <is>
          <t>+5511982230952</t>
        </is>
      </c>
      <c r="C1433" t="inlineStr">
        <is>
          <t>Refill</t>
        </is>
      </c>
      <c r="D1433" t="inlineStr">
        <is>
          <t>Primer Liso</t>
        </is>
      </c>
      <c r="E1433" t="n">
        <v>1</v>
      </c>
      <c r="F1433" t="inlineStr">
        <is>
          <t>2026-01-06</t>
        </is>
      </c>
      <c r="G1433" t="n">
        <v>179</v>
      </c>
      <c r="H1433" t="inlineStr">
        <is>
          <t>Y</t>
        </is>
      </c>
      <c r="I1433">
        <f>HYPERLINK("https://admin.shopify.com/store/ge-beauty-cosmeticos/customers/10035179749696","abrir")</f>
        <v/>
      </c>
      <c r="J1433">
        <f>HYPERLINK("https://www.gebeauty.com.br/products/primer-liso-intacto?ref=review","review")</f>
        <v/>
      </c>
      <c r="K1433" t="inlineStr">
        <is>
          <t>SEND</t>
        </is>
      </c>
    </row>
    <row r="1434">
      <c r="A1434" t="inlineStr">
        <is>
          <t>Silvia</t>
        </is>
      </c>
      <c r="B1434" t="inlineStr">
        <is>
          <t>+5511970619053</t>
        </is>
      </c>
      <c r="C1434" t="inlineStr">
        <is>
          <t>Refill</t>
        </is>
      </c>
      <c r="D1434" t="inlineStr">
        <is>
          <t>Primer Liso</t>
        </is>
      </c>
      <c r="E1434" t="n">
        <v>1</v>
      </c>
      <c r="F1434" t="inlineStr">
        <is>
          <t>2026-01-06</t>
        </is>
      </c>
      <c r="G1434" t="n">
        <v>179</v>
      </c>
      <c r="H1434" t="inlineStr">
        <is>
          <t>Y</t>
        </is>
      </c>
      <c r="I1434">
        <f>HYPERLINK("https://admin.shopify.com/store/ge-beauty-cosmeticos/customers/9623996170560","abrir")</f>
        <v/>
      </c>
      <c r="J1434">
        <f>HYPERLINK("https://www.gebeauty.com.br/products/primer-liso-intacto?ref=review","review")</f>
        <v/>
      </c>
      <c r="K1434" t="inlineStr">
        <is>
          <t>SEND</t>
        </is>
      </c>
    </row>
    <row r="1435">
      <c r="A1435" t="inlineStr">
        <is>
          <t>Isadora</t>
        </is>
      </c>
      <c r="B1435" t="inlineStr">
        <is>
          <t>+5519992843306</t>
        </is>
      </c>
      <c r="C1435" t="inlineStr">
        <is>
          <t>Refill</t>
        </is>
      </c>
      <c r="D1435" t="inlineStr">
        <is>
          <t>Primer Liso</t>
        </is>
      </c>
      <c r="E1435" t="n">
        <v>1</v>
      </c>
      <c r="F1435" t="inlineStr">
        <is>
          <t>2026-01-06</t>
        </is>
      </c>
      <c r="G1435" t="n">
        <v>179</v>
      </c>
      <c r="H1435" t="inlineStr">
        <is>
          <t>Y</t>
        </is>
      </c>
      <c r="I1435">
        <f>HYPERLINK("https://admin.shopify.com/store/ge-beauty-cosmeticos/customers/10005352218944","abrir")</f>
        <v/>
      </c>
      <c r="J1435">
        <f>HYPERLINK("https://www.gebeauty.com.br/products/primer-liso-intacto?ref=review","review")</f>
        <v/>
      </c>
      <c r="K1435" t="inlineStr">
        <is>
          <t>SEND</t>
        </is>
      </c>
    </row>
    <row r="1436">
      <c r="A1436" t="inlineStr">
        <is>
          <t>Mirelle</t>
        </is>
      </c>
      <c r="B1436" t="inlineStr">
        <is>
          <t>+5585999340005</t>
        </is>
      </c>
      <c r="C1436" t="inlineStr">
        <is>
          <t>Refill</t>
        </is>
      </c>
      <c r="D1436" t="inlineStr">
        <is>
          <t>Primer Liso</t>
        </is>
      </c>
      <c r="E1436" t="n">
        <v>1</v>
      </c>
      <c r="F1436" t="inlineStr">
        <is>
          <t>2026-01-07</t>
        </is>
      </c>
      <c r="G1436" t="n">
        <v>178</v>
      </c>
      <c r="H1436" t="inlineStr">
        <is>
          <t>Y</t>
        </is>
      </c>
      <c r="I1436">
        <f>HYPERLINK("https://admin.shopify.com/store/ge-beauty-cosmeticos/customers/10036134871360","abrir")</f>
        <v/>
      </c>
      <c r="J1436">
        <f>HYPERLINK("https://www.gebeauty.com.br/products/primer-liso-intacto?ref=review","review")</f>
        <v/>
      </c>
      <c r="K1436" t="inlineStr">
        <is>
          <t>SEND</t>
        </is>
      </c>
    </row>
    <row r="1437">
      <c r="A1437" t="inlineStr">
        <is>
          <t>Maria</t>
        </is>
      </c>
      <c r="B1437" t="inlineStr">
        <is>
          <t>+5511982778820</t>
        </is>
      </c>
      <c r="C1437" t="inlineStr">
        <is>
          <t>Refill</t>
        </is>
      </c>
      <c r="D1437" t="inlineStr">
        <is>
          <t>Primer Liso</t>
        </is>
      </c>
      <c r="E1437" t="n">
        <v>1</v>
      </c>
      <c r="F1437" t="inlineStr">
        <is>
          <t>2026-01-07</t>
        </is>
      </c>
      <c r="G1437" t="n">
        <v>178</v>
      </c>
      <c r="H1437" t="inlineStr">
        <is>
          <t>Y</t>
        </is>
      </c>
      <c r="I1437">
        <f>HYPERLINK("https://admin.shopify.com/store/ge-beauty-cosmeticos/customers/10036561248576","abrir")</f>
        <v/>
      </c>
      <c r="J1437">
        <f>HYPERLINK("https://www.gebeauty.com.br/products/primer-liso-intacto?ref=review","review")</f>
        <v/>
      </c>
      <c r="K1437" t="inlineStr">
        <is>
          <t>SEND</t>
        </is>
      </c>
    </row>
    <row r="1438">
      <c r="A1438" t="inlineStr">
        <is>
          <t>Deizi</t>
        </is>
      </c>
      <c r="B1438" t="inlineStr">
        <is>
          <t>+5548999910620</t>
        </is>
      </c>
      <c r="C1438" t="inlineStr">
        <is>
          <t>Refill</t>
        </is>
      </c>
      <c r="D1438" t="inlineStr">
        <is>
          <t>Primer Liso</t>
        </is>
      </c>
      <c r="E1438" t="n">
        <v>1</v>
      </c>
      <c r="F1438" t="inlineStr">
        <is>
          <t>2026-01-07</t>
        </is>
      </c>
      <c r="G1438" t="n">
        <v>178</v>
      </c>
      <c r="H1438" t="inlineStr">
        <is>
          <t>Y</t>
        </is>
      </c>
      <c r="I1438">
        <f>HYPERLINK("https://admin.shopify.com/store/ge-beauty-cosmeticos/customers/10037188690240","abrir")</f>
        <v/>
      </c>
      <c r="J1438">
        <f>HYPERLINK("https://www.gebeauty.com.br/products/primer-liso-intacto?ref=review","review")</f>
        <v/>
      </c>
      <c r="K1438" t="inlineStr">
        <is>
          <t>HOLDOUT</t>
        </is>
      </c>
    </row>
    <row r="1439">
      <c r="A1439" t="inlineStr">
        <is>
          <t>Ana Carolina</t>
        </is>
      </c>
      <c r="B1439" t="inlineStr">
        <is>
          <t>+5582991231414</t>
        </is>
      </c>
      <c r="C1439" t="inlineStr">
        <is>
          <t>Refill</t>
        </is>
      </c>
      <c r="D1439" t="inlineStr">
        <is>
          <t>Primer Liso</t>
        </is>
      </c>
      <c r="E1439" t="n">
        <v>1</v>
      </c>
      <c r="F1439" t="inlineStr">
        <is>
          <t>2026-01-07</t>
        </is>
      </c>
      <c r="G1439" t="n">
        <v>178</v>
      </c>
      <c r="H1439" t="inlineStr">
        <is>
          <t>Y</t>
        </is>
      </c>
      <c r="I1439">
        <f>HYPERLINK("https://admin.shopify.com/store/ge-beauty-cosmeticos/customers/10037176402240","abrir")</f>
        <v/>
      </c>
      <c r="J1439">
        <f>HYPERLINK("https://www.gebeauty.com.br/products/primer-liso-intacto?ref=review","review")</f>
        <v/>
      </c>
      <c r="K1439" t="inlineStr">
        <is>
          <t>SEND</t>
        </is>
      </c>
    </row>
    <row r="1440">
      <c r="A1440" t="inlineStr">
        <is>
          <t>Irana</t>
        </is>
      </c>
      <c r="B1440" t="inlineStr">
        <is>
          <t>+5519981214511</t>
        </is>
      </c>
      <c r="C1440" t="inlineStr">
        <is>
          <t>Refill</t>
        </is>
      </c>
      <c r="D1440" t="inlineStr">
        <is>
          <t>Primer Liso</t>
        </is>
      </c>
      <c r="E1440" t="n">
        <v>1</v>
      </c>
      <c r="F1440" t="inlineStr">
        <is>
          <t>2026-01-07</t>
        </is>
      </c>
      <c r="G1440" t="n">
        <v>178</v>
      </c>
      <c r="H1440" t="inlineStr">
        <is>
          <t>Y</t>
        </is>
      </c>
      <c r="I1440">
        <f>HYPERLINK("https://admin.shopify.com/store/ge-beauty-cosmeticos/customers/9158983287104","abrir")</f>
        <v/>
      </c>
      <c r="J1440">
        <f>HYPERLINK("https://www.gebeauty.com.br/products/primer-liso-intacto?ref=review","review")</f>
        <v/>
      </c>
      <c r="K1440" t="inlineStr">
        <is>
          <t>SEND</t>
        </is>
      </c>
    </row>
    <row r="1441">
      <c r="A1441" t="inlineStr">
        <is>
          <t>Juliana</t>
        </is>
      </c>
      <c r="B1441" t="inlineStr">
        <is>
          <t>+5513991063894</t>
        </is>
      </c>
      <c r="C1441" t="inlineStr">
        <is>
          <t>Refill</t>
        </is>
      </c>
      <c r="D1441" t="inlineStr">
        <is>
          <t>Primer Liso</t>
        </is>
      </c>
      <c r="E1441" t="n">
        <v>1</v>
      </c>
      <c r="F1441" t="inlineStr">
        <is>
          <t>2026-01-07</t>
        </is>
      </c>
      <c r="G1441" t="n">
        <v>178</v>
      </c>
      <c r="H1441" t="inlineStr">
        <is>
          <t>Y</t>
        </is>
      </c>
      <c r="I1441">
        <f>HYPERLINK("https://admin.shopify.com/store/ge-beauty-cosmeticos/customers/10036099940672","abrir")</f>
        <v/>
      </c>
      <c r="J1441">
        <f>HYPERLINK("https://www.gebeauty.com.br/products/primer-liso-intacto?ref=review","review")</f>
        <v/>
      </c>
      <c r="K1441" t="inlineStr">
        <is>
          <t>SEND</t>
        </is>
      </c>
    </row>
    <row r="1442">
      <c r="A1442" t="inlineStr">
        <is>
          <t>Alice</t>
        </is>
      </c>
      <c r="B1442" t="inlineStr">
        <is>
          <t>+5562999804130</t>
        </is>
      </c>
      <c r="C1442" t="inlineStr">
        <is>
          <t>Refill</t>
        </is>
      </c>
      <c r="D1442" t="inlineStr">
        <is>
          <t>Primer Liso</t>
        </is>
      </c>
      <c r="E1442" t="n">
        <v>1</v>
      </c>
      <c r="F1442" t="inlineStr">
        <is>
          <t>2026-01-08</t>
        </is>
      </c>
      <c r="G1442" t="n">
        <v>177</v>
      </c>
      <c r="H1442" t="inlineStr">
        <is>
          <t>Y</t>
        </is>
      </c>
      <c r="I1442">
        <f>HYPERLINK("https://admin.shopify.com/store/ge-beauty-cosmeticos/customers/10038753755456","abrir")</f>
        <v/>
      </c>
      <c r="J1442">
        <f>HYPERLINK("https://www.gebeauty.com.br/products/primer-liso-intacto?ref=review","review")</f>
        <v/>
      </c>
      <c r="K1442" t="inlineStr">
        <is>
          <t>SEND</t>
        </is>
      </c>
    </row>
    <row r="1443">
      <c r="A1443" t="inlineStr">
        <is>
          <t>Marilia</t>
        </is>
      </c>
      <c r="B1443" t="inlineStr">
        <is>
          <t>+5512981191599</t>
        </is>
      </c>
      <c r="C1443" t="inlineStr">
        <is>
          <t>Refill</t>
        </is>
      </c>
      <c r="D1443" t="inlineStr">
        <is>
          <t>Primer Liso</t>
        </is>
      </c>
      <c r="E1443" t="n">
        <v>1</v>
      </c>
      <c r="F1443" t="inlineStr">
        <is>
          <t>2026-01-08</t>
        </is>
      </c>
      <c r="G1443" t="n">
        <v>177</v>
      </c>
      <c r="H1443" t="inlineStr">
        <is>
          <t>Y</t>
        </is>
      </c>
      <c r="I1443">
        <f>HYPERLINK("https://admin.shopify.com/store/ge-beauty-cosmeticos/customers/9486538801472","abrir")</f>
        <v/>
      </c>
      <c r="J1443">
        <f>HYPERLINK("https://www.gebeauty.com.br/products/primer-liso-intacto?ref=review","review")</f>
        <v/>
      </c>
      <c r="K1443" t="inlineStr">
        <is>
          <t>SEND</t>
        </is>
      </c>
    </row>
    <row r="1444">
      <c r="A1444" t="inlineStr">
        <is>
          <t>Maria</t>
        </is>
      </c>
      <c r="B1444" t="inlineStr">
        <is>
          <t>+5567998688641</t>
        </is>
      </c>
      <c r="C1444" t="inlineStr">
        <is>
          <t>Refill</t>
        </is>
      </c>
      <c r="D1444" t="inlineStr">
        <is>
          <t>Primer Liso</t>
        </is>
      </c>
      <c r="E1444" t="n">
        <v>1</v>
      </c>
      <c r="F1444" t="inlineStr">
        <is>
          <t>2026-01-08</t>
        </is>
      </c>
      <c r="G1444" t="n">
        <v>177</v>
      </c>
      <c r="H1444" t="inlineStr">
        <is>
          <t>Y</t>
        </is>
      </c>
      <c r="I1444">
        <f>HYPERLINK("https://admin.shopify.com/store/ge-beauty-cosmeticos/customers/10041027592512","abrir")</f>
        <v/>
      </c>
      <c r="J1444">
        <f>HYPERLINK("https://www.gebeauty.com.br/products/primer-liso-intacto?ref=review","review")</f>
        <v/>
      </c>
      <c r="K1444" t="inlineStr">
        <is>
          <t>SEND</t>
        </is>
      </c>
    </row>
    <row r="1445">
      <c r="A1445" t="inlineStr">
        <is>
          <t>Gisele</t>
        </is>
      </c>
      <c r="B1445" t="inlineStr">
        <is>
          <t>+5551998520274</t>
        </is>
      </c>
      <c r="C1445" t="inlineStr">
        <is>
          <t>Refill</t>
        </is>
      </c>
      <c r="D1445" t="inlineStr">
        <is>
          <t>Primer Liso</t>
        </is>
      </c>
      <c r="E1445" t="n">
        <v>1</v>
      </c>
      <c r="F1445" t="inlineStr">
        <is>
          <t>2026-01-09</t>
        </is>
      </c>
      <c r="G1445" t="n">
        <v>176</v>
      </c>
      <c r="H1445" t="inlineStr">
        <is>
          <t>Y</t>
        </is>
      </c>
      <c r="I1445">
        <f>HYPERLINK("https://admin.shopify.com/store/ge-beauty-cosmeticos/customers/10044587737408","abrir")</f>
        <v/>
      </c>
      <c r="J1445">
        <f>HYPERLINK("https://www.gebeauty.com.br/products/primer-liso-intacto?ref=review","review")</f>
        <v/>
      </c>
      <c r="K1445" t="inlineStr">
        <is>
          <t>SEND</t>
        </is>
      </c>
    </row>
    <row r="1446">
      <c r="A1446" t="inlineStr">
        <is>
          <t>Maria</t>
        </is>
      </c>
      <c r="B1446" t="inlineStr">
        <is>
          <t>+5511988794242</t>
        </is>
      </c>
      <c r="C1446" t="inlineStr">
        <is>
          <t>Refill</t>
        </is>
      </c>
      <c r="D1446" t="inlineStr">
        <is>
          <t>Primer Liso</t>
        </is>
      </c>
      <c r="E1446" t="n">
        <v>1</v>
      </c>
      <c r="F1446" t="inlineStr">
        <is>
          <t>2026-01-09</t>
        </is>
      </c>
      <c r="G1446" t="n">
        <v>176</v>
      </c>
      <c r="H1446" t="inlineStr">
        <is>
          <t>Y</t>
        </is>
      </c>
      <c r="I1446">
        <f>HYPERLINK("https://admin.shopify.com/store/ge-beauty-cosmeticos/customers/10044900245824","abrir")</f>
        <v/>
      </c>
      <c r="J1446">
        <f>HYPERLINK("https://www.gebeauty.com.br/products/primer-liso-intacto?ref=review","review")</f>
        <v/>
      </c>
      <c r="K1446" t="inlineStr">
        <is>
          <t>HOLDOUT</t>
        </is>
      </c>
    </row>
    <row r="1447">
      <c r="A1447" t="inlineStr">
        <is>
          <t>Marcela</t>
        </is>
      </c>
      <c r="B1447" t="inlineStr">
        <is>
          <t>+5581982096552</t>
        </is>
      </c>
      <c r="C1447" t="inlineStr">
        <is>
          <t>Refill</t>
        </is>
      </c>
      <c r="D1447" t="inlineStr">
        <is>
          <t>Primer Liso</t>
        </is>
      </c>
      <c r="E1447" t="n">
        <v>1</v>
      </c>
      <c r="F1447" t="inlineStr">
        <is>
          <t>2026-01-09</t>
        </is>
      </c>
      <c r="G1447" t="n">
        <v>176</v>
      </c>
      <c r="H1447" t="inlineStr">
        <is>
          <t>Y</t>
        </is>
      </c>
      <c r="I1447">
        <f>HYPERLINK("https://admin.shopify.com/store/ge-beauty-cosmeticos/customers/10045011525952","abrir")</f>
        <v/>
      </c>
      <c r="J1447">
        <f>HYPERLINK("https://www.gebeauty.com.br/products/primer-liso-intacto?ref=review","review")</f>
        <v/>
      </c>
      <c r="K1447" t="inlineStr">
        <is>
          <t>SEND</t>
        </is>
      </c>
    </row>
    <row r="1448">
      <c r="A1448" t="inlineStr">
        <is>
          <t>Lilian</t>
        </is>
      </c>
      <c r="B1448" t="inlineStr">
        <is>
          <t>+5511966439395</t>
        </is>
      </c>
      <c r="C1448" t="inlineStr">
        <is>
          <t>Refill</t>
        </is>
      </c>
      <c r="D1448" t="inlineStr">
        <is>
          <t>Primer Liso</t>
        </is>
      </c>
      <c r="E1448" t="n">
        <v>1</v>
      </c>
      <c r="F1448" t="inlineStr">
        <is>
          <t>2026-01-09</t>
        </is>
      </c>
      <c r="G1448" t="n">
        <v>176</v>
      </c>
      <c r="H1448" t="inlineStr">
        <is>
          <t>Y</t>
        </is>
      </c>
      <c r="I1448">
        <f>HYPERLINK("https://admin.shopify.com/store/ge-beauty-cosmeticos/customers/10041261195584","abrir")</f>
        <v/>
      </c>
      <c r="J1448">
        <f>HYPERLINK("https://www.gebeauty.com.br/products/primer-liso-intacto?ref=review","review")</f>
        <v/>
      </c>
      <c r="K1448" t="inlineStr">
        <is>
          <t>SEND</t>
        </is>
      </c>
    </row>
    <row r="1449">
      <c r="A1449" t="inlineStr">
        <is>
          <t>Bruna</t>
        </is>
      </c>
      <c r="B1449" t="inlineStr">
        <is>
          <t>+5511999951143</t>
        </is>
      </c>
      <c r="C1449" t="inlineStr">
        <is>
          <t>Refill</t>
        </is>
      </c>
      <c r="D1449" t="inlineStr">
        <is>
          <t>Primer Liso</t>
        </is>
      </c>
      <c r="E1449" t="n">
        <v>1</v>
      </c>
      <c r="F1449" t="inlineStr">
        <is>
          <t>2026-01-10</t>
        </is>
      </c>
      <c r="G1449" t="n">
        <v>175</v>
      </c>
      <c r="H1449" t="inlineStr">
        <is>
          <t>Y</t>
        </is>
      </c>
      <c r="I1449">
        <f>HYPERLINK("https://admin.shopify.com/store/ge-beauty-cosmeticos/customers/9484920521024","abrir")</f>
        <v/>
      </c>
      <c r="J1449">
        <f>HYPERLINK("https://www.gebeauty.com.br/products/primer-liso-intacto?ref=review","review")</f>
        <v/>
      </c>
      <c r="K1449" t="inlineStr">
        <is>
          <t>SEND</t>
        </is>
      </c>
    </row>
    <row r="1450">
      <c r="A1450" t="inlineStr">
        <is>
          <t>Germana</t>
        </is>
      </c>
      <c r="B1450" t="inlineStr">
        <is>
          <t>+5581958064520</t>
        </is>
      </c>
      <c r="C1450" t="inlineStr">
        <is>
          <t>Refill</t>
        </is>
      </c>
      <c r="D1450" t="inlineStr">
        <is>
          <t>Primer Liso</t>
        </is>
      </c>
      <c r="E1450" t="n">
        <v>1</v>
      </c>
      <c r="F1450" t="inlineStr">
        <is>
          <t>2026-01-10</t>
        </is>
      </c>
      <c r="G1450" t="n">
        <v>175</v>
      </c>
      <c r="H1450" t="inlineStr">
        <is>
          <t>Y</t>
        </is>
      </c>
      <c r="I1450">
        <f>HYPERLINK("https://admin.shopify.com/store/ge-beauty-cosmeticos/customers/10047179981120","abrir")</f>
        <v/>
      </c>
      <c r="J1450">
        <f>HYPERLINK("https://www.gebeauty.com.br/products/primer-liso-intacto?ref=review","review")</f>
        <v/>
      </c>
      <c r="K1450" t="inlineStr">
        <is>
          <t>SEND</t>
        </is>
      </c>
    </row>
    <row r="1451">
      <c r="A1451" t="inlineStr">
        <is>
          <t>Marcella</t>
        </is>
      </c>
      <c r="B1451" t="inlineStr">
        <is>
          <t>+5521981187379</t>
        </is>
      </c>
      <c r="C1451" t="inlineStr">
        <is>
          <t>Refill</t>
        </is>
      </c>
      <c r="D1451" t="inlineStr">
        <is>
          <t>Primer Liso</t>
        </is>
      </c>
      <c r="E1451" t="n">
        <v>1</v>
      </c>
      <c r="F1451" t="inlineStr">
        <is>
          <t>2026-01-10</t>
        </is>
      </c>
      <c r="G1451" t="n">
        <v>175</v>
      </c>
      <c r="H1451" t="inlineStr">
        <is>
          <t>Y</t>
        </is>
      </c>
      <c r="I1451">
        <f>HYPERLINK("https://admin.shopify.com/store/ge-beauty-cosmeticos/customers/9485840220480","abrir")</f>
        <v/>
      </c>
      <c r="J1451">
        <f>HYPERLINK("https://www.gebeauty.com.br/products/primer-liso-intacto?ref=review","review")</f>
        <v/>
      </c>
      <c r="K1451" t="inlineStr">
        <is>
          <t>SEND</t>
        </is>
      </c>
    </row>
    <row r="1452">
      <c r="A1452" t="inlineStr">
        <is>
          <t>Maria</t>
        </is>
      </c>
      <c r="B1452" t="inlineStr">
        <is>
          <t>+5577988171587</t>
        </is>
      </c>
      <c r="C1452" t="inlineStr">
        <is>
          <t>Refill</t>
        </is>
      </c>
      <c r="D1452" t="inlineStr">
        <is>
          <t>Primer Liso</t>
        </is>
      </c>
      <c r="E1452" t="n">
        <v>1</v>
      </c>
      <c r="F1452" t="inlineStr">
        <is>
          <t>2026-01-10</t>
        </is>
      </c>
      <c r="G1452" t="n">
        <v>175</v>
      </c>
      <c r="H1452" t="inlineStr">
        <is>
          <t>Y</t>
        </is>
      </c>
      <c r="I1452">
        <f>HYPERLINK("https://admin.shopify.com/store/ge-beauty-cosmeticos/customers/10048014745920","abrir")</f>
        <v/>
      </c>
      <c r="J1452">
        <f>HYPERLINK("https://www.gebeauty.com.br/products/primer-liso-intacto?ref=review","review")</f>
        <v/>
      </c>
      <c r="K1452" t="inlineStr">
        <is>
          <t>SEND</t>
        </is>
      </c>
    </row>
    <row r="1453">
      <c r="A1453" t="inlineStr">
        <is>
          <t>Francianne</t>
        </is>
      </c>
      <c r="B1453" t="inlineStr">
        <is>
          <t>+5574999630190</t>
        </is>
      </c>
      <c r="C1453" t="inlineStr">
        <is>
          <t>Refill</t>
        </is>
      </c>
      <c r="D1453" t="inlineStr">
        <is>
          <t>Primer Liso</t>
        </is>
      </c>
      <c r="E1453" t="n">
        <v>1</v>
      </c>
      <c r="F1453" t="inlineStr">
        <is>
          <t>2026-01-10</t>
        </is>
      </c>
      <c r="G1453" t="n">
        <v>175</v>
      </c>
      <c r="H1453" t="inlineStr">
        <is>
          <t>Y</t>
        </is>
      </c>
      <c r="I1453">
        <f>HYPERLINK("https://admin.shopify.com/store/ge-beauty-cosmeticos/customers/9485888061760","abrir")</f>
        <v/>
      </c>
      <c r="J1453">
        <f>HYPERLINK("https://www.gebeauty.com.br/products/primer-liso-intacto?ref=review","review")</f>
        <v/>
      </c>
      <c r="K1453" t="inlineStr">
        <is>
          <t>HOLDOUT</t>
        </is>
      </c>
    </row>
    <row r="1454">
      <c r="A1454" t="inlineStr">
        <is>
          <t>Amanda</t>
        </is>
      </c>
      <c r="B1454" t="inlineStr">
        <is>
          <t>+5521981704413</t>
        </is>
      </c>
      <c r="C1454" t="inlineStr">
        <is>
          <t>Refill</t>
        </is>
      </c>
      <c r="D1454" t="inlineStr">
        <is>
          <t>Primer Liso</t>
        </is>
      </c>
      <c r="E1454" t="n">
        <v>1</v>
      </c>
      <c r="F1454" t="inlineStr">
        <is>
          <t>2026-01-10</t>
        </is>
      </c>
      <c r="G1454" t="n">
        <v>175</v>
      </c>
      <c r="H1454" t="inlineStr">
        <is>
          <t>Y</t>
        </is>
      </c>
      <c r="I1454">
        <f>HYPERLINK("https://admin.shopify.com/store/ge-beauty-cosmeticos/customers/10048256672064","abrir")</f>
        <v/>
      </c>
      <c r="J1454">
        <f>HYPERLINK("https://www.gebeauty.com.br/products/primer-liso-intacto?ref=review","review")</f>
        <v/>
      </c>
      <c r="K1454" t="inlineStr">
        <is>
          <t>SEND</t>
        </is>
      </c>
    </row>
    <row r="1455">
      <c r="A1455" t="inlineStr">
        <is>
          <t>Vanessa</t>
        </is>
      </c>
      <c r="B1455" t="inlineStr">
        <is>
          <t>+5547991724333</t>
        </is>
      </c>
      <c r="C1455" t="inlineStr">
        <is>
          <t>Refill</t>
        </is>
      </c>
      <c r="D1455" t="inlineStr">
        <is>
          <t>Primer Liso</t>
        </is>
      </c>
      <c r="E1455" t="n">
        <v>1</v>
      </c>
      <c r="F1455" t="inlineStr">
        <is>
          <t>2026-01-11</t>
        </is>
      </c>
      <c r="G1455" t="n">
        <v>174</v>
      </c>
      <c r="H1455" t="inlineStr">
        <is>
          <t>Y</t>
        </is>
      </c>
      <c r="I1455">
        <f>HYPERLINK("https://admin.shopify.com/store/ge-beauty-cosmeticos/customers/10049403912512","abrir")</f>
        <v/>
      </c>
      <c r="J1455">
        <f>HYPERLINK("https://www.gebeauty.com.br/products/primer-liso-intacto?ref=review","review")</f>
        <v/>
      </c>
      <c r="K1455" t="inlineStr">
        <is>
          <t>SEND</t>
        </is>
      </c>
    </row>
    <row r="1456">
      <c r="A1456" t="inlineStr">
        <is>
          <t>Fernanda</t>
        </is>
      </c>
      <c r="B1456" t="inlineStr">
        <is>
          <t>+5519981276000</t>
        </is>
      </c>
      <c r="C1456" t="inlineStr">
        <is>
          <t>Refill</t>
        </is>
      </c>
      <c r="D1456" t="inlineStr">
        <is>
          <t>Primer Liso</t>
        </is>
      </c>
      <c r="E1456" t="n">
        <v>1</v>
      </c>
      <c r="F1456" t="inlineStr">
        <is>
          <t>2026-01-11</t>
        </is>
      </c>
      <c r="G1456" t="n">
        <v>174</v>
      </c>
      <c r="H1456" t="inlineStr">
        <is>
          <t>Y</t>
        </is>
      </c>
      <c r="I1456">
        <f>HYPERLINK("https://admin.shopify.com/store/ge-beauty-cosmeticos/customers/10048102367552","abrir")</f>
        <v/>
      </c>
      <c r="J1456">
        <f>HYPERLINK("https://www.gebeauty.com.br/products/primer-liso-intacto?ref=review","review")</f>
        <v/>
      </c>
      <c r="K1456" t="inlineStr">
        <is>
          <t>SEND</t>
        </is>
      </c>
    </row>
    <row r="1457">
      <c r="A1457" t="inlineStr">
        <is>
          <t>Luana</t>
        </is>
      </c>
      <c r="B1457" t="inlineStr">
        <is>
          <t>+5511973681859</t>
        </is>
      </c>
      <c r="C1457" t="inlineStr">
        <is>
          <t>Refill</t>
        </is>
      </c>
      <c r="D1457" t="inlineStr">
        <is>
          <t>Primer Liso</t>
        </is>
      </c>
      <c r="E1457" t="n">
        <v>1</v>
      </c>
      <c r="F1457" t="inlineStr">
        <is>
          <t>2026-01-11</t>
        </is>
      </c>
      <c r="G1457" t="n">
        <v>174</v>
      </c>
      <c r="H1457" t="inlineStr">
        <is>
          <t>Y</t>
        </is>
      </c>
      <c r="I1457">
        <f>HYPERLINK("https://admin.shopify.com/store/ge-beauty-cosmeticos/customers/10050300313920","abrir")</f>
        <v/>
      </c>
      <c r="J1457">
        <f>HYPERLINK("https://www.gebeauty.com.br/products/primer-liso-intacto?ref=review","review")</f>
        <v/>
      </c>
      <c r="K1457" t="inlineStr">
        <is>
          <t>SEND</t>
        </is>
      </c>
    </row>
    <row r="1458">
      <c r="A1458" t="inlineStr">
        <is>
          <t>Ruth</t>
        </is>
      </c>
      <c r="B1458" t="inlineStr">
        <is>
          <t>+5581992318506</t>
        </is>
      </c>
      <c r="C1458" t="inlineStr">
        <is>
          <t>Refill</t>
        </is>
      </c>
      <c r="D1458" t="inlineStr">
        <is>
          <t>Primer Liso</t>
        </is>
      </c>
      <c r="E1458" t="n">
        <v>1</v>
      </c>
      <c r="F1458" t="inlineStr">
        <is>
          <t>2026-01-11</t>
        </is>
      </c>
      <c r="G1458" t="n">
        <v>174</v>
      </c>
      <c r="H1458" t="inlineStr">
        <is>
          <t>Y</t>
        </is>
      </c>
      <c r="I1458">
        <f>HYPERLINK("https://admin.shopify.com/store/ge-beauty-cosmeticos/customers/10050352382272","abrir")</f>
        <v/>
      </c>
      <c r="J1458">
        <f>HYPERLINK("https://www.gebeauty.com.br/products/primer-liso-intacto?ref=review","review")</f>
        <v/>
      </c>
      <c r="K1458" t="inlineStr">
        <is>
          <t>SEND</t>
        </is>
      </c>
    </row>
    <row r="1459">
      <c r="A1459" t="inlineStr">
        <is>
          <t>Dione</t>
        </is>
      </c>
      <c r="B1459" t="inlineStr">
        <is>
          <t>+5561999893611</t>
        </is>
      </c>
      <c r="C1459" t="inlineStr">
        <is>
          <t>Refill</t>
        </is>
      </c>
      <c r="D1459" t="inlineStr">
        <is>
          <t>Primer Liso</t>
        </is>
      </c>
      <c r="E1459" t="n">
        <v>1</v>
      </c>
      <c r="F1459" t="inlineStr">
        <is>
          <t>2026-01-12</t>
        </is>
      </c>
      <c r="G1459" t="n">
        <v>173</v>
      </c>
      <c r="H1459" t="inlineStr">
        <is>
          <t>Y</t>
        </is>
      </c>
      <c r="I1459">
        <f>HYPERLINK("https://admin.shopify.com/store/ge-beauty-cosmeticos/customers/10050991030592","abrir")</f>
        <v/>
      </c>
      <c r="J1459">
        <f>HYPERLINK("https://www.gebeauty.com.br/products/primer-liso-intacto?ref=review","review")</f>
        <v/>
      </c>
      <c r="K1459" t="inlineStr">
        <is>
          <t>SEND</t>
        </is>
      </c>
    </row>
    <row r="1460">
      <c r="A1460" t="inlineStr">
        <is>
          <t>Mariana</t>
        </is>
      </c>
      <c r="B1460" t="inlineStr">
        <is>
          <t>+5571988051578</t>
        </is>
      </c>
      <c r="C1460" t="inlineStr">
        <is>
          <t>Refill</t>
        </is>
      </c>
      <c r="D1460" t="inlineStr">
        <is>
          <t>Primer Liso</t>
        </is>
      </c>
      <c r="E1460" t="n">
        <v>1</v>
      </c>
      <c r="F1460" t="inlineStr">
        <is>
          <t>2026-01-12</t>
        </is>
      </c>
      <c r="G1460" t="n">
        <v>173</v>
      </c>
      <c r="H1460" t="inlineStr">
        <is>
          <t>Y</t>
        </is>
      </c>
      <c r="I1460">
        <f>HYPERLINK("https://admin.shopify.com/store/ge-beauty-cosmeticos/customers/10052755947840","abrir")</f>
        <v/>
      </c>
      <c r="J1460">
        <f>HYPERLINK("https://www.gebeauty.com.br/products/primer-liso-intacto?ref=review","review")</f>
        <v/>
      </c>
      <c r="K1460" t="inlineStr">
        <is>
          <t>SEND</t>
        </is>
      </c>
    </row>
    <row r="1461">
      <c r="A1461" t="inlineStr">
        <is>
          <t>Carolina</t>
        </is>
      </c>
      <c r="B1461" t="inlineStr">
        <is>
          <t>+5581992710760</t>
        </is>
      </c>
      <c r="C1461" t="inlineStr">
        <is>
          <t>Refill</t>
        </is>
      </c>
      <c r="D1461" t="inlineStr">
        <is>
          <t>Primer Liso</t>
        </is>
      </c>
      <c r="E1461" t="n">
        <v>1</v>
      </c>
      <c r="F1461" t="inlineStr">
        <is>
          <t>2026-01-13</t>
        </is>
      </c>
      <c r="G1461" t="n">
        <v>172</v>
      </c>
      <c r="H1461" t="inlineStr">
        <is>
          <t>Y</t>
        </is>
      </c>
      <c r="I1461">
        <f>HYPERLINK("https://admin.shopify.com/store/ge-beauty-cosmeticos/customers/10056231321920","abrir")</f>
        <v/>
      </c>
      <c r="J1461">
        <f>HYPERLINK("https://www.gebeauty.com.br/products/primer-liso-intacto?ref=review","review")</f>
        <v/>
      </c>
      <c r="K1461" t="inlineStr">
        <is>
          <t>SEND</t>
        </is>
      </c>
    </row>
    <row r="1462">
      <c r="A1462" t="inlineStr">
        <is>
          <t>Rebeka</t>
        </is>
      </c>
      <c r="B1462" t="inlineStr">
        <is>
          <t>+5581991472116</t>
        </is>
      </c>
      <c r="C1462" t="inlineStr">
        <is>
          <t>Refill</t>
        </is>
      </c>
      <c r="D1462" t="inlineStr">
        <is>
          <t>Primer Liso</t>
        </is>
      </c>
      <c r="E1462" t="n">
        <v>1</v>
      </c>
      <c r="F1462" t="inlineStr">
        <is>
          <t>2026-01-13</t>
        </is>
      </c>
      <c r="G1462" t="n">
        <v>172</v>
      </c>
      <c r="H1462" t="inlineStr">
        <is>
          <t>Y</t>
        </is>
      </c>
      <c r="I1462">
        <f>HYPERLINK("https://admin.shopify.com/store/ge-beauty-cosmeticos/customers/10056258781504","abrir")</f>
        <v/>
      </c>
      <c r="J1462">
        <f>HYPERLINK("https://www.gebeauty.com.br/products/primer-liso-intacto?ref=review","review")</f>
        <v/>
      </c>
      <c r="K1462" t="inlineStr">
        <is>
          <t>SEND</t>
        </is>
      </c>
    </row>
    <row r="1463">
      <c r="A1463" t="inlineStr">
        <is>
          <t>Gabriela</t>
        </is>
      </c>
      <c r="B1463" t="inlineStr">
        <is>
          <t>+5544999489046</t>
        </is>
      </c>
      <c r="C1463" t="inlineStr">
        <is>
          <t>Refill</t>
        </is>
      </c>
      <c r="D1463" t="inlineStr">
        <is>
          <t>Primer Liso</t>
        </is>
      </c>
      <c r="E1463" t="n">
        <v>1</v>
      </c>
      <c r="F1463" t="inlineStr">
        <is>
          <t>2026-01-15</t>
        </is>
      </c>
      <c r="G1463" t="n">
        <v>170</v>
      </c>
      <c r="H1463" t="inlineStr">
        <is>
          <t>Y</t>
        </is>
      </c>
      <c r="I1463">
        <f>HYPERLINK("https://admin.shopify.com/store/ge-beauty-cosmeticos/customers/8352342409536","abrir")</f>
        <v/>
      </c>
      <c r="J1463">
        <f>HYPERLINK("https://www.gebeauty.com.br/products/primer-liso-intacto?ref=review","review")</f>
        <v/>
      </c>
      <c r="K1463" t="inlineStr">
        <is>
          <t>SEND</t>
        </is>
      </c>
    </row>
    <row r="1464">
      <c r="A1464" t="inlineStr">
        <is>
          <t>Nailza</t>
        </is>
      </c>
      <c r="B1464" t="inlineStr">
        <is>
          <t>+5511983574769</t>
        </is>
      </c>
      <c r="C1464" t="inlineStr">
        <is>
          <t>Refill</t>
        </is>
      </c>
      <c r="D1464" t="inlineStr">
        <is>
          <t>Primer Liso</t>
        </is>
      </c>
      <c r="E1464" t="n">
        <v>1</v>
      </c>
      <c r="F1464" t="inlineStr">
        <is>
          <t>2026-01-15</t>
        </is>
      </c>
      <c r="G1464" t="n">
        <v>170</v>
      </c>
      <c r="H1464" t="inlineStr">
        <is>
          <t>Y</t>
        </is>
      </c>
      <c r="I1464">
        <f>HYPERLINK("https://admin.shopify.com/store/ge-beauty-cosmeticos/customers/10057863004480","abrir")</f>
        <v/>
      </c>
      <c r="J1464">
        <f>HYPERLINK("https://www.gebeauty.com.br/products/primer-liso-intacto?ref=review","review")</f>
        <v/>
      </c>
      <c r="K1464" t="inlineStr">
        <is>
          <t>SEND</t>
        </is>
      </c>
    </row>
    <row r="1465">
      <c r="A1465" t="inlineStr">
        <is>
          <t>Geovanna</t>
        </is>
      </c>
      <c r="B1465" t="inlineStr">
        <is>
          <t>+5585987376610</t>
        </is>
      </c>
      <c r="C1465" t="inlineStr">
        <is>
          <t>Refill</t>
        </is>
      </c>
      <c r="D1465" t="inlineStr">
        <is>
          <t>Primer Liso</t>
        </is>
      </c>
      <c r="E1465" t="n">
        <v>1</v>
      </c>
      <c r="F1465" t="inlineStr">
        <is>
          <t>2026-01-16</t>
        </is>
      </c>
      <c r="G1465" t="n">
        <v>169</v>
      </c>
      <c r="H1465" t="inlineStr">
        <is>
          <t>Y</t>
        </is>
      </c>
      <c r="I1465">
        <f>HYPERLINK("https://admin.shopify.com/store/ge-beauty-cosmeticos/customers/10062462091584","abrir")</f>
        <v/>
      </c>
      <c r="J1465">
        <f>HYPERLINK("https://www.gebeauty.com.br/products/primer-liso-intacto?ref=review","review")</f>
        <v/>
      </c>
      <c r="K1465" t="inlineStr">
        <is>
          <t>SEND</t>
        </is>
      </c>
    </row>
    <row r="1466">
      <c r="A1466" t="inlineStr">
        <is>
          <t>Deborah</t>
        </is>
      </c>
      <c r="B1466" t="inlineStr">
        <is>
          <t>+5521996341613</t>
        </is>
      </c>
      <c r="C1466" t="inlineStr">
        <is>
          <t>Refill</t>
        </is>
      </c>
      <c r="D1466" t="inlineStr">
        <is>
          <t>Primer Liso</t>
        </is>
      </c>
      <c r="E1466" t="n">
        <v>1</v>
      </c>
      <c r="F1466" t="inlineStr">
        <is>
          <t>2026-01-16</t>
        </is>
      </c>
      <c r="G1466" t="n">
        <v>169</v>
      </c>
      <c r="H1466" t="inlineStr">
        <is>
          <t>Y</t>
        </is>
      </c>
      <c r="I1466">
        <f>HYPERLINK("https://admin.shopify.com/store/ge-beauty-cosmeticos/customers/10063132459328","abrir")</f>
        <v/>
      </c>
      <c r="J1466">
        <f>HYPERLINK("https://www.gebeauty.com.br/products/primer-liso-intacto?ref=review","review")</f>
        <v/>
      </c>
      <c r="K1466" t="inlineStr">
        <is>
          <t>SEND</t>
        </is>
      </c>
    </row>
    <row r="1467">
      <c r="A1467" t="inlineStr">
        <is>
          <t>Andre</t>
        </is>
      </c>
      <c r="B1467" t="inlineStr">
        <is>
          <t>+5581999214183</t>
        </is>
      </c>
      <c r="C1467" t="inlineStr">
        <is>
          <t>Refill</t>
        </is>
      </c>
      <c r="D1467" t="inlineStr">
        <is>
          <t>Primer Liso</t>
        </is>
      </c>
      <c r="E1467" t="n">
        <v>1</v>
      </c>
      <c r="F1467" t="inlineStr">
        <is>
          <t>2026-01-16</t>
        </is>
      </c>
      <c r="G1467" t="n">
        <v>169</v>
      </c>
      <c r="H1467" t="inlineStr">
        <is>
          <t>Y</t>
        </is>
      </c>
      <c r="I1467">
        <f>HYPERLINK("https://admin.shopify.com/store/ge-beauty-cosmeticos/customers/10063196193088","abrir")</f>
        <v/>
      </c>
      <c r="J1467">
        <f>HYPERLINK("https://www.gebeauty.com.br/products/primer-liso-intacto?ref=review","review")</f>
        <v/>
      </c>
      <c r="K1467" t="inlineStr">
        <is>
          <t>SEND</t>
        </is>
      </c>
    </row>
    <row r="1468">
      <c r="A1468" t="inlineStr">
        <is>
          <t>Juliana</t>
        </is>
      </c>
      <c r="B1468" t="inlineStr">
        <is>
          <t>+5581987397800</t>
        </is>
      </c>
      <c r="C1468" t="inlineStr">
        <is>
          <t>Refill</t>
        </is>
      </c>
      <c r="D1468" t="inlineStr">
        <is>
          <t>Primer Liso</t>
        </is>
      </c>
      <c r="E1468" t="n">
        <v>1</v>
      </c>
      <c r="F1468" t="inlineStr">
        <is>
          <t>2026-01-17</t>
        </is>
      </c>
      <c r="G1468" t="n">
        <v>168</v>
      </c>
      <c r="H1468" t="inlineStr">
        <is>
          <t>Y</t>
        </is>
      </c>
      <c r="I1468">
        <f>HYPERLINK("https://admin.shopify.com/store/ge-beauty-cosmeticos/customers/9655736172864","abrir")</f>
        <v/>
      </c>
      <c r="J1468">
        <f>HYPERLINK("https://www.gebeauty.com.br/products/primer-liso-intacto?ref=review","review")</f>
        <v/>
      </c>
      <c r="K1468" t="inlineStr">
        <is>
          <t>SEND</t>
        </is>
      </c>
    </row>
    <row r="1469">
      <c r="A1469" t="inlineStr">
        <is>
          <t>Priscilla</t>
        </is>
      </c>
      <c r="B1469" t="inlineStr">
        <is>
          <t>+5511962047934</t>
        </is>
      </c>
      <c r="C1469" t="inlineStr">
        <is>
          <t>Refill</t>
        </is>
      </c>
      <c r="D1469" t="inlineStr">
        <is>
          <t>Primer Liso</t>
        </is>
      </c>
      <c r="E1469" t="n">
        <v>1</v>
      </c>
      <c r="F1469" t="inlineStr">
        <is>
          <t>2026-01-18</t>
        </is>
      </c>
      <c r="G1469" t="n">
        <v>167</v>
      </c>
      <c r="H1469" t="inlineStr">
        <is>
          <t>Y</t>
        </is>
      </c>
      <c r="I1469">
        <f>HYPERLINK("https://admin.shopify.com/store/ge-beauty-cosmeticos/customers/7762545410368","abrir")</f>
        <v/>
      </c>
      <c r="J1469">
        <f>HYPERLINK("https://www.gebeauty.com.br/products/primer-liso-intacto?ref=review","review")</f>
        <v/>
      </c>
      <c r="K1469" t="inlineStr">
        <is>
          <t>SEND</t>
        </is>
      </c>
    </row>
    <row r="1470">
      <c r="A1470" t="inlineStr">
        <is>
          <t>Isabela</t>
        </is>
      </c>
      <c r="B1470" t="inlineStr">
        <is>
          <t>+5527999080396</t>
        </is>
      </c>
      <c r="C1470" t="inlineStr">
        <is>
          <t>Refill</t>
        </is>
      </c>
      <c r="D1470" t="inlineStr">
        <is>
          <t>Primer Liso</t>
        </is>
      </c>
      <c r="E1470" t="n">
        <v>1</v>
      </c>
      <c r="F1470" t="inlineStr">
        <is>
          <t>2026-01-18</t>
        </is>
      </c>
      <c r="G1470" t="n">
        <v>167</v>
      </c>
      <c r="H1470" t="inlineStr">
        <is>
          <t>Y</t>
        </is>
      </c>
      <c r="I1470">
        <f>HYPERLINK("https://admin.shopify.com/store/ge-beauty-cosmeticos/customers/10067397706048","abrir")</f>
        <v/>
      </c>
      <c r="J1470">
        <f>HYPERLINK("https://www.gebeauty.com.br/products/primer-liso-intacto?ref=review","review")</f>
        <v/>
      </c>
      <c r="K1470" t="inlineStr">
        <is>
          <t>SEND</t>
        </is>
      </c>
    </row>
    <row r="1471">
      <c r="A1471" t="inlineStr">
        <is>
          <t>Pamela</t>
        </is>
      </c>
      <c r="B1471" t="inlineStr">
        <is>
          <t>+5511977557440</t>
        </is>
      </c>
      <c r="C1471" t="inlineStr">
        <is>
          <t>Refill</t>
        </is>
      </c>
      <c r="D1471" t="inlineStr">
        <is>
          <t>Primer Liso</t>
        </is>
      </c>
      <c r="E1471" t="n">
        <v>1</v>
      </c>
      <c r="F1471" t="inlineStr">
        <is>
          <t>2026-01-20</t>
        </is>
      </c>
      <c r="G1471" t="n">
        <v>165</v>
      </c>
      <c r="H1471" t="inlineStr">
        <is>
          <t>Y</t>
        </is>
      </c>
      <c r="I1471">
        <f>HYPERLINK("https://admin.shopify.com/store/ge-beauty-cosmeticos/customers/10072759107904","abrir")</f>
        <v/>
      </c>
      <c r="J1471">
        <f>HYPERLINK("https://www.gebeauty.com.br/products/primer-liso-intacto?ref=review","review")</f>
        <v/>
      </c>
      <c r="K1471" t="inlineStr">
        <is>
          <t>SEND</t>
        </is>
      </c>
    </row>
    <row r="1472">
      <c r="A1472" t="inlineStr">
        <is>
          <t>Mirian</t>
        </is>
      </c>
      <c r="B1472" t="inlineStr">
        <is>
          <t>+5548991801410</t>
        </is>
      </c>
      <c r="C1472" t="inlineStr">
        <is>
          <t>Refill</t>
        </is>
      </c>
      <c r="D1472" t="inlineStr">
        <is>
          <t>Primer Liso</t>
        </is>
      </c>
      <c r="E1472" t="n">
        <v>1</v>
      </c>
      <c r="F1472" t="inlineStr">
        <is>
          <t>2026-01-20</t>
        </is>
      </c>
      <c r="G1472" t="n">
        <v>165</v>
      </c>
      <c r="H1472" t="inlineStr">
        <is>
          <t>Y</t>
        </is>
      </c>
      <c r="I1472">
        <f>HYPERLINK("https://admin.shopify.com/store/ge-beauty-cosmeticos/customers/10073204326720","abrir")</f>
        <v/>
      </c>
      <c r="J1472">
        <f>HYPERLINK("https://www.gebeauty.com.br/products/primer-liso-intacto?ref=review","review")</f>
        <v/>
      </c>
      <c r="K1472" t="inlineStr">
        <is>
          <t>SEND</t>
        </is>
      </c>
    </row>
    <row r="1473">
      <c r="A1473" t="inlineStr">
        <is>
          <t>Maria</t>
        </is>
      </c>
      <c r="B1473" t="inlineStr">
        <is>
          <t>+5561996777086</t>
        </is>
      </c>
      <c r="C1473" t="inlineStr">
        <is>
          <t>Refill</t>
        </is>
      </c>
      <c r="D1473" t="inlineStr">
        <is>
          <t>Primer Liso</t>
        </is>
      </c>
      <c r="E1473" t="n">
        <v>1</v>
      </c>
      <c r="F1473" t="inlineStr">
        <is>
          <t>2026-01-20</t>
        </is>
      </c>
      <c r="G1473" t="n">
        <v>165</v>
      </c>
      <c r="H1473" t="inlineStr">
        <is>
          <t>Y</t>
        </is>
      </c>
      <c r="I1473">
        <f>HYPERLINK("https://admin.shopify.com/store/ge-beauty-cosmeticos/customers/10074043187520","abrir")</f>
        <v/>
      </c>
      <c r="J1473">
        <f>HYPERLINK("https://www.gebeauty.com.br/products/primer-liso-intacto?ref=review","review")</f>
        <v/>
      </c>
      <c r="K1473" t="inlineStr">
        <is>
          <t>SEND</t>
        </is>
      </c>
    </row>
    <row r="1474">
      <c r="A1474" t="inlineStr">
        <is>
          <t>Vilma</t>
        </is>
      </c>
      <c r="B1474" t="inlineStr">
        <is>
          <t>+5544991546474</t>
        </is>
      </c>
      <c r="C1474" t="inlineStr">
        <is>
          <t>Refill</t>
        </is>
      </c>
      <c r="D1474" t="inlineStr">
        <is>
          <t>Primer Liso</t>
        </is>
      </c>
      <c r="E1474" t="n">
        <v>1</v>
      </c>
      <c r="F1474" t="inlineStr">
        <is>
          <t>2026-01-23</t>
        </is>
      </c>
      <c r="G1474" t="n">
        <v>162</v>
      </c>
      <c r="H1474" t="inlineStr">
        <is>
          <t>Y</t>
        </is>
      </c>
      <c r="I1474">
        <f>HYPERLINK("https://admin.shopify.com/store/ge-beauty-cosmeticos/customers/10074116161856","abrir")</f>
        <v/>
      </c>
      <c r="J1474">
        <f>HYPERLINK("https://www.gebeauty.com.br/products/primer-liso-intacto?ref=review","review")</f>
        <v/>
      </c>
      <c r="K1474" t="inlineStr">
        <is>
          <t>SEND</t>
        </is>
      </c>
    </row>
    <row r="1475">
      <c r="A1475" t="inlineStr">
        <is>
          <t>Aline</t>
        </is>
      </c>
      <c r="B1475" t="inlineStr">
        <is>
          <t>+5545988237719</t>
        </is>
      </c>
      <c r="C1475" t="inlineStr">
        <is>
          <t>Refill</t>
        </is>
      </c>
      <c r="D1475" t="inlineStr">
        <is>
          <t>Primer Liso</t>
        </is>
      </c>
      <c r="E1475" t="n">
        <v>1</v>
      </c>
      <c r="F1475" t="inlineStr">
        <is>
          <t>2026-01-21</t>
        </is>
      </c>
      <c r="G1475" t="n">
        <v>164</v>
      </c>
      <c r="H1475" t="inlineStr">
        <is>
          <t>Y</t>
        </is>
      </c>
      <c r="I1475">
        <f>HYPERLINK("https://admin.shopify.com/store/ge-beauty-cosmeticos/customers/10074305069376","abrir")</f>
        <v/>
      </c>
      <c r="J1475">
        <f>HYPERLINK("https://www.gebeauty.com.br/products/primer-liso-intacto?ref=review","review")</f>
        <v/>
      </c>
      <c r="K1475" t="inlineStr">
        <is>
          <t>SEND</t>
        </is>
      </c>
    </row>
    <row r="1476">
      <c r="A1476" t="inlineStr">
        <is>
          <t>Caroline</t>
        </is>
      </c>
      <c r="B1476" t="inlineStr">
        <is>
          <t>+5511997798218</t>
        </is>
      </c>
      <c r="C1476" t="inlineStr">
        <is>
          <t>Refill</t>
        </is>
      </c>
      <c r="D1476" t="inlineStr">
        <is>
          <t>Primer Liso</t>
        </is>
      </c>
      <c r="E1476" t="n">
        <v>1</v>
      </c>
      <c r="F1476" t="inlineStr">
        <is>
          <t>2026-01-21</t>
        </is>
      </c>
      <c r="G1476" t="n">
        <v>164</v>
      </c>
      <c r="H1476" t="inlineStr">
        <is>
          <t>Y</t>
        </is>
      </c>
      <c r="I1476">
        <f>HYPERLINK("https://admin.shopify.com/store/ge-beauty-cosmeticos/customers/10072659525952","abrir")</f>
        <v/>
      </c>
      <c r="J1476">
        <f>HYPERLINK("https://www.gebeauty.com.br/products/primer-liso-intacto?ref=review","review")</f>
        <v/>
      </c>
      <c r="K1476" t="inlineStr">
        <is>
          <t>SEND</t>
        </is>
      </c>
    </row>
    <row r="1477">
      <c r="A1477" t="inlineStr">
        <is>
          <t>Kelly</t>
        </is>
      </c>
      <c r="B1477" t="inlineStr">
        <is>
          <t>+5521998048956</t>
        </is>
      </c>
      <c r="C1477" t="inlineStr">
        <is>
          <t>Refill</t>
        </is>
      </c>
      <c r="D1477" t="inlineStr">
        <is>
          <t>Primer Liso</t>
        </is>
      </c>
      <c r="E1477" t="n">
        <v>1</v>
      </c>
      <c r="F1477" t="inlineStr">
        <is>
          <t>2026-01-22</t>
        </is>
      </c>
      <c r="G1477" t="n">
        <v>163</v>
      </c>
      <c r="H1477" t="inlineStr">
        <is>
          <t>Y</t>
        </is>
      </c>
      <c r="I1477">
        <f>HYPERLINK("https://admin.shopify.com/store/ge-beauty-cosmeticos/customers/10076924477760","abrir")</f>
        <v/>
      </c>
      <c r="J1477">
        <f>HYPERLINK("https://www.gebeauty.com.br/products/primer-liso-intacto?ref=review","review")</f>
        <v/>
      </c>
      <c r="K1477" t="inlineStr">
        <is>
          <t>SEND</t>
        </is>
      </c>
    </row>
    <row r="1478">
      <c r="A1478" t="inlineStr">
        <is>
          <t>Roberta</t>
        </is>
      </c>
      <c r="B1478" t="inlineStr">
        <is>
          <t>+5511996759299</t>
        </is>
      </c>
      <c r="C1478" t="inlineStr">
        <is>
          <t>Refill</t>
        </is>
      </c>
      <c r="D1478" t="inlineStr">
        <is>
          <t>Primer Liso</t>
        </is>
      </c>
      <c r="E1478" t="n">
        <v>1</v>
      </c>
      <c r="F1478" t="inlineStr">
        <is>
          <t>2026-01-22</t>
        </is>
      </c>
      <c r="G1478" t="n">
        <v>163</v>
      </c>
      <c r="H1478" t="inlineStr">
        <is>
          <t>Y</t>
        </is>
      </c>
      <c r="I1478">
        <f>HYPERLINK("https://admin.shopify.com/store/ge-beauty-cosmeticos/customers/10076990046528","abrir")</f>
        <v/>
      </c>
      <c r="J1478">
        <f>HYPERLINK("https://www.gebeauty.com.br/products/primer-liso-intacto?ref=review","review")</f>
        <v/>
      </c>
      <c r="K1478" t="inlineStr">
        <is>
          <t>SEND</t>
        </is>
      </c>
    </row>
    <row r="1479">
      <c r="A1479" t="inlineStr">
        <is>
          <t>Bruna</t>
        </is>
      </c>
      <c r="B1479" t="inlineStr">
        <is>
          <t>+5581988384998</t>
        </is>
      </c>
      <c r="C1479" t="inlineStr">
        <is>
          <t>Refill</t>
        </is>
      </c>
      <c r="D1479" t="inlineStr">
        <is>
          <t>Primer Liso</t>
        </is>
      </c>
      <c r="E1479" t="n">
        <v>1</v>
      </c>
      <c r="F1479" t="inlineStr">
        <is>
          <t>2026-01-22</t>
        </is>
      </c>
      <c r="G1479" t="n">
        <v>163</v>
      </c>
      <c r="H1479" t="inlineStr">
        <is>
          <t>Y</t>
        </is>
      </c>
      <c r="I1479">
        <f>HYPERLINK("https://admin.shopify.com/store/ge-beauty-cosmeticos/customers/10077000106304","abrir")</f>
        <v/>
      </c>
      <c r="J1479">
        <f>HYPERLINK("https://www.gebeauty.com.br/products/primer-liso-intacto?ref=review","review")</f>
        <v/>
      </c>
      <c r="K1479" t="inlineStr">
        <is>
          <t>SEND</t>
        </is>
      </c>
    </row>
    <row r="1480">
      <c r="A1480" t="inlineStr">
        <is>
          <t>Adriana</t>
        </is>
      </c>
      <c r="B1480" t="inlineStr">
        <is>
          <t>+5535999879658</t>
        </is>
      </c>
      <c r="C1480" t="inlineStr">
        <is>
          <t>Refill</t>
        </is>
      </c>
      <c r="D1480" t="inlineStr">
        <is>
          <t>Primer Liso</t>
        </is>
      </c>
      <c r="E1480" t="n">
        <v>1</v>
      </c>
      <c r="F1480" t="inlineStr">
        <is>
          <t>2026-01-22</t>
        </is>
      </c>
      <c r="G1480" t="n">
        <v>163</v>
      </c>
      <c r="H1480" t="inlineStr">
        <is>
          <t>Y</t>
        </is>
      </c>
      <c r="I1480">
        <f>HYPERLINK("https://admin.shopify.com/store/ge-beauty-cosmeticos/customers/10078817780032","abrir")</f>
        <v/>
      </c>
      <c r="J1480">
        <f>HYPERLINK("https://www.gebeauty.com.br/products/primer-liso-intacto?ref=review","review")</f>
        <v/>
      </c>
      <c r="K1480" t="inlineStr">
        <is>
          <t>SEND</t>
        </is>
      </c>
    </row>
    <row r="1481">
      <c r="A1481" t="inlineStr">
        <is>
          <t>Jaquelini</t>
        </is>
      </c>
      <c r="B1481" t="inlineStr">
        <is>
          <t>+5511973900588</t>
        </is>
      </c>
      <c r="C1481" t="inlineStr">
        <is>
          <t>Refill</t>
        </is>
      </c>
      <c r="D1481" t="inlineStr">
        <is>
          <t>Primer Liso</t>
        </is>
      </c>
      <c r="E1481" t="n">
        <v>1</v>
      </c>
      <c r="F1481" t="inlineStr">
        <is>
          <t>2026-01-22</t>
        </is>
      </c>
      <c r="G1481" t="n">
        <v>163</v>
      </c>
      <c r="H1481" t="inlineStr">
        <is>
          <t>Y</t>
        </is>
      </c>
      <c r="I1481">
        <f>HYPERLINK("https://admin.shopify.com/store/ge-beauty-cosmeticos/customers/10072759402816","abrir")</f>
        <v/>
      </c>
      <c r="J1481">
        <f>HYPERLINK("https://www.gebeauty.com.br/products/primer-liso-intacto?ref=review","review")</f>
        <v/>
      </c>
      <c r="K1481" t="inlineStr">
        <is>
          <t>SEND</t>
        </is>
      </c>
    </row>
    <row r="1482">
      <c r="A1482" t="inlineStr">
        <is>
          <t>Patricia</t>
        </is>
      </c>
      <c r="B1482" t="inlineStr">
        <is>
          <t>+5532999988471</t>
        </is>
      </c>
      <c r="C1482" t="inlineStr">
        <is>
          <t>Refill</t>
        </is>
      </c>
      <c r="D1482" t="inlineStr">
        <is>
          <t>Primer Liso</t>
        </is>
      </c>
      <c r="E1482" t="n">
        <v>1</v>
      </c>
      <c r="F1482" t="inlineStr">
        <is>
          <t>2026-01-22</t>
        </is>
      </c>
      <c r="G1482" t="n">
        <v>163</v>
      </c>
      <c r="H1482" t="inlineStr">
        <is>
          <t>Y</t>
        </is>
      </c>
      <c r="I1482">
        <f>HYPERLINK("https://admin.shopify.com/store/ge-beauty-cosmeticos/customers/10079096897856","abrir")</f>
        <v/>
      </c>
      <c r="J1482">
        <f>HYPERLINK("https://www.gebeauty.com.br/products/primer-liso-intacto?ref=review","review")</f>
        <v/>
      </c>
      <c r="K1482" t="inlineStr">
        <is>
          <t>SEND</t>
        </is>
      </c>
    </row>
    <row r="1483">
      <c r="A1483" t="inlineStr">
        <is>
          <t>Letícia</t>
        </is>
      </c>
      <c r="B1483" t="inlineStr">
        <is>
          <t>+5517997010790</t>
        </is>
      </c>
      <c r="C1483" t="inlineStr">
        <is>
          <t>Refill</t>
        </is>
      </c>
      <c r="D1483" t="inlineStr">
        <is>
          <t>Primer Liso</t>
        </is>
      </c>
      <c r="E1483" t="n">
        <v>1</v>
      </c>
      <c r="F1483" t="inlineStr">
        <is>
          <t>2026-01-22</t>
        </is>
      </c>
      <c r="G1483" t="n">
        <v>163</v>
      </c>
      <c r="H1483" t="inlineStr">
        <is>
          <t>Y</t>
        </is>
      </c>
      <c r="I1483">
        <f>HYPERLINK("https://admin.shopify.com/store/ge-beauty-cosmeticos/customers/10079108497728","abrir")</f>
        <v/>
      </c>
      <c r="J1483">
        <f>HYPERLINK("https://www.gebeauty.com.br/products/primer-liso-intacto?ref=review","review")</f>
        <v/>
      </c>
      <c r="K1483" t="inlineStr">
        <is>
          <t>SEND</t>
        </is>
      </c>
    </row>
    <row r="1484">
      <c r="A1484" t="inlineStr">
        <is>
          <t>Mariana</t>
        </is>
      </c>
      <c r="B1484" t="inlineStr">
        <is>
          <t>+5515991012103</t>
        </is>
      </c>
      <c r="C1484" t="inlineStr">
        <is>
          <t>Refill</t>
        </is>
      </c>
      <c r="D1484" t="inlineStr">
        <is>
          <t>Primer Liso</t>
        </is>
      </c>
      <c r="E1484" t="n">
        <v>1</v>
      </c>
      <c r="F1484" t="inlineStr">
        <is>
          <t>2026-01-23</t>
        </is>
      </c>
      <c r="G1484" t="n">
        <v>162</v>
      </c>
      <c r="H1484" t="inlineStr">
        <is>
          <t>Y</t>
        </is>
      </c>
      <c r="I1484">
        <f>HYPERLINK("https://admin.shopify.com/store/ge-beauty-cosmeticos/customers/10079313625408","abrir")</f>
        <v/>
      </c>
      <c r="J1484">
        <f>HYPERLINK("https://www.gebeauty.com.br/products/primer-liso-intacto?ref=review","review")</f>
        <v/>
      </c>
      <c r="K1484" t="inlineStr">
        <is>
          <t>SEND</t>
        </is>
      </c>
    </row>
    <row r="1485">
      <c r="A1485" t="inlineStr">
        <is>
          <t>Adriana</t>
        </is>
      </c>
      <c r="B1485" t="inlineStr">
        <is>
          <t>+5511993728921</t>
        </is>
      </c>
      <c r="C1485" t="inlineStr">
        <is>
          <t>Refill</t>
        </is>
      </c>
      <c r="D1485" t="inlineStr">
        <is>
          <t>Primer Liso</t>
        </is>
      </c>
      <c r="E1485" t="n">
        <v>1</v>
      </c>
      <c r="F1485" t="inlineStr">
        <is>
          <t>2026-01-23</t>
        </is>
      </c>
      <c r="G1485" t="n">
        <v>162</v>
      </c>
      <c r="H1485" t="inlineStr">
        <is>
          <t>Y</t>
        </is>
      </c>
      <c r="I1485">
        <f>HYPERLINK("https://admin.shopify.com/store/ge-beauty-cosmeticos/customers/10063743811904","abrir")</f>
        <v/>
      </c>
      <c r="J1485">
        <f>HYPERLINK("https://www.gebeauty.com.br/products/primer-liso-intacto?ref=review","review")</f>
        <v/>
      </c>
      <c r="K1485" t="inlineStr">
        <is>
          <t>SEND</t>
        </is>
      </c>
    </row>
    <row r="1486">
      <c r="A1486" t="inlineStr">
        <is>
          <t>Fernanda</t>
        </is>
      </c>
      <c r="B1486" t="inlineStr">
        <is>
          <t>+5562999783044</t>
        </is>
      </c>
      <c r="C1486" t="inlineStr">
        <is>
          <t>Refill</t>
        </is>
      </c>
      <c r="D1486" t="inlineStr">
        <is>
          <t>Primer Liso</t>
        </is>
      </c>
      <c r="E1486" t="n">
        <v>1</v>
      </c>
      <c r="F1486" t="inlineStr">
        <is>
          <t>2026-01-23</t>
        </is>
      </c>
      <c r="G1486" t="n">
        <v>162</v>
      </c>
      <c r="H1486" t="inlineStr">
        <is>
          <t>Y</t>
        </is>
      </c>
      <c r="I1486">
        <f>HYPERLINK("https://admin.shopify.com/store/ge-beauty-cosmeticos/customers/10080072892736","abrir")</f>
        <v/>
      </c>
      <c r="J1486">
        <f>HYPERLINK("https://www.gebeauty.com.br/products/primer-liso-intacto?ref=review","review")</f>
        <v/>
      </c>
      <c r="K1486" t="inlineStr">
        <is>
          <t>SEND</t>
        </is>
      </c>
    </row>
    <row r="1487">
      <c r="A1487" t="inlineStr">
        <is>
          <t>Fernanda</t>
        </is>
      </c>
      <c r="B1487" t="inlineStr">
        <is>
          <t>+5511996422539</t>
        </is>
      </c>
      <c r="C1487" t="inlineStr">
        <is>
          <t>Refill</t>
        </is>
      </c>
      <c r="D1487" t="inlineStr">
        <is>
          <t>Primer Liso</t>
        </is>
      </c>
      <c r="E1487" t="n">
        <v>1</v>
      </c>
      <c r="F1487" t="inlineStr">
        <is>
          <t>2026-01-23</t>
        </is>
      </c>
      <c r="G1487" t="n">
        <v>162</v>
      </c>
      <c r="H1487" t="inlineStr">
        <is>
          <t>Y</t>
        </is>
      </c>
      <c r="I1487">
        <f>HYPERLINK("https://admin.shopify.com/store/ge-beauty-cosmeticos/customers/10080432849216","abrir")</f>
        <v/>
      </c>
      <c r="J1487">
        <f>HYPERLINK("https://www.gebeauty.com.br/products/primer-liso-intacto?ref=review","review")</f>
        <v/>
      </c>
      <c r="K1487" t="inlineStr">
        <is>
          <t>SEND</t>
        </is>
      </c>
    </row>
    <row r="1488">
      <c r="A1488" t="inlineStr">
        <is>
          <t>Valeria</t>
        </is>
      </c>
      <c r="B1488" t="inlineStr">
        <is>
          <t>+5521987667652</t>
        </is>
      </c>
      <c r="C1488" t="inlineStr">
        <is>
          <t>Refill</t>
        </is>
      </c>
      <c r="D1488" t="inlineStr">
        <is>
          <t>Primer Liso</t>
        </is>
      </c>
      <c r="E1488" t="n">
        <v>1</v>
      </c>
      <c r="F1488" t="inlineStr">
        <is>
          <t>2026-01-23</t>
        </is>
      </c>
      <c r="G1488" t="n">
        <v>162</v>
      </c>
      <c r="H1488" t="inlineStr">
        <is>
          <t>Y</t>
        </is>
      </c>
      <c r="I1488">
        <f>HYPERLINK("https://admin.shopify.com/store/ge-beauty-cosmeticos/customers/10080547504448","abrir")</f>
        <v/>
      </c>
      <c r="J1488">
        <f>HYPERLINK("https://www.gebeauty.com.br/products/primer-liso-intacto?ref=review","review")</f>
        <v/>
      </c>
      <c r="K1488" t="inlineStr">
        <is>
          <t>SEND</t>
        </is>
      </c>
    </row>
    <row r="1489">
      <c r="A1489" t="inlineStr">
        <is>
          <t>Luciana</t>
        </is>
      </c>
      <c r="B1489" t="inlineStr">
        <is>
          <t>+5511996312896</t>
        </is>
      </c>
      <c r="C1489" t="inlineStr">
        <is>
          <t>Refill</t>
        </is>
      </c>
      <c r="D1489" t="inlineStr">
        <is>
          <t>Primer Liso</t>
        </is>
      </c>
      <c r="E1489" t="n">
        <v>1</v>
      </c>
      <c r="F1489" t="inlineStr">
        <is>
          <t>2026-01-23</t>
        </is>
      </c>
      <c r="G1489" t="n">
        <v>162</v>
      </c>
      <c r="H1489" t="inlineStr">
        <is>
          <t>Y</t>
        </is>
      </c>
      <c r="I1489">
        <f>HYPERLINK("https://admin.shopify.com/store/ge-beauty-cosmeticos/customers/10080583811392","abrir")</f>
        <v/>
      </c>
      <c r="J1489">
        <f>HYPERLINK("https://www.gebeauty.com.br/products/primer-liso-intacto?ref=review","review")</f>
        <v/>
      </c>
      <c r="K1489" t="inlineStr">
        <is>
          <t>SEND</t>
        </is>
      </c>
    </row>
    <row r="1490">
      <c r="A1490" t="inlineStr">
        <is>
          <t>José</t>
        </is>
      </c>
      <c r="B1490" t="inlineStr">
        <is>
          <t>+5581988876961</t>
        </is>
      </c>
      <c r="C1490" t="inlineStr">
        <is>
          <t>Refill</t>
        </is>
      </c>
      <c r="D1490" t="inlineStr">
        <is>
          <t>Primer Liso</t>
        </is>
      </c>
      <c r="E1490" t="n">
        <v>1</v>
      </c>
      <c r="F1490" t="inlineStr">
        <is>
          <t>2026-01-23</t>
        </is>
      </c>
      <c r="G1490" t="n">
        <v>162</v>
      </c>
      <c r="H1490" t="inlineStr">
        <is>
          <t>Y</t>
        </is>
      </c>
      <c r="I1490">
        <f>HYPERLINK("https://admin.shopify.com/store/ge-beauty-cosmeticos/customers/10080622838080","abrir")</f>
        <v/>
      </c>
      <c r="J1490">
        <f>HYPERLINK("https://www.gebeauty.com.br/products/primer-liso-intacto?ref=review","review")</f>
        <v/>
      </c>
      <c r="K1490" t="inlineStr">
        <is>
          <t>SEND</t>
        </is>
      </c>
    </row>
    <row r="1491">
      <c r="A1491" t="inlineStr">
        <is>
          <t>Cintha</t>
        </is>
      </c>
      <c r="B1491" t="inlineStr">
        <is>
          <t>+5535992610029</t>
        </is>
      </c>
      <c r="C1491" t="inlineStr">
        <is>
          <t>Refill</t>
        </is>
      </c>
      <c r="D1491" t="inlineStr">
        <is>
          <t>Primer Liso</t>
        </is>
      </c>
      <c r="E1491" t="n">
        <v>1</v>
      </c>
      <c r="F1491" t="inlineStr">
        <is>
          <t>2026-01-23</t>
        </is>
      </c>
      <c r="G1491" t="n">
        <v>162</v>
      </c>
      <c r="H1491" t="inlineStr">
        <is>
          <t>Y</t>
        </is>
      </c>
      <c r="I1491">
        <f>HYPERLINK("https://admin.shopify.com/store/ge-beauty-cosmeticos/customers/10080993968448","abrir")</f>
        <v/>
      </c>
      <c r="J1491">
        <f>HYPERLINK("https://www.gebeauty.com.br/products/primer-liso-intacto?ref=review","review")</f>
        <v/>
      </c>
      <c r="K1491" t="inlineStr">
        <is>
          <t>HOLDOUT</t>
        </is>
      </c>
    </row>
    <row r="1492">
      <c r="A1492" t="inlineStr">
        <is>
          <t>Musamara</t>
        </is>
      </c>
      <c r="B1492" t="inlineStr">
        <is>
          <t>+5531998191330</t>
        </is>
      </c>
      <c r="C1492" t="inlineStr">
        <is>
          <t>Refill</t>
        </is>
      </c>
      <c r="D1492" t="inlineStr">
        <is>
          <t>Primer Liso</t>
        </is>
      </c>
      <c r="E1492" t="n">
        <v>1</v>
      </c>
      <c r="F1492" t="inlineStr">
        <is>
          <t>2026-01-23</t>
        </is>
      </c>
      <c r="G1492" t="n">
        <v>162</v>
      </c>
      <c r="H1492" t="inlineStr">
        <is>
          <t>Y</t>
        </is>
      </c>
      <c r="I1492">
        <f>HYPERLINK("https://admin.shopify.com/store/ge-beauty-cosmeticos/customers/10080994853184","abrir")</f>
        <v/>
      </c>
      <c r="J1492">
        <f>HYPERLINK("https://www.gebeauty.com.br/products/primer-liso-intacto?ref=review","review")</f>
        <v/>
      </c>
      <c r="K1492" t="inlineStr">
        <is>
          <t>SEND</t>
        </is>
      </c>
    </row>
    <row r="1493">
      <c r="A1493" t="inlineStr">
        <is>
          <t>Denise</t>
        </is>
      </c>
      <c r="B1493" t="inlineStr">
        <is>
          <t>+5562996114772</t>
        </is>
      </c>
      <c r="C1493" t="inlineStr">
        <is>
          <t>Refill</t>
        </is>
      </c>
      <c r="D1493" t="inlineStr">
        <is>
          <t>Primer Liso</t>
        </is>
      </c>
      <c r="E1493" t="n">
        <v>1</v>
      </c>
      <c r="F1493" t="inlineStr">
        <is>
          <t>2026-01-23</t>
        </is>
      </c>
      <c r="G1493" t="n">
        <v>162</v>
      </c>
      <c r="H1493" t="inlineStr">
        <is>
          <t>Y</t>
        </is>
      </c>
      <c r="I1493">
        <f>HYPERLINK("https://admin.shopify.com/store/ge-beauty-cosmeticos/customers/10081039089984","abrir")</f>
        <v/>
      </c>
      <c r="J1493">
        <f>HYPERLINK("https://www.gebeauty.com.br/products/primer-liso-intacto?ref=review","review")</f>
        <v/>
      </c>
      <c r="K1493" t="inlineStr">
        <is>
          <t>SEND</t>
        </is>
      </c>
    </row>
    <row r="1494">
      <c r="A1494" t="inlineStr">
        <is>
          <t>Gabriela</t>
        </is>
      </c>
      <c r="B1494" t="inlineStr">
        <is>
          <t>+5584996160104</t>
        </is>
      </c>
      <c r="C1494" t="inlineStr">
        <is>
          <t>Refill</t>
        </is>
      </c>
      <c r="D1494" t="inlineStr">
        <is>
          <t>Primer Liso</t>
        </is>
      </c>
      <c r="E1494" t="n">
        <v>1</v>
      </c>
      <c r="F1494" t="inlineStr">
        <is>
          <t>2026-01-24</t>
        </is>
      </c>
      <c r="G1494" t="n">
        <v>161</v>
      </c>
      <c r="H1494" t="inlineStr">
        <is>
          <t>Y</t>
        </is>
      </c>
      <c r="I1494">
        <f>HYPERLINK("https://admin.shopify.com/store/ge-beauty-cosmeticos/customers/9652091683136","abrir")</f>
        <v/>
      </c>
      <c r="J1494">
        <f>HYPERLINK("https://www.gebeauty.com.br/products/primer-liso-intacto?ref=review","review")</f>
        <v/>
      </c>
      <c r="K1494" t="inlineStr">
        <is>
          <t>SEND</t>
        </is>
      </c>
    </row>
    <row r="1495">
      <c r="A1495" t="inlineStr">
        <is>
          <t>Adriana</t>
        </is>
      </c>
      <c r="B1495" t="inlineStr">
        <is>
          <t>+5585999898018</t>
        </is>
      </c>
      <c r="C1495" t="inlineStr">
        <is>
          <t>Refill</t>
        </is>
      </c>
      <c r="D1495" t="inlineStr">
        <is>
          <t>Primer Liso</t>
        </is>
      </c>
      <c r="E1495" t="n">
        <v>1</v>
      </c>
      <c r="F1495" t="inlineStr">
        <is>
          <t>2026-01-24</t>
        </is>
      </c>
      <c r="G1495" t="n">
        <v>161</v>
      </c>
      <c r="H1495" t="inlineStr">
        <is>
          <t>Y</t>
        </is>
      </c>
      <c r="I1495">
        <f>HYPERLINK("https://admin.shopify.com/store/ge-beauty-cosmeticos/customers/10081358283072","abrir")</f>
        <v/>
      </c>
      <c r="J1495">
        <f>HYPERLINK("https://www.gebeauty.com.br/products/primer-liso-intacto?ref=review","review")</f>
        <v/>
      </c>
      <c r="K1495" t="inlineStr">
        <is>
          <t>HOLDOUT</t>
        </is>
      </c>
    </row>
    <row r="1496">
      <c r="A1496" t="inlineStr">
        <is>
          <t>Gisele</t>
        </is>
      </c>
      <c r="B1496" t="inlineStr">
        <is>
          <t>+5548984147158</t>
        </is>
      </c>
      <c r="C1496" t="inlineStr">
        <is>
          <t>Refill</t>
        </is>
      </c>
      <c r="D1496" t="inlineStr">
        <is>
          <t>Primer Liso</t>
        </is>
      </c>
      <c r="E1496" t="n">
        <v>1</v>
      </c>
      <c r="F1496" t="inlineStr">
        <is>
          <t>2026-01-24</t>
        </is>
      </c>
      <c r="G1496" t="n">
        <v>161</v>
      </c>
      <c r="H1496" t="inlineStr">
        <is>
          <t>Y</t>
        </is>
      </c>
      <c r="I1496">
        <f>HYPERLINK("https://admin.shopify.com/store/ge-beauty-cosmeticos/customers/10081620328768","abrir")</f>
        <v/>
      </c>
      <c r="J1496">
        <f>HYPERLINK("https://www.gebeauty.com.br/products/primer-liso-intacto?ref=review","review")</f>
        <v/>
      </c>
      <c r="K1496" t="inlineStr">
        <is>
          <t>SEND</t>
        </is>
      </c>
    </row>
    <row r="1497">
      <c r="A1497" t="inlineStr">
        <is>
          <t>Marcela</t>
        </is>
      </c>
      <c r="B1497" t="inlineStr">
        <is>
          <t>+5579998862711</t>
        </is>
      </c>
      <c r="C1497" t="inlineStr">
        <is>
          <t>Refill</t>
        </is>
      </c>
      <c r="D1497" t="inlineStr">
        <is>
          <t>Primer Liso</t>
        </is>
      </c>
      <c r="E1497" t="n">
        <v>1</v>
      </c>
      <c r="F1497" t="inlineStr">
        <is>
          <t>2026-01-24</t>
        </is>
      </c>
      <c r="G1497" t="n">
        <v>161</v>
      </c>
      <c r="H1497" t="inlineStr">
        <is>
          <t>Y</t>
        </is>
      </c>
      <c r="I1497">
        <f>HYPERLINK("https://admin.shopify.com/store/ge-beauty-cosmeticos/customers/8646806012224","abrir")</f>
        <v/>
      </c>
      <c r="J1497">
        <f>HYPERLINK("https://www.gebeauty.com.br/products/primer-liso-intacto?ref=review","review")</f>
        <v/>
      </c>
      <c r="K1497" t="inlineStr">
        <is>
          <t>SEND</t>
        </is>
      </c>
    </row>
    <row r="1498">
      <c r="A1498" t="inlineStr">
        <is>
          <t>Jenifer</t>
        </is>
      </c>
      <c r="B1498" t="inlineStr">
        <is>
          <t>+5521970006033</t>
        </is>
      </c>
      <c r="C1498" t="inlineStr">
        <is>
          <t>Refill</t>
        </is>
      </c>
      <c r="D1498" t="inlineStr">
        <is>
          <t>Primer Liso</t>
        </is>
      </c>
      <c r="E1498" t="n">
        <v>1</v>
      </c>
      <c r="F1498" t="inlineStr">
        <is>
          <t>2026-01-24</t>
        </is>
      </c>
      <c r="G1498" t="n">
        <v>161</v>
      </c>
      <c r="H1498" t="inlineStr">
        <is>
          <t>Y</t>
        </is>
      </c>
      <c r="I1498">
        <f>HYPERLINK("https://admin.shopify.com/store/ge-beauty-cosmeticos/customers/10082450407744","abrir")</f>
        <v/>
      </c>
      <c r="J1498">
        <f>HYPERLINK("https://www.gebeauty.com.br/products/primer-liso-intacto?ref=review","review")</f>
        <v/>
      </c>
      <c r="K1498" t="inlineStr">
        <is>
          <t>SEND</t>
        </is>
      </c>
    </row>
    <row r="1499">
      <c r="A1499" t="inlineStr">
        <is>
          <t>Jorge</t>
        </is>
      </c>
      <c r="B1499" t="inlineStr">
        <is>
          <t>+5577988136197</t>
        </is>
      </c>
      <c r="C1499" t="inlineStr">
        <is>
          <t>Refill</t>
        </is>
      </c>
      <c r="D1499" t="inlineStr">
        <is>
          <t>Primer Liso</t>
        </is>
      </c>
      <c r="E1499" t="n">
        <v>1</v>
      </c>
      <c r="F1499" t="inlineStr">
        <is>
          <t>2026-01-24</t>
        </is>
      </c>
      <c r="G1499" t="n">
        <v>161</v>
      </c>
      <c r="H1499" t="inlineStr">
        <is>
          <t>Y</t>
        </is>
      </c>
      <c r="I1499">
        <f>HYPERLINK("https://admin.shopify.com/store/ge-beauty-cosmeticos/customers/10083069100352","abrir")</f>
        <v/>
      </c>
      <c r="J1499">
        <f>HYPERLINK("https://www.gebeauty.com.br/products/primer-liso-intacto?ref=review","review")</f>
        <v/>
      </c>
      <c r="K1499" t="inlineStr">
        <is>
          <t>SEND</t>
        </is>
      </c>
    </row>
    <row r="1500">
      <c r="A1500" t="inlineStr">
        <is>
          <t>Andrea</t>
        </is>
      </c>
      <c r="B1500" t="inlineStr">
        <is>
          <t>+5511982268780</t>
        </is>
      </c>
      <c r="C1500" t="inlineStr">
        <is>
          <t>Refill</t>
        </is>
      </c>
      <c r="D1500" t="inlineStr">
        <is>
          <t>Primer Liso</t>
        </is>
      </c>
      <c r="E1500" t="n">
        <v>1</v>
      </c>
      <c r="F1500" t="inlineStr">
        <is>
          <t>2026-01-24</t>
        </is>
      </c>
      <c r="G1500" t="n">
        <v>161</v>
      </c>
      <c r="H1500" t="inlineStr">
        <is>
          <t>Y</t>
        </is>
      </c>
      <c r="I1500">
        <f>HYPERLINK("https://admin.shopify.com/store/ge-beauty-cosmeticos/customers/10083081683264","abrir")</f>
        <v/>
      </c>
      <c r="J1500">
        <f>HYPERLINK("https://www.gebeauty.com.br/products/primer-liso-intacto?ref=review","review")</f>
        <v/>
      </c>
      <c r="K1500" t="inlineStr">
        <is>
          <t>SEND</t>
        </is>
      </c>
    </row>
    <row r="1501">
      <c r="A1501" t="inlineStr">
        <is>
          <t>Claudia</t>
        </is>
      </c>
      <c r="B1501" t="inlineStr">
        <is>
          <t>+5562996078437</t>
        </is>
      </c>
      <c r="C1501" t="inlineStr">
        <is>
          <t>Refill</t>
        </is>
      </c>
      <c r="D1501" t="inlineStr">
        <is>
          <t>Primer Liso</t>
        </is>
      </c>
      <c r="E1501" t="n">
        <v>1</v>
      </c>
      <c r="F1501" t="inlineStr">
        <is>
          <t>2026-01-25</t>
        </is>
      </c>
      <c r="G1501" t="n">
        <v>160</v>
      </c>
      <c r="H1501" t="inlineStr">
        <is>
          <t>Y</t>
        </is>
      </c>
      <c r="I1501">
        <f>HYPERLINK("https://admin.shopify.com/store/ge-beauty-cosmeticos/customers/10083518251328","abrir")</f>
        <v/>
      </c>
      <c r="J1501">
        <f>HYPERLINK("https://www.gebeauty.com.br/products/primer-liso-intacto?ref=review","review")</f>
        <v/>
      </c>
      <c r="K1501" t="inlineStr">
        <is>
          <t>SEND</t>
        </is>
      </c>
    </row>
    <row r="1502">
      <c r="A1502" t="inlineStr">
        <is>
          <t>Solange</t>
        </is>
      </c>
      <c r="B1502" t="inlineStr">
        <is>
          <t>+5561981015207</t>
        </is>
      </c>
      <c r="C1502" t="inlineStr">
        <is>
          <t>Refill</t>
        </is>
      </c>
      <c r="D1502" t="inlineStr">
        <is>
          <t>Primer Liso</t>
        </is>
      </c>
      <c r="E1502" t="n">
        <v>1</v>
      </c>
      <c r="F1502" t="inlineStr">
        <is>
          <t>2026-01-25</t>
        </is>
      </c>
      <c r="G1502" t="n">
        <v>160</v>
      </c>
      <c r="H1502" t="inlineStr">
        <is>
          <t>Y</t>
        </is>
      </c>
      <c r="I1502">
        <f>HYPERLINK("https://admin.shopify.com/store/ge-beauty-cosmeticos/customers/10083648700736","abrir")</f>
        <v/>
      </c>
      <c r="J1502">
        <f>HYPERLINK("https://www.gebeauty.com.br/products/primer-liso-intacto?ref=review","review")</f>
        <v/>
      </c>
      <c r="K1502" t="inlineStr">
        <is>
          <t>SEND</t>
        </is>
      </c>
    </row>
    <row r="1503">
      <c r="A1503" t="inlineStr">
        <is>
          <t>Melissa</t>
        </is>
      </c>
      <c r="B1503" t="inlineStr">
        <is>
          <t>+5511976826054</t>
        </is>
      </c>
      <c r="C1503" t="inlineStr">
        <is>
          <t>Refill</t>
        </is>
      </c>
      <c r="D1503" t="inlineStr">
        <is>
          <t>Primer Liso</t>
        </is>
      </c>
      <c r="E1503" t="n">
        <v>1</v>
      </c>
      <c r="F1503" t="inlineStr">
        <is>
          <t>2026-01-25</t>
        </is>
      </c>
      <c r="G1503" t="n">
        <v>160</v>
      </c>
      <c r="H1503" t="inlineStr">
        <is>
          <t>Y</t>
        </is>
      </c>
      <c r="I1503">
        <f>HYPERLINK("https://admin.shopify.com/store/ge-beauty-cosmeticos/customers/10083823386944","abrir")</f>
        <v/>
      </c>
      <c r="J1503">
        <f>HYPERLINK("https://www.gebeauty.com.br/products/primer-liso-intacto?ref=review","review")</f>
        <v/>
      </c>
      <c r="K1503" t="inlineStr">
        <is>
          <t>SEND</t>
        </is>
      </c>
    </row>
    <row r="1504">
      <c r="A1504" t="inlineStr">
        <is>
          <t>Marcela</t>
        </is>
      </c>
      <c r="B1504" t="inlineStr">
        <is>
          <t>+5511980827053</t>
        </is>
      </c>
      <c r="C1504" t="inlineStr">
        <is>
          <t>Refill</t>
        </is>
      </c>
      <c r="D1504" t="inlineStr">
        <is>
          <t>Primer Liso</t>
        </is>
      </c>
      <c r="E1504" t="n">
        <v>1</v>
      </c>
      <c r="F1504" t="inlineStr">
        <is>
          <t>2026-01-25</t>
        </is>
      </c>
      <c r="G1504" t="n">
        <v>160</v>
      </c>
      <c r="H1504" t="inlineStr">
        <is>
          <t>Y</t>
        </is>
      </c>
      <c r="I1504">
        <f>HYPERLINK("https://admin.shopify.com/store/ge-beauty-cosmeticos/customers/10084218306880","abrir")</f>
        <v/>
      </c>
      <c r="J1504">
        <f>HYPERLINK("https://www.gebeauty.com.br/products/primer-liso-intacto?ref=review","review")</f>
        <v/>
      </c>
      <c r="K1504" t="inlineStr">
        <is>
          <t>HOLDOUT</t>
        </is>
      </c>
    </row>
    <row r="1505">
      <c r="A1505" t="inlineStr">
        <is>
          <t>Tainnah</t>
        </is>
      </c>
      <c r="B1505" t="inlineStr">
        <is>
          <t>+5511945221835</t>
        </is>
      </c>
      <c r="C1505" t="inlineStr">
        <is>
          <t>Refill</t>
        </is>
      </c>
      <c r="D1505" t="inlineStr">
        <is>
          <t>Primer Liso</t>
        </is>
      </c>
      <c r="E1505" t="n">
        <v>1</v>
      </c>
      <c r="F1505" t="inlineStr">
        <is>
          <t>2026-01-25</t>
        </is>
      </c>
      <c r="G1505" t="n">
        <v>160</v>
      </c>
      <c r="H1505" t="inlineStr">
        <is>
          <t>Y</t>
        </is>
      </c>
      <c r="I1505">
        <f>HYPERLINK("https://admin.shopify.com/store/ge-beauty-cosmeticos/customers/7759640363328","abrir")</f>
        <v/>
      </c>
      <c r="J1505">
        <f>HYPERLINK("https://www.gebeauty.com.br/products/primer-liso-intacto?ref=review","review")</f>
        <v/>
      </c>
      <c r="K1505" t="inlineStr">
        <is>
          <t>SEND</t>
        </is>
      </c>
    </row>
    <row r="1506">
      <c r="A1506" t="inlineStr">
        <is>
          <t>Emanuella</t>
        </is>
      </c>
      <c r="B1506" t="inlineStr">
        <is>
          <t>+5541998811795</t>
        </is>
      </c>
      <c r="C1506" t="inlineStr">
        <is>
          <t>Refill</t>
        </is>
      </c>
      <c r="D1506" t="inlineStr">
        <is>
          <t>Primer Liso</t>
        </is>
      </c>
      <c r="E1506" t="n">
        <v>1</v>
      </c>
      <c r="F1506" t="inlineStr">
        <is>
          <t>2026-01-25</t>
        </is>
      </c>
      <c r="G1506" t="n">
        <v>160</v>
      </c>
      <c r="H1506" t="inlineStr">
        <is>
          <t>Y</t>
        </is>
      </c>
      <c r="I1506">
        <f>HYPERLINK("https://admin.shopify.com/store/ge-beauty-cosmeticos/customers/9214530289984","abrir")</f>
        <v/>
      </c>
      <c r="J1506">
        <f>HYPERLINK("https://www.gebeauty.com.br/products/primer-liso-intacto?ref=review","review")</f>
        <v/>
      </c>
      <c r="K1506" t="inlineStr">
        <is>
          <t>SEND</t>
        </is>
      </c>
    </row>
    <row r="1507">
      <c r="A1507" t="inlineStr">
        <is>
          <t>Andrea</t>
        </is>
      </c>
      <c r="B1507" t="inlineStr">
        <is>
          <t>+5585999887321</t>
        </is>
      </c>
      <c r="C1507" t="inlineStr">
        <is>
          <t>Refill</t>
        </is>
      </c>
      <c r="D1507" t="inlineStr">
        <is>
          <t>Primer Liso</t>
        </is>
      </c>
      <c r="E1507" t="n">
        <v>1</v>
      </c>
      <c r="F1507" t="inlineStr">
        <is>
          <t>2026-01-25</t>
        </is>
      </c>
      <c r="G1507" t="n">
        <v>160</v>
      </c>
      <c r="H1507" t="inlineStr">
        <is>
          <t>Y</t>
        </is>
      </c>
      <c r="I1507">
        <f>HYPERLINK("https://admin.shopify.com/store/ge-beauty-cosmeticos/customers/10084945690944","abrir")</f>
        <v/>
      </c>
      <c r="J1507">
        <f>HYPERLINK("https://www.gebeauty.com.br/products/primer-liso-intacto?ref=review","review")</f>
        <v/>
      </c>
      <c r="K1507" t="inlineStr">
        <is>
          <t>HOLDOUT</t>
        </is>
      </c>
    </row>
    <row r="1508">
      <c r="A1508" t="inlineStr">
        <is>
          <t>Ednara</t>
        </is>
      </c>
      <c r="B1508" t="inlineStr">
        <is>
          <t>+5581987472035</t>
        </is>
      </c>
      <c r="C1508" t="inlineStr">
        <is>
          <t>Refill</t>
        </is>
      </c>
      <c r="D1508" t="inlineStr">
        <is>
          <t>Primer Liso</t>
        </is>
      </c>
      <c r="E1508" t="n">
        <v>1</v>
      </c>
      <c r="F1508" t="inlineStr">
        <is>
          <t>2026-01-25</t>
        </is>
      </c>
      <c r="G1508" t="n">
        <v>160</v>
      </c>
      <c r="H1508" t="inlineStr">
        <is>
          <t>Y</t>
        </is>
      </c>
      <c r="I1508">
        <f>HYPERLINK("https://admin.shopify.com/store/ge-beauty-cosmeticos/customers/10084980916544","abrir")</f>
        <v/>
      </c>
      <c r="J1508">
        <f>HYPERLINK("https://www.gebeauty.com.br/products/primer-liso-intacto?ref=review","review")</f>
        <v/>
      </c>
      <c r="K1508" t="inlineStr">
        <is>
          <t>SEND</t>
        </is>
      </c>
    </row>
    <row r="1509">
      <c r="A1509" t="inlineStr">
        <is>
          <t>Letícia</t>
        </is>
      </c>
      <c r="B1509" t="inlineStr">
        <is>
          <t>+5532984057313</t>
        </is>
      </c>
      <c r="C1509" t="inlineStr">
        <is>
          <t>Refill</t>
        </is>
      </c>
      <c r="D1509" t="inlineStr">
        <is>
          <t>Primer Liso</t>
        </is>
      </c>
      <c r="E1509" t="n">
        <v>1</v>
      </c>
      <c r="F1509" t="inlineStr">
        <is>
          <t>2026-01-25</t>
        </is>
      </c>
      <c r="G1509" t="n">
        <v>160</v>
      </c>
      <c r="H1509" t="inlineStr">
        <is>
          <t>Y</t>
        </is>
      </c>
      <c r="I1509">
        <f>HYPERLINK("https://admin.shopify.com/store/ge-beauty-cosmeticos/customers/9485984727360","abrir")</f>
        <v/>
      </c>
      <c r="J1509">
        <f>HYPERLINK("https://www.gebeauty.com.br/products/primer-liso-intacto?ref=review","review")</f>
        <v/>
      </c>
      <c r="K1509" t="inlineStr">
        <is>
          <t>SEND</t>
        </is>
      </c>
    </row>
    <row r="1510">
      <c r="A1510" t="inlineStr">
        <is>
          <t>Ediana</t>
        </is>
      </c>
      <c r="B1510" t="inlineStr">
        <is>
          <t>+5567996440236</t>
        </is>
      </c>
      <c r="C1510" t="inlineStr">
        <is>
          <t>Refill</t>
        </is>
      </c>
      <c r="D1510" t="inlineStr">
        <is>
          <t>Primer Liso</t>
        </is>
      </c>
      <c r="E1510" t="n">
        <v>1</v>
      </c>
      <c r="F1510" t="inlineStr">
        <is>
          <t>2026-01-25</t>
        </is>
      </c>
      <c r="G1510" t="n">
        <v>160</v>
      </c>
      <c r="H1510" t="inlineStr">
        <is>
          <t>Y</t>
        </is>
      </c>
      <c r="I1510">
        <f>HYPERLINK("https://admin.shopify.com/store/ge-beauty-cosmeticos/customers/10085062738240","abrir")</f>
        <v/>
      </c>
      <c r="J1510">
        <f>HYPERLINK("https://www.gebeauty.com.br/products/primer-liso-intacto?ref=review","review")</f>
        <v/>
      </c>
      <c r="K1510" t="inlineStr">
        <is>
          <t>SEND</t>
        </is>
      </c>
    </row>
    <row r="1511">
      <c r="A1511" t="inlineStr">
        <is>
          <t>Catia</t>
        </is>
      </c>
      <c r="B1511" t="inlineStr">
        <is>
          <t>+5511958811191</t>
        </is>
      </c>
      <c r="C1511" t="inlineStr">
        <is>
          <t>Refill</t>
        </is>
      </c>
      <c r="D1511" t="inlineStr">
        <is>
          <t>Primer Liso</t>
        </is>
      </c>
      <c r="E1511" t="n">
        <v>1</v>
      </c>
      <c r="F1511" t="inlineStr">
        <is>
          <t>2026-01-25</t>
        </is>
      </c>
      <c r="G1511" t="n">
        <v>160</v>
      </c>
      <c r="H1511" t="inlineStr">
        <is>
          <t>Y</t>
        </is>
      </c>
      <c r="I1511">
        <f>HYPERLINK("https://admin.shopify.com/store/ge-beauty-cosmeticos/customers/10085060903232","abrir")</f>
        <v/>
      </c>
      <c r="J1511">
        <f>HYPERLINK("https://www.gebeauty.com.br/products/primer-liso-intacto?ref=review","review")</f>
        <v/>
      </c>
      <c r="K1511" t="inlineStr">
        <is>
          <t>SEND</t>
        </is>
      </c>
    </row>
    <row r="1512">
      <c r="A1512" t="inlineStr">
        <is>
          <t>Josuel</t>
        </is>
      </c>
      <c r="B1512" t="inlineStr">
        <is>
          <t>+5581999335943</t>
        </is>
      </c>
      <c r="C1512" t="inlineStr">
        <is>
          <t>Refill</t>
        </is>
      </c>
      <c r="D1512" t="inlineStr">
        <is>
          <t>Primer Liso</t>
        </is>
      </c>
      <c r="E1512" t="n">
        <v>1</v>
      </c>
      <c r="F1512" t="inlineStr">
        <is>
          <t>2026-01-25</t>
        </is>
      </c>
      <c r="G1512" t="n">
        <v>160</v>
      </c>
      <c r="H1512" t="inlineStr">
        <is>
          <t>Y</t>
        </is>
      </c>
      <c r="I1512">
        <f>HYPERLINK("https://admin.shopify.com/store/ge-beauty-cosmeticos/customers/10082295218496","abrir")</f>
        <v/>
      </c>
      <c r="J1512">
        <f>HYPERLINK("https://www.gebeauty.com.br/products/primer-liso-intacto?ref=review","review")</f>
        <v/>
      </c>
      <c r="K1512" t="inlineStr">
        <is>
          <t>SEND</t>
        </is>
      </c>
    </row>
    <row r="1513">
      <c r="A1513" t="inlineStr">
        <is>
          <t>Turene</t>
        </is>
      </c>
      <c r="B1513" t="inlineStr">
        <is>
          <t>+5561986120875</t>
        </is>
      </c>
      <c r="C1513" t="inlineStr">
        <is>
          <t>Refill</t>
        </is>
      </c>
      <c r="D1513" t="inlineStr">
        <is>
          <t>Primer Liso</t>
        </is>
      </c>
      <c r="E1513" t="n">
        <v>1</v>
      </c>
      <c r="F1513" t="inlineStr">
        <is>
          <t>2026-01-25</t>
        </is>
      </c>
      <c r="G1513" t="n">
        <v>160</v>
      </c>
      <c r="H1513" t="inlineStr">
        <is>
          <t>Y</t>
        </is>
      </c>
      <c r="I1513">
        <f>HYPERLINK("https://admin.shopify.com/store/ge-beauty-cosmeticos/customers/10085191975232","abrir")</f>
        <v/>
      </c>
      <c r="J1513">
        <f>HYPERLINK("https://www.gebeauty.com.br/products/primer-liso-intacto?ref=review","review")</f>
        <v/>
      </c>
      <c r="K1513" t="inlineStr">
        <is>
          <t>SEND</t>
        </is>
      </c>
    </row>
    <row r="1514">
      <c r="A1514" t="inlineStr">
        <is>
          <t>Glaucia</t>
        </is>
      </c>
      <c r="B1514" t="inlineStr">
        <is>
          <t>+5511947553883</t>
        </is>
      </c>
      <c r="C1514" t="inlineStr">
        <is>
          <t>Refill</t>
        </is>
      </c>
      <c r="D1514" t="inlineStr">
        <is>
          <t>Primer Liso</t>
        </is>
      </c>
      <c r="E1514" t="n">
        <v>1</v>
      </c>
      <c r="F1514" t="inlineStr">
        <is>
          <t>2026-01-26</t>
        </is>
      </c>
      <c r="G1514" t="n">
        <v>159</v>
      </c>
      <c r="H1514" t="inlineStr">
        <is>
          <t>Y</t>
        </is>
      </c>
      <c r="I1514">
        <f>HYPERLINK("https://admin.shopify.com/store/ge-beauty-cosmeticos/customers/10085398544704","abrir")</f>
        <v/>
      </c>
      <c r="J1514">
        <f>HYPERLINK("https://www.gebeauty.com.br/products/primer-liso-intacto?ref=review","review")</f>
        <v/>
      </c>
      <c r="K1514" t="inlineStr">
        <is>
          <t>SEND</t>
        </is>
      </c>
    </row>
    <row r="1515">
      <c r="A1515" t="inlineStr">
        <is>
          <t>Anna</t>
        </is>
      </c>
      <c r="B1515" t="inlineStr">
        <is>
          <t>+5515991238391</t>
        </is>
      </c>
      <c r="C1515" t="inlineStr">
        <is>
          <t>Refill</t>
        </is>
      </c>
      <c r="D1515" t="inlineStr">
        <is>
          <t>Primer Liso</t>
        </is>
      </c>
      <c r="E1515" t="n">
        <v>1</v>
      </c>
      <c r="F1515" t="inlineStr">
        <is>
          <t>2026-01-26</t>
        </is>
      </c>
      <c r="G1515" t="n">
        <v>159</v>
      </c>
      <c r="H1515" t="inlineStr">
        <is>
          <t>Y</t>
        </is>
      </c>
      <c r="I1515">
        <f>HYPERLINK("https://admin.shopify.com/store/ge-beauty-cosmeticos/customers/10050485387584","abrir")</f>
        <v/>
      </c>
      <c r="J1515">
        <f>HYPERLINK("https://www.gebeauty.com.br/products/primer-liso-intacto?ref=review","review")</f>
        <v/>
      </c>
      <c r="K1515" t="inlineStr">
        <is>
          <t>SEND</t>
        </is>
      </c>
    </row>
    <row r="1516">
      <c r="A1516" t="inlineStr">
        <is>
          <t>Camila</t>
        </is>
      </c>
      <c r="B1516" t="inlineStr">
        <is>
          <t>+5511951143160</t>
        </is>
      </c>
      <c r="C1516" t="inlineStr">
        <is>
          <t>Refill</t>
        </is>
      </c>
      <c r="D1516" t="inlineStr">
        <is>
          <t>Primer Liso</t>
        </is>
      </c>
      <c r="E1516" t="n">
        <v>1</v>
      </c>
      <c r="F1516" t="inlineStr">
        <is>
          <t>2026-01-26</t>
        </is>
      </c>
      <c r="G1516" t="n">
        <v>159</v>
      </c>
      <c r="H1516" t="inlineStr">
        <is>
          <t>Y</t>
        </is>
      </c>
      <c r="I1516">
        <f>HYPERLINK("https://admin.shopify.com/store/ge-beauty-cosmeticos/customers/10071598137664","abrir")</f>
        <v/>
      </c>
      <c r="J1516">
        <f>HYPERLINK("https://www.gebeauty.com.br/products/primer-liso-intacto?ref=review","review")</f>
        <v/>
      </c>
      <c r="K1516" t="inlineStr">
        <is>
          <t>SEND</t>
        </is>
      </c>
    </row>
    <row r="1517">
      <c r="A1517" t="inlineStr">
        <is>
          <t>Tamires</t>
        </is>
      </c>
      <c r="B1517" t="inlineStr">
        <is>
          <t>+5511994528472</t>
        </is>
      </c>
      <c r="C1517" t="inlineStr">
        <is>
          <t>Refill</t>
        </is>
      </c>
      <c r="D1517" t="inlineStr">
        <is>
          <t>Primer Liso</t>
        </is>
      </c>
      <c r="E1517" t="n">
        <v>1</v>
      </c>
      <c r="F1517" t="inlineStr">
        <is>
          <t>2026-01-26</t>
        </is>
      </c>
      <c r="G1517" t="n">
        <v>159</v>
      </c>
      <c r="H1517" t="inlineStr">
        <is>
          <t>Y</t>
        </is>
      </c>
      <c r="I1517">
        <f>HYPERLINK("https://admin.shopify.com/store/ge-beauty-cosmeticos/customers/10084365730112","abrir")</f>
        <v/>
      </c>
      <c r="J1517">
        <f>HYPERLINK("https://www.gebeauty.com.br/products/primer-liso-intacto?ref=review","review")</f>
        <v/>
      </c>
      <c r="K1517" t="inlineStr">
        <is>
          <t>SEND</t>
        </is>
      </c>
    </row>
    <row r="1518">
      <c r="A1518" t="inlineStr">
        <is>
          <t>Alicia</t>
        </is>
      </c>
      <c r="B1518" t="inlineStr">
        <is>
          <t>+5511941008670</t>
        </is>
      </c>
      <c r="C1518" t="inlineStr">
        <is>
          <t>Refill</t>
        </is>
      </c>
      <c r="D1518" t="inlineStr">
        <is>
          <t>Primer Liso</t>
        </is>
      </c>
      <c r="E1518" t="n">
        <v>1</v>
      </c>
      <c r="F1518" t="inlineStr">
        <is>
          <t>2026-01-26</t>
        </is>
      </c>
      <c r="G1518" t="n">
        <v>159</v>
      </c>
      <c r="H1518" t="inlineStr">
        <is>
          <t>Y</t>
        </is>
      </c>
      <c r="I1518">
        <f>HYPERLINK("https://admin.shopify.com/store/ge-beauty-cosmeticos/customers/8656972448064","abrir")</f>
        <v/>
      </c>
      <c r="J1518">
        <f>HYPERLINK("https://www.gebeauty.com.br/products/primer-liso-intacto?ref=review","review")</f>
        <v/>
      </c>
      <c r="K1518" t="inlineStr">
        <is>
          <t>SEND</t>
        </is>
      </c>
    </row>
    <row r="1519">
      <c r="A1519" t="inlineStr">
        <is>
          <t>Beatriz</t>
        </is>
      </c>
      <c r="B1519" t="inlineStr">
        <is>
          <t>+5511940851516</t>
        </is>
      </c>
      <c r="C1519" t="inlineStr">
        <is>
          <t>Refill</t>
        </is>
      </c>
      <c r="D1519" t="inlineStr">
        <is>
          <t>Primer Liso</t>
        </is>
      </c>
      <c r="E1519" t="n">
        <v>1</v>
      </c>
      <c r="F1519" t="inlineStr">
        <is>
          <t>2026-01-26</t>
        </is>
      </c>
      <c r="G1519" t="n">
        <v>159</v>
      </c>
      <c r="H1519" t="inlineStr">
        <is>
          <t>Y</t>
        </is>
      </c>
      <c r="I1519">
        <f>HYPERLINK("https://admin.shopify.com/store/ge-beauty-cosmeticos/customers/10086741836096","abrir")</f>
        <v/>
      </c>
      <c r="J1519">
        <f>HYPERLINK("https://www.gebeauty.com.br/products/primer-liso-intacto?ref=review","review")</f>
        <v/>
      </c>
      <c r="K1519" t="inlineStr">
        <is>
          <t>SEND</t>
        </is>
      </c>
    </row>
    <row r="1520">
      <c r="A1520" t="inlineStr">
        <is>
          <t>Kilma</t>
        </is>
      </c>
      <c r="B1520" t="inlineStr">
        <is>
          <t>+5581997526600</t>
        </is>
      </c>
      <c r="C1520" t="inlineStr">
        <is>
          <t>Refill</t>
        </is>
      </c>
      <c r="D1520" t="inlineStr">
        <is>
          <t>Primer Liso</t>
        </is>
      </c>
      <c r="E1520" t="n">
        <v>1</v>
      </c>
      <c r="F1520" t="inlineStr">
        <is>
          <t>2026-01-26</t>
        </is>
      </c>
      <c r="G1520" t="n">
        <v>159</v>
      </c>
      <c r="H1520" t="inlineStr">
        <is>
          <t>Y</t>
        </is>
      </c>
      <c r="I1520">
        <f>HYPERLINK("https://admin.shopify.com/store/ge-beauty-cosmeticos/customers/10087161168192","abrir")</f>
        <v/>
      </c>
      <c r="J1520">
        <f>HYPERLINK("https://www.gebeauty.com.br/products/primer-liso-intacto?ref=review","review")</f>
        <v/>
      </c>
      <c r="K1520" t="inlineStr">
        <is>
          <t>SEND</t>
        </is>
      </c>
    </row>
    <row r="1521">
      <c r="A1521" t="inlineStr">
        <is>
          <t>Alexandre</t>
        </is>
      </c>
      <c r="B1521" t="inlineStr">
        <is>
          <t>+5521999970801</t>
        </is>
      </c>
      <c r="C1521" t="inlineStr">
        <is>
          <t>Refill</t>
        </is>
      </c>
      <c r="D1521" t="inlineStr">
        <is>
          <t>Primer Liso</t>
        </is>
      </c>
      <c r="E1521" t="n">
        <v>1</v>
      </c>
      <c r="F1521" t="inlineStr">
        <is>
          <t>2026-01-27</t>
        </is>
      </c>
      <c r="G1521" t="n">
        <v>158</v>
      </c>
      <c r="H1521" t="inlineStr">
        <is>
          <t>Y</t>
        </is>
      </c>
      <c r="I1521">
        <f>HYPERLINK("https://admin.shopify.com/store/ge-beauty-cosmeticos/customers/10087541866816","abrir")</f>
        <v/>
      </c>
      <c r="J1521">
        <f>HYPERLINK("https://www.gebeauty.com.br/products/primer-liso-intacto?ref=review","review")</f>
        <v/>
      </c>
      <c r="K1521" t="inlineStr">
        <is>
          <t>SEND</t>
        </is>
      </c>
    </row>
    <row r="1522">
      <c r="A1522" t="inlineStr">
        <is>
          <t>Ana Flávia</t>
        </is>
      </c>
      <c r="B1522" t="inlineStr">
        <is>
          <t>+5531988813072</t>
        </is>
      </c>
      <c r="C1522" t="inlineStr">
        <is>
          <t>Refill</t>
        </is>
      </c>
      <c r="D1522" t="inlineStr">
        <is>
          <t>Primer Liso</t>
        </is>
      </c>
      <c r="E1522" t="n">
        <v>1</v>
      </c>
      <c r="F1522" t="inlineStr">
        <is>
          <t>2026-01-27</t>
        </is>
      </c>
      <c r="G1522" t="n">
        <v>158</v>
      </c>
      <c r="H1522" t="inlineStr">
        <is>
          <t>Y</t>
        </is>
      </c>
      <c r="I1522">
        <f>HYPERLINK("https://admin.shopify.com/store/ge-beauty-cosmeticos/customers/9909958148416","abrir")</f>
        <v/>
      </c>
      <c r="J1522">
        <f>HYPERLINK("https://www.gebeauty.com.br/products/primer-liso-intacto?ref=review","review")</f>
        <v/>
      </c>
      <c r="K1522" t="inlineStr">
        <is>
          <t>SEND</t>
        </is>
      </c>
    </row>
    <row r="1523">
      <c r="A1523" t="inlineStr">
        <is>
          <t>Fernanda</t>
        </is>
      </c>
      <c r="B1523" t="inlineStr">
        <is>
          <t>+5511967754917</t>
        </is>
      </c>
      <c r="C1523" t="inlineStr">
        <is>
          <t>Refill</t>
        </is>
      </c>
      <c r="D1523" t="inlineStr">
        <is>
          <t>Primer Liso</t>
        </is>
      </c>
      <c r="E1523" t="n">
        <v>1</v>
      </c>
      <c r="F1523" t="inlineStr">
        <is>
          <t>2026-01-27</t>
        </is>
      </c>
      <c r="G1523" t="n">
        <v>158</v>
      </c>
      <c r="H1523" t="inlineStr">
        <is>
          <t>Y</t>
        </is>
      </c>
      <c r="I1523">
        <f>HYPERLINK("https://admin.shopify.com/store/ge-beauty-cosmeticos/customers/9486645985600","abrir")</f>
        <v/>
      </c>
      <c r="J1523">
        <f>HYPERLINK("https://www.gebeauty.com.br/products/primer-liso-intacto?ref=review","review")</f>
        <v/>
      </c>
      <c r="K1523" t="inlineStr">
        <is>
          <t>SEND</t>
        </is>
      </c>
    </row>
    <row r="1524">
      <c r="A1524" t="inlineStr">
        <is>
          <t>Aneliza</t>
        </is>
      </c>
      <c r="B1524" t="inlineStr">
        <is>
          <t>+5518996525522</t>
        </is>
      </c>
      <c r="C1524" t="inlineStr">
        <is>
          <t>Refill</t>
        </is>
      </c>
      <c r="D1524" t="inlineStr">
        <is>
          <t>Primer Liso</t>
        </is>
      </c>
      <c r="E1524" t="n">
        <v>1</v>
      </c>
      <c r="F1524" t="inlineStr">
        <is>
          <t>2026-01-27</t>
        </is>
      </c>
      <c r="G1524" t="n">
        <v>158</v>
      </c>
      <c r="H1524" t="inlineStr">
        <is>
          <t>Y</t>
        </is>
      </c>
      <c r="I1524">
        <f>HYPERLINK("https://admin.shopify.com/store/ge-beauty-cosmeticos/customers/10088418804032","abrir")</f>
        <v/>
      </c>
      <c r="J1524">
        <f>HYPERLINK("https://www.gebeauty.com.br/products/primer-liso-intacto?ref=review","review")</f>
        <v/>
      </c>
      <c r="K1524" t="inlineStr">
        <is>
          <t>SEND</t>
        </is>
      </c>
    </row>
    <row r="1525">
      <c r="A1525" t="inlineStr">
        <is>
          <t>Silmara</t>
        </is>
      </c>
      <c r="B1525" t="inlineStr">
        <is>
          <t>+5511992261193</t>
        </is>
      </c>
      <c r="C1525" t="inlineStr">
        <is>
          <t>Refill</t>
        </is>
      </c>
      <c r="D1525" t="inlineStr">
        <is>
          <t>Primer Liso</t>
        </is>
      </c>
      <c r="E1525" t="n">
        <v>1</v>
      </c>
      <c r="F1525" t="inlineStr">
        <is>
          <t>2026-01-27</t>
        </is>
      </c>
      <c r="G1525" t="n">
        <v>158</v>
      </c>
      <c r="H1525" t="inlineStr">
        <is>
          <t>Y</t>
        </is>
      </c>
      <c r="I1525">
        <f>HYPERLINK("https://admin.shopify.com/store/ge-beauty-cosmeticos/customers/10088639922496","abrir")</f>
        <v/>
      </c>
      <c r="J1525">
        <f>HYPERLINK("https://www.gebeauty.com.br/products/primer-liso-intacto?ref=review","review")</f>
        <v/>
      </c>
      <c r="K1525" t="inlineStr">
        <is>
          <t>SEND</t>
        </is>
      </c>
    </row>
    <row r="1526">
      <c r="A1526" t="inlineStr">
        <is>
          <t>Flavia</t>
        </is>
      </c>
      <c r="B1526" t="inlineStr">
        <is>
          <t>+5581988716827</t>
        </is>
      </c>
      <c r="C1526" t="inlineStr">
        <is>
          <t>Refill</t>
        </is>
      </c>
      <c r="D1526" t="inlineStr">
        <is>
          <t>Primer Liso</t>
        </is>
      </c>
      <c r="E1526" t="n">
        <v>1</v>
      </c>
      <c r="F1526" t="inlineStr">
        <is>
          <t>2026-01-27</t>
        </is>
      </c>
      <c r="G1526" t="n">
        <v>158</v>
      </c>
      <c r="H1526" t="inlineStr">
        <is>
          <t>Y</t>
        </is>
      </c>
      <c r="I1526">
        <f>HYPERLINK("https://admin.shopify.com/store/ge-beauty-cosmeticos/customers/10089104703808","abrir")</f>
        <v/>
      </c>
      <c r="J1526">
        <f>HYPERLINK("https://www.gebeauty.com.br/products/primer-liso-intacto?ref=review","review")</f>
        <v/>
      </c>
      <c r="K1526" t="inlineStr">
        <is>
          <t>SEND</t>
        </is>
      </c>
    </row>
    <row r="1527">
      <c r="A1527" t="inlineStr">
        <is>
          <t>Carolina</t>
        </is>
      </c>
      <c r="B1527" t="inlineStr">
        <is>
          <t>+5581998067154</t>
        </is>
      </c>
      <c r="C1527" t="inlineStr">
        <is>
          <t>Refill</t>
        </is>
      </c>
      <c r="D1527" t="inlineStr">
        <is>
          <t>Primer Liso</t>
        </is>
      </c>
      <c r="E1527" t="n">
        <v>1</v>
      </c>
      <c r="F1527" t="inlineStr">
        <is>
          <t>2026-01-27</t>
        </is>
      </c>
      <c r="G1527" t="n">
        <v>158</v>
      </c>
      <c r="H1527" t="inlineStr">
        <is>
          <t>Y</t>
        </is>
      </c>
      <c r="I1527">
        <f>HYPERLINK("https://admin.shopify.com/store/ge-beauty-cosmeticos/customers/10089110241600","abrir")</f>
        <v/>
      </c>
      <c r="J1527">
        <f>HYPERLINK("https://www.gebeauty.com.br/products/primer-liso-intacto?ref=review","review")</f>
        <v/>
      </c>
      <c r="K1527" t="inlineStr">
        <is>
          <t>SEND</t>
        </is>
      </c>
    </row>
    <row r="1528">
      <c r="A1528" t="inlineStr">
        <is>
          <t>Erika</t>
        </is>
      </c>
      <c r="B1528" t="inlineStr">
        <is>
          <t>+5511982978289</t>
        </is>
      </c>
      <c r="C1528" t="inlineStr">
        <is>
          <t>Refill</t>
        </is>
      </c>
      <c r="D1528" t="inlineStr">
        <is>
          <t>Primer Liso</t>
        </is>
      </c>
      <c r="E1528" t="n">
        <v>1</v>
      </c>
      <c r="F1528" t="inlineStr">
        <is>
          <t>2026-01-28</t>
        </is>
      </c>
      <c r="G1528" t="n">
        <v>157</v>
      </c>
      <c r="H1528" t="inlineStr">
        <is>
          <t>Y</t>
        </is>
      </c>
      <c r="I1528">
        <f>HYPERLINK("https://admin.shopify.com/store/ge-beauty-cosmeticos/customers/8646700302656","abrir")</f>
        <v/>
      </c>
      <c r="J1528">
        <f>HYPERLINK("https://www.gebeauty.com.br/products/primer-liso-intacto?ref=review","review")</f>
        <v/>
      </c>
      <c r="K1528" t="inlineStr">
        <is>
          <t>HOLDOUT</t>
        </is>
      </c>
    </row>
    <row r="1529">
      <c r="A1529" t="inlineStr">
        <is>
          <t>Paula</t>
        </is>
      </c>
      <c r="B1529" t="inlineStr">
        <is>
          <t>+5521997873789</t>
        </is>
      </c>
      <c r="C1529" t="inlineStr">
        <is>
          <t>Refill</t>
        </is>
      </c>
      <c r="D1529" t="inlineStr">
        <is>
          <t>Primer Liso</t>
        </is>
      </c>
      <c r="E1529" t="n">
        <v>1</v>
      </c>
      <c r="F1529" t="inlineStr">
        <is>
          <t>2026-01-28</t>
        </is>
      </c>
      <c r="G1529" t="n">
        <v>157</v>
      </c>
      <c r="H1529" t="inlineStr">
        <is>
          <t>Y</t>
        </is>
      </c>
      <c r="I1529">
        <f>HYPERLINK("https://admin.shopify.com/store/ge-beauty-cosmeticos/customers/9131784864064","abrir")</f>
        <v/>
      </c>
      <c r="J1529">
        <f>HYPERLINK("https://www.gebeauty.com.br/products/primer-liso-intacto?ref=review","review")</f>
        <v/>
      </c>
      <c r="K1529" t="inlineStr">
        <is>
          <t>SEND</t>
        </is>
      </c>
    </row>
    <row r="1530">
      <c r="A1530" t="inlineStr">
        <is>
          <t>Luiza</t>
        </is>
      </c>
      <c r="B1530" t="inlineStr">
        <is>
          <t>+5516981284477</t>
        </is>
      </c>
      <c r="C1530" t="inlineStr">
        <is>
          <t>Refill</t>
        </is>
      </c>
      <c r="D1530" t="inlineStr">
        <is>
          <t>Primer Liso</t>
        </is>
      </c>
      <c r="E1530" t="n">
        <v>1</v>
      </c>
      <c r="F1530" t="inlineStr">
        <is>
          <t>2026-01-28</t>
        </is>
      </c>
      <c r="G1530" t="n">
        <v>157</v>
      </c>
      <c r="H1530" t="inlineStr">
        <is>
          <t>Y</t>
        </is>
      </c>
      <c r="I1530">
        <f>HYPERLINK("https://admin.shopify.com/store/ge-beauty-cosmeticos/customers/10090216522048","abrir")</f>
        <v/>
      </c>
      <c r="J1530">
        <f>HYPERLINK("https://www.gebeauty.com.br/products/primer-liso-intacto?ref=review","review")</f>
        <v/>
      </c>
      <c r="K1530" t="inlineStr">
        <is>
          <t>SEND</t>
        </is>
      </c>
    </row>
    <row r="1531">
      <c r="A1531" t="inlineStr">
        <is>
          <t>Carmem</t>
        </is>
      </c>
      <c r="B1531" t="inlineStr">
        <is>
          <t>+5581997020357</t>
        </is>
      </c>
      <c r="C1531" t="inlineStr">
        <is>
          <t>Refill</t>
        </is>
      </c>
      <c r="D1531" t="inlineStr">
        <is>
          <t>Primer Liso</t>
        </is>
      </c>
      <c r="E1531" t="n">
        <v>1</v>
      </c>
      <c r="F1531" t="inlineStr">
        <is>
          <t>2026-01-28</t>
        </is>
      </c>
      <c r="G1531" t="n">
        <v>157</v>
      </c>
      <c r="H1531" t="inlineStr">
        <is>
          <t>Y</t>
        </is>
      </c>
      <c r="I1531">
        <f>HYPERLINK("https://admin.shopify.com/store/ge-beauty-cosmeticos/customers/10090355097920","abrir")</f>
        <v/>
      </c>
      <c r="J1531">
        <f>HYPERLINK("https://www.gebeauty.com.br/products/primer-liso-intacto?ref=review","review")</f>
        <v/>
      </c>
      <c r="K1531" t="inlineStr">
        <is>
          <t>SEND</t>
        </is>
      </c>
    </row>
    <row r="1532">
      <c r="A1532" t="inlineStr">
        <is>
          <t>Carolina</t>
        </is>
      </c>
      <c r="B1532" t="inlineStr">
        <is>
          <t>+5516991115056</t>
        </is>
      </c>
      <c r="C1532" t="inlineStr">
        <is>
          <t>Refill</t>
        </is>
      </c>
      <c r="D1532" t="inlineStr">
        <is>
          <t>Primer Liso</t>
        </is>
      </c>
      <c r="E1532" t="n">
        <v>1</v>
      </c>
      <c r="F1532" t="inlineStr">
        <is>
          <t>2026-01-28</t>
        </is>
      </c>
      <c r="G1532" t="n">
        <v>157</v>
      </c>
      <c r="H1532" t="inlineStr">
        <is>
          <t>Y</t>
        </is>
      </c>
      <c r="I1532">
        <f>HYPERLINK("https://admin.shopify.com/store/ge-beauty-cosmeticos/customers/10090804117824","abrir")</f>
        <v/>
      </c>
      <c r="J1532">
        <f>HYPERLINK("https://www.gebeauty.com.br/products/primer-liso-intacto?ref=review","review")</f>
        <v/>
      </c>
      <c r="K1532" t="inlineStr">
        <is>
          <t>SEND</t>
        </is>
      </c>
    </row>
    <row r="1533">
      <c r="A1533" t="inlineStr">
        <is>
          <t>Terezinha</t>
        </is>
      </c>
      <c r="B1533" t="inlineStr">
        <is>
          <t>+5582988451111</t>
        </is>
      </c>
      <c r="C1533" t="inlineStr">
        <is>
          <t>Refill</t>
        </is>
      </c>
      <c r="D1533" t="inlineStr">
        <is>
          <t>Primer Liso</t>
        </is>
      </c>
      <c r="E1533" t="n">
        <v>1</v>
      </c>
      <c r="F1533" t="inlineStr">
        <is>
          <t>2026-01-28</t>
        </is>
      </c>
      <c r="G1533" t="n">
        <v>157</v>
      </c>
      <c r="H1533" t="inlineStr">
        <is>
          <t>Y</t>
        </is>
      </c>
      <c r="I1533">
        <f>HYPERLINK("https://admin.shopify.com/store/ge-beauty-cosmeticos/customers/10091150999872","abrir")</f>
        <v/>
      </c>
      <c r="J1533">
        <f>HYPERLINK("https://www.gebeauty.com.br/products/primer-liso-intacto?ref=review","review")</f>
        <v/>
      </c>
      <c r="K1533" t="inlineStr">
        <is>
          <t>SEND</t>
        </is>
      </c>
    </row>
    <row r="1534">
      <c r="A1534" t="inlineStr">
        <is>
          <t>Bel</t>
        </is>
      </c>
      <c r="B1534" t="inlineStr">
        <is>
          <t>+5519974028015</t>
        </is>
      </c>
      <c r="C1534" t="inlineStr">
        <is>
          <t>Refill</t>
        </is>
      </c>
      <c r="D1534" t="inlineStr">
        <is>
          <t>Primer Liso</t>
        </is>
      </c>
      <c r="E1534" t="n">
        <v>1</v>
      </c>
      <c r="F1534" t="inlineStr">
        <is>
          <t>2026-01-29</t>
        </is>
      </c>
      <c r="G1534" t="n">
        <v>156</v>
      </c>
      <c r="H1534" t="inlineStr">
        <is>
          <t>Y</t>
        </is>
      </c>
      <c r="I1534">
        <f>HYPERLINK("https://admin.shopify.com/store/ge-beauty-cosmeticos/customers/10091303862592","abrir")</f>
        <v/>
      </c>
      <c r="J1534">
        <f>HYPERLINK("https://www.gebeauty.com.br/products/primer-liso-intacto?ref=review","review")</f>
        <v/>
      </c>
      <c r="K1534" t="inlineStr">
        <is>
          <t>SEND</t>
        </is>
      </c>
    </row>
    <row r="1535">
      <c r="A1535" t="inlineStr">
        <is>
          <t>Emanuele</t>
        </is>
      </c>
      <c r="B1535" t="inlineStr">
        <is>
          <t>+5585999912265</t>
        </is>
      </c>
      <c r="C1535" t="inlineStr">
        <is>
          <t>Refill</t>
        </is>
      </c>
      <c r="D1535" t="inlineStr">
        <is>
          <t>Primer Liso</t>
        </is>
      </c>
      <c r="E1535" t="n">
        <v>1</v>
      </c>
      <c r="F1535" t="inlineStr">
        <is>
          <t>2026-01-29</t>
        </is>
      </c>
      <c r="G1535" t="n">
        <v>156</v>
      </c>
      <c r="H1535" t="inlineStr">
        <is>
          <t>Y</t>
        </is>
      </c>
      <c r="I1535">
        <f>HYPERLINK("https://admin.shopify.com/store/ge-beauty-cosmeticos/customers/10082777891136","abrir")</f>
        <v/>
      </c>
      <c r="J1535">
        <f>HYPERLINK("https://www.gebeauty.com.br/products/primer-liso-intacto?ref=review","review")</f>
        <v/>
      </c>
      <c r="K1535" t="inlineStr">
        <is>
          <t>SEND</t>
        </is>
      </c>
    </row>
    <row r="1536">
      <c r="A1536" t="inlineStr">
        <is>
          <t>Ana Caroline</t>
        </is>
      </c>
      <c r="B1536" t="inlineStr">
        <is>
          <t>+5511953658802</t>
        </is>
      </c>
      <c r="C1536" t="inlineStr">
        <is>
          <t>Refill</t>
        </is>
      </c>
      <c r="D1536" t="inlineStr">
        <is>
          <t>Primer Liso</t>
        </is>
      </c>
      <c r="E1536" t="n">
        <v>1</v>
      </c>
      <c r="F1536" t="inlineStr">
        <is>
          <t>2026-01-29</t>
        </is>
      </c>
      <c r="G1536" t="n">
        <v>156</v>
      </c>
      <c r="H1536" t="inlineStr">
        <is>
          <t>Y</t>
        </is>
      </c>
      <c r="I1536">
        <f>HYPERLINK("https://admin.shopify.com/store/ge-beauty-cosmeticos/customers/10092529877312","abrir")</f>
        <v/>
      </c>
      <c r="J1536">
        <f>HYPERLINK("https://www.gebeauty.com.br/products/primer-liso-intacto?ref=review","review")</f>
        <v/>
      </c>
      <c r="K1536" t="inlineStr">
        <is>
          <t>SEND</t>
        </is>
      </c>
    </row>
    <row r="1537">
      <c r="A1537" t="inlineStr">
        <is>
          <t>Vanessa</t>
        </is>
      </c>
      <c r="B1537" t="inlineStr">
        <is>
          <t>+5511981339509</t>
        </is>
      </c>
      <c r="C1537" t="inlineStr">
        <is>
          <t>Refill</t>
        </is>
      </c>
      <c r="D1537" t="inlineStr">
        <is>
          <t>Primer Liso</t>
        </is>
      </c>
      <c r="E1537" t="n">
        <v>1</v>
      </c>
      <c r="F1537" t="inlineStr">
        <is>
          <t>2026-01-29</t>
        </is>
      </c>
      <c r="G1537" t="n">
        <v>156</v>
      </c>
      <c r="H1537" t="inlineStr">
        <is>
          <t>Y</t>
        </is>
      </c>
      <c r="I1537">
        <f>HYPERLINK("https://admin.shopify.com/store/ge-beauty-cosmeticos/customers/10092975685952","abrir")</f>
        <v/>
      </c>
      <c r="J1537">
        <f>HYPERLINK("https://www.gebeauty.com.br/products/primer-liso-intacto?ref=review","review")</f>
        <v/>
      </c>
      <c r="K1537" t="inlineStr">
        <is>
          <t>SEND</t>
        </is>
      </c>
    </row>
    <row r="1538">
      <c r="A1538" t="inlineStr">
        <is>
          <t>Mirna</t>
        </is>
      </c>
      <c r="B1538" t="inlineStr">
        <is>
          <t>+5524999623620</t>
        </is>
      </c>
      <c r="C1538" t="inlineStr">
        <is>
          <t>Refill</t>
        </is>
      </c>
      <c r="D1538" t="inlineStr">
        <is>
          <t>Primer Liso</t>
        </is>
      </c>
      <c r="E1538" t="n">
        <v>1</v>
      </c>
      <c r="F1538" t="inlineStr">
        <is>
          <t>2026-01-30</t>
        </is>
      </c>
      <c r="G1538" t="n">
        <v>155</v>
      </c>
      <c r="H1538" t="inlineStr">
        <is>
          <t>Y</t>
        </is>
      </c>
      <c r="I1538">
        <f>HYPERLINK("https://admin.shopify.com/store/ge-beauty-cosmeticos/customers/10092939968832","abrir")</f>
        <v/>
      </c>
      <c r="J1538">
        <f>HYPERLINK("https://www.gebeauty.com.br/products/primer-liso-intacto?ref=review","review")</f>
        <v/>
      </c>
      <c r="K1538" t="inlineStr">
        <is>
          <t>SEND</t>
        </is>
      </c>
    </row>
    <row r="1539">
      <c r="A1539" t="inlineStr">
        <is>
          <t>Isabella</t>
        </is>
      </c>
      <c r="B1539" t="inlineStr">
        <is>
          <t>+5521983058667</t>
        </is>
      </c>
      <c r="C1539" t="inlineStr">
        <is>
          <t>Refill</t>
        </is>
      </c>
      <c r="D1539" t="inlineStr">
        <is>
          <t>Primer Liso</t>
        </is>
      </c>
      <c r="E1539" t="n">
        <v>1</v>
      </c>
      <c r="F1539" t="inlineStr">
        <is>
          <t>2026-01-30</t>
        </is>
      </c>
      <c r="G1539" t="n">
        <v>155</v>
      </c>
      <c r="H1539" t="inlineStr">
        <is>
          <t>Y</t>
        </is>
      </c>
      <c r="I1539">
        <f>HYPERLINK("https://admin.shopify.com/store/ge-beauty-cosmeticos/customers/10093352878400","abrir")</f>
        <v/>
      </c>
      <c r="J1539">
        <f>HYPERLINK("https://www.gebeauty.com.br/products/primer-liso-intacto?ref=review","review")</f>
        <v/>
      </c>
      <c r="K1539" t="inlineStr">
        <is>
          <t>SEND</t>
        </is>
      </c>
    </row>
    <row r="1540">
      <c r="A1540" t="inlineStr">
        <is>
          <t>Etiene</t>
        </is>
      </c>
      <c r="B1540" t="inlineStr">
        <is>
          <t>+5581999218800</t>
        </is>
      </c>
      <c r="C1540" t="inlineStr">
        <is>
          <t>Refill</t>
        </is>
      </c>
      <c r="D1540" t="inlineStr">
        <is>
          <t>Primer Liso</t>
        </is>
      </c>
      <c r="E1540" t="n">
        <v>1</v>
      </c>
      <c r="F1540" t="inlineStr">
        <is>
          <t>2026-01-30</t>
        </is>
      </c>
      <c r="G1540" t="n">
        <v>155</v>
      </c>
      <c r="H1540" t="inlineStr">
        <is>
          <t>Y</t>
        </is>
      </c>
      <c r="I1540">
        <f>HYPERLINK("https://admin.shopify.com/store/ge-beauty-cosmeticos/customers/9486653096256","abrir")</f>
        <v/>
      </c>
      <c r="J1540">
        <f>HYPERLINK("https://www.gebeauty.com.br/products/primer-liso-intacto?ref=review","review")</f>
        <v/>
      </c>
      <c r="K1540" t="inlineStr">
        <is>
          <t>SEND</t>
        </is>
      </c>
    </row>
    <row r="1541">
      <c r="A1541" t="inlineStr">
        <is>
          <t>Michelle</t>
        </is>
      </c>
      <c r="B1541" t="inlineStr">
        <is>
          <t>+5521999747546</t>
        </is>
      </c>
      <c r="C1541" t="inlineStr">
        <is>
          <t>Refill</t>
        </is>
      </c>
      <c r="D1541" t="inlineStr">
        <is>
          <t>Primer Liso</t>
        </is>
      </c>
      <c r="E1541" t="n">
        <v>1</v>
      </c>
      <c r="F1541" t="inlineStr">
        <is>
          <t>2026-01-30</t>
        </is>
      </c>
      <c r="G1541" t="n">
        <v>155</v>
      </c>
      <c r="H1541" t="inlineStr">
        <is>
          <t>Y</t>
        </is>
      </c>
      <c r="I1541">
        <f>HYPERLINK("https://admin.shopify.com/store/ge-beauty-cosmeticos/customers/10094435762496","abrir")</f>
        <v/>
      </c>
      <c r="J1541">
        <f>HYPERLINK("https://www.gebeauty.com.br/products/primer-liso-intacto?ref=review","review")</f>
        <v/>
      </c>
      <c r="K1541" t="inlineStr">
        <is>
          <t>SEND</t>
        </is>
      </c>
    </row>
    <row r="1542">
      <c r="A1542" t="inlineStr">
        <is>
          <t>Melissa</t>
        </is>
      </c>
      <c r="B1542" t="inlineStr">
        <is>
          <t>+5511976475774</t>
        </is>
      </c>
      <c r="C1542" t="inlineStr">
        <is>
          <t>Refill</t>
        </is>
      </c>
      <c r="D1542" t="inlineStr">
        <is>
          <t>Primer Liso</t>
        </is>
      </c>
      <c r="E1542" t="n">
        <v>1</v>
      </c>
      <c r="F1542" t="inlineStr">
        <is>
          <t>2026-01-30</t>
        </is>
      </c>
      <c r="G1542" t="n">
        <v>155</v>
      </c>
      <c r="H1542" t="inlineStr">
        <is>
          <t>Y</t>
        </is>
      </c>
      <c r="I1542">
        <f>HYPERLINK("https://admin.shopify.com/store/ge-beauty-cosmeticos/customers/9921008304448","abrir")</f>
        <v/>
      </c>
      <c r="J1542">
        <f>HYPERLINK("https://www.gebeauty.com.br/products/primer-liso-intacto?ref=review","review")</f>
        <v/>
      </c>
      <c r="K1542" t="inlineStr">
        <is>
          <t>HOLDOUT</t>
        </is>
      </c>
    </row>
    <row r="1543">
      <c r="A1543" t="inlineStr">
        <is>
          <t>Silvia</t>
        </is>
      </c>
      <c r="B1543" t="inlineStr">
        <is>
          <t>+5521999713366</t>
        </is>
      </c>
      <c r="C1543" t="inlineStr">
        <is>
          <t>Refill</t>
        </is>
      </c>
      <c r="D1543" t="inlineStr">
        <is>
          <t>Primer Liso</t>
        </is>
      </c>
      <c r="E1543" t="n">
        <v>1</v>
      </c>
      <c r="F1543" t="inlineStr">
        <is>
          <t>2026-01-30</t>
        </is>
      </c>
      <c r="G1543" t="n">
        <v>155</v>
      </c>
      <c r="H1543" t="inlineStr">
        <is>
          <t>Y</t>
        </is>
      </c>
      <c r="I1543">
        <f>HYPERLINK("https://admin.shopify.com/store/ge-beauty-cosmeticos/customers/10094861058368","abrir")</f>
        <v/>
      </c>
      <c r="J1543">
        <f>HYPERLINK("https://www.gebeauty.com.br/products/primer-liso-intacto?ref=review","review")</f>
        <v/>
      </c>
      <c r="K1543" t="inlineStr">
        <is>
          <t>SEND</t>
        </is>
      </c>
    </row>
    <row r="1544">
      <c r="A1544" t="inlineStr">
        <is>
          <t>Laís</t>
        </is>
      </c>
      <c r="B1544" t="inlineStr">
        <is>
          <t>+5573998006399</t>
        </is>
      </c>
      <c r="C1544" t="inlineStr">
        <is>
          <t>Refill</t>
        </is>
      </c>
      <c r="D1544" t="inlineStr">
        <is>
          <t>Primer Liso</t>
        </is>
      </c>
      <c r="E1544" t="n">
        <v>1</v>
      </c>
      <c r="F1544" t="inlineStr">
        <is>
          <t>2026-01-30</t>
        </is>
      </c>
      <c r="G1544" t="n">
        <v>155</v>
      </c>
      <c r="H1544" t="inlineStr">
        <is>
          <t>Y</t>
        </is>
      </c>
      <c r="I1544">
        <f>HYPERLINK("https://admin.shopify.com/store/ge-beauty-cosmeticos/customers/10094891041088","abrir")</f>
        <v/>
      </c>
      <c r="J1544">
        <f>HYPERLINK("https://www.gebeauty.com.br/products/primer-liso-intacto?ref=review","review")</f>
        <v/>
      </c>
      <c r="K1544" t="inlineStr">
        <is>
          <t>SEND</t>
        </is>
      </c>
    </row>
    <row r="1545">
      <c r="A1545" t="inlineStr">
        <is>
          <t>Demi</t>
        </is>
      </c>
      <c r="B1545" t="inlineStr">
        <is>
          <t>+5513982002091</t>
        </is>
      </c>
      <c r="C1545" t="inlineStr">
        <is>
          <t>Refill</t>
        </is>
      </c>
      <c r="D1545" t="inlineStr">
        <is>
          <t>Primer Liso</t>
        </is>
      </c>
      <c r="E1545" t="n">
        <v>1</v>
      </c>
      <c r="F1545" t="inlineStr">
        <is>
          <t>2026-01-31</t>
        </is>
      </c>
      <c r="G1545" t="n">
        <v>154</v>
      </c>
      <c r="H1545" t="inlineStr">
        <is>
          <t>Y</t>
        </is>
      </c>
      <c r="I1545">
        <f>HYPERLINK("https://admin.shopify.com/store/ge-beauty-cosmeticos/customers/10095996600640","abrir")</f>
        <v/>
      </c>
      <c r="J1545">
        <f>HYPERLINK("https://www.gebeauty.com.br/products/primer-liso-intacto?ref=review","review")</f>
        <v/>
      </c>
      <c r="K1545" t="inlineStr">
        <is>
          <t>SEND</t>
        </is>
      </c>
    </row>
    <row r="1546">
      <c r="A1546" t="inlineStr">
        <is>
          <t>Manuella</t>
        </is>
      </c>
      <c r="B1546" t="inlineStr">
        <is>
          <t>+5521992103584</t>
        </is>
      </c>
      <c r="C1546" t="inlineStr">
        <is>
          <t>Refill</t>
        </is>
      </c>
      <c r="D1546" t="inlineStr">
        <is>
          <t>Primer Liso</t>
        </is>
      </c>
      <c r="E1546" t="n">
        <v>1</v>
      </c>
      <c r="F1546" t="inlineStr">
        <is>
          <t>2026-01-31</t>
        </is>
      </c>
      <c r="G1546" t="n">
        <v>154</v>
      </c>
      <c r="H1546" t="inlineStr">
        <is>
          <t>Y</t>
        </is>
      </c>
      <c r="I1546">
        <f>HYPERLINK("https://admin.shopify.com/store/ge-beauty-cosmeticos/customers/8414583062848","abrir")</f>
        <v/>
      </c>
      <c r="J1546">
        <f>HYPERLINK("https://www.gebeauty.com.br/products/primer-liso-intacto?ref=review","review")</f>
        <v/>
      </c>
      <c r="K1546" t="inlineStr">
        <is>
          <t>SEND</t>
        </is>
      </c>
    </row>
    <row r="1547">
      <c r="A1547" t="inlineStr">
        <is>
          <t>Sofia</t>
        </is>
      </c>
      <c r="B1547" t="inlineStr">
        <is>
          <t>+5521981220369</t>
        </is>
      </c>
      <c r="C1547" t="inlineStr">
        <is>
          <t>Refill</t>
        </is>
      </c>
      <c r="D1547" t="inlineStr">
        <is>
          <t>Primer Liso</t>
        </is>
      </c>
      <c r="E1547" t="n">
        <v>1</v>
      </c>
      <c r="F1547" t="inlineStr">
        <is>
          <t>2026-01-31</t>
        </is>
      </c>
      <c r="G1547" t="n">
        <v>154</v>
      </c>
      <c r="H1547" t="inlineStr">
        <is>
          <t>Y</t>
        </is>
      </c>
      <c r="I1547">
        <f>HYPERLINK("https://admin.shopify.com/store/ge-beauty-cosmeticos/customers/10096070689088","abrir")</f>
        <v/>
      </c>
      <c r="J1547">
        <f>HYPERLINK("https://www.gebeauty.com.br/products/primer-liso-intacto?ref=review","review")</f>
        <v/>
      </c>
      <c r="K1547" t="inlineStr">
        <is>
          <t>SEND</t>
        </is>
      </c>
    </row>
    <row r="1548">
      <c r="A1548" t="inlineStr">
        <is>
          <t>Aline</t>
        </is>
      </c>
      <c r="B1548" t="inlineStr">
        <is>
          <t>+5511999977675</t>
        </is>
      </c>
      <c r="C1548" t="inlineStr">
        <is>
          <t>Refill</t>
        </is>
      </c>
      <c r="D1548" t="inlineStr">
        <is>
          <t>Primer Liso</t>
        </is>
      </c>
      <c r="E1548" t="n">
        <v>1</v>
      </c>
      <c r="F1548" t="inlineStr">
        <is>
          <t>2026-01-31</t>
        </is>
      </c>
      <c r="G1548" t="n">
        <v>154</v>
      </c>
      <c r="H1548" t="inlineStr">
        <is>
          <t>Y</t>
        </is>
      </c>
      <c r="I1548">
        <f>HYPERLINK("https://admin.shopify.com/store/ge-beauty-cosmeticos/customers/10096245670208","abrir")</f>
        <v/>
      </c>
      <c r="J1548">
        <f>HYPERLINK("https://www.gebeauty.com.br/products/primer-liso-intacto?ref=review","review")</f>
        <v/>
      </c>
      <c r="K1548" t="inlineStr">
        <is>
          <t>HOLDOUT</t>
        </is>
      </c>
    </row>
    <row r="1549">
      <c r="A1549" t="inlineStr">
        <is>
          <t>Priscila</t>
        </is>
      </c>
      <c r="B1549" t="inlineStr">
        <is>
          <t>+5511963889821</t>
        </is>
      </c>
      <c r="C1549" t="inlineStr">
        <is>
          <t>Refill</t>
        </is>
      </c>
      <c r="D1549" t="inlineStr">
        <is>
          <t>Primer Liso</t>
        </is>
      </c>
      <c r="E1549" t="n">
        <v>1</v>
      </c>
      <c r="F1549" t="inlineStr">
        <is>
          <t>2026-01-31</t>
        </is>
      </c>
      <c r="G1549" t="n">
        <v>154</v>
      </c>
      <c r="H1549" t="inlineStr">
        <is>
          <t>Y</t>
        </is>
      </c>
      <c r="I1549">
        <f>HYPERLINK("https://admin.shopify.com/store/ge-beauty-cosmeticos/customers/9484687475008","abrir")</f>
        <v/>
      </c>
      <c r="J1549">
        <f>HYPERLINK("https://www.gebeauty.com.br/products/primer-liso-intacto?ref=review","review")</f>
        <v/>
      </c>
      <c r="K1549" t="inlineStr">
        <is>
          <t>HOLDOUT</t>
        </is>
      </c>
    </row>
    <row r="1550">
      <c r="A1550" t="inlineStr">
        <is>
          <t>Larissa</t>
        </is>
      </c>
      <c r="B1550" t="inlineStr">
        <is>
          <t>+5584999805620</t>
        </is>
      </c>
      <c r="C1550" t="inlineStr">
        <is>
          <t>Refill</t>
        </is>
      </c>
      <c r="D1550" t="inlineStr">
        <is>
          <t>Primer Liso</t>
        </is>
      </c>
      <c r="E1550" t="n">
        <v>1</v>
      </c>
      <c r="F1550" t="inlineStr">
        <is>
          <t>2026-01-31</t>
        </is>
      </c>
      <c r="G1550" t="n">
        <v>154</v>
      </c>
      <c r="H1550" t="inlineStr">
        <is>
          <t>Y</t>
        </is>
      </c>
      <c r="I1550">
        <f>HYPERLINK("https://admin.shopify.com/store/ge-beauty-cosmeticos/customers/9864470462784","abrir")</f>
        <v/>
      </c>
      <c r="J1550">
        <f>HYPERLINK("https://www.gebeauty.com.br/products/primer-liso-intacto?ref=review","review")</f>
        <v/>
      </c>
      <c r="K1550" t="inlineStr">
        <is>
          <t>SEND</t>
        </is>
      </c>
    </row>
    <row r="1551">
      <c r="A1551" t="inlineStr">
        <is>
          <t>Giovana</t>
        </is>
      </c>
      <c r="B1551" t="inlineStr">
        <is>
          <t>+5511952344415</t>
        </is>
      </c>
      <c r="C1551" t="inlineStr">
        <is>
          <t>Refill</t>
        </is>
      </c>
      <c r="D1551" t="inlineStr">
        <is>
          <t>Primer Liso</t>
        </is>
      </c>
      <c r="E1551" t="n">
        <v>1</v>
      </c>
      <c r="F1551" t="inlineStr">
        <is>
          <t>2026-02-01</t>
        </is>
      </c>
      <c r="G1551" t="n">
        <v>153</v>
      </c>
      <c r="H1551" t="inlineStr">
        <is>
          <t>Y</t>
        </is>
      </c>
      <c r="I1551">
        <f>HYPERLINK("https://admin.shopify.com/store/ge-beauty-cosmeticos/customers/10097026564416","abrir")</f>
        <v/>
      </c>
      <c r="J1551">
        <f>HYPERLINK("https://www.gebeauty.com.br/products/primer-liso-intacto?ref=review","review")</f>
        <v/>
      </c>
      <c r="K1551" t="inlineStr">
        <is>
          <t>SEND</t>
        </is>
      </c>
    </row>
    <row r="1552">
      <c r="A1552" t="inlineStr">
        <is>
          <t>Carol</t>
        </is>
      </c>
      <c r="B1552" t="inlineStr">
        <is>
          <t>+5555991310887</t>
        </is>
      </c>
      <c r="C1552" t="inlineStr">
        <is>
          <t>Refill</t>
        </is>
      </c>
      <c r="D1552" t="inlineStr">
        <is>
          <t>Primer Liso</t>
        </is>
      </c>
      <c r="E1552" t="n">
        <v>1</v>
      </c>
      <c r="F1552" t="inlineStr">
        <is>
          <t>2026-02-01</t>
        </is>
      </c>
      <c r="G1552" t="n">
        <v>153</v>
      </c>
      <c r="H1552" t="inlineStr">
        <is>
          <t>Y</t>
        </is>
      </c>
      <c r="I1552">
        <f>HYPERLINK("https://admin.shopify.com/store/ge-beauty-cosmeticos/customers/10083957113152","abrir")</f>
        <v/>
      </c>
      <c r="J1552">
        <f>HYPERLINK("https://www.gebeauty.com.br/products/primer-liso-intacto?ref=review","review")</f>
        <v/>
      </c>
      <c r="K1552" t="inlineStr">
        <is>
          <t>SEND</t>
        </is>
      </c>
    </row>
    <row r="1553">
      <c r="A1553" t="inlineStr">
        <is>
          <t>Flavia</t>
        </is>
      </c>
      <c r="B1553" t="inlineStr">
        <is>
          <t>+5511982080663</t>
        </is>
      </c>
      <c r="C1553" t="inlineStr">
        <is>
          <t>Refill</t>
        </is>
      </c>
      <c r="D1553" t="inlineStr">
        <is>
          <t>Primer Liso</t>
        </is>
      </c>
      <c r="E1553" t="n">
        <v>1</v>
      </c>
      <c r="F1553" t="inlineStr">
        <is>
          <t>2026-02-01</t>
        </is>
      </c>
      <c r="G1553" t="n">
        <v>153</v>
      </c>
      <c r="H1553" t="inlineStr">
        <is>
          <t>Y</t>
        </is>
      </c>
      <c r="I1553">
        <f>HYPERLINK("https://admin.shopify.com/store/ge-beauty-cosmeticos/customers/10097712038208","abrir")</f>
        <v/>
      </c>
      <c r="J1553">
        <f>HYPERLINK("https://www.gebeauty.com.br/products/primer-liso-intacto?ref=review","review")</f>
        <v/>
      </c>
      <c r="K1553" t="inlineStr">
        <is>
          <t>SEND</t>
        </is>
      </c>
    </row>
    <row r="1554">
      <c r="A1554" t="inlineStr">
        <is>
          <t>Maria</t>
        </is>
      </c>
      <c r="B1554" t="inlineStr">
        <is>
          <t>+5511973898633</t>
        </is>
      </c>
      <c r="C1554" t="inlineStr">
        <is>
          <t>Refill</t>
        </is>
      </c>
      <c r="D1554" t="inlineStr">
        <is>
          <t>Primer Liso</t>
        </is>
      </c>
      <c r="E1554" t="n">
        <v>1</v>
      </c>
      <c r="F1554" t="inlineStr">
        <is>
          <t>2026-02-01</t>
        </is>
      </c>
      <c r="G1554" t="n">
        <v>153</v>
      </c>
      <c r="H1554" t="inlineStr">
        <is>
          <t>Y</t>
        </is>
      </c>
      <c r="I1554">
        <f>HYPERLINK("https://admin.shopify.com/store/ge-beauty-cosmeticos/customers/10091942117696","abrir")</f>
        <v/>
      </c>
      <c r="J1554">
        <f>HYPERLINK("https://www.gebeauty.com.br/products/primer-liso-intacto?ref=review","review")</f>
        <v/>
      </c>
      <c r="K1554" t="inlineStr">
        <is>
          <t>SEND</t>
        </is>
      </c>
    </row>
    <row r="1555">
      <c r="A1555" t="inlineStr">
        <is>
          <t>Marina</t>
        </is>
      </c>
      <c r="B1555" t="inlineStr">
        <is>
          <t>+5548999744291</t>
        </is>
      </c>
      <c r="C1555" t="inlineStr">
        <is>
          <t>Refill</t>
        </is>
      </c>
      <c r="D1555" t="inlineStr">
        <is>
          <t>Primer Liso</t>
        </is>
      </c>
      <c r="E1555" t="n">
        <v>1</v>
      </c>
      <c r="F1555" t="inlineStr">
        <is>
          <t>2026-02-01</t>
        </is>
      </c>
      <c r="G1555" t="n">
        <v>153</v>
      </c>
      <c r="H1555" t="inlineStr">
        <is>
          <t>Y</t>
        </is>
      </c>
      <c r="I1555">
        <f>HYPERLINK("https://admin.shopify.com/store/ge-beauty-cosmeticos/customers/10097885020480","abrir")</f>
        <v/>
      </c>
      <c r="J1555">
        <f>HYPERLINK("https://www.gebeauty.com.br/products/primer-liso-intacto?ref=review","review")</f>
        <v/>
      </c>
      <c r="K1555" t="inlineStr">
        <is>
          <t>SEND</t>
        </is>
      </c>
    </row>
    <row r="1556">
      <c r="A1556" t="inlineStr">
        <is>
          <t>Vanessa</t>
        </is>
      </c>
      <c r="B1556" t="inlineStr">
        <is>
          <t>+5511979561357</t>
        </is>
      </c>
      <c r="C1556" t="inlineStr">
        <is>
          <t>Refill</t>
        </is>
      </c>
      <c r="D1556" t="inlineStr">
        <is>
          <t>Primer Liso</t>
        </is>
      </c>
      <c r="E1556" t="n">
        <v>1</v>
      </c>
      <c r="F1556" t="inlineStr">
        <is>
          <t>2026-02-01</t>
        </is>
      </c>
      <c r="G1556" t="n">
        <v>153</v>
      </c>
      <c r="H1556" t="inlineStr">
        <is>
          <t>Y</t>
        </is>
      </c>
      <c r="I1556">
        <f>HYPERLINK("https://admin.shopify.com/store/ge-beauty-cosmeticos/customers/10097943445824","abrir")</f>
        <v/>
      </c>
      <c r="J1556">
        <f>HYPERLINK("https://www.gebeauty.com.br/products/primer-liso-intacto?ref=review","review")</f>
        <v/>
      </c>
      <c r="K1556" t="inlineStr">
        <is>
          <t>SEND</t>
        </is>
      </c>
    </row>
    <row r="1557">
      <c r="A1557" t="inlineStr">
        <is>
          <t>Maria Teresa</t>
        </is>
      </c>
      <c r="B1557" t="inlineStr">
        <is>
          <t>+5582988564304</t>
        </is>
      </c>
      <c r="C1557" t="inlineStr">
        <is>
          <t>Refill</t>
        </is>
      </c>
      <c r="D1557" t="inlineStr">
        <is>
          <t>Primer Liso</t>
        </is>
      </c>
      <c r="E1557" t="n">
        <v>1</v>
      </c>
      <c r="F1557" t="inlineStr">
        <is>
          <t>2026-02-01</t>
        </is>
      </c>
      <c r="G1557" t="n">
        <v>153</v>
      </c>
      <c r="H1557" t="inlineStr">
        <is>
          <t>Y</t>
        </is>
      </c>
      <c r="I1557">
        <f>HYPERLINK("https://admin.shopify.com/store/ge-beauty-cosmeticos/customers/10098064163136","abrir")</f>
        <v/>
      </c>
      <c r="J1557">
        <f>HYPERLINK("https://www.gebeauty.com.br/products/primer-liso-intacto?ref=review","review")</f>
        <v/>
      </c>
      <c r="K1557" t="inlineStr">
        <is>
          <t>SEND</t>
        </is>
      </c>
    </row>
    <row r="1558">
      <c r="A1558" t="inlineStr">
        <is>
          <t>Gabrielly</t>
        </is>
      </c>
      <c r="B1558" t="inlineStr">
        <is>
          <t>+5551982762196</t>
        </is>
      </c>
      <c r="C1558" t="inlineStr">
        <is>
          <t>Refill</t>
        </is>
      </c>
      <c r="D1558" t="inlineStr">
        <is>
          <t>Primer Liso</t>
        </is>
      </c>
      <c r="E1558" t="n">
        <v>1</v>
      </c>
      <c r="F1558" t="inlineStr">
        <is>
          <t>2026-02-01</t>
        </is>
      </c>
      <c r="G1558" t="n">
        <v>153</v>
      </c>
      <c r="H1558" t="inlineStr">
        <is>
          <t>Y</t>
        </is>
      </c>
      <c r="I1558">
        <f>HYPERLINK("https://admin.shopify.com/store/ge-beauty-cosmeticos/customers/9484728369472","abrir")</f>
        <v/>
      </c>
      <c r="J1558">
        <f>HYPERLINK("https://www.gebeauty.com.br/products/primer-liso-intacto?ref=review","review")</f>
        <v/>
      </c>
      <c r="K1558" t="inlineStr">
        <is>
          <t>SEND</t>
        </is>
      </c>
    </row>
    <row r="1559">
      <c r="A1559" t="inlineStr">
        <is>
          <t>Chris</t>
        </is>
      </c>
      <c r="B1559" t="inlineStr">
        <is>
          <t>+5521971822016</t>
        </is>
      </c>
      <c r="C1559" t="inlineStr">
        <is>
          <t>Refill</t>
        </is>
      </c>
      <c r="D1559" t="inlineStr">
        <is>
          <t>Primer Liso</t>
        </is>
      </c>
      <c r="E1559" t="n">
        <v>1</v>
      </c>
      <c r="F1559" t="inlineStr">
        <is>
          <t>2026-02-01</t>
        </is>
      </c>
      <c r="G1559" t="n">
        <v>153</v>
      </c>
      <c r="H1559" t="inlineStr">
        <is>
          <t>Y</t>
        </is>
      </c>
      <c r="I1559">
        <f>HYPERLINK("https://admin.shopify.com/store/ge-beauty-cosmeticos/customers/8879350350144","abrir")</f>
        <v/>
      </c>
      <c r="J1559">
        <f>HYPERLINK("https://www.gebeauty.com.br/products/primer-liso-intacto?ref=review","review")</f>
        <v/>
      </c>
      <c r="K1559" t="inlineStr">
        <is>
          <t>SEND</t>
        </is>
      </c>
    </row>
    <row r="1560">
      <c r="A1560" t="inlineStr">
        <is>
          <t>Luciana</t>
        </is>
      </c>
      <c r="B1560" t="inlineStr">
        <is>
          <t>+5551993560933</t>
        </is>
      </c>
      <c r="C1560" t="inlineStr">
        <is>
          <t>Refill</t>
        </is>
      </c>
      <c r="D1560" t="inlineStr">
        <is>
          <t>Primer Liso</t>
        </is>
      </c>
      <c r="E1560" t="n">
        <v>1</v>
      </c>
      <c r="F1560" t="inlineStr">
        <is>
          <t>2026-02-01</t>
        </is>
      </c>
      <c r="G1560" t="n">
        <v>153</v>
      </c>
      <c r="H1560" t="inlineStr">
        <is>
          <t>Y</t>
        </is>
      </c>
      <c r="I1560">
        <f>HYPERLINK("https://admin.shopify.com/store/ge-beauty-cosmeticos/customers/10098357371200","abrir")</f>
        <v/>
      </c>
      <c r="J1560">
        <f>HYPERLINK("https://www.gebeauty.com.br/products/primer-liso-intacto?ref=review","review")</f>
        <v/>
      </c>
      <c r="K1560" t="inlineStr">
        <is>
          <t>SEND</t>
        </is>
      </c>
    </row>
    <row r="1561">
      <c r="A1561" t="inlineStr">
        <is>
          <t>Talita</t>
        </is>
      </c>
      <c r="B1561" t="inlineStr">
        <is>
          <t>+5547989028036</t>
        </is>
      </c>
      <c r="C1561" t="inlineStr">
        <is>
          <t>Refill</t>
        </is>
      </c>
      <c r="D1561" t="inlineStr">
        <is>
          <t>Primer Liso</t>
        </is>
      </c>
      <c r="E1561" t="n">
        <v>1</v>
      </c>
      <c r="F1561" t="inlineStr">
        <is>
          <t>2026-02-01</t>
        </is>
      </c>
      <c r="G1561" t="n">
        <v>153</v>
      </c>
      <c r="H1561" t="inlineStr">
        <is>
          <t>Y</t>
        </is>
      </c>
      <c r="I1561">
        <f>HYPERLINK("https://admin.shopify.com/store/ge-beauty-cosmeticos/customers/10098458362176","abrir")</f>
        <v/>
      </c>
      <c r="J1561">
        <f>HYPERLINK("https://www.gebeauty.com.br/products/primer-liso-intacto?ref=review","review")</f>
        <v/>
      </c>
      <c r="K1561" t="inlineStr">
        <is>
          <t>SEND</t>
        </is>
      </c>
    </row>
    <row r="1562">
      <c r="A1562" t="inlineStr">
        <is>
          <t>Gabriela</t>
        </is>
      </c>
      <c r="B1562" t="inlineStr">
        <is>
          <t>+5531993973333</t>
        </is>
      </c>
      <c r="C1562" t="inlineStr">
        <is>
          <t>Refill</t>
        </is>
      </c>
      <c r="D1562" t="inlineStr">
        <is>
          <t>Primer Liso</t>
        </is>
      </c>
      <c r="E1562" t="n">
        <v>1</v>
      </c>
      <c r="F1562" t="inlineStr">
        <is>
          <t>2026-02-01</t>
        </is>
      </c>
      <c r="G1562" t="n">
        <v>153</v>
      </c>
      <c r="H1562" t="inlineStr">
        <is>
          <t>Y</t>
        </is>
      </c>
      <c r="I1562">
        <f>HYPERLINK("https://admin.shopify.com/store/ge-beauty-cosmeticos/customers/10098463801664","abrir")</f>
        <v/>
      </c>
      <c r="J1562">
        <f>HYPERLINK("https://www.gebeauty.com.br/products/primer-liso-intacto?ref=review","review")</f>
        <v/>
      </c>
      <c r="K1562" t="inlineStr">
        <is>
          <t>SEND</t>
        </is>
      </c>
    </row>
    <row r="1563">
      <c r="A1563" t="inlineStr">
        <is>
          <t>Camilla</t>
        </is>
      </c>
      <c r="B1563" t="inlineStr">
        <is>
          <t>+5511938013927</t>
        </is>
      </c>
      <c r="C1563" t="inlineStr">
        <is>
          <t>Refill</t>
        </is>
      </c>
      <c r="D1563" t="inlineStr">
        <is>
          <t>Primer Liso</t>
        </is>
      </c>
      <c r="E1563" t="n">
        <v>1</v>
      </c>
      <c r="F1563" t="inlineStr">
        <is>
          <t>2026-02-02</t>
        </is>
      </c>
      <c r="G1563" t="n">
        <v>152</v>
      </c>
      <c r="H1563" t="inlineStr">
        <is>
          <t>Y</t>
        </is>
      </c>
      <c r="I1563">
        <f>HYPERLINK("https://admin.shopify.com/store/ge-beauty-cosmeticos/customers/10051110404416","abrir")</f>
        <v/>
      </c>
      <c r="J1563">
        <f>HYPERLINK("https://www.gebeauty.com.br/products/primer-liso-intacto?ref=review","review")</f>
        <v/>
      </c>
      <c r="K1563" t="inlineStr">
        <is>
          <t>SEND</t>
        </is>
      </c>
    </row>
    <row r="1564">
      <c r="A1564" t="inlineStr">
        <is>
          <t>Tatiana</t>
        </is>
      </c>
      <c r="B1564" t="inlineStr">
        <is>
          <t>+5561999669137</t>
        </is>
      </c>
      <c r="C1564" t="inlineStr">
        <is>
          <t>Refill</t>
        </is>
      </c>
      <c r="D1564" t="inlineStr">
        <is>
          <t>Primer Liso</t>
        </is>
      </c>
      <c r="E1564" t="n">
        <v>1</v>
      </c>
      <c r="F1564" t="inlineStr">
        <is>
          <t>2026-02-02</t>
        </is>
      </c>
      <c r="G1564" t="n">
        <v>152</v>
      </c>
      <c r="H1564" t="inlineStr">
        <is>
          <t>Y</t>
        </is>
      </c>
      <c r="I1564">
        <f>HYPERLINK("https://admin.shopify.com/store/ge-beauty-cosmeticos/customers/10099621495104","abrir")</f>
        <v/>
      </c>
      <c r="J1564">
        <f>HYPERLINK("https://www.gebeauty.com.br/products/primer-liso-intacto?ref=review","review")</f>
        <v/>
      </c>
      <c r="K1564" t="inlineStr">
        <is>
          <t>HOLDOUT</t>
        </is>
      </c>
    </row>
    <row r="1565">
      <c r="A1565" t="inlineStr">
        <is>
          <t>Roberta</t>
        </is>
      </c>
      <c r="B1565" t="inlineStr">
        <is>
          <t>+5581986697242</t>
        </is>
      </c>
      <c r="C1565" t="inlineStr">
        <is>
          <t>Refill</t>
        </is>
      </c>
      <c r="D1565" t="inlineStr">
        <is>
          <t>Primer Liso</t>
        </is>
      </c>
      <c r="E1565" t="n">
        <v>1</v>
      </c>
      <c r="F1565" t="inlineStr">
        <is>
          <t>2026-02-02</t>
        </is>
      </c>
      <c r="G1565" t="n">
        <v>152</v>
      </c>
      <c r="H1565" t="inlineStr">
        <is>
          <t>Y</t>
        </is>
      </c>
      <c r="I1565">
        <f>HYPERLINK("https://admin.shopify.com/store/ge-beauty-cosmeticos/customers/10098097127744","abrir")</f>
        <v/>
      </c>
      <c r="J1565">
        <f>HYPERLINK("https://www.gebeauty.com.br/products/primer-liso-intacto?ref=review","review")</f>
        <v/>
      </c>
      <c r="K1565" t="inlineStr">
        <is>
          <t>SEND</t>
        </is>
      </c>
    </row>
    <row r="1566">
      <c r="A1566" t="inlineStr">
        <is>
          <t>Carla</t>
        </is>
      </c>
      <c r="B1566" t="inlineStr">
        <is>
          <t>+5548999197105</t>
        </is>
      </c>
      <c r="C1566" t="inlineStr">
        <is>
          <t>Refill</t>
        </is>
      </c>
      <c r="D1566" t="inlineStr">
        <is>
          <t>Primer Liso</t>
        </is>
      </c>
      <c r="E1566" t="n">
        <v>1</v>
      </c>
      <c r="F1566" t="inlineStr">
        <is>
          <t>2026-02-02</t>
        </is>
      </c>
      <c r="G1566" t="n">
        <v>152</v>
      </c>
      <c r="H1566" t="inlineStr">
        <is>
          <t>Y</t>
        </is>
      </c>
      <c r="I1566">
        <f>HYPERLINK("https://admin.shopify.com/store/ge-beauty-cosmeticos/customers/10100039844160","abrir")</f>
        <v/>
      </c>
      <c r="J1566">
        <f>HYPERLINK("https://www.gebeauty.com.br/products/primer-liso-intacto?ref=review","review")</f>
        <v/>
      </c>
      <c r="K1566" t="inlineStr">
        <is>
          <t>SEND</t>
        </is>
      </c>
    </row>
    <row r="1567">
      <c r="A1567" t="inlineStr">
        <is>
          <t>Juliana</t>
        </is>
      </c>
      <c r="B1567" t="inlineStr">
        <is>
          <t>+5511989336788</t>
        </is>
      </c>
      <c r="C1567" t="inlineStr">
        <is>
          <t>Refill</t>
        </is>
      </c>
      <c r="D1567" t="inlineStr">
        <is>
          <t>Primer Liso</t>
        </is>
      </c>
      <c r="E1567" t="n">
        <v>1</v>
      </c>
      <c r="F1567" t="inlineStr">
        <is>
          <t>2026-02-02</t>
        </is>
      </c>
      <c r="G1567" t="n">
        <v>152</v>
      </c>
      <c r="H1567" t="inlineStr">
        <is>
          <t>Y</t>
        </is>
      </c>
      <c r="I1567">
        <f>HYPERLINK("https://admin.shopify.com/store/ge-beauty-cosmeticos/customers/7762198036800","abrir")</f>
        <v/>
      </c>
      <c r="J1567">
        <f>HYPERLINK("https://www.gebeauty.com.br/products/primer-liso-intacto?ref=review","review")</f>
        <v/>
      </c>
      <c r="K1567" t="inlineStr">
        <is>
          <t>SEND</t>
        </is>
      </c>
    </row>
    <row r="1568">
      <c r="A1568" t="inlineStr">
        <is>
          <t>Nataly</t>
        </is>
      </c>
      <c r="B1568" t="inlineStr">
        <is>
          <t>+5521998080277</t>
        </is>
      </c>
      <c r="C1568" t="inlineStr">
        <is>
          <t>Refill</t>
        </is>
      </c>
      <c r="D1568" t="inlineStr">
        <is>
          <t>Primer Liso</t>
        </is>
      </c>
      <c r="E1568" t="n">
        <v>1</v>
      </c>
      <c r="F1568" t="inlineStr">
        <is>
          <t>2026-02-02</t>
        </is>
      </c>
      <c r="G1568" t="n">
        <v>152</v>
      </c>
      <c r="H1568" t="inlineStr">
        <is>
          <t>Y</t>
        </is>
      </c>
      <c r="I1568">
        <f>HYPERLINK("https://admin.shopify.com/store/ge-beauty-cosmeticos/customers/10092029149504","abrir")</f>
        <v/>
      </c>
      <c r="J1568">
        <f>HYPERLINK("https://www.gebeauty.com.br/products/primer-liso-intacto?ref=review","review")</f>
        <v/>
      </c>
      <c r="K1568" t="inlineStr">
        <is>
          <t>HOLDOUT</t>
        </is>
      </c>
    </row>
    <row r="1569">
      <c r="A1569" t="inlineStr">
        <is>
          <t>Cibele</t>
        </is>
      </c>
      <c r="B1569" t="inlineStr">
        <is>
          <t>+5511986098442</t>
        </is>
      </c>
      <c r="C1569" t="inlineStr">
        <is>
          <t>Refill</t>
        </is>
      </c>
      <c r="D1569" t="inlineStr">
        <is>
          <t>Primer Liso</t>
        </is>
      </c>
      <c r="E1569" t="n">
        <v>1</v>
      </c>
      <c r="F1569" t="inlineStr">
        <is>
          <t>2026-02-02</t>
        </is>
      </c>
      <c r="G1569" t="n">
        <v>152</v>
      </c>
      <c r="H1569" t="inlineStr">
        <is>
          <t>Y</t>
        </is>
      </c>
      <c r="I1569">
        <f>HYPERLINK("https://admin.shopify.com/store/ge-beauty-cosmeticos/customers/8416089276736","abrir")</f>
        <v/>
      </c>
      <c r="J1569">
        <f>HYPERLINK("https://www.gebeauty.com.br/products/primer-liso-intacto?ref=review","review")</f>
        <v/>
      </c>
      <c r="K1569" t="inlineStr">
        <is>
          <t>SEND</t>
        </is>
      </c>
    </row>
    <row r="1570">
      <c r="A1570" t="inlineStr">
        <is>
          <t>Luana</t>
        </is>
      </c>
      <c r="B1570" t="inlineStr">
        <is>
          <t>+5532999953496</t>
        </is>
      </c>
      <c r="C1570" t="inlineStr">
        <is>
          <t>Refill</t>
        </is>
      </c>
      <c r="D1570" t="inlineStr">
        <is>
          <t>Primer Liso</t>
        </is>
      </c>
      <c r="E1570" t="n">
        <v>1</v>
      </c>
      <c r="F1570" t="inlineStr">
        <is>
          <t>2026-02-03</t>
        </is>
      </c>
      <c r="G1570" t="n">
        <v>151</v>
      </c>
      <c r="H1570" t="inlineStr">
        <is>
          <t>Y</t>
        </is>
      </c>
      <c r="I1570">
        <f>HYPERLINK("https://admin.shopify.com/store/ge-beauty-cosmeticos/customers/10101008400704","abrir")</f>
        <v/>
      </c>
      <c r="J1570">
        <f>HYPERLINK("https://www.gebeauty.com.br/products/primer-liso-intacto?ref=review","review")</f>
        <v/>
      </c>
      <c r="K1570" t="inlineStr">
        <is>
          <t>SEND</t>
        </is>
      </c>
    </row>
    <row r="1571">
      <c r="A1571" t="inlineStr">
        <is>
          <t>Lorena</t>
        </is>
      </c>
      <c r="B1571" t="inlineStr">
        <is>
          <t>+5519999674767</t>
        </is>
      </c>
      <c r="C1571" t="inlineStr">
        <is>
          <t>Refill</t>
        </is>
      </c>
      <c r="D1571" t="inlineStr">
        <is>
          <t>Primer Liso</t>
        </is>
      </c>
      <c r="E1571" t="n">
        <v>1</v>
      </c>
      <c r="F1571" t="inlineStr">
        <is>
          <t>2026-02-03</t>
        </is>
      </c>
      <c r="G1571" t="n">
        <v>151</v>
      </c>
      <c r="H1571" t="inlineStr">
        <is>
          <t>Y</t>
        </is>
      </c>
      <c r="I1571">
        <f>HYPERLINK("https://admin.shopify.com/store/ge-beauty-cosmeticos/customers/10101069873472","abrir")</f>
        <v/>
      </c>
      <c r="J1571">
        <f>HYPERLINK("https://www.gebeauty.com.br/products/primer-liso-intacto?ref=review","review")</f>
        <v/>
      </c>
      <c r="K1571" t="inlineStr">
        <is>
          <t>HOLDOUT</t>
        </is>
      </c>
    </row>
    <row r="1572">
      <c r="A1572" t="inlineStr">
        <is>
          <t>Karen</t>
        </is>
      </c>
      <c r="B1572" t="inlineStr">
        <is>
          <t>+5511985569923</t>
        </is>
      </c>
      <c r="C1572" t="inlineStr">
        <is>
          <t>Refill</t>
        </is>
      </c>
      <c r="D1572" t="inlineStr">
        <is>
          <t>Primer Liso</t>
        </is>
      </c>
      <c r="E1572" t="n">
        <v>1</v>
      </c>
      <c r="F1572" t="inlineStr">
        <is>
          <t>2026-02-03</t>
        </is>
      </c>
      <c r="G1572" t="n">
        <v>151</v>
      </c>
      <c r="H1572" t="inlineStr">
        <is>
          <t>Y</t>
        </is>
      </c>
      <c r="I1572">
        <f>HYPERLINK("https://admin.shopify.com/store/ge-beauty-cosmeticos/customers/10101095563584","abrir")</f>
        <v/>
      </c>
      <c r="J1572">
        <f>HYPERLINK("https://www.gebeauty.com.br/products/primer-liso-intacto?ref=review","review")</f>
        <v/>
      </c>
      <c r="K1572" t="inlineStr">
        <is>
          <t>SEND</t>
        </is>
      </c>
    </row>
    <row r="1573">
      <c r="A1573" t="inlineStr">
        <is>
          <t>Lidiane</t>
        </is>
      </c>
      <c r="B1573" t="inlineStr">
        <is>
          <t>+5511991472323</t>
        </is>
      </c>
      <c r="C1573" t="inlineStr">
        <is>
          <t>Refill</t>
        </is>
      </c>
      <c r="D1573" t="inlineStr">
        <is>
          <t>Primer Liso</t>
        </is>
      </c>
      <c r="E1573" t="n">
        <v>1</v>
      </c>
      <c r="F1573" t="inlineStr">
        <is>
          <t>2026-02-03</t>
        </is>
      </c>
      <c r="G1573" t="n">
        <v>151</v>
      </c>
      <c r="H1573" t="inlineStr">
        <is>
          <t>Y</t>
        </is>
      </c>
      <c r="I1573">
        <f>HYPERLINK("https://admin.shopify.com/store/ge-beauty-cosmeticos/customers/8262194397504","abrir")</f>
        <v/>
      </c>
      <c r="J1573">
        <f>HYPERLINK("https://www.gebeauty.com.br/products/primer-liso-intacto?ref=review","review")</f>
        <v/>
      </c>
      <c r="K1573" t="inlineStr">
        <is>
          <t>SEND</t>
        </is>
      </c>
    </row>
    <row r="1574">
      <c r="A1574" t="inlineStr">
        <is>
          <t>Bianca</t>
        </is>
      </c>
      <c r="B1574" t="inlineStr">
        <is>
          <t>+5535991558821</t>
        </is>
      </c>
      <c r="C1574" t="inlineStr">
        <is>
          <t>Refill</t>
        </is>
      </c>
      <c r="D1574" t="inlineStr">
        <is>
          <t>Primer Liso</t>
        </is>
      </c>
      <c r="E1574" t="n">
        <v>1</v>
      </c>
      <c r="F1574" t="inlineStr">
        <is>
          <t>2026-02-03</t>
        </is>
      </c>
      <c r="G1574" t="n">
        <v>151</v>
      </c>
      <c r="H1574" t="inlineStr">
        <is>
          <t>Y</t>
        </is>
      </c>
      <c r="I1574">
        <f>HYPERLINK("https://admin.shopify.com/store/ge-beauty-cosmeticos/customers/10101755642176","abrir")</f>
        <v/>
      </c>
      <c r="J1574">
        <f>HYPERLINK("https://www.gebeauty.com.br/products/primer-liso-intacto?ref=review","review")</f>
        <v/>
      </c>
      <c r="K1574" t="inlineStr">
        <is>
          <t>SEND</t>
        </is>
      </c>
    </row>
    <row r="1575">
      <c r="A1575" t="inlineStr">
        <is>
          <t>Jordana</t>
        </is>
      </c>
      <c r="B1575" t="inlineStr">
        <is>
          <t>+5531987891526</t>
        </is>
      </c>
      <c r="C1575" t="inlineStr">
        <is>
          <t>Refill</t>
        </is>
      </c>
      <c r="D1575" t="inlineStr">
        <is>
          <t>Primer Liso</t>
        </is>
      </c>
      <c r="E1575" t="n">
        <v>1</v>
      </c>
      <c r="F1575" t="inlineStr">
        <is>
          <t>2026-02-03</t>
        </is>
      </c>
      <c r="G1575" t="n">
        <v>151</v>
      </c>
      <c r="H1575" t="inlineStr">
        <is>
          <t>Y</t>
        </is>
      </c>
      <c r="I1575">
        <f>HYPERLINK("https://admin.shopify.com/store/ge-beauty-cosmeticos/customers/9909988491584","abrir")</f>
        <v/>
      </c>
      <c r="J1575">
        <f>HYPERLINK("https://www.gebeauty.com.br/products/primer-liso-intacto?ref=review","review")</f>
        <v/>
      </c>
      <c r="K1575" t="inlineStr">
        <is>
          <t>SEND</t>
        </is>
      </c>
    </row>
    <row r="1576">
      <c r="A1576" t="inlineStr">
        <is>
          <t>Cynthia</t>
        </is>
      </c>
      <c r="B1576" t="inlineStr">
        <is>
          <t>+5531992829525</t>
        </is>
      </c>
      <c r="C1576" t="inlineStr">
        <is>
          <t>Refill</t>
        </is>
      </c>
      <c r="D1576" t="inlineStr">
        <is>
          <t>Primer Liso</t>
        </is>
      </c>
      <c r="E1576" t="n">
        <v>1</v>
      </c>
      <c r="F1576" t="inlineStr">
        <is>
          <t>2026-02-03</t>
        </is>
      </c>
      <c r="G1576" t="n">
        <v>151</v>
      </c>
      <c r="H1576" t="inlineStr">
        <is>
          <t>Y</t>
        </is>
      </c>
      <c r="I1576">
        <f>HYPERLINK("https://admin.shopify.com/store/ge-beauty-cosmeticos/customers/10101919711552","abrir")</f>
        <v/>
      </c>
      <c r="J1576">
        <f>HYPERLINK("https://www.gebeauty.com.br/products/primer-liso-intacto?ref=review","review")</f>
        <v/>
      </c>
      <c r="K1576" t="inlineStr">
        <is>
          <t>SEND</t>
        </is>
      </c>
    </row>
    <row r="1577">
      <c r="A1577" t="inlineStr">
        <is>
          <t>Livia</t>
        </is>
      </c>
      <c r="B1577" t="inlineStr">
        <is>
          <t>+5521980579594</t>
        </is>
      </c>
      <c r="C1577" t="inlineStr">
        <is>
          <t>Refill</t>
        </is>
      </c>
      <c r="D1577" t="inlineStr">
        <is>
          <t>Primer Liso</t>
        </is>
      </c>
      <c r="E1577" t="n">
        <v>1</v>
      </c>
      <c r="F1577" t="inlineStr">
        <is>
          <t>2026-02-03</t>
        </is>
      </c>
      <c r="G1577" t="n">
        <v>151</v>
      </c>
      <c r="H1577" t="inlineStr">
        <is>
          <t>Y</t>
        </is>
      </c>
      <c r="I1577">
        <f>HYPERLINK("https://admin.shopify.com/store/ge-beauty-cosmeticos/customers/10100522746176","abrir")</f>
        <v/>
      </c>
      <c r="J1577">
        <f>HYPERLINK("https://www.gebeauty.com.br/products/primer-liso-intacto?ref=review","review")</f>
        <v/>
      </c>
      <c r="K1577" t="inlineStr">
        <is>
          <t>HOLDOUT</t>
        </is>
      </c>
    </row>
    <row r="1578">
      <c r="A1578" t="inlineStr">
        <is>
          <t>Cássia</t>
        </is>
      </c>
      <c r="B1578" t="inlineStr">
        <is>
          <t>+5515997475723</t>
        </is>
      </c>
      <c r="C1578" t="inlineStr">
        <is>
          <t>Refill</t>
        </is>
      </c>
      <c r="D1578" t="inlineStr">
        <is>
          <t>Primer Liso</t>
        </is>
      </c>
      <c r="E1578" t="n">
        <v>1</v>
      </c>
      <c r="F1578" t="inlineStr">
        <is>
          <t>2026-02-03</t>
        </is>
      </c>
      <c r="G1578" t="n">
        <v>151</v>
      </c>
      <c r="H1578" t="inlineStr">
        <is>
          <t>Y</t>
        </is>
      </c>
      <c r="I1578">
        <f>HYPERLINK("https://admin.shopify.com/store/ge-beauty-cosmeticos/customers/9755003748672","abrir")</f>
        <v/>
      </c>
      <c r="J1578">
        <f>HYPERLINK("https://www.gebeauty.com.br/products/primer-liso-intacto?ref=review","review")</f>
        <v/>
      </c>
      <c r="K1578" t="inlineStr">
        <is>
          <t>HOLDOUT</t>
        </is>
      </c>
    </row>
    <row r="1579">
      <c r="A1579" t="inlineStr">
        <is>
          <t>Daniela</t>
        </is>
      </c>
      <c r="B1579" t="inlineStr">
        <is>
          <t>+5511996261789</t>
        </is>
      </c>
      <c r="C1579" t="inlineStr">
        <is>
          <t>Refill</t>
        </is>
      </c>
      <c r="D1579" t="inlineStr">
        <is>
          <t>Primer Liso</t>
        </is>
      </c>
      <c r="E1579" t="n">
        <v>1</v>
      </c>
      <c r="F1579" t="inlineStr">
        <is>
          <t>2026-02-03</t>
        </is>
      </c>
      <c r="G1579" t="n">
        <v>151</v>
      </c>
      <c r="H1579" t="inlineStr">
        <is>
          <t>Y</t>
        </is>
      </c>
      <c r="I1579">
        <f>HYPERLINK("https://admin.shopify.com/store/ge-beauty-cosmeticos/customers/10102494855488","abrir")</f>
        <v/>
      </c>
      <c r="J1579">
        <f>HYPERLINK("https://www.gebeauty.com.br/products/primer-liso-intacto?ref=review","review")</f>
        <v/>
      </c>
      <c r="K1579" t="inlineStr">
        <is>
          <t>SEND</t>
        </is>
      </c>
    </row>
    <row r="1580">
      <c r="A1580" t="inlineStr">
        <is>
          <t>Elisa</t>
        </is>
      </c>
      <c r="B1580" t="inlineStr">
        <is>
          <t>+5521973215040</t>
        </is>
      </c>
      <c r="C1580" t="inlineStr">
        <is>
          <t>Refill</t>
        </is>
      </c>
      <c r="D1580" t="inlineStr">
        <is>
          <t>Primer Liso</t>
        </is>
      </c>
      <c r="E1580" t="n">
        <v>1</v>
      </c>
      <c r="F1580" t="inlineStr">
        <is>
          <t>2026-02-03</t>
        </is>
      </c>
      <c r="G1580" t="n">
        <v>151</v>
      </c>
      <c r="H1580" t="inlineStr">
        <is>
          <t>Y</t>
        </is>
      </c>
      <c r="I1580">
        <f>HYPERLINK("https://admin.shopify.com/store/ge-beauty-cosmeticos/customers/10097754767680","abrir")</f>
        <v/>
      </c>
      <c r="J1580">
        <f>HYPERLINK("https://www.gebeauty.com.br/products/primer-liso-intacto?ref=review","review")</f>
        <v/>
      </c>
      <c r="K1580" t="inlineStr">
        <is>
          <t>SEND</t>
        </is>
      </c>
    </row>
    <row r="1581">
      <c r="A1581" t="inlineStr">
        <is>
          <t>Vivian</t>
        </is>
      </c>
      <c r="B1581" t="inlineStr">
        <is>
          <t>+5548984143260</t>
        </is>
      </c>
      <c r="C1581" t="inlineStr">
        <is>
          <t>Refill</t>
        </is>
      </c>
      <c r="D1581" t="inlineStr">
        <is>
          <t>Primer Liso</t>
        </is>
      </c>
      <c r="E1581" t="n">
        <v>1</v>
      </c>
      <c r="F1581" t="inlineStr">
        <is>
          <t>2026-02-03</t>
        </is>
      </c>
      <c r="G1581" t="n">
        <v>151</v>
      </c>
      <c r="H1581" t="inlineStr">
        <is>
          <t>Y</t>
        </is>
      </c>
      <c r="I1581">
        <f>HYPERLINK("https://admin.shopify.com/store/ge-beauty-cosmeticos/customers/8519370408256","abrir")</f>
        <v/>
      </c>
      <c r="J1581">
        <f>HYPERLINK("https://www.gebeauty.com.br/products/primer-liso-intacto?ref=review","review")</f>
        <v/>
      </c>
      <c r="K1581" t="inlineStr">
        <is>
          <t>SEND</t>
        </is>
      </c>
    </row>
    <row r="1582">
      <c r="A1582" t="inlineStr">
        <is>
          <t>Bárbara</t>
        </is>
      </c>
      <c r="B1582" t="inlineStr">
        <is>
          <t>+5519992779063</t>
        </is>
      </c>
      <c r="C1582" t="inlineStr">
        <is>
          <t>Refill</t>
        </is>
      </c>
      <c r="D1582" t="inlineStr">
        <is>
          <t>Primer Liso</t>
        </is>
      </c>
      <c r="E1582" t="n">
        <v>1</v>
      </c>
      <c r="F1582" t="inlineStr">
        <is>
          <t>2026-02-03</t>
        </is>
      </c>
      <c r="G1582" t="n">
        <v>151</v>
      </c>
      <c r="H1582" t="inlineStr">
        <is>
          <t>Y</t>
        </is>
      </c>
      <c r="I1582">
        <f>HYPERLINK("https://admin.shopify.com/store/ge-beauty-cosmeticos/customers/10102228123968","abrir")</f>
        <v/>
      </c>
      <c r="J1582">
        <f>HYPERLINK("https://www.gebeauty.com.br/products/primer-liso-intacto?ref=review","review")</f>
        <v/>
      </c>
      <c r="K1582" t="inlineStr">
        <is>
          <t>SEND</t>
        </is>
      </c>
    </row>
    <row r="1583">
      <c r="A1583" t="inlineStr">
        <is>
          <t>Renata</t>
        </is>
      </c>
      <c r="B1583" t="inlineStr">
        <is>
          <t>+5511961089866</t>
        </is>
      </c>
      <c r="C1583" t="inlineStr">
        <is>
          <t>Refill</t>
        </is>
      </c>
      <c r="D1583" t="inlineStr">
        <is>
          <t>Primer Liso</t>
        </is>
      </c>
      <c r="E1583" t="n">
        <v>1</v>
      </c>
      <c r="F1583" t="inlineStr">
        <is>
          <t>2026-02-04</t>
        </is>
      </c>
      <c r="G1583" t="n">
        <v>150</v>
      </c>
      <c r="H1583" t="inlineStr">
        <is>
          <t>Y</t>
        </is>
      </c>
      <c r="I1583">
        <f>HYPERLINK("https://admin.shopify.com/store/ge-beauty-cosmeticos/customers/10114200404288","abrir")</f>
        <v/>
      </c>
      <c r="J1583">
        <f>HYPERLINK("https://www.gebeauty.com.br/products/primer-liso-intacto?ref=review","review")</f>
        <v/>
      </c>
      <c r="K1583" t="inlineStr">
        <is>
          <t>SEND</t>
        </is>
      </c>
    </row>
    <row r="1584">
      <c r="A1584" t="inlineStr">
        <is>
          <t>Ludymila</t>
        </is>
      </c>
      <c r="B1584" t="inlineStr">
        <is>
          <t>+5561982189111</t>
        </is>
      </c>
      <c r="C1584" t="inlineStr">
        <is>
          <t>Refill</t>
        </is>
      </c>
      <c r="D1584" t="inlineStr">
        <is>
          <t>Primer Liso</t>
        </is>
      </c>
      <c r="E1584" t="n">
        <v>1</v>
      </c>
      <c r="F1584" t="inlineStr">
        <is>
          <t>2026-02-04</t>
        </is>
      </c>
      <c r="G1584" t="n">
        <v>150</v>
      </c>
      <c r="H1584" t="inlineStr">
        <is>
          <t>Y</t>
        </is>
      </c>
      <c r="I1584">
        <f>HYPERLINK("https://admin.shopify.com/store/ge-beauty-cosmeticos/customers/10095773385024","abrir")</f>
        <v/>
      </c>
      <c r="J1584">
        <f>HYPERLINK("https://www.gebeauty.com.br/products/primer-liso-intacto?ref=review","review")</f>
        <v/>
      </c>
      <c r="K1584" t="inlineStr">
        <is>
          <t>HOLDOUT</t>
        </is>
      </c>
    </row>
    <row r="1585">
      <c r="A1585" t="inlineStr">
        <is>
          <t>Vanessa</t>
        </is>
      </c>
      <c r="B1585" t="inlineStr">
        <is>
          <t>+5521997970105</t>
        </is>
      </c>
      <c r="C1585" t="inlineStr">
        <is>
          <t>Refill</t>
        </is>
      </c>
      <c r="D1585" t="inlineStr">
        <is>
          <t>Primer Liso</t>
        </is>
      </c>
      <c r="E1585" t="n">
        <v>1</v>
      </c>
      <c r="F1585" t="inlineStr">
        <is>
          <t>2026-02-04</t>
        </is>
      </c>
      <c r="G1585" t="n">
        <v>150</v>
      </c>
      <c r="H1585" t="inlineStr">
        <is>
          <t>Y</t>
        </is>
      </c>
      <c r="I1585">
        <f>HYPERLINK("https://admin.shopify.com/store/ge-beauty-cosmeticos/customers/10117305172288","abrir")</f>
        <v/>
      </c>
      <c r="J1585">
        <f>HYPERLINK("https://www.gebeauty.com.br/products/primer-liso-intacto?ref=review","review")</f>
        <v/>
      </c>
      <c r="K1585" t="inlineStr">
        <is>
          <t>HOLDOUT</t>
        </is>
      </c>
    </row>
    <row r="1586">
      <c r="A1586" t="inlineStr">
        <is>
          <t>Wellida</t>
        </is>
      </c>
      <c r="B1586" t="inlineStr">
        <is>
          <t>+5588997787299</t>
        </is>
      </c>
      <c r="C1586" t="inlineStr">
        <is>
          <t>Refill</t>
        </is>
      </c>
      <c r="D1586" t="inlineStr">
        <is>
          <t>Primer Liso</t>
        </is>
      </c>
      <c r="E1586" t="n">
        <v>1</v>
      </c>
      <c r="F1586" t="inlineStr">
        <is>
          <t>2026-02-04</t>
        </is>
      </c>
      <c r="G1586" t="n">
        <v>150</v>
      </c>
      <c r="H1586" t="inlineStr">
        <is>
          <t>Y</t>
        </is>
      </c>
      <c r="I1586">
        <f>HYPERLINK("https://admin.shopify.com/store/ge-beauty-cosmeticos/customers/10128807002432","abrir")</f>
        <v/>
      </c>
      <c r="J1586">
        <f>HYPERLINK("https://www.gebeauty.com.br/products/primer-liso-intacto?ref=review","review")</f>
        <v/>
      </c>
      <c r="K1586" t="inlineStr">
        <is>
          <t>SEND</t>
        </is>
      </c>
    </row>
    <row r="1587">
      <c r="A1587" t="inlineStr">
        <is>
          <t>Daniellen</t>
        </is>
      </c>
      <c r="B1587" t="inlineStr">
        <is>
          <t>+5527999334687</t>
        </is>
      </c>
      <c r="C1587" t="inlineStr">
        <is>
          <t>Refill</t>
        </is>
      </c>
      <c r="D1587" t="inlineStr">
        <is>
          <t>Primer Liso</t>
        </is>
      </c>
      <c r="E1587" t="n">
        <v>1</v>
      </c>
      <c r="F1587" t="inlineStr">
        <is>
          <t>2026-02-04</t>
        </is>
      </c>
      <c r="G1587" t="n">
        <v>150</v>
      </c>
      <c r="H1587" t="inlineStr">
        <is>
          <t>Y</t>
        </is>
      </c>
      <c r="I1587">
        <f>HYPERLINK("https://admin.shopify.com/store/ge-beauty-cosmeticos/customers/10128850420032","abrir")</f>
        <v/>
      </c>
      <c r="J1587">
        <f>HYPERLINK("https://www.gebeauty.com.br/products/primer-liso-intacto?ref=review","review")</f>
        <v/>
      </c>
      <c r="K1587" t="inlineStr">
        <is>
          <t>SEND</t>
        </is>
      </c>
    </row>
    <row r="1588">
      <c r="A1588" t="inlineStr">
        <is>
          <t>Viviane</t>
        </is>
      </c>
      <c r="B1588" t="inlineStr">
        <is>
          <t>+5531999727221</t>
        </is>
      </c>
      <c r="C1588" t="inlineStr">
        <is>
          <t>Refill</t>
        </is>
      </c>
      <c r="D1588" t="inlineStr">
        <is>
          <t>Primer Liso</t>
        </is>
      </c>
      <c r="E1588" t="n">
        <v>1</v>
      </c>
      <c r="F1588" t="inlineStr">
        <is>
          <t>2026-02-04</t>
        </is>
      </c>
      <c r="G1588" t="n">
        <v>150</v>
      </c>
      <c r="H1588" t="inlineStr">
        <is>
          <t>Y</t>
        </is>
      </c>
      <c r="I1588">
        <f>HYPERLINK("https://admin.shopify.com/store/ge-beauty-cosmeticos/customers/10129092084032","abrir")</f>
        <v/>
      </c>
      <c r="J1588">
        <f>HYPERLINK("https://www.gebeauty.com.br/products/primer-liso-intacto?ref=review","review")</f>
        <v/>
      </c>
      <c r="K1588" t="inlineStr">
        <is>
          <t>SEND</t>
        </is>
      </c>
    </row>
    <row r="1589">
      <c r="A1589" t="inlineStr">
        <is>
          <t>Rejane</t>
        </is>
      </c>
      <c r="B1589" t="inlineStr">
        <is>
          <t>+5521982088965</t>
        </is>
      </c>
      <c r="C1589" t="inlineStr">
        <is>
          <t>Refill</t>
        </is>
      </c>
      <c r="D1589" t="inlineStr">
        <is>
          <t>Primer Liso</t>
        </is>
      </c>
      <c r="E1589" t="n">
        <v>1</v>
      </c>
      <c r="F1589" t="inlineStr">
        <is>
          <t>2026-02-04</t>
        </is>
      </c>
      <c r="G1589" t="n">
        <v>150</v>
      </c>
      <c r="H1589" t="inlineStr">
        <is>
          <t>Y</t>
        </is>
      </c>
      <c r="I1589">
        <f>HYPERLINK("https://admin.shopify.com/store/ge-beauty-cosmeticos/customers/10129655759168","abrir")</f>
        <v/>
      </c>
      <c r="J1589">
        <f>HYPERLINK("https://www.gebeauty.com.br/products/primer-liso-intacto?ref=review","review")</f>
        <v/>
      </c>
      <c r="K1589" t="inlineStr">
        <is>
          <t>SEND</t>
        </is>
      </c>
    </row>
    <row r="1590">
      <c r="A1590" t="inlineStr">
        <is>
          <t>Manoella</t>
        </is>
      </c>
      <c r="B1590" t="inlineStr">
        <is>
          <t>+5511950312229</t>
        </is>
      </c>
      <c r="C1590" t="inlineStr">
        <is>
          <t>Refill</t>
        </is>
      </c>
      <c r="D1590" t="inlineStr">
        <is>
          <t>Primer Liso</t>
        </is>
      </c>
      <c r="E1590" t="n">
        <v>1</v>
      </c>
      <c r="F1590" t="inlineStr">
        <is>
          <t>2026-02-04</t>
        </is>
      </c>
      <c r="G1590" t="n">
        <v>150</v>
      </c>
      <c r="H1590" t="inlineStr">
        <is>
          <t>Y</t>
        </is>
      </c>
      <c r="I1590">
        <f>HYPERLINK("https://admin.shopify.com/store/ge-beauty-cosmeticos/customers/10129773789504","abrir")</f>
        <v/>
      </c>
      <c r="J1590">
        <f>HYPERLINK("https://www.gebeauty.com.br/products/primer-liso-intacto?ref=review","review")</f>
        <v/>
      </c>
      <c r="K1590" t="inlineStr">
        <is>
          <t>SEND</t>
        </is>
      </c>
    </row>
    <row r="1591">
      <c r="A1591" t="inlineStr">
        <is>
          <t>Alessandra</t>
        </is>
      </c>
      <c r="B1591" t="inlineStr">
        <is>
          <t>+5581984081260</t>
        </is>
      </c>
      <c r="C1591" t="inlineStr">
        <is>
          <t>Refill</t>
        </is>
      </c>
      <c r="D1591" t="inlineStr">
        <is>
          <t>Primer Liso</t>
        </is>
      </c>
      <c r="E1591" t="n">
        <v>1</v>
      </c>
      <c r="F1591" t="inlineStr">
        <is>
          <t>2026-02-04</t>
        </is>
      </c>
      <c r="G1591" t="n">
        <v>150</v>
      </c>
      <c r="H1591" t="inlineStr">
        <is>
          <t>Y</t>
        </is>
      </c>
      <c r="I1591">
        <f>HYPERLINK("https://admin.shopify.com/store/ge-beauty-cosmeticos/customers/10090362110272","abrir")</f>
        <v/>
      </c>
      <c r="J1591">
        <f>HYPERLINK("https://www.gebeauty.com.br/products/primer-liso-intacto?ref=review","review")</f>
        <v/>
      </c>
      <c r="K1591" t="inlineStr">
        <is>
          <t>SEND</t>
        </is>
      </c>
    </row>
    <row r="1592">
      <c r="A1592" t="inlineStr">
        <is>
          <t>Thaís</t>
        </is>
      </c>
      <c r="B1592" t="inlineStr">
        <is>
          <t>+5521964244042</t>
        </is>
      </c>
      <c r="C1592" t="inlineStr">
        <is>
          <t>Refill</t>
        </is>
      </c>
      <c r="D1592" t="inlineStr">
        <is>
          <t>Primer Liso</t>
        </is>
      </c>
      <c r="E1592" t="n">
        <v>1</v>
      </c>
      <c r="F1592" t="inlineStr">
        <is>
          <t>2026-02-04</t>
        </is>
      </c>
      <c r="G1592" t="n">
        <v>150</v>
      </c>
      <c r="H1592" t="inlineStr">
        <is>
          <t>Y</t>
        </is>
      </c>
      <c r="I1592">
        <f>HYPERLINK("https://admin.shopify.com/store/ge-beauty-cosmeticos/customers/9805018759488","abrir")</f>
        <v/>
      </c>
      <c r="J1592">
        <f>HYPERLINK("https://www.gebeauty.com.br/products/primer-liso-intacto?ref=review","review")</f>
        <v/>
      </c>
      <c r="K1592" t="inlineStr">
        <is>
          <t>HOLDOUT</t>
        </is>
      </c>
    </row>
    <row r="1593">
      <c r="A1593" t="inlineStr">
        <is>
          <t>Karoline</t>
        </is>
      </c>
      <c r="B1593" t="inlineStr">
        <is>
          <t>+5548999111554</t>
        </is>
      </c>
      <c r="C1593" t="inlineStr">
        <is>
          <t>Refill</t>
        </is>
      </c>
      <c r="D1593" t="inlineStr">
        <is>
          <t>Primer Liso</t>
        </is>
      </c>
      <c r="E1593" t="n">
        <v>1</v>
      </c>
      <c r="F1593" t="inlineStr">
        <is>
          <t>2026-02-04</t>
        </is>
      </c>
      <c r="G1593" t="n">
        <v>150</v>
      </c>
      <c r="H1593" t="inlineStr">
        <is>
          <t>Y</t>
        </is>
      </c>
      <c r="I1593">
        <f>HYPERLINK("https://admin.shopify.com/store/ge-beauty-cosmeticos/customers/10130986631488","abrir")</f>
        <v/>
      </c>
      <c r="J1593">
        <f>HYPERLINK("https://www.gebeauty.com.br/products/primer-liso-intacto?ref=review","review")</f>
        <v/>
      </c>
      <c r="K1593" t="inlineStr">
        <is>
          <t>SEND</t>
        </is>
      </c>
    </row>
    <row r="1594">
      <c r="A1594" t="inlineStr">
        <is>
          <t>Andrea</t>
        </is>
      </c>
      <c r="B1594" t="inlineStr">
        <is>
          <t>+5511981348888</t>
        </is>
      </c>
      <c r="C1594" t="inlineStr">
        <is>
          <t>Refill</t>
        </is>
      </c>
      <c r="D1594" t="inlineStr">
        <is>
          <t>Primer Liso</t>
        </is>
      </c>
      <c r="E1594" t="n">
        <v>1</v>
      </c>
      <c r="F1594" t="inlineStr">
        <is>
          <t>2026-02-05</t>
        </is>
      </c>
      <c r="G1594" t="n">
        <v>149</v>
      </c>
      <c r="H1594" t="inlineStr">
        <is>
          <t>Y</t>
        </is>
      </c>
      <c r="I1594">
        <f>HYPERLINK("https://admin.shopify.com/store/ge-beauty-cosmeticos/customers/10131095322944","abrir")</f>
        <v/>
      </c>
      <c r="J1594">
        <f>HYPERLINK("https://www.gebeauty.com.br/products/primer-liso-intacto?ref=review","review")</f>
        <v/>
      </c>
      <c r="K1594" t="inlineStr">
        <is>
          <t>SEND</t>
        </is>
      </c>
    </row>
    <row r="1595">
      <c r="A1595" t="inlineStr">
        <is>
          <t>Maria Leticia</t>
        </is>
      </c>
      <c r="B1595" t="inlineStr">
        <is>
          <t>+5511981653734</t>
        </is>
      </c>
      <c r="C1595" t="inlineStr">
        <is>
          <t>Refill</t>
        </is>
      </c>
      <c r="D1595" t="inlineStr">
        <is>
          <t>Primer Liso</t>
        </is>
      </c>
      <c r="E1595" t="n">
        <v>1</v>
      </c>
      <c r="F1595" t="inlineStr">
        <is>
          <t>2026-02-05</t>
        </is>
      </c>
      <c r="G1595" t="n">
        <v>149</v>
      </c>
      <c r="H1595" t="inlineStr">
        <is>
          <t>Y</t>
        </is>
      </c>
      <c r="I1595">
        <f>HYPERLINK("https://admin.shopify.com/store/ge-beauty-cosmeticos/customers/10131228066112","abrir")</f>
        <v/>
      </c>
      <c r="J1595">
        <f>HYPERLINK("https://www.gebeauty.com.br/products/primer-liso-intacto?ref=review","review")</f>
        <v/>
      </c>
      <c r="K1595" t="inlineStr">
        <is>
          <t>SEND</t>
        </is>
      </c>
    </row>
    <row r="1596">
      <c r="A1596" t="inlineStr">
        <is>
          <t>Julia</t>
        </is>
      </c>
      <c r="B1596" t="inlineStr">
        <is>
          <t>+5527981396890</t>
        </is>
      </c>
      <c r="C1596" t="inlineStr">
        <is>
          <t>Refill</t>
        </is>
      </c>
      <c r="D1596" t="inlineStr">
        <is>
          <t>Primer Liso</t>
        </is>
      </c>
      <c r="E1596" t="n">
        <v>1</v>
      </c>
      <c r="F1596" t="inlineStr">
        <is>
          <t>2026-02-05</t>
        </is>
      </c>
      <c r="G1596" t="n">
        <v>149</v>
      </c>
      <c r="H1596" t="inlineStr">
        <is>
          <t>Y</t>
        </is>
      </c>
      <c r="I1596">
        <f>HYPERLINK("https://admin.shopify.com/store/ge-beauty-cosmeticos/customers/10131885326656","abrir")</f>
        <v/>
      </c>
      <c r="J1596">
        <f>HYPERLINK("https://www.gebeauty.com.br/products/primer-liso-intacto?ref=review","review")</f>
        <v/>
      </c>
      <c r="K1596" t="inlineStr">
        <is>
          <t>SEND</t>
        </is>
      </c>
    </row>
    <row r="1597">
      <c r="A1597" t="inlineStr">
        <is>
          <t>Mariana</t>
        </is>
      </c>
      <c r="B1597" t="inlineStr">
        <is>
          <t>+5581997475342</t>
        </is>
      </c>
      <c r="C1597" t="inlineStr">
        <is>
          <t>Refill</t>
        </is>
      </c>
      <c r="D1597" t="inlineStr">
        <is>
          <t>Primer Liso</t>
        </is>
      </c>
      <c r="E1597" t="n">
        <v>1</v>
      </c>
      <c r="F1597" t="inlineStr">
        <is>
          <t>2026-02-05</t>
        </is>
      </c>
      <c r="G1597" t="n">
        <v>149</v>
      </c>
      <c r="H1597" t="inlineStr">
        <is>
          <t>Y</t>
        </is>
      </c>
      <c r="I1597">
        <f>HYPERLINK("https://admin.shopify.com/store/ge-beauty-cosmeticos/customers/9014686286144","abrir")</f>
        <v/>
      </c>
      <c r="J1597">
        <f>HYPERLINK("https://www.gebeauty.com.br/products/primer-liso-intacto?ref=review","review")</f>
        <v/>
      </c>
      <c r="K1597" t="inlineStr">
        <is>
          <t>SEND</t>
        </is>
      </c>
    </row>
    <row r="1598">
      <c r="A1598" t="inlineStr">
        <is>
          <t>Andrea</t>
        </is>
      </c>
      <c r="B1598" t="inlineStr">
        <is>
          <t>+5511941771301</t>
        </is>
      </c>
      <c r="C1598" t="inlineStr">
        <is>
          <t>Refill</t>
        </is>
      </c>
      <c r="D1598" t="inlineStr">
        <is>
          <t>Primer Liso</t>
        </is>
      </c>
      <c r="E1598" t="n">
        <v>1</v>
      </c>
      <c r="F1598" t="inlineStr">
        <is>
          <t>2026-02-05</t>
        </is>
      </c>
      <c r="G1598" t="n">
        <v>149</v>
      </c>
      <c r="H1598" t="inlineStr">
        <is>
          <t>Y</t>
        </is>
      </c>
      <c r="I1598">
        <f>HYPERLINK("https://admin.shopify.com/store/ge-beauty-cosmeticos/customers/10132290175296","abrir")</f>
        <v/>
      </c>
      <c r="J1598">
        <f>HYPERLINK("https://www.gebeauty.com.br/products/primer-liso-intacto?ref=review","review")</f>
        <v/>
      </c>
      <c r="K1598" t="inlineStr">
        <is>
          <t>SEND</t>
        </is>
      </c>
    </row>
    <row r="1599">
      <c r="A1599" t="inlineStr">
        <is>
          <t>Maria</t>
        </is>
      </c>
      <c r="B1599" t="inlineStr">
        <is>
          <t>+5562985050288</t>
        </is>
      </c>
      <c r="C1599" t="inlineStr">
        <is>
          <t>Refill</t>
        </is>
      </c>
      <c r="D1599" t="inlineStr">
        <is>
          <t>Primer Liso</t>
        </is>
      </c>
      <c r="E1599" t="n">
        <v>1</v>
      </c>
      <c r="F1599" t="inlineStr">
        <is>
          <t>2026-02-05</t>
        </is>
      </c>
      <c r="G1599" t="n">
        <v>149</v>
      </c>
      <c r="H1599" t="inlineStr">
        <is>
          <t>Y</t>
        </is>
      </c>
      <c r="I1599">
        <f>HYPERLINK("https://admin.shopify.com/store/ge-beauty-cosmeticos/customers/10132858175808","abrir")</f>
        <v/>
      </c>
      <c r="J1599">
        <f>HYPERLINK("https://www.gebeauty.com.br/products/primer-liso-intacto?ref=review","review")</f>
        <v/>
      </c>
      <c r="K1599" t="inlineStr">
        <is>
          <t>SEND</t>
        </is>
      </c>
    </row>
    <row r="1600">
      <c r="A1600" t="inlineStr">
        <is>
          <t>Julia</t>
        </is>
      </c>
      <c r="B1600" t="inlineStr">
        <is>
          <t>+5513991781340</t>
        </is>
      </c>
      <c r="C1600" t="inlineStr">
        <is>
          <t>Refill</t>
        </is>
      </c>
      <c r="D1600" t="inlineStr">
        <is>
          <t>Primer Liso</t>
        </is>
      </c>
      <c r="E1600" t="n">
        <v>1</v>
      </c>
      <c r="F1600" t="inlineStr">
        <is>
          <t>2026-02-05</t>
        </is>
      </c>
      <c r="G1600" t="n">
        <v>149</v>
      </c>
      <c r="H1600" t="inlineStr">
        <is>
          <t>Y</t>
        </is>
      </c>
      <c r="I1600">
        <f>HYPERLINK("https://admin.shopify.com/store/ge-beauty-cosmeticos/customers/9486646935872","abrir")</f>
        <v/>
      </c>
      <c r="J1600">
        <f>HYPERLINK("https://www.gebeauty.com.br/products/primer-liso-intacto?ref=review","review")</f>
        <v/>
      </c>
      <c r="K1600" t="inlineStr">
        <is>
          <t>SEND</t>
        </is>
      </c>
    </row>
    <row r="1601">
      <c r="A1601" t="inlineStr">
        <is>
          <t>Gabriela</t>
        </is>
      </c>
      <c r="B1601" t="inlineStr">
        <is>
          <t>+5531991084808</t>
        </is>
      </c>
      <c r="C1601" t="inlineStr">
        <is>
          <t>Refill</t>
        </is>
      </c>
      <c r="D1601" t="inlineStr">
        <is>
          <t>Primer Liso</t>
        </is>
      </c>
      <c r="E1601" t="n">
        <v>1</v>
      </c>
      <c r="F1601" t="inlineStr">
        <is>
          <t>2026-02-05</t>
        </is>
      </c>
      <c r="G1601" t="n">
        <v>149</v>
      </c>
      <c r="H1601" t="inlineStr">
        <is>
          <t>Y</t>
        </is>
      </c>
      <c r="I1601">
        <f>HYPERLINK("https://admin.shopify.com/store/ge-beauty-cosmeticos/customers/10136003281216","abrir")</f>
        <v/>
      </c>
      <c r="J1601">
        <f>HYPERLINK("https://www.gebeauty.com.br/products/primer-liso-intacto?ref=review","review")</f>
        <v/>
      </c>
      <c r="K1601" t="inlineStr">
        <is>
          <t>SEND</t>
        </is>
      </c>
    </row>
    <row r="1602">
      <c r="A1602" t="inlineStr">
        <is>
          <t>Claudia</t>
        </is>
      </c>
      <c r="B1602" t="inlineStr">
        <is>
          <t>+5511983312666</t>
        </is>
      </c>
      <c r="C1602" t="inlineStr">
        <is>
          <t>Refill</t>
        </is>
      </c>
      <c r="D1602" t="inlineStr">
        <is>
          <t>Primer Liso</t>
        </is>
      </c>
      <c r="E1602" t="n">
        <v>1</v>
      </c>
      <c r="F1602" t="inlineStr">
        <is>
          <t>2026-02-05</t>
        </is>
      </c>
      <c r="G1602" t="n">
        <v>149</v>
      </c>
      <c r="H1602" t="inlineStr">
        <is>
          <t>Y</t>
        </is>
      </c>
      <c r="I1602">
        <f>HYPERLINK("https://admin.shopify.com/store/ge-beauty-cosmeticos/customers/10136026186048","abrir")</f>
        <v/>
      </c>
      <c r="J1602">
        <f>HYPERLINK("https://www.gebeauty.com.br/products/primer-liso-intacto?ref=review","review")</f>
        <v/>
      </c>
      <c r="K1602" t="inlineStr">
        <is>
          <t>SEND</t>
        </is>
      </c>
    </row>
    <row r="1603">
      <c r="A1603" t="inlineStr">
        <is>
          <t>Rosangela</t>
        </is>
      </c>
      <c r="B1603" t="inlineStr">
        <is>
          <t>+5521995973209</t>
        </is>
      </c>
      <c r="C1603" t="inlineStr">
        <is>
          <t>Refill</t>
        </is>
      </c>
      <c r="D1603" t="inlineStr">
        <is>
          <t>Primer Liso</t>
        </is>
      </c>
      <c r="E1603" t="n">
        <v>1</v>
      </c>
      <c r="F1603" t="inlineStr">
        <is>
          <t>2026-02-05</t>
        </is>
      </c>
      <c r="G1603" t="n">
        <v>149</v>
      </c>
      <c r="H1603" t="inlineStr">
        <is>
          <t>Y</t>
        </is>
      </c>
      <c r="I1603">
        <f>HYPERLINK("https://admin.shopify.com/store/ge-beauty-cosmeticos/customers/10136555979072","abrir")</f>
        <v/>
      </c>
      <c r="J1603">
        <f>HYPERLINK("https://www.gebeauty.com.br/products/primer-liso-intacto?ref=review","review")</f>
        <v/>
      </c>
      <c r="K1603" t="inlineStr">
        <is>
          <t>SEND</t>
        </is>
      </c>
    </row>
    <row r="1604">
      <c r="A1604" t="inlineStr">
        <is>
          <t>Fatima</t>
        </is>
      </c>
      <c r="B1604" t="inlineStr">
        <is>
          <t>+5511974459282</t>
        </is>
      </c>
      <c r="C1604" t="inlineStr">
        <is>
          <t>Refill</t>
        </is>
      </c>
      <c r="D1604" t="inlineStr">
        <is>
          <t>Primer Liso</t>
        </is>
      </c>
      <c r="E1604" t="n">
        <v>1</v>
      </c>
      <c r="F1604" t="inlineStr">
        <is>
          <t>2026-02-06</t>
        </is>
      </c>
      <c r="G1604" t="n">
        <v>148</v>
      </c>
      <c r="H1604" t="inlineStr">
        <is>
          <t>Y</t>
        </is>
      </c>
      <c r="I1604">
        <f>HYPERLINK("https://admin.shopify.com/store/ge-beauty-cosmeticos/customers/10138087915840","abrir")</f>
        <v/>
      </c>
      <c r="J1604">
        <f>HYPERLINK("https://www.gebeauty.com.br/products/primer-liso-intacto?ref=review","review")</f>
        <v/>
      </c>
      <c r="K1604" t="inlineStr">
        <is>
          <t>SEND</t>
        </is>
      </c>
    </row>
    <row r="1605">
      <c r="A1605" t="inlineStr">
        <is>
          <t>Renata</t>
        </is>
      </c>
      <c r="B1605" t="inlineStr">
        <is>
          <t>+5551998665576</t>
        </is>
      </c>
      <c r="C1605" t="inlineStr">
        <is>
          <t>Refill</t>
        </is>
      </c>
      <c r="D1605" t="inlineStr">
        <is>
          <t>Primer Liso</t>
        </is>
      </c>
      <c r="E1605" t="n">
        <v>1</v>
      </c>
      <c r="F1605" t="inlineStr">
        <is>
          <t>2026-02-06</t>
        </is>
      </c>
      <c r="G1605" t="n">
        <v>148</v>
      </c>
      <c r="H1605" t="inlineStr">
        <is>
          <t>Y</t>
        </is>
      </c>
      <c r="I1605">
        <f>HYPERLINK("https://admin.shopify.com/store/ge-beauty-cosmeticos/customers/9983139512640","abrir")</f>
        <v/>
      </c>
      <c r="J1605">
        <f>HYPERLINK("https://www.gebeauty.com.br/products/primer-liso-intacto?ref=review","review")</f>
        <v/>
      </c>
      <c r="K1605" t="inlineStr">
        <is>
          <t>HOLDOUT</t>
        </is>
      </c>
    </row>
    <row r="1606">
      <c r="A1606" t="inlineStr">
        <is>
          <t>Fernanda</t>
        </is>
      </c>
      <c r="B1606" t="inlineStr">
        <is>
          <t>+5521999003053</t>
        </is>
      </c>
      <c r="C1606" t="inlineStr">
        <is>
          <t>Refill</t>
        </is>
      </c>
      <c r="D1606" t="inlineStr">
        <is>
          <t>Primer Liso</t>
        </is>
      </c>
      <c r="E1606" t="n">
        <v>1</v>
      </c>
      <c r="F1606" t="inlineStr">
        <is>
          <t>2026-02-06</t>
        </is>
      </c>
      <c r="G1606" t="n">
        <v>148</v>
      </c>
      <c r="H1606" t="inlineStr">
        <is>
          <t>Y</t>
        </is>
      </c>
      <c r="I1606">
        <f>HYPERLINK("https://admin.shopify.com/store/ge-beauty-cosmeticos/customers/9795867541824","abrir")</f>
        <v/>
      </c>
      <c r="J1606">
        <f>HYPERLINK("https://www.gebeauty.com.br/products/primer-liso-intacto?ref=review","review")</f>
        <v/>
      </c>
      <c r="K1606" t="inlineStr">
        <is>
          <t>SEND</t>
        </is>
      </c>
    </row>
    <row r="1607">
      <c r="A1607" t="inlineStr">
        <is>
          <t>Lilian</t>
        </is>
      </c>
      <c r="B1607" t="inlineStr">
        <is>
          <t>+5518997430506</t>
        </is>
      </c>
      <c r="C1607" t="inlineStr">
        <is>
          <t>Refill</t>
        </is>
      </c>
      <c r="D1607" t="inlineStr">
        <is>
          <t>Primer Liso</t>
        </is>
      </c>
      <c r="E1607" t="n">
        <v>1</v>
      </c>
      <c r="F1607" t="inlineStr">
        <is>
          <t>2026-02-06</t>
        </is>
      </c>
      <c r="G1607" t="n">
        <v>148</v>
      </c>
      <c r="H1607" t="inlineStr">
        <is>
          <t>Y</t>
        </is>
      </c>
      <c r="I1607">
        <f>HYPERLINK("https://admin.shopify.com/store/ge-beauty-cosmeticos/customers/10142656921920","abrir")</f>
        <v/>
      </c>
      <c r="J1607">
        <f>HYPERLINK("https://www.gebeauty.com.br/products/primer-liso-intacto?ref=review","review")</f>
        <v/>
      </c>
      <c r="K1607" t="inlineStr">
        <is>
          <t>SEND</t>
        </is>
      </c>
    </row>
    <row r="1608">
      <c r="A1608" t="inlineStr">
        <is>
          <t>Paula</t>
        </is>
      </c>
      <c r="B1608" t="inlineStr">
        <is>
          <t>+5511992890985</t>
        </is>
      </c>
      <c r="C1608" t="inlineStr">
        <is>
          <t>Refill</t>
        </is>
      </c>
      <c r="D1608" t="inlineStr">
        <is>
          <t>Primer Liso</t>
        </is>
      </c>
      <c r="E1608" t="n">
        <v>1</v>
      </c>
      <c r="F1608" t="inlineStr">
        <is>
          <t>2026-02-06</t>
        </is>
      </c>
      <c r="G1608" t="n">
        <v>148</v>
      </c>
      <c r="H1608" t="inlineStr">
        <is>
          <t>Y</t>
        </is>
      </c>
      <c r="I1608">
        <f>HYPERLINK("https://admin.shopify.com/store/ge-beauty-cosmeticos/customers/7761142055232","abrir")</f>
        <v/>
      </c>
      <c r="J1608">
        <f>HYPERLINK("https://www.gebeauty.com.br/products/primer-liso-intacto?ref=review","review")</f>
        <v/>
      </c>
      <c r="K1608" t="inlineStr">
        <is>
          <t>SEND</t>
        </is>
      </c>
    </row>
    <row r="1609">
      <c r="A1609" t="inlineStr">
        <is>
          <t>Tatiana</t>
        </is>
      </c>
      <c r="B1609" t="inlineStr">
        <is>
          <t>+5511976120889</t>
        </is>
      </c>
      <c r="C1609" t="inlineStr">
        <is>
          <t>Refill</t>
        </is>
      </c>
      <c r="D1609" t="inlineStr">
        <is>
          <t>Primer Liso</t>
        </is>
      </c>
      <c r="E1609" t="n">
        <v>1</v>
      </c>
      <c r="F1609" t="inlineStr">
        <is>
          <t>2026-02-06</t>
        </is>
      </c>
      <c r="G1609" t="n">
        <v>148</v>
      </c>
      <c r="H1609" t="inlineStr">
        <is>
          <t>Y</t>
        </is>
      </c>
      <c r="I1609">
        <f>HYPERLINK("https://admin.shopify.com/store/ge-beauty-cosmeticos/customers/9548087558464","abrir")</f>
        <v/>
      </c>
      <c r="J1609">
        <f>HYPERLINK("https://www.gebeauty.com.br/products/primer-liso-intacto?ref=review","review")</f>
        <v/>
      </c>
      <c r="K1609" t="inlineStr">
        <is>
          <t>HOLDOUT</t>
        </is>
      </c>
    </row>
    <row r="1610">
      <c r="A1610" t="inlineStr">
        <is>
          <t>Luiza</t>
        </is>
      </c>
      <c r="B1610" t="inlineStr">
        <is>
          <t>+5581988041982</t>
        </is>
      </c>
      <c r="C1610" t="inlineStr">
        <is>
          <t>Refill</t>
        </is>
      </c>
      <c r="D1610" t="inlineStr">
        <is>
          <t>Primer Liso</t>
        </is>
      </c>
      <c r="E1610" t="n">
        <v>1</v>
      </c>
      <c r="F1610" t="inlineStr">
        <is>
          <t>2026-02-06</t>
        </is>
      </c>
      <c r="G1610" t="n">
        <v>148</v>
      </c>
      <c r="H1610" t="inlineStr">
        <is>
          <t>Y</t>
        </is>
      </c>
      <c r="I1610">
        <f>HYPERLINK("https://admin.shopify.com/store/ge-beauty-cosmeticos/customers/10143121703232","abrir")</f>
        <v/>
      </c>
      <c r="J1610">
        <f>HYPERLINK("https://www.gebeauty.com.br/products/primer-liso-intacto?ref=review","review")</f>
        <v/>
      </c>
      <c r="K1610" t="inlineStr">
        <is>
          <t>SEND</t>
        </is>
      </c>
    </row>
    <row r="1611">
      <c r="A1611" t="inlineStr">
        <is>
          <t>Patrícia</t>
        </is>
      </c>
      <c r="B1611" t="inlineStr">
        <is>
          <t>+5511950191635</t>
        </is>
      </c>
      <c r="C1611" t="inlineStr">
        <is>
          <t>Refill</t>
        </is>
      </c>
      <c r="D1611" t="inlineStr">
        <is>
          <t>Primer Liso</t>
        </is>
      </c>
      <c r="E1611" t="n">
        <v>1</v>
      </c>
      <c r="F1611" t="inlineStr">
        <is>
          <t>2026-02-06</t>
        </is>
      </c>
      <c r="G1611" t="n">
        <v>148</v>
      </c>
      <c r="H1611" t="inlineStr">
        <is>
          <t>Y</t>
        </is>
      </c>
      <c r="I1611">
        <f>HYPERLINK("https://admin.shopify.com/store/ge-beauty-cosmeticos/customers/10143382667584","abrir")</f>
        <v/>
      </c>
      <c r="J1611">
        <f>HYPERLINK("https://www.gebeauty.com.br/products/primer-liso-intacto?ref=review","review")</f>
        <v/>
      </c>
      <c r="K1611" t="inlineStr">
        <is>
          <t>SEND</t>
        </is>
      </c>
    </row>
    <row r="1612">
      <c r="A1612" t="inlineStr">
        <is>
          <t>Michele</t>
        </is>
      </c>
      <c r="B1612" t="inlineStr">
        <is>
          <t>+5519982265155</t>
        </is>
      </c>
      <c r="C1612" t="inlineStr">
        <is>
          <t>Refill</t>
        </is>
      </c>
      <c r="D1612" t="inlineStr">
        <is>
          <t>Primer Liso</t>
        </is>
      </c>
      <c r="E1612" t="n">
        <v>1</v>
      </c>
      <c r="F1612" t="inlineStr">
        <is>
          <t>2026-02-07</t>
        </is>
      </c>
      <c r="G1612" t="n">
        <v>147</v>
      </c>
      <c r="H1612" t="inlineStr">
        <is>
          <t>Y</t>
        </is>
      </c>
      <c r="I1612">
        <f>HYPERLINK("https://admin.shopify.com/store/ge-beauty-cosmeticos/customers/10146057158976","abrir")</f>
        <v/>
      </c>
      <c r="J1612">
        <f>HYPERLINK("https://www.gebeauty.com.br/products/primer-liso-intacto?ref=review","review")</f>
        <v/>
      </c>
      <c r="K1612" t="inlineStr">
        <is>
          <t>SEND</t>
        </is>
      </c>
    </row>
    <row r="1613">
      <c r="A1613" t="inlineStr">
        <is>
          <t>Mariana</t>
        </is>
      </c>
      <c r="B1613" t="inlineStr">
        <is>
          <t>+5512981377574</t>
        </is>
      </c>
      <c r="C1613" t="inlineStr">
        <is>
          <t>Refill</t>
        </is>
      </c>
      <c r="D1613" t="inlineStr">
        <is>
          <t>Primer Liso</t>
        </is>
      </c>
      <c r="E1613" t="n">
        <v>1</v>
      </c>
      <c r="F1613" t="inlineStr">
        <is>
          <t>2026-02-07</t>
        </is>
      </c>
      <c r="G1613" t="n">
        <v>147</v>
      </c>
      <c r="H1613" t="inlineStr">
        <is>
          <t>Y</t>
        </is>
      </c>
      <c r="I1613">
        <f>HYPERLINK("https://admin.shopify.com/store/ge-beauty-cosmeticos/customers/10146630762816","abrir")</f>
        <v/>
      </c>
      <c r="J1613">
        <f>HYPERLINK("https://www.gebeauty.com.br/products/primer-liso-intacto?ref=review","review")</f>
        <v/>
      </c>
      <c r="K1613" t="inlineStr">
        <is>
          <t>SEND</t>
        </is>
      </c>
    </row>
    <row r="1614">
      <c r="A1614" t="inlineStr">
        <is>
          <t>Larissa</t>
        </is>
      </c>
      <c r="B1614" t="inlineStr">
        <is>
          <t>+5521987492878</t>
        </is>
      </c>
      <c r="C1614" t="inlineStr">
        <is>
          <t>Refill</t>
        </is>
      </c>
      <c r="D1614" t="inlineStr">
        <is>
          <t>Primer Liso</t>
        </is>
      </c>
      <c r="E1614" t="n">
        <v>1</v>
      </c>
      <c r="F1614" t="inlineStr">
        <is>
          <t>2026-02-07</t>
        </is>
      </c>
      <c r="G1614" t="n">
        <v>147</v>
      </c>
      <c r="H1614" t="inlineStr">
        <is>
          <t>Y</t>
        </is>
      </c>
      <c r="I1614">
        <f>HYPERLINK("https://admin.shopify.com/store/ge-beauty-cosmeticos/customers/10146977775936","abrir")</f>
        <v/>
      </c>
      <c r="J1614">
        <f>HYPERLINK("https://www.gebeauty.com.br/products/primer-liso-intacto?ref=review","review")</f>
        <v/>
      </c>
      <c r="K1614" t="inlineStr">
        <is>
          <t>SEND</t>
        </is>
      </c>
    </row>
    <row r="1615">
      <c r="A1615" t="inlineStr">
        <is>
          <t>Alberto</t>
        </is>
      </c>
      <c r="B1615" t="inlineStr">
        <is>
          <t>+5531998474916</t>
        </is>
      </c>
      <c r="C1615" t="inlineStr">
        <is>
          <t>Refill</t>
        </is>
      </c>
      <c r="D1615" t="inlineStr">
        <is>
          <t>Primer Liso</t>
        </is>
      </c>
      <c r="E1615" t="n">
        <v>1</v>
      </c>
      <c r="F1615" t="inlineStr">
        <is>
          <t>2026-02-07</t>
        </is>
      </c>
      <c r="G1615" t="n">
        <v>147</v>
      </c>
      <c r="H1615" t="inlineStr">
        <is>
          <t>Y</t>
        </is>
      </c>
      <c r="I1615">
        <f>HYPERLINK("https://admin.shopify.com/store/ge-beauty-cosmeticos/customers/9585565008192","abrir")</f>
        <v/>
      </c>
      <c r="J1615">
        <f>HYPERLINK("https://www.gebeauty.com.br/products/primer-liso-intacto?ref=review","review")</f>
        <v/>
      </c>
      <c r="K1615" t="inlineStr">
        <is>
          <t>SEND</t>
        </is>
      </c>
    </row>
    <row r="1616">
      <c r="A1616" t="inlineStr">
        <is>
          <t>Lais</t>
        </is>
      </c>
      <c r="B1616" t="inlineStr">
        <is>
          <t>+5521988322311</t>
        </is>
      </c>
      <c r="C1616" t="inlineStr">
        <is>
          <t>Refill</t>
        </is>
      </c>
      <c r="D1616" t="inlineStr">
        <is>
          <t>Primer Liso</t>
        </is>
      </c>
      <c r="E1616" t="n">
        <v>1</v>
      </c>
      <c r="F1616" t="inlineStr">
        <is>
          <t>2026-02-07</t>
        </is>
      </c>
      <c r="G1616" t="n">
        <v>147</v>
      </c>
      <c r="H1616" t="inlineStr">
        <is>
          <t>Y</t>
        </is>
      </c>
      <c r="I1616">
        <f>HYPERLINK("https://admin.shopify.com/store/ge-beauty-cosmeticos/customers/10147197452608","abrir")</f>
        <v/>
      </c>
      <c r="J1616">
        <f>HYPERLINK("https://www.gebeauty.com.br/products/primer-liso-intacto?ref=review","review")</f>
        <v/>
      </c>
      <c r="K1616" t="inlineStr">
        <is>
          <t>SEND</t>
        </is>
      </c>
    </row>
    <row r="1617">
      <c r="A1617" t="inlineStr">
        <is>
          <t>Diana</t>
        </is>
      </c>
      <c r="B1617" t="inlineStr">
        <is>
          <t>+5571981329098</t>
        </is>
      </c>
      <c r="C1617" t="inlineStr">
        <is>
          <t>Refill</t>
        </is>
      </c>
      <c r="D1617" t="inlineStr">
        <is>
          <t>Primer Liso</t>
        </is>
      </c>
      <c r="E1617" t="n">
        <v>1</v>
      </c>
      <c r="F1617" t="inlineStr">
        <is>
          <t>2026-02-07</t>
        </is>
      </c>
      <c r="G1617" t="n">
        <v>147</v>
      </c>
      <c r="H1617" t="inlineStr">
        <is>
          <t>Y</t>
        </is>
      </c>
      <c r="I1617">
        <f>HYPERLINK("https://admin.shopify.com/store/ge-beauty-cosmeticos/customers/10079241896256","abrir")</f>
        <v/>
      </c>
      <c r="J1617">
        <f>HYPERLINK("https://www.gebeauty.com.br/products/primer-liso-intacto?ref=review","review")</f>
        <v/>
      </c>
      <c r="K1617" t="inlineStr">
        <is>
          <t>HOLDOUT</t>
        </is>
      </c>
    </row>
    <row r="1618">
      <c r="A1618" t="inlineStr">
        <is>
          <t>Angela</t>
        </is>
      </c>
      <c r="B1618" t="inlineStr">
        <is>
          <t>+5521999625241</t>
        </is>
      </c>
      <c r="C1618" t="inlineStr">
        <is>
          <t>Refill</t>
        </is>
      </c>
      <c r="D1618" t="inlineStr">
        <is>
          <t>Primer Liso</t>
        </is>
      </c>
      <c r="E1618" t="n">
        <v>1</v>
      </c>
      <c r="F1618" t="inlineStr">
        <is>
          <t>2026-02-07</t>
        </is>
      </c>
      <c r="G1618" t="n">
        <v>147</v>
      </c>
      <c r="H1618" t="inlineStr">
        <is>
          <t>Y</t>
        </is>
      </c>
      <c r="I1618">
        <f>HYPERLINK("https://admin.shopify.com/store/ge-beauty-cosmeticos/customers/10070836576576","abrir")</f>
        <v/>
      </c>
      <c r="J1618">
        <f>HYPERLINK("https://www.gebeauty.com.br/products/primer-liso-intacto?ref=review","review")</f>
        <v/>
      </c>
      <c r="K1618" t="inlineStr">
        <is>
          <t>SEND</t>
        </is>
      </c>
    </row>
    <row r="1619">
      <c r="A1619" t="inlineStr">
        <is>
          <t>Mariana</t>
        </is>
      </c>
      <c r="B1619" t="inlineStr">
        <is>
          <t>+5512991925585</t>
        </is>
      </c>
      <c r="C1619" t="inlineStr">
        <is>
          <t>Refill</t>
        </is>
      </c>
      <c r="D1619" t="inlineStr">
        <is>
          <t>Primer Liso</t>
        </is>
      </c>
      <c r="E1619" t="n">
        <v>1</v>
      </c>
      <c r="F1619" t="inlineStr">
        <is>
          <t>2026-02-07</t>
        </is>
      </c>
      <c r="G1619" t="n">
        <v>147</v>
      </c>
      <c r="H1619" t="inlineStr">
        <is>
          <t>Y</t>
        </is>
      </c>
      <c r="I1619">
        <f>HYPERLINK("https://admin.shopify.com/store/ge-beauty-cosmeticos/customers/10101029765440","abrir")</f>
        <v/>
      </c>
      <c r="J1619">
        <f>HYPERLINK("https://www.gebeauty.com.br/products/primer-liso-intacto?ref=review","review")</f>
        <v/>
      </c>
      <c r="K1619" t="inlineStr">
        <is>
          <t>SEND</t>
        </is>
      </c>
    </row>
    <row r="1620">
      <c r="A1620" t="inlineStr">
        <is>
          <t>Tayury</t>
        </is>
      </c>
      <c r="B1620" t="inlineStr">
        <is>
          <t>+5581997703617</t>
        </is>
      </c>
      <c r="C1620" t="inlineStr">
        <is>
          <t>Refill</t>
        </is>
      </c>
      <c r="D1620" t="inlineStr">
        <is>
          <t>Primer Liso</t>
        </is>
      </c>
      <c r="E1620" t="n">
        <v>1</v>
      </c>
      <c r="F1620" t="inlineStr">
        <is>
          <t>2026-02-08</t>
        </is>
      </c>
      <c r="G1620" t="n">
        <v>146</v>
      </c>
      <c r="H1620" t="inlineStr">
        <is>
          <t>Y</t>
        </is>
      </c>
      <c r="I1620">
        <f>HYPERLINK("https://admin.shopify.com/store/ge-beauty-cosmeticos/customers/9990132957504","abrir")</f>
        <v/>
      </c>
      <c r="J1620">
        <f>HYPERLINK("https://www.gebeauty.com.br/products/primer-liso-intacto?ref=review","review")</f>
        <v/>
      </c>
      <c r="K1620" t="inlineStr">
        <is>
          <t>SEND</t>
        </is>
      </c>
    </row>
    <row r="1621">
      <c r="A1621" t="inlineStr">
        <is>
          <t>Cecilia</t>
        </is>
      </c>
      <c r="B1621" t="inlineStr">
        <is>
          <t>+5511987881609</t>
        </is>
      </c>
      <c r="C1621" t="inlineStr">
        <is>
          <t>Refill</t>
        </is>
      </c>
      <c r="D1621" t="inlineStr">
        <is>
          <t>Primer Liso</t>
        </is>
      </c>
      <c r="E1621" t="n">
        <v>1</v>
      </c>
      <c r="F1621" t="inlineStr">
        <is>
          <t>2026-02-08</t>
        </is>
      </c>
      <c r="G1621" t="n">
        <v>146</v>
      </c>
      <c r="H1621" t="inlineStr">
        <is>
          <t>Y</t>
        </is>
      </c>
      <c r="I1621">
        <f>HYPERLINK("https://admin.shopify.com/store/ge-beauty-cosmeticos/customers/10147483058496","abrir")</f>
        <v/>
      </c>
      <c r="J1621">
        <f>HYPERLINK("https://www.gebeauty.com.br/products/primer-liso-intacto?ref=review","review")</f>
        <v/>
      </c>
      <c r="K1621" t="inlineStr">
        <is>
          <t>SEND</t>
        </is>
      </c>
    </row>
    <row r="1622">
      <c r="A1622" t="inlineStr">
        <is>
          <t>Priscila</t>
        </is>
      </c>
      <c r="B1622" t="inlineStr">
        <is>
          <t>+5521981334643</t>
        </is>
      </c>
      <c r="C1622" t="inlineStr">
        <is>
          <t>Refill</t>
        </is>
      </c>
      <c r="D1622" t="inlineStr">
        <is>
          <t>Primer Liso</t>
        </is>
      </c>
      <c r="E1622" t="n">
        <v>1</v>
      </c>
      <c r="F1622" t="inlineStr">
        <is>
          <t>2026-02-08</t>
        </is>
      </c>
      <c r="G1622" t="n">
        <v>146</v>
      </c>
      <c r="H1622" t="inlineStr">
        <is>
          <t>Y</t>
        </is>
      </c>
      <c r="I1622">
        <f>HYPERLINK("https://admin.shopify.com/store/ge-beauty-cosmeticos/customers/9265078829376","abrir")</f>
        <v/>
      </c>
      <c r="J1622">
        <f>HYPERLINK("https://www.gebeauty.com.br/products/primer-liso-intacto?ref=review","review")</f>
        <v/>
      </c>
      <c r="K1622" t="inlineStr">
        <is>
          <t>SEND</t>
        </is>
      </c>
    </row>
    <row r="1623">
      <c r="A1623" t="inlineStr">
        <is>
          <t>Julia</t>
        </is>
      </c>
      <c r="B1623" t="inlineStr">
        <is>
          <t>+5516991929337</t>
        </is>
      </c>
      <c r="C1623" t="inlineStr">
        <is>
          <t>Refill</t>
        </is>
      </c>
      <c r="D1623" t="inlineStr">
        <is>
          <t>Primer Liso</t>
        </is>
      </c>
      <c r="E1623" t="n">
        <v>1</v>
      </c>
      <c r="F1623" t="inlineStr">
        <is>
          <t>2026-02-08</t>
        </is>
      </c>
      <c r="G1623" t="n">
        <v>146</v>
      </c>
      <c r="H1623" t="inlineStr">
        <is>
          <t>Y</t>
        </is>
      </c>
      <c r="I1623">
        <f>HYPERLINK("https://admin.shopify.com/store/ge-beauty-cosmeticos/customers/10148712579392","abrir")</f>
        <v/>
      </c>
      <c r="J1623">
        <f>HYPERLINK("https://www.gebeauty.com.br/products/primer-liso-intacto?ref=review","review")</f>
        <v/>
      </c>
      <c r="K1623" t="inlineStr">
        <is>
          <t>SEND</t>
        </is>
      </c>
    </row>
    <row r="1624">
      <c r="A1624" t="inlineStr">
        <is>
          <t>Cleone</t>
        </is>
      </c>
      <c r="B1624" t="inlineStr">
        <is>
          <t>+5551985021053</t>
        </is>
      </c>
      <c r="C1624" t="inlineStr">
        <is>
          <t>Refill</t>
        </is>
      </c>
      <c r="D1624" t="inlineStr">
        <is>
          <t>Primer Liso</t>
        </is>
      </c>
      <c r="E1624" t="n">
        <v>1</v>
      </c>
      <c r="F1624" t="inlineStr">
        <is>
          <t>2026-02-08</t>
        </is>
      </c>
      <c r="G1624" t="n">
        <v>146</v>
      </c>
      <c r="H1624" t="inlineStr">
        <is>
          <t>Y</t>
        </is>
      </c>
      <c r="I1624">
        <f>HYPERLINK("https://admin.shopify.com/store/ge-beauty-cosmeticos/customers/10149019910464","abrir")</f>
        <v/>
      </c>
      <c r="J1624">
        <f>HYPERLINK("https://www.gebeauty.com.br/products/primer-liso-intacto?ref=review","review")</f>
        <v/>
      </c>
      <c r="K1624" t="inlineStr">
        <is>
          <t>SEND</t>
        </is>
      </c>
    </row>
    <row r="1625">
      <c r="A1625" t="inlineStr">
        <is>
          <t>Maria</t>
        </is>
      </c>
      <c r="B1625" t="inlineStr">
        <is>
          <t>+5562999810282</t>
        </is>
      </c>
      <c r="C1625" t="inlineStr">
        <is>
          <t>Refill</t>
        </is>
      </c>
      <c r="D1625" t="inlineStr">
        <is>
          <t>Primer Liso</t>
        </is>
      </c>
      <c r="E1625" t="n">
        <v>1</v>
      </c>
      <c r="F1625" t="inlineStr">
        <is>
          <t>2026-02-08</t>
        </is>
      </c>
      <c r="G1625" t="n">
        <v>146</v>
      </c>
      <c r="H1625" t="inlineStr">
        <is>
          <t>Y</t>
        </is>
      </c>
      <c r="I1625">
        <f>HYPERLINK("https://admin.shopify.com/store/ge-beauty-cosmeticos/customers/7761708548416","abrir")</f>
        <v/>
      </c>
      <c r="J1625">
        <f>HYPERLINK("https://www.gebeauty.com.br/products/primer-liso-intacto?ref=review","review")</f>
        <v/>
      </c>
      <c r="K1625" t="inlineStr">
        <is>
          <t>SEND</t>
        </is>
      </c>
    </row>
    <row r="1626">
      <c r="A1626" t="inlineStr">
        <is>
          <t>Lilian</t>
        </is>
      </c>
      <c r="B1626" t="inlineStr">
        <is>
          <t>+5511983513222</t>
        </is>
      </c>
      <c r="C1626" t="inlineStr">
        <is>
          <t>Refill</t>
        </is>
      </c>
      <c r="D1626" t="inlineStr">
        <is>
          <t>Primer Liso</t>
        </is>
      </c>
      <c r="E1626" t="n">
        <v>1</v>
      </c>
      <c r="F1626" t="inlineStr">
        <is>
          <t>2026-02-08</t>
        </is>
      </c>
      <c r="G1626" t="n">
        <v>146</v>
      </c>
      <c r="H1626" t="inlineStr">
        <is>
          <t>Y</t>
        </is>
      </c>
      <c r="I1626">
        <f>HYPERLINK("https://admin.shopify.com/store/ge-beauty-cosmeticos/customers/10149206163776","abrir")</f>
        <v/>
      </c>
      <c r="J1626">
        <f>HYPERLINK("https://www.gebeauty.com.br/products/primer-liso-intacto?ref=review","review")</f>
        <v/>
      </c>
      <c r="K1626" t="inlineStr">
        <is>
          <t>SEND</t>
        </is>
      </c>
    </row>
    <row r="1627">
      <c r="A1627" t="inlineStr">
        <is>
          <t>Débora</t>
        </is>
      </c>
      <c r="B1627" t="inlineStr">
        <is>
          <t>+5511980541994</t>
        </is>
      </c>
      <c r="C1627" t="inlineStr">
        <is>
          <t>Refill</t>
        </is>
      </c>
      <c r="D1627" t="inlineStr">
        <is>
          <t>Primer Liso</t>
        </is>
      </c>
      <c r="E1627" t="n">
        <v>1</v>
      </c>
      <c r="F1627" t="inlineStr">
        <is>
          <t>2026-02-08</t>
        </is>
      </c>
      <c r="G1627" t="n">
        <v>146</v>
      </c>
      <c r="H1627" t="inlineStr">
        <is>
          <t>Y</t>
        </is>
      </c>
      <c r="I1627">
        <f>HYPERLINK("https://admin.shopify.com/store/ge-beauty-cosmeticos/customers/10149371052352","abrir")</f>
        <v/>
      </c>
      <c r="J1627">
        <f>HYPERLINK("https://www.gebeauty.com.br/products/primer-liso-intacto?ref=review","review")</f>
        <v/>
      </c>
      <c r="K1627" t="inlineStr">
        <is>
          <t>SEND</t>
        </is>
      </c>
    </row>
    <row r="1628">
      <c r="A1628" t="inlineStr">
        <is>
          <t>Rachel</t>
        </is>
      </c>
      <c r="B1628" t="inlineStr">
        <is>
          <t>+5511989391272</t>
        </is>
      </c>
      <c r="C1628" t="inlineStr">
        <is>
          <t>Refill</t>
        </is>
      </c>
      <c r="D1628" t="inlineStr">
        <is>
          <t>Primer Liso</t>
        </is>
      </c>
      <c r="E1628" t="n">
        <v>1</v>
      </c>
      <c r="F1628" t="inlineStr">
        <is>
          <t>2026-02-08</t>
        </is>
      </c>
      <c r="G1628" t="n">
        <v>146</v>
      </c>
      <c r="H1628" t="inlineStr">
        <is>
          <t>Y</t>
        </is>
      </c>
      <c r="I1628">
        <f>HYPERLINK("https://admin.shopify.com/store/ge-beauty-cosmeticos/customers/10149393367360","abrir")</f>
        <v/>
      </c>
      <c r="J1628">
        <f>HYPERLINK("https://www.gebeauty.com.br/products/primer-liso-intacto?ref=review","review")</f>
        <v/>
      </c>
      <c r="K1628" t="inlineStr">
        <is>
          <t>SEND</t>
        </is>
      </c>
    </row>
    <row r="1629">
      <c r="A1629" t="inlineStr">
        <is>
          <t>Marilucia</t>
        </is>
      </c>
      <c r="B1629" t="inlineStr">
        <is>
          <t>+5513991914797</t>
        </is>
      </c>
      <c r="C1629" t="inlineStr">
        <is>
          <t>Refill</t>
        </is>
      </c>
      <c r="D1629" t="inlineStr">
        <is>
          <t>Primer Liso</t>
        </is>
      </c>
      <c r="E1629" t="n">
        <v>1</v>
      </c>
      <c r="F1629" t="inlineStr">
        <is>
          <t>2026-02-09</t>
        </is>
      </c>
      <c r="G1629" t="n">
        <v>145</v>
      </c>
      <c r="H1629" t="inlineStr">
        <is>
          <t>Y</t>
        </is>
      </c>
      <c r="I1629">
        <f>HYPERLINK("https://admin.shopify.com/store/ge-beauty-cosmeticos/customers/10149791433024","abrir")</f>
        <v/>
      </c>
      <c r="J1629">
        <f>HYPERLINK("https://www.gebeauty.com.br/products/primer-liso-intacto?ref=review","review")</f>
        <v/>
      </c>
      <c r="K1629" t="inlineStr">
        <is>
          <t>HOLDOUT</t>
        </is>
      </c>
    </row>
    <row r="1630">
      <c r="A1630" t="inlineStr">
        <is>
          <t>Anna Clara</t>
        </is>
      </c>
      <c r="B1630" t="inlineStr">
        <is>
          <t>+5531994963562</t>
        </is>
      </c>
      <c r="C1630" t="inlineStr">
        <is>
          <t>Refill</t>
        </is>
      </c>
      <c r="D1630" t="inlineStr">
        <is>
          <t>Primer Liso</t>
        </is>
      </c>
      <c r="E1630" t="n">
        <v>1</v>
      </c>
      <c r="F1630" t="inlineStr">
        <is>
          <t>2026-02-09</t>
        </is>
      </c>
      <c r="G1630" t="n">
        <v>145</v>
      </c>
      <c r="H1630" t="inlineStr">
        <is>
          <t>N</t>
        </is>
      </c>
      <c r="I1630">
        <f>HYPERLINK("https://admin.shopify.com/store/ge-beauty-cosmeticos/customers/9672540356928","abrir")</f>
        <v/>
      </c>
      <c r="J1630">
        <f>HYPERLINK("https://www.gebeauty.com.br/products/primer-liso-intacto?ref=review","review")</f>
        <v/>
      </c>
      <c r="K1630" t="inlineStr">
        <is>
          <t>SEND</t>
        </is>
      </c>
    </row>
    <row r="1631">
      <c r="A1631" t="inlineStr">
        <is>
          <t>Raquel</t>
        </is>
      </c>
      <c r="B1631" t="inlineStr">
        <is>
          <t>+5537998408691</t>
        </is>
      </c>
      <c r="C1631" t="inlineStr">
        <is>
          <t>Refill</t>
        </is>
      </c>
      <c r="D1631" t="inlineStr">
        <is>
          <t>Primer Liso</t>
        </is>
      </c>
      <c r="E1631" t="n">
        <v>1</v>
      </c>
      <c r="F1631" t="inlineStr">
        <is>
          <t>2026-02-09</t>
        </is>
      </c>
      <c r="G1631" t="n">
        <v>145</v>
      </c>
      <c r="H1631" t="inlineStr">
        <is>
          <t>Y</t>
        </is>
      </c>
      <c r="I1631">
        <f>HYPERLINK("https://admin.shopify.com/store/ge-beauty-cosmeticos/customers/10151262716224","abrir")</f>
        <v/>
      </c>
      <c r="J1631">
        <f>HYPERLINK("https://www.gebeauty.com.br/products/primer-liso-intacto?ref=review","review")</f>
        <v/>
      </c>
      <c r="K1631" t="inlineStr">
        <is>
          <t>SEND</t>
        </is>
      </c>
    </row>
    <row r="1632">
      <c r="A1632" t="inlineStr">
        <is>
          <t>Leticia</t>
        </is>
      </c>
      <c r="B1632" t="inlineStr">
        <is>
          <t>+5511956284800</t>
        </is>
      </c>
      <c r="C1632" t="inlineStr">
        <is>
          <t>Refill</t>
        </is>
      </c>
      <c r="D1632" t="inlineStr">
        <is>
          <t>Primer Liso</t>
        </is>
      </c>
      <c r="E1632" t="n">
        <v>1</v>
      </c>
      <c r="F1632" t="inlineStr">
        <is>
          <t>2026-02-09</t>
        </is>
      </c>
      <c r="G1632" t="n">
        <v>145</v>
      </c>
      <c r="H1632" t="inlineStr">
        <is>
          <t>Y</t>
        </is>
      </c>
      <c r="I1632">
        <f>HYPERLINK("https://admin.shopify.com/store/ge-beauty-cosmeticos/customers/9486261780800","abrir")</f>
        <v/>
      </c>
      <c r="J1632">
        <f>HYPERLINK("https://www.gebeauty.com.br/products/primer-liso-intacto?ref=review","review")</f>
        <v/>
      </c>
      <c r="K1632" t="inlineStr">
        <is>
          <t>SEND</t>
        </is>
      </c>
    </row>
    <row r="1633">
      <c r="A1633" t="inlineStr">
        <is>
          <t>Ana</t>
        </is>
      </c>
      <c r="B1633" t="inlineStr">
        <is>
          <t>+5511996673741</t>
        </is>
      </c>
      <c r="C1633" t="inlineStr">
        <is>
          <t>Refill</t>
        </is>
      </c>
      <c r="D1633" t="inlineStr">
        <is>
          <t>Primer Liso</t>
        </is>
      </c>
      <c r="E1633" t="n">
        <v>1</v>
      </c>
      <c r="F1633" t="inlineStr">
        <is>
          <t>2026-02-10</t>
        </is>
      </c>
      <c r="G1633" t="n">
        <v>144</v>
      </c>
      <c r="H1633" t="inlineStr">
        <is>
          <t>Y</t>
        </is>
      </c>
      <c r="I1633">
        <f>HYPERLINK("https://admin.shopify.com/store/ge-beauty-cosmeticos/customers/10152750022976","abrir")</f>
        <v/>
      </c>
      <c r="J1633">
        <f>HYPERLINK("https://www.gebeauty.com.br/products/primer-liso-intacto?ref=review","review")</f>
        <v/>
      </c>
      <c r="K1633" t="inlineStr">
        <is>
          <t>SEND</t>
        </is>
      </c>
    </row>
    <row r="1634">
      <c r="A1634" t="inlineStr">
        <is>
          <t>Giovana</t>
        </is>
      </c>
      <c r="B1634" t="inlineStr">
        <is>
          <t>+5511959551257</t>
        </is>
      </c>
      <c r="C1634" t="inlineStr">
        <is>
          <t>Refill</t>
        </is>
      </c>
      <c r="D1634" t="inlineStr">
        <is>
          <t>Primer Liso</t>
        </is>
      </c>
      <c r="E1634" t="n">
        <v>1</v>
      </c>
      <c r="F1634" t="inlineStr">
        <is>
          <t>2026-02-10</t>
        </is>
      </c>
      <c r="G1634" t="n">
        <v>144</v>
      </c>
      <c r="H1634" t="inlineStr">
        <is>
          <t>Y</t>
        </is>
      </c>
      <c r="I1634">
        <f>HYPERLINK("https://admin.shopify.com/store/ge-beauty-cosmeticos/customers/10153248096576","abrir")</f>
        <v/>
      </c>
      <c r="J1634">
        <f>HYPERLINK("https://www.gebeauty.com.br/products/primer-liso-intacto?ref=review","review")</f>
        <v/>
      </c>
      <c r="K1634" t="inlineStr">
        <is>
          <t>SEND</t>
        </is>
      </c>
    </row>
    <row r="1635">
      <c r="A1635" t="inlineStr">
        <is>
          <t>Samanta</t>
        </is>
      </c>
      <c r="B1635" t="inlineStr">
        <is>
          <t>+5581981886263</t>
        </is>
      </c>
      <c r="C1635" t="inlineStr">
        <is>
          <t>Refill</t>
        </is>
      </c>
      <c r="D1635" t="inlineStr">
        <is>
          <t>Primer Liso</t>
        </is>
      </c>
      <c r="E1635" t="n">
        <v>1</v>
      </c>
      <c r="F1635" t="inlineStr">
        <is>
          <t>2026-02-10</t>
        </is>
      </c>
      <c r="G1635" t="n">
        <v>144</v>
      </c>
      <c r="H1635" t="inlineStr">
        <is>
          <t>Y</t>
        </is>
      </c>
      <c r="I1635">
        <f>HYPERLINK("https://admin.shopify.com/store/ge-beauty-cosmeticos/customers/10149699027264","abrir")</f>
        <v/>
      </c>
      <c r="J1635">
        <f>HYPERLINK("https://www.gebeauty.com.br/products/primer-liso-intacto?ref=review","review")</f>
        <v/>
      </c>
      <c r="K1635" t="inlineStr">
        <is>
          <t>SEND</t>
        </is>
      </c>
    </row>
    <row r="1636">
      <c r="A1636" t="inlineStr">
        <is>
          <t>Gabriela</t>
        </is>
      </c>
      <c r="B1636" t="inlineStr">
        <is>
          <t>+5511999491139</t>
        </is>
      </c>
      <c r="C1636" t="inlineStr">
        <is>
          <t>Refill</t>
        </is>
      </c>
      <c r="D1636" t="inlineStr">
        <is>
          <t>Primer Liso</t>
        </is>
      </c>
      <c r="E1636" t="n">
        <v>1</v>
      </c>
      <c r="F1636" t="inlineStr">
        <is>
          <t>2026-02-10</t>
        </is>
      </c>
      <c r="G1636" t="n">
        <v>144</v>
      </c>
      <c r="H1636" t="inlineStr">
        <is>
          <t>Y</t>
        </is>
      </c>
      <c r="I1636">
        <f>HYPERLINK("https://admin.shopify.com/store/ge-beauty-cosmeticos/customers/9486648082752","abrir")</f>
        <v/>
      </c>
      <c r="J1636">
        <f>HYPERLINK("https://www.gebeauty.com.br/products/primer-liso-intacto?ref=review","review")</f>
        <v/>
      </c>
      <c r="K1636" t="inlineStr">
        <is>
          <t>SEND</t>
        </is>
      </c>
    </row>
    <row r="1637">
      <c r="A1637" t="inlineStr">
        <is>
          <t>Esther</t>
        </is>
      </c>
      <c r="B1637" t="inlineStr">
        <is>
          <t>+5531988127878</t>
        </is>
      </c>
      <c r="C1637" t="inlineStr">
        <is>
          <t>Refill</t>
        </is>
      </c>
      <c r="D1637" t="inlineStr">
        <is>
          <t>Primer Liso</t>
        </is>
      </c>
      <c r="E1637" t="n">
        <v>1</v>
      </c>
      <c r="F1637" t="inlineStr">
        <is>
          <t>2026-02-11</t>
        </is>
      </c>
      <c r="G1637" t="n">
        <v>143</v>
      </c>
      <c r="H1637" t="inlineStr">
        <is>
          <t>Y</t>
        </is>
      </c>
      <c r="I1637">
        <f>HYPERLINK("https://admin.shopify.com/store/ge-beauty-cosmeticos/customers/10155149263168","abrir")</f>
        <v/>
      </c>
      <c r="J1637">
        <f>HYPERLINK("https://www.gebeauty.com.br/products/primer-liso-intacto?ref=review","review")</f>
        <v/>
      </c>
      <c r="K1637" t="inlineStr">
        <is>
          <t>SEND</t>
        </is>
      </c>
    </row>
    <row r="1638">
      <c r="A1638" t="inlineStr">
        <is>
          <t>Vanessa</t>
        </is>
      </c>
      <c r="B1638" t="inlineStr">
        <is>
          <t>+5571999472618</t>
        </is>
      </c>
      <c r="C1638" t="inlineStr">
        <is>
          <t>Refill</t>
        </is>
      </c>
      <c r="D1638" t="inlineStr">
        <is>
          <t>Primer Liso</t>
        </is>
      </c>
      <c r="E1638" t="n">
        <v>1</v>
      </c>
      <c r="F1638" t="inlineStr">
        <is>
          <t>2026-02-11</t>
        </is>
      </c>
      <c r="G1638" t="n">
        <v>143</v>
      </c>
      <c r="H1638" t="inlineStr">
        <is>
          <t>Y</t>
        </is>
      </c>
      <c r="I1638">
        <f>HYPERLINK("https://admin.shopify.com/store/ge-beauty-cosmeticos/customers/9824665502016","abrir")</f>
        <v/>
      </c>
      <c r="J1638">
        <f>HYPERLINK("https://www.gebeauty.com.br/products/primer-liso-intacto?ref=review","review")</f>
        <v/>
      </c>
      <c r="K1638" t="inlineStr">
        <is>
          <t>SEND</t>
        </is>
      </c>
    </row>
    <row r="1639">
      <c r="A1639" t="inlineStr">
        <is>
          <t>Gabriela</t>
        </is>
      </c>
      <c r="B1639" t="inlineStr">
        <is>
          <t>+5521995717763</t>
        </is>
      </c>
      <c r="C1639" t="inlineStr">
        <is>
          <t>Refill</t>
        </is>
      </c>
      <c r="D1639" t="inlineStr">
        <is>
          <t>Primer Liso</t>
        </is>
      </c>
      <c r="E1639" t="n">
        <v>1</v>
      </c>
      <c r="F1639" t="inlineStr">
        <is>
          <t>2026-02-11</t>
        </is>
      </c>
      <c r="G1639" t="n">
        <v>143</v>
      </c>
      <c r="H1639" t="inlineStr">
        <is>
          <t>Y</t>
        </is>
      </c>
      <c r="I1639">
        <f>HYPERLINK("https://admin.shopify.com/store/ge-beauty-cosmeticos/customers/9947077968192","abrir")</f>
        <v/>
      </c>
      <c r="J1639">
        <f>HYPERLINK("https://www.gebeauty.com.br/products/primer-liso-intacto?ref=review","review")</f>
        <v/>
      </c>
      <c r="K1639" t="inlineStr">
        <is>
          <t>SEND</t>
        </is>
      </c>
    </row>
    <row r="1640">
      <c r="A1640" t="inlineStr">
        <is>
          <t>Aline</t>
        </is>
      </c>
      <c r="B1640" t="inlineStr">
        <is>
          <t>+5521996086496</t>
        </is>
      </c>
      <c r="C1640" t="inlineStr">
        <is>
          <t>Refill</t>
        </is>
      </c>
      <c r="D1640" t="inlineStr">
        <is>
          <t>Primer Liso</t>
        </is>
      </c>
      <c r="E1640" t="n">
        <v>1</v>
      </c>
      <c r="F1640" t="inlineStr">
        <is>
          <t>2026-02-11</t>
        </is>
      </c>
      <c r="G1640" t="n">
        <v>143</v>
      </c>
      <c r="H1640" t="inlineStr">
        <is>
          <t>Y</t>
        </is>
      </c>
      <c r="I1640">
        <f>HYPERLINK("https://admin.shopify.com/store/ge-beauty-cosmeticos/customers/9890301837632","abrir")</f>
        <v/>
      </c>
      <c r="J1640">
        <f>HYPERLINK("https://www.gebeauty.com.br/products/primer-liso-intacto?ref=review","review")</f>
        <v/>
      </c>
      <c r="K1640" t="inlineStr">
        <is>
          <t>SEND</t>
        </is>
      </c>
    </row>
    <row r="1641">
      <c r="A1641" t="inlineStr">
        <is>
          <t>Elaide</t>
        </is>
      </c>
      <c r="B1641" t="inlineStr">
        <is>
          <t>+5581988932820</t>
        </is>
      </c>
      <c r="C1641" t="inlineStr">
        <is>
          <t>Refill</t>
        </is>
      </c>
      <c r="D1641" t="inlineStr">
        <is>
          <t>Primer Liso</t>
        </is>
      </c>
      <c r="E1641" t="n">
        <v>1</v>
      </c>
      <c r="F1641" t="inlineStr">
        <is>
          <t>2026-02-11</t>
        </is>
      </c>
      <c r="G1641" t="n">
        <v>143</v>
      </c>
      <c r="H1641" t="inlineStr">
        <is>
          <t>Y</t>
        </is>
      </c>
      <c r="I1641">
        <f>HYPERLINK("https://admin.shopify.com/store/ge-beauty-cosmeticos/customers/10156111692096","abrir")</f>
        <v/>
      </c>
      <c r="J1641">
        <f>HYPERLINK("https://www.gebeauty.com.br/products/primer-liso-intacto?ref=review","review")</f>
        <v/>
      </c>
      <c r="K1641" t="inlineStr">
        <is>
          <t>SEND</t>
        </is>
      </c>
    </row>
    <row r="1642">
      <c r="A1642" t="inlineStr">
        <is>
          <t>Ingrid</t>
        </is>
      </c>
      <c r="B1642" t="inlineStr">
        <is>
          <t>+5521994187500</t>
        </is>
      </c>
      <c r="C1642" t="inlineStr">
        <is>
          <t>Refill</t>
        </is>
      </c>
      <c r="D1642" t="inlineStr">
        <is>
          <t>Primer Liso</t>
        </is>
      </c>
      <c r="E1642" t="n">
        <v>1</v>
      </c>
      <c r="F1642" t="inlineStr">
        <is>
          <t>2026-02-12</t>
        </is>
      </c>
      <c r="G1642" t="n">
        <v>142</v>
      </c>
      <c r="H1642" t="inlineStr">
        <is>
          <t>Y</t>
        </is>
      </c>
      <c r="I1642">
        <f>HYPERLINK("https://admin.shopify.com/store/ge-beauty-cosmeticos/customers/10156190105920","abrir")</f>
        <v/>
      </c>
      <c r="J1642">
        <f>HYPERLINK("https://www.gebeauty.com.br/products/primer-liso-intacto?ref=review","review")</f>
        <v/>
      </c>
      <c r="K1642" t="inlineStr">
        <is>
          <t>SEND</t>
        </is>
      </c>
    </row>
    <row r="1643">
      <c r="A1643" t="inlineStr">
        <is>
          <t>Flávia</t>
        </is>
      </c>
      <c r="B1643" t="inlineStr">
        <is>
          <t>+5531983097481</t>
        </is>
      </c>
      <c r="C1643" t="inlineStr">
        <is>
          <t>Refill</t>
        </is>
      </c>
      <c r="D1643" t="inlineStr">
        <is>
          <t>Primer Liso</t>
        </is>
      </c>
      <c r="E1643" t="n">
        <v>1</v>
      </c>
      <c r="F1643" t="inlineStr">
        <is>
          <t>2026-02-12</t>
        </is>
      </c>
      <c r="G1643" t="n">
        <v>142</v>
      </c>
      <c r="H1643" t="inlineStr">
        <is>
          <t>Y</t>
        </is>
      </c>
      <c r="I1643">
        <f>HYPERLINK("https://admin.shopify.com/store/ge-beauty-cosmeticos/customers/10131707396416","abrir")</f>
        <v/>
      </c>
      <c r="J1643">
        <f>HYPERLINK("https://www.gebeauty.com.br/products/primer-liso-intacto?ref=review","review")</f>
        <v/>
      </c>
      <c r="K1643" t="inlineStr">
        <is>
          <t>SEND</t>
        </is>
      </c>
    </row>
    <row r="1644">
      <c r="A1644" t="inlineStr">
        <is>
          <t>Marcela</t>
        </is>
      </c>
      <c r="B1644" t="inlineStr">
        <is>
          <t>+5519998792683</t>
        </is>
      </c>
      <c r="C1644" t="inlineStr">
        <is>
          <t>Refill</t>
        </is>
      </c>
      <c r="D1644" t="inlineStr">
        <is>
          <t>Primer Liso</t>
        </is>
      </c>
      <c r="E1644" t="n">
        <v>1</v>
      </c>
      <c r="F1644" t="inlineStr">
        <is>
          <t>2026-02-12</t>
        </is>
      </c>
      <c r="G1644" t="n">
        <v>142</v>
      </c>
      <c r="H1644" t="inlineStr">
        <is>
          <t>Y</t>
        </is>
      </c>
      <c r="I1644">
        <f>HYPERLINK("https://admin.shopify.com/store/ge-beauty-cosmeticos/customers/10156769771840","abrir")</f>
        <v/>
      </c>
      <c r="J1644">
        <f>HYPERLINK("https://www.gebeauty.com.br/products/primer-liso-intacto?ref=review","review")</f>
        <v/>
      </c>
      <c r="K1644" t="inlineStr">
        <is>
          <t>SEND</t>
        </is>
      </c>
    </row>
    <row r="1645">
      <c r="A1645" t="inlineStr">
        <is>
          <t>Helena</t>
        </is>
      </c>
      <c r="B1645" t="inlineStr">
        <is>
          <t>+5521982946498</t>
        </is>
      </c>
      <c r="C1645" t="inlineStr">
        <is>
          <t>Refill</t>
        </is>
      </c>
      <c r="D1645" t="inlineStr">
        <is>
          <t>Primer Liso</t>
        </is>
      </c>
      <c r="E1645" t="n">
        <v>1</v>
      </c>
      <c r="F1645" t="inlineStr">
        <is>
          <t>2026-02-12</t>
        </is>
      </c>
      <c r="G1645" t="n">
        <v>142</v>
      </c>
      <c r="H1645" t="inlineStr">
        <is>
          <t>Y</t>
        </is>
      </c>
      <c r="I1645">
        <f>HYPERLINK("https://admin.shopify.com/store/ge-beauty-cosmeticos/customers/10157041844544","abrir")</f>
        <v/>
      </c>
      <c r="J1645">
        <f>HYPERLINK("https://www.gebeauty.com.br/products/primer-liso-intacto?ref=review","review")</f>
        <v/>
      </c>
      <c r="K1645" t="inlineStr">
        <is>
          <t>HOLDOUT</t>
        </is>
      </c>
    </row>
    <row r="1646">
      <c r="A1646" t="inlineStr">
        <is>
          <t>Julia</t>
        </is>
      </c>
      <c r="B1646" t="inlineStr">
        <is>
          <t>+5516991992251</t>
        </is>
      </c>
      <c r="C1646" t="inlineStr">
        <is>
          <t>Refill</t>
        </is>
      </c>
      <c r="D1646" t="inlineStr">
        <is>
          <t>Primer Liso</t>
        </is>
      </c>
      <c r="E1646" t="n">
        <v>1</v>
      </c>
      <c r="F1646" t="inlineStr">
        <is>
          <t>2026-02-12</t>
        </is>
      </c>
      <c r="G1646" t="n">
        <v>142</v>
      </c>
      <c r="H1646" t="inlineStr">
        <is>
          <t>Y</t>
        </is>
      </c>
      <c r="I1646">
        <f>HYPERLINK("https://admin.shopify.com/store/ge-beauty-cosmeticos/customers/10157052559680","abrir")</f>
        <v/>
      </c>
      <c r="J1646">
        <f>HYPERLINK("https://www.gebeauty.com.br/products/primer-liso-intacto?ref=review","review")</f>
        <v/>
      </c>
      <c r="K1646" t="inlineStr">
        <is>
          <t>SEND</t>
        </is>
      </c>
    </row>
    <row r="1647">
      <c r="A1647" t="inlineStr">
        <is>
          <t>Elisangela</t>
        </is>
      </c>
      <c r="B1647" t="inlineStr">
        <is>
          <t>+5511949987142</t>
        </is>
      </c>
      <c r="C1647" t="inlineStr">
        <is>
          <t>Refill</t>
        </is>
      </c>
      <c r="D1647" t="inlineStr">
        <is>
          <t>Primer Liso</t>
        </is>
      </c>
      <c r="E1647" t="n">
        <v>1</v>
      </c>
      <c r="F1647" t="inlineStr">
        <is>
          <t>2026-02-12</t>
        </is>
      </c>
      <c r="G1647" t="n">
        <v>142</v>
      </c>
      <c r="H1647" t="inlineStr">
        <is>
          <t>Y</t>
        </is>
      </c>
      <c r="I1647">
        <f>HYPERLINK("https://admin.shopify.com/store/ge-beauty-cosmeticos/customers/10157154926912","abrir")</f>
        <v/>
      </c>
      <c r="J1647">
        <f>HYPERLINK("https://www.gebeauty.com.br/products/primer-liso-intacto?ref=review","review")</f>
        <v/>
      </c>
      <c r="K1647" t="inlineStr">
        <is>
          <t>SEND</t>
        </is>
      </c>
    </row>
    <row r="1648">
      <c r="A1648" t="inlineStr">
        <is>
          <t>Adriana</t>
        </is>
      </c>
      <c r="B1648" t="inlineStr">
        <is>
          <t>+5511949431640</t>
        </is>
      </c>
      <c r="C1648" t="inlineStr">
        <is>
          <t>Refill</t>
        </is>
      </c>
      <c r="D1648" t="inlineStr">
        <is>
          <t>Primer Liso</t>
        </is>
      </c>
      <c r="E1648" t="n">
        <v>1</v>
      </c>
      <c r="F1648" t="inlineStr">
        <is>
          <t>2026-02-12</t>
        </is>
      </c>
      <c r="G1648" t="n">
        <v>142</v>
      </c>
      <c r="H1648" t="inlineStr">
        <is>
          <t>Y</t>
        </is>
      </c>
      <c r="I1648">
        <f>HYPERLINK("https://admin.shopify.com/store/ge-beauty-cosmeticos/customers/10157494010176","abrir")</f>
        <v/>
      </c>
      <c r="J1648">
        <f>HYPERLINK("https://www.gebeauty.com.br/products/primer-liso-intacto?ref=review","review")</f>
        <v/>
      </c>
      <c r="K1648" t="inlineStr">
        <is>
          <t>HOLDOUT</t>
        </is>
      </c>
    </row>
    <row r="1649">
      <c r="A1649" t="inlineStr">
        <is>
          <t>Leticia</t>
        </is>
      </c>
      <c r="B1649" t="inlineStr">
        <is>
          <t>+5585996268324</t>
        </is>
      </c>
      <c r="C1649" t="inlineStr">
        <is>
          <t>Refill</t>
        </is>
      </c>
      <c r="D1649" t="inlineStr">
        <is>
          <t>Primer Liso</t>
        </is>
      </c>
      <c r="E1649" t="n">
        <v>1</v>
      </c>
      <c r="F1649" t="inlineStr">
        <is>
          <t>2026-02-12</t>
        </is>
      </c>
      <c r="G1649" t="n">
        <v>142</v>
      </c>
      <c r="H1649" t="inlineStr">
        <is>
          <t>Y</t>
        </is>
      </c>
      <c r="I1649">
        <f>HYPERLINK("https://admin.shopify.com/store/ge-beauty-cosmeticos/customers/8974835482944","abrir")</f>
        <v/>
      </c>
      <c r="J1649">
        <f>HYPERLINK("https://www.gebeauty.com.br/products/primer-liso-intacto?ref=review","review")</f>
        <v/>
      </c>
      <c r="K1649" t="inlineStr">
        <is>
          <t>HOLDOUT</t>
        </is>
      </c>
    </row>
    <row r="1650">
      <c r="B1650" t="inlineStr">
        <is>
          <t>+5543991819285</t>
        </is>
      </c>
      <c r="C1650" t="inlineStr">
        <is>
          <t>Refill</t>
        </is>
      </c>
      <c r="D1650" t="inlineStr">
        <is>
          <t>Primer Liso</t>
        </is>
      </c>
      <c r="E1650" t="n">
        <v>1</v>
      </c>
      <c r="F1650" t="inlineStr">
        <is>
          <t>2026-02-13</t>
        </is>
      </c>
      <c r="G1650" t="n">
        <v>141</v>
      </c>
      <c r="H1650" t="inlineStr">
        <is>
          <t>Y</t>
        </is>
      </c>
      <c r="I1650">
        <f>HYPERLINK("https://admin.shopify.com/store/ge-beauty-cosmeticos/customers/10159227273536","abrir")</f>
        <v/>
      </c>
      <c r="J1650">
        <f>HYPERLINK("https://www.gebeauty.com.br/products/primer-liso-intacto?ref=review","review")</f>
        <v/>
      </c>
      <c r="K1650" t="inlineStr">
        <is>
          <t>HOLDOUT</t>
        </is>
      </c>
    </row>
    <row r="1651">
      <c r="A1651" t="inlineStr">
        <is>
          <t>Bianca</t>
        </is>
      </c>
      <c r="B1651" t="inlineStr">
        <is>
          <t>+5521998429188</t>
        </is>
      </c>
      <c r="C1651" t="inlineStr">
        <is>
          <t>Refill</t>
        </is>
      </c>
      <c r="D1651" t="inlineStr">
        <is>
          <t>Primer Liso</t>
        </is>
      </c>
      <c r="E1651" t="n">
        <v>1</v>
      </c>
      <c r="F1651" t="inlineStr">
        <is>
          <t>2026-02-21</t>
        </is>
      </c>
      <c r="G1651" t="n">
        <v>133</v>
      </c>
      <c r="H1651" t="inlineStr">
        <is>
          <t>Y</t>
        </is>
      </c>
      <c r="I1651">
        <f>HYPERLINK("https://admin.shopify.com/store/ge-beauty-cosmeticos/customers/10097944854848","abrir")</f>
        <v/>
      </c>
      <c r="J1651">
        <f>HYPERLINK("https://www.gebeauty.com.br/products/primer-liso-intacto?ref=review","review")</f>
        <v/>
      </c>
      <c r="K1651" t="inlineStr">
        <is>
          <t>SEND</t>
        </is>
      </c>
    </row>
    <row r="1652">
      <c r="A1652" t="inlineStr">
        <is>
          <t>Wanessa</t>
        </is>
      </c>
      <c r="B1652" t="inlineStr">
        <is>
          <t>+5511986110162</t>
        </is>
      </c>
      <c r="C1652" t="inlineStr">
        <is>
          <t>Refill</t>
        </is>
      </c>
      <c r="D1652" t="inlineStr">
        <is>
          <t>Primer Liso</t>
        </is>
      </c>
      <c r="E1652" t="n">
        <v>1</v>
      </c>
      <c r="F1652" t="inlineStr">
        <is>
          <t>2026-02-14</t>
        </is>
      </c>
      <c r="G1652" t="n">
        <v>140</v>
      </c>
      <c r="H1652" t="inlineStr">
        <is>
          <t>Y</t>
        </is>
      </c>
      <c r="I1652">
        <f>HYPERLINK("https://admin.shopify.com/store/ge-beauty-cosmeticos/customers/10160214212928","abrir")</f>
        <v/>
      </c>
      <c r="J1652">
        <f>HYPERLINK("https://www.gebeauty.com.br/products/primer-liso-intacto?ref=review","review")</f>
        <v/>
      </c>
      <c r="K1652" t="inlineStr">
        <is>
          <t>SEND</t>
        </is>
      </c>
    </row>
    <row r="1653">
      <c r="A1653" t="inlineStr">
        <is>
          <t>Fernanda</t>
        </is>
      </c>
      <c r="B1653" t="inlineStr">
        <is>
          <t>+5577988252196</t>
        </is>
      </c>
      <c r="C1653" t="inlineStr">
        <is>
          <t>Refill</t>
        </is>
      </c>
      <c r="D1653" t="inlineStr">
        <is>
          <t>Primer Liso</t>
        </is>
      </c>
      <c r="E1653" t="n">
        <v>1</v>
      </c>
      <c r="F1653" t="inlineStr">
        <is>
          <t>2026-02-14</t>
        </is>
      </c>
      <c r="G1653" t="n">
        <v>140</v>
      </c>
      <c r="H1653" t="inlineStr">
        <is>
          <t>Y</t>
        </is>
      </c>
      <c r="I1653">
        <f>HYPERLINK("https://admin.shopify.com/store/ge-beauty-cosmeticos/customers/10160896803136","abrir")</f>
        <v/>
      </c>
      <c r="J1653">
        <f>HYPERLINK("https://www.gebeauty.com.br/products/primer-liso-intacto?ref=review","review")</f>
        <v/>
      </c>
      <c r="K1653" t="inlineStr">
        <is>
          <t>SEND</t>
        </is>
      </c>
    </row>
    <row r="1654">
      <c r="A1654" t="inlineStr">
        <is>
          <t>Renata</t>
        </is>
      </c>
      <c r="B1654" t="inlineStr">
        <is>
          <t>+5581991924665</t>
        </is>
      </c>
      <c r="C1654" t="inlineStr">
        <is>
          <t>Refill</t>
        </is>
      </c>
      <c r="D1654" t="inlineStr">
        <is>
          <t>Primer Liso</t>
        </is>
      </c>
      <c r="E1654" t="n">
        <v>1</v>
      </c>
      <c r="F1654" t="inlineStr">
        <is>
          <t>2026-02-14</t>
        </is>
      </c>
      <c r="G1654" t="n">
        <v>140</v>
      </c>
      <c r="H1654" t="inlineStr">
        <is>
          <t>Y</t>
        </is>
      </c>
      <c r="I1654">
        <f>HYPERLINK("https://admin.shopify.com/store/ge-beauty-cosmeticos/customers/10158242758976","abrir")</f>
        <v/>
      </c>
      <c r="J1654">
        <f>HYPERLINK("https://www.gebeauty.com.br/products/primer-liso-intacto?ref=review","review")</f>
        <v/>
      </c>
      <c r="K1654" t="inlineStr">
        <is>
          <t>SEND</t>
        </is>
      </c>
    </row>
    <row r="1655">
      <c r="A1655" t="inlineStr">
        <is>
          <t>Carla</t>
        </is>
      </c>
      <c r="B1655" t="inlineStr">
        <is>
          <t>+5511999797762</t>
        </is>
      </c>
      <c r="C1655" t="inlineStr">
        <is>
          <t>Refill</t>
        </is>
      </c>
      <c r="D1655" t="inlineStr">
        <is>
          <t>Primer Liso</t>
        </is>
      </c>
      <c r="E1655" t="n">
        <v>1</v>
      </c>
      <c r="F1655" t="inlineStr">
        <is>
          <t>2026-02-14</t>
        </is>
      </c>
      <c r="G1655" t="n">
        <v>140</v>
      </c>
      <c r="H1655" t="inlineStr">
        <is>
          <t>Y</t>
        </is>
      </c>
      <c r="I1655">
        <f>HYPERLINK("https://admin.shopify.com/store/ge-beauty-cosmeticos/customers/10161228611904","abrir")</f>
        <v/>
      </c>
      <c r="J1655">
        <f>HYPERLINK("https://www.gebeauty.com.br/products/primer-liso-intacto?ref=review","review")</f>
        <v/>
      </c>
      <c r="K1655" t="inlineStr">
        <is>
          <t>SEND</t>
        </is>
      </c>
    </row>
    <row r="1656">
      <c r="A1656" t="inlineStr">
        <is>
          <t>Maria</t>
        </is>
      </c>
      <c r="B1656" t="inlineStr">
        <is>
          <t>+5583991748384</t>
        </is>
      </c>
      <c r="C1656" t="inlineStr">
        <is>
          <t>Refill</t>
        </is>
      </c>
      <c r="D1656" t="inlineStr">
        <is>
          <t>Primer Liso</t>
        </is>
      </c>
      <c r="E1656" t="n">
        <v>1</v>
      </c>
      <c r="F1656" t="inlineStr">
        <is>
          <t>2026-02-14</t>
        </is>
      </c>
      <c r="G1656" t="n">
        <v>140</v>
      </c>
      <c r="H1656" t="inlineStr">
        <is>
          <t>Y</t>
        </is>
      </c>
      <c r="I1656">
        <f>HYPERLINK("https://admin.shopify.com/store/ge-beauty-cosmeticos/customers/9128729542976","abrir")</f>
        <v/>
      </c>
      <c r="J1656">
        <f>HYPERLINK("https://www.gebeauty.com.br/products/primer-liso-intacto?ref=review","review")</f>
        <v/>
      </c>
      <c r="K1656" t="inlineStr">
        <is>
          <t>SEND</t>
        </is>
      </c>
    </row>
    <row r="1657">
      <c r="A1657" t="inlineStr">
        <is>
          <t>Sabrina</t>
        </is>
      </c>
      <c r="B1657" t="inlineStr">
        <is>
          <t>+5519982878797</t>
        </is>
      </c>
      <c r="C1657" t="inlineStr">
        <is>
          <t>Refill</t>
        </is>
      </c>
      <c r="D1657" t="inlineStr">
        <is>
          <t>Primer Liso</t>
        </is>
      </c>
      <c r="E1657" t="n">
        <v>1</v>
      </c>
      <c r="F1657" t="inlineStr">
        <is>
          <t>2026-02-14</t>
        </is>
      </c>
      <c r="G1657" t="n">
        <v>140</v>
      </c>
      <c r="H1657" t="inlineStr">
        <is>
          <t>Y</t>
        </is>
      </c>
      <c r="I1657">
        <f>HYPERLINK("https://admin.shopify.com/store/ge-beauty-cosmeticos/customers/10161609179456","abrir")</f>
        <v/>
      </c>
      <c r="J1657">
        <f>HYPERLINK("https://www.gebeauty.com.br/products/primer-liso-intacto?ref=review","review")</f>
        <v/>
      </c>
      <c r="K1657" t="inlineStr">
        <is>
          <t>SEND</t>
        </is>
      </c>
    </row>
    <row r="1658">
      <c r="A1658" t="inlineStr">
        <is>
          <t>Maria</t>
        </is>
      </c>
      <c r="B1658" t="inlineStr">
        <is>
          <t>+5583988260700</t>
        </is>
      </c>
      <c r="C1658" t="inlineStr">
        <is>
          <t>Refill</t>
        </is>
      </c>
      <c r="D1658" t="inlineStr">
        <is>
          <t>Primer Liso</t>
        </is>
      </c>
      <c r="E1658" t="n">
        <v>1</v>
      </c>
      <c r="F1658" t="inlineStr">
        <is>
          <t>2026-02-14</t>
        </is>
      </c>
      <c r="G1658" t="n">
        <v>140</v>
      </c>
      <c r="H1658" t="inlineStr">
        <is>
          <t>Y</t>
        </is>
      </c>
      <c r="I1658">
        <f>HYPERLINK("https://admin.shopify.com/store/ge-beauty-cosmeticos/customers/10161647321408","abrir")</f>
        <v/>
      </c>
      <c r="J1658">
        <f>HYPERLINK("https://www.gebeauty.com.br/products/primer-liso-intacto?ref=review","review")</f>
        <v/>
      </c>
      <c r="K1658" t="inlineStr">
        <is>
          <t>SEND</t>
        </is>
      </c>
    </row>
    <row r="1659">
      <c r="A1659" t="inlineStr">
        <is>
          <t>Keila</t>
        </is>
      </c>
      <c r="B1659" t="inlineStr">
        <is>
          <t>+5511931510453</t>
        </is>
      </c>
      <c r="C1659" t="inlineStr">
        <is>
          <t>Refill</t>
        </is>
      </c>
      <c r="D1659" t="inlineStr">
        <is>
          <t>Primer Liso</t>
        </is>
      </c>
      <c r="E1659" t="n">
        <v>1</v>
      </c>
      <c r="F1659" t="inlineStr">
        <is>
          <t>2026-02-15</t>
        </is>
      </c>
      <c r="G1659" t="n">
        <v>139</v>
      </c>
      <c r="H1659" t="inlineStr">
        <is>
          <t>Y</t>
        </is>
      </c>
      <c r="I1659">
        <f>HYPERLINK("https://admin.shopify.com/store/ge-beauty-cosmeticos/customers/10162862686528","abrir")</f>
        <v/>
      </c>
      <c r="J1659">
        <f>HYPERLINK("https://www.gebeauty.com.br/products/primer-liso-intacto?ref=review","review")</f>
        <v/>
      </c>
      <c r="K1659" t="inlineStr">
        <is>
          <t>SEND</t>
        </is>
      </c>
    </row>
    <row r="1660">
      <c r="A1660" t="inlineStr">
        <is>
          <t>Kellen</t>
        </is>
      </c>
      <c r="B1660" t="inlineStr">
        <is>
          <t>+5512982473357</t>
        </is>
      </c>
      <c r="C1660" t="inlineStr">
        <is>
          <t>Refill</t>
        </is>
      </c>
      <c r="D1660" t="inlineStr">
        <is>
          <t>Primer Liso</t>
        </is>
      </c>
      <c r="E1660" t="n">
        <v>1</v>
      </c>
      <c r="F1660" t="inlineStr">
        <is>
          <t>2026-02-15</t>
        </is>
      </c>
      <c r="G1660" t="n">
        <v>139</v>
      </c>
      <c r="H1660" t="inlineStr">
        <is>
          <t>Y</t>
        </is>
      </c>
      <c r="I1660">
        <f>HYPERLINK("https://admin.shopify.com/store/ge-beauty-cosmeticos/customers/9486602502464","abrir")</f>
        <v/>
      </c>
      <c r="J1660">
        <f>HYPERLINK("https://www.gebeauty.com.br/products/primer-liso-intacto?ref=review","review")</f>
        <v/>
      </c>
      <c r="K1660" t="inlineStr">
        <is>
          <t>SEND</t>
        </is>
      </c>
    </row>
    <row r="1661">
      <c r="A1661" t="inlineStr">
        <is>
          <t>Priscila</t>
        </is>
      </c>
      <c r="B1661" t="inlineStr">
        <is>
          <t>+5519994949407</t>
        </is>
      </c>
      <c r="C1661" t="inlineStr">
        <is>
          <t>Refill</t>
        </is>
      </c>
      <c r="D1661" t="inlineStr">
        <is>
          <t>Primer Liso</t>
        </is>
      </c>
      <c r="E1661" t="n">
        <v>1</v>
      </c>
      <c r="F1661" t="inlineStr">
        <is>
          <t>2026-02-15</t>
        </is>
      </c>
      <c r="G1661" t="n">
        <v>139</v>
      </c>
      <c r="H1661" t="inlineStr">
        <is>
          <t>Y</t>
        </is>
      </c>
      <c r="I1661">
        <f>HYPERLINK("https://admin.shopify.com/store/ge-beauty-cosmeticos/customers/10163254985024","abrir")</f>
        <v/>
      </c>
      <c r="J1661">
        <f>HYPERLINK("https://www.gebeauty.com.br/products/primer-liso-intacto?ref=review","review")</f>
        <v/>
      </c>
      <c r="K1661" t="inlineStr">
        <is>
          <t>SEND</t>
        </is>
      </c>
    </row>
    <row r="1662">
      <c r="A1662" t="inlineStr">
        <is>
          <t>Janaína</t>
        </is>
      </c>
      <c r="B1662" t="inlineStr">
        <is>
          <t>+5571999509859</t>
        </is>
      </c>
      <c r="C1662" t="inlineStr">
        <is>
          <t>Refill</t>
        </is>
      </c>
      <c r="D1662" t="inlineStr">
        <is>
          <t>Primer Liso</t>
        </is>
      </c>
      <c r="E1662" t="n">
        <v>1</v>
      </c>
      <c r="F1662" t="inlineStr">
        <is>
          <t>2026-02-15</t>
        </is>
      </c>
      <c r="G1662" t="n">
        <v>139</v>
      </c>
      <c r="H1662" t="inlineStr">
        <is>
          <t>Y</t>
        </is>
      </c>
      <c r="I1662">
        <f>HYPERLINK("https://admin.shopify.com/store/ge-beauty-cosmeticos/customers/9485958086976","abrir")</f>
        <v/>
      </c>
      <c r="J1662">
        <f>HYPERLINK("https://www.gebeauty.com.br/products/primer-liso-intacto?ref=review","review")</f>
        <v/>
      </c>
      <c r="K1662" t="inlineStr">
        <is>
          <t>SEND</t>
        </is>
      </c>
    </row>
    <row r="1663">
      <c r="A1663" t="inlineStr">
        <is>
          <t>Marianna</t>
        </is>
      </c>
      <c r="B1663" t="inlineStr">
        <is>
          <t>+5521981940474</t>
        </is>
      </c>
      <c r="C1663" t="inlineStr">
        <is>
          <t>Refill</t>
        </is>
      </c>
      <c r="D1663" t="inlineStr">
        <is>
          <t>Primer Liso</t>
        </is>
      </c>
      <c r="E1663" t="n">
        <v>1</v>
      </c>
      <c r="F1663" t="inlineStr">
        <is>
          <t>2026-02-15</t>
        </is>
      </c>
      <c r="G1663" t="n">
        <v>139</v>
      </c>
      <c r="H1663" t="inlineStr">
        <is>
          <t>Y</t>
        </is>
      </c>
      <c r="I1663">
        <f>HYPERLINK("https://admin.shopify.com/store/ge-beauty-cosmeticos/customers/9486648410432","abrir")</f>
        <v/>
      </c>
      <c r="J1663">
        <f>HYPERLINK("https://www.gebeauty.com.br/products/primer-liso-intacto?ref=review","review")</f>
        <v/>
      </c>
      <c r="K1663" t="inlineStr">
        <is>
          <t>SEND</t>
        </is>
      </c>
    </row>
    <row r="1664">
      <c r="A1664" t="inlineStr">
        <is>
          <t>Lucianna</t>
        </is>
      </c>
      <c r="B1664" t="inlineStr">
        <is>
          <t>+5561995525502</t>
        </is>
      </c>
      <c r="C1664" t="inlineStr">
        <is>
          <t>Refill</t>
        </is>
      </c>
      <c r="D1664" t="inlineStr">
        <is>
          <t>Primer Liso</t>
        </is>
      </c>
      <c r="E1664" t="n">
        <v>1</v>
      </c>
      <c r="F1664" t="inlineStr">
        <is>
          <t>2026-02-15</t>
        </is>
      </c>
      <c r="G1664" t="n">
        <v>139</v>
      </c>
      <c r="H1664" t="inlineStr">
        <is>
          <t>Y</t>
        </is>
      </c>
      <c r="I1664">
        <f>HYPERLINK("https://admin.shopify.com/store/ge-beauty-cosmeticos/customers/10163945341248","abrir")</f>
        <v/>
      </c>
      <c r="J1664">
        <f>HYPERLINK("https://www.gebeauty.com.br/products/primer-liso-intacto?ref=review","review")</f>
        <v/>
      </c>
      <c r="K1664" t="inlineStr">
        <is>
          <t>HOLDOUT</t>
        </is>
      </c>
    </row>
    <row r="1665">
      <c r="A1665" t="inlineStr">
        <is>
          <t>Ana Carolina</t>
        </is>
      </c>
      <c r="B1665" t="inlineStr">
        <is>
          <t>+5532984654243</t>
        </is>
      </c>
      <c r="C1665" t="inlineStr">
        <is>
          <t>Refill</t>
        </is>
      </c>
      <c r="D1665" t="inlineStr">
        <is>
          <t>Primer Liso</t>
        </is>
      </c>
      <c r="E1665" t="n">
        <v>1</v>
      </c>
      <c r="F1665" t="inlineStr">
        <is>
          <t>2026-02-16</t>
        </is>
      </c>
      <c r="G1665" t="n">
        <v>138</v>
      </c>
      <c r="H1665" t="inlineStr">
        <is>
          <t>Y</t>
        </is>
      </c>
      <c r="I1665">
        <f>HYPERLINK("https://admin.shopify.com/store/ge-beauty-cosmeticos/customers/10159045345600","abrir")</f>
        <v/>
      </c>
      <c r="J1665">
        <f>HYPERLINK("https://www.gebeauty.com.br/products/primer-liso-intacto?ref=review","review")</f>
        <v/>
      </c>
      <c r="K1665" t="inlineStr">
        <is>
          <t>SEND</t>
        </is>
      </c>
    </row>
    <row r="1666">
      <c r="A1666" t="inlineStr">
        <is>
          <t>Bárbara</t>
        </is>
      </c>
      <c r="B1666" t="inlineStr">
        <is>
          <t>+5518997671416</t>
        </is>
      </c>
      <c r="C1666" t="inlineStr">
        <is>
          <t>Refill</t>
        </is>
      </c>
      <c r="D1666" t="inlineStr">
        <is>
          <t>Primer Liso</t>
        </is>
      </c>
      <c r="E1666" t="n">
        <v>1</v>
      </c>
      <c r="F1666" t="inlineStr">
        <is>
          <t>2026-02-16</t>
        </is>
      </c>
      <c r="G1666" t="n">
        <v>138</v>
      </c>
      <c r="H1666" t="inlineStr">
        <is>
          <t>Y</t>
        </is>
      </c>
      <c r="I1666">
        <f>HYPERLINK("https://admin.shopify.com/store/ge-beauty-cosmeticos/customers/10163980304704","abrir")</f>
        <v/>
      </c>
      <c r="J1666">
        <f>HYPERLINK("https://www.gebeauty.com.br/products/primer-liso-intacto?ref=review","review")</f>
        <v/>
      </c>
      <c r="K1666" t="inlineStr">
        <is>
          <t>SEND</t>
        </is>
      </c>
    </row>
    <row r="1667">
      <c r="A1667" t="inlineStr">
        <is>
          <t>Daiane</t>
        </is>
      </c>
      <c r="B1667" t="inlineStr">
        <is>
          <t>+5511981479079</t>
        </is>
      </c>
      <c r="C1667" t="inlineStr">
        <is>
          <t>Refill</t>
        </is>
      </c>
      <c r="D1667" t="inlineStr">
        <is>
          <t>Primer Liso</t>
        </is>
      </c>
      <c r="E1667" t="n">
        <v>1</v>
      </c>
      <c r="F1667" t="inlineStr">
        <is>
          <t>2026-02-16</t>
        </is>
      </c>
      <c r="G1667" t="n">
        <v>138</v>
      </c>
      <c r="H1667" t="inlineStr">
        <is>
          <t>Y</t>
        </is>
      </c>
      <c r="I1667">
        <f>HYPERLINK("https://admin.shopify.com/store/ge-beauty-cosmeticos/customers/9621467070784","abrir")</f>
        <v/>
      </c>
      <c r="J1667">
        <f>HYPERLINK("https://www.gebeauty.com.br/products/primer-liso-intacto?ref=review","review")</f>
        <v/>
      </c>
      <c r="K1667" t="inlineStr">
        <is>
          <t>SEND</t>
        </is>
      </c>
    </row>
    <row r="1668">
      <c r="A1668" t="inlineStr">
        <is>
          <t>Andrea</t>
        </is>
      </c>
      <c r="B1668" t="inlineStr">
        <is>
          <t>+5511981084296</t>
        </is>
      </c>
      <c r="C1668" t="inlineStr">
        <is>
          <t>Refill</t>
        </is>
      </c>
      <c r="D1668" t="inlineStr">
        <is>
          <t>Primer Liso</t>
        </is>
      </c>
      <c r="E1668" t="n">
        <v>1</v>
      </c>
      <c r="F1668" t="inlineStr">
        <is>
          <t>2026-02-16</t>
        </is>
      </c>
      <c r="G1668" t="n">
        <v>138</v>
      </c>
      <c r="H1668" t="inlineStr">
        <is>
          <t>Y</t>
        </is>
      </c>
      <c r="I1668">
        <f>HYPERLINK("https://admin.shopify.com/store/ge-beauty-cosmeticos/customers/10099004932416","abrir")</f>
        <v/>
      </c>
      <c r="J1668">
        <f>HYPERLINK("https://www.gebeauty.com.br/products/primer-liso-intacto?ref=review","review")</f>
        <v/>
      </c>
      <c r="K1668" t="inlineStr">
        <is>
          <t>SEND</t>
        </is>
      </c>
    </row>
    <row r="1669">
      <c r="A1669" t="inlineStr">
        <is>
          <t>Renata</t>
        </is>
      </c>
      <c r="B1669" t="inlineStr">
        <is>
          <t>+5594981103103</t>
        </is>
      </c>
      <c r="C1669" t="inlineStr">
        <is>
          <t>Refill</t>
        </is>
      </c>
      <c r="D1669" t="inlineStr">
        <is>
          <t>Primer Liso</t>
        </is>
      </c>
      <c r="E1669" t="n">
        <v>1</v>
      </c>
      <c r="F1669" t="inlineStr">
        <is>
          <t>2026-02-16</t>
        </is>
      </c>
      <c r="G1669" t="n">
        <v>138</v>
      </c>
      <c r="H1669" t="inlineStr">
        <is>
          <t>Y</t>
        </is>
      </c>
      <c r="I1669">
        <f>HYPERLINK("https://admin.shopify.com/store/ge-beauty-cosmeticos/customers/10165331788096","abrir")</f>
        <v/>
      </c>
      <c r="J1669">
        <f>HYPERLINK("https://www.gebeauty.com.br/products/primer-liso-intacto?ref=review","review")</f>
        <v/>
      </c>
      <c r="K1669" t="inlineStr">
        <is>
          <t>SEND</t>
        </is>
      </c>
    </row>
    <row r="1670">
      <c r="A1670" t="inlineStr">
        <is>
          <t>Sarah</t>
        </is>
      </c>
      <c r="B1670" t="inlineStr">
        <is>
          <t>+5531972525800</t>
        </is>
      </c>
      <c r="C1670" t="inlineStr">
        <is>
          <t>Refill</t>
        </is>
      </c>
      <c r="D1670" t="inlineStr">
        <is>
          <t>Primer Liso</t>
        </is>
      </c>
      <c r="E1670" t="n">
        <v>1</v>
      </c>
      <c r="F1670" t="inlineStr">
        <is>
          <t>2026-02-16</t>
        </is>
      </c>
      <c r="G1670" t="n">
        <v>138</v>
      </c>
      <c r="H1670" t="inlineStr">
        <is>
          <t>Y</t>
        </is>
      </c>
      <c r="I1670">
        <f>HYPERLINK("https://admin.shopify.com/store/ge-beauty-cosmeticos/customers/10165524300096","abrir")</f>
        <v/>
      </c>
      <c r="J1670">
        <f>HYPERLINK("https://www.gebeauty.com.br/products/primer-liso-intacto?ref=review","review")</f>
        <v/>
      </c>
      <c r="K1670" t="inlineStr">
        <is>
          <t>SEND</t>
        </is>
      </c>
    </row>
    <row r="1671">
      <c r="A1671" t="inlineStr">
        <is>
          <t>Rebeca</t>
        </is>
      </c>
      <c r="B1671" t="inlineStr">
        <is>
          <t>+5581994165621</t>
        </is>
      </c>
      <c r="C1671" t="inlineStr">
        <is>
          <t>Refill</t>
        </is>
      </c>
      <c r="D1671" t="inlineStr">
        <is>
          <t>Primer Liso</t>
        </is>
      </c>
      <c r="E1671" t="n">
        <v>1</v>
      </c>
      <c r="F1671" t="inlineStr">
        <is>
          <t>2026-02-16</t>
        </is>
      </c>
      <c r="G1671" t="n">
        <v>138</v>
      </c>
      <c r="H1671" t="inlineStr">
        <is>
          <t>Y</t>
        </is>
      </c>
      <c r="I1671">
        <f>HYPERLINK("https://admin.shopify.com/store/ge-beauty-cosmeticos/customers/10165538488640","abrir")</f>
        <v/>
      </c>
      <c r="J1671">
        <f>HYPERLINK("https://www.gebeauty.com.br/products/primer-liso-intacto?ref=review","review")</f>
        <v/>
      </c>
      <c r="K1671" t="inlineStr">
        <is>
          <t>SEND</t>
        </is>
      </c>
    </row>
    <row r="1672">
      <c r="A1672" t="inlineStr">
        <is>
          <t>Livia</t>
        </is>
      </c>
      <c r="B1672" t="inlineStr">
        <is>
          <t>+5521995281532</t>
        </is>
      </c>
      <c r="C1672" t="inlineStr">
        <is>
          <t>Refill</t>
        </is>
      </c>
      <c r="D1672" t="inlineStr">
        <is>
          <t>Primer Liso</t>
        </is>
      </c>
      <c r="E1672" t="n">
        <v>1</v>
      </c>
      <c r="F1672" t="inlineStr">
        <is>
          <t>2026-02-16</t>
        </is>
      </c>
      <c r="G1672" t="n">
        <v>138</v>
      </c>
      <c r="H1672" t="inlineStr">
        <is>
          <t>Y</t>
        </is>
      </c>
      <c r="I1672">
        <f>HYPERLINK("https://admin.shopify.com/store/ge-beauty-cosmeticos/customers/10165741879616","abrir")</f>
        <v/>
      </c>
      <c r="J1672">
        <f>HYPERLINK("https://www.gebeauty.com.br/products/primer-liso-intacto?ref=review","review")</f>
        <v/>
      </c>
      <c r="K1672" t="inlineStr">
        <is>
          <t>HOLDOUT</t>
        </is>
      </c>
    </row>
    <row r="1673">
      <c r="A1673" t="inlineStr">
        <is>
          <t>Marcia</t>
        </is>
      </c>
      <c r="B1673" t="inlineStr">
        <is>
          <t>+5566999882838</t>
        </is>
      </c>
      <c r="C1673" t="inlineStr">
        <is>
          <t>Refill</t>
        </is>
      </c>
      <c r="D1673" t="inlineStr">
        <is>
          <t>Primer Liso</t>
        </is>
      </c>
      <c r="E1673" t="n">
        <v>1</v>
      </c>
      <c r="F1673" t="inlineStr">
        <is>
          <t>2026-02-16</t>
        </is>
      </c>
      <c r="G1673" t="n">
        <v>138</v>
      </c>
      <c r="H1673" t="inlineStr">
        <is>
          <t>Y</t>
        </is>
      </c>
      <c r="I1673">
        <f>HYPERLINK("https://admin.shopify.com/store/ge-beauty-cosmeticos/customers/9486046560576","abrir")</f>
        <v/>
      </c>
      <c r="J1673">
        <f>HYPERLINK("https://www.gebeauty.com.br/products/primer-liso-intacto?ref=review","review")</f>
        <v/>
      </c>
      <c r="K1673" t="inlineStr">
        <is>
          <t>SEND</t>
        </is>
      </c>
    </row>
    <row r="1674">
      <c r="A1674" t="inlineStr">
        <is>
          <t>Eliane</t>
        </is>
      </c>
      <c r="B1674" t="inlineStr">
        <is>
          <t>+5534991381564</t>
        </is>
      </c>
      <c r="C1674" t="inlineStr">
        <is>
          <t>Refill</t>
        </is>
      </c>
      <c r="D1674" t="inlineStr">
        <is>
          <t>Primer Liso</t>
        </is>
      </c>
      <c r="E1674" t="n">
        <v>1</v>
      </c>
      <c r="F1674" t="inlineStr">
        <is>
          <t>2026-02-17</t>
        </is>
      </c>
      <c r="G1674" t="n">
        <v>137</v>
      </c>
      <c r="H1674" t="inlineStr">
        <is>
          <t>Y</t>
        </is>
      </c>
      <c r="I1674">
        <f>HYPERLINK("https://admin.shopify.com/store/ge-beauty-cosmeticos/customers/10166174875968","abrir")</f>
        <v/>
      </c>
      <c r="J1674">
        <f>HYPERLINK("https://www.gebeauty.com.br/products/primer-liso-intacto?ref=review","review")</f>
        <v/>
      </c>
      <c r="K1674" t="inlineStr">
        <is>
          <t>SEND</t>
        </is>
      </c>
    </row>
    <row r="1675">
      <c r="A1675" t="inlineStr">
        <is>
          <t>Bruna</t>
        </is>
      </c>
      <c r="B1675" t="inlineStr">
        <is>
          <t>+5538998078317</t>
        </is>
      </c>
      <c r="C1675" t="inlineStr">
        <is>
          <t>Refill</t>
        </is>
      </c>
      <c r="D1675" t="inlineStr">
        <is>
          <t>Primer Liso</t>
        </is>
      </c>
      <c r="E1675" t="n">
        <v>1</v>
      </c>
      <c r="F1675" t="inlineStr">
        <is>
          <t>2026-02-17</t>
        </is>
      </c>
      <c r="G1675" t="n">
        <v>137</v>
      </c>
      <c r="H1675" t="inlineStr">
        <is>
          <t>Y</t>
        </is>
      </c>
      <c r="I1675">
        <f>HYPERLINK("https://admin.shopify.com/store/ge-beauty-cosmeticos/customers/10166113861952","abrir")</f>
        <v/>
      </c>
      <c r="J1675">
        <f>HYPERLINK("https://www.gebeauty.com.br/products/primer-liso-intacto?ref=review","review")</f>
        <v/>
      </c>
      <c r="K1675" t="inlineStr">
        <is>
          <t>SEND</t>
        </is>
      </c>
    </row>
    <row r="1676">
      <c r="A1676" t="inlineStr">
        <is>
          <t>Paula</t>
        </is>
      </c>
      <c r="B1676" t="inlineStr">
        <is>
          <t>+5531993439255</t>
        </is>
      </c>
      <c r="C1676" t="inlineStr">
        <is>
          <t>Refill</t>
        </is>
      </c>
      <c r="D1676" t="inlineStr">
        <is>
          <t>Primer Liso</t>
        </is>
      </c>
      <c r="E1676" t="n">
        <v>1</v>
      </c>
      <c r="F1676" t="inlineStr">
        <is>
          <t>2026-02-17</t>
        </is>
      </c>
      <c r="G1676" t="n">
        <v>137</v>
      </c>
      <c r="H1676" t="inlineStr">
        <is>
          <t>Y</t>
        </is>
      </c>
      <c r="I1676">
        <f>HYPERLINK("https://admin.shopify.com/store/ge-beauty-cosmeticos/customers/10167061315904","abrir")</f>
        <v/>
      </c>
      <c r="J1676">
        <f>HYPERLINK("https://www.gebeauty.com.br/products/primer-liso-intacto?ref=review","review")</f>
        <v/>
      </c>
      <c r="K1676" t="inlineStr">
        <is>
          <t>SEND</t>
        </is>
      </c>
    </row>
    <row r="1677">
      <c r="A1677" t="inlineStr">
        <is>
          <t>Patricia</t>
        </is>
      </c>
      <c r="B1677" t="inlineStr">
        <is>
          <t>+5551999769609</t>
        </is>
      </c>
      <c r="C1677" t="inlineStr">
        <is>
          <t>Refill</t>
        </is>
      </c>
      <c r="D1677" t="inlineStr">
        <is>
          <t>Primer Liso</t>
        </is>
      </c>
      <c r="E1677" t="n">
        <v>1</v>
      </c>
      <c r="F1677" t="inlineStr">
        <is>
          <t>2026-02-17</t>
        </is>
      </c>
      <c r="G1677" t="n">
        <v>137</v>
      </c>
      <c r="H1677" t="inlineStr">
        <is>
          <t>Y</t>
        </is>
      </c>
      <c r="I1677">
        <f>HYPERLINK("https://admin.shopify.com/store/ge-beauty-cosmeticos/customers/10167148675392","abrir")</f>
        <v/>
      </c>
      <c r="J1677">
        <f>HYPERLINK("https://www.gebeauty.com.br/products/primer-liso-intacto?ref=review","review")</f>
        <v/>
      </c>
      <c r="K1677" t="inlineStr">
        <is>
          <t>SEND</t>
        </is>
      </c>
    </row>
    <row r="1678">
      <c r="A1678" t="inlineStr">
        <is>
          <t>Tatiana</t>
        </is>
      </c>
      <c r="B1678" t="inlineStr">
        <is>
          <t>+5581996072414</t>
        </is>
      </c>
      <c r="C1678" t="inlineStr">
        <is>
          <t>Refill</t>
        </is>
      </c>
      <c r="D1678" t="inlineStr">
        <is>
          <t>Primer Liso</t>
        </is>
      </c>
      <c r="E1678" t="n">
        <v>1</v>
      </c>
      <c r="F1678" t="inlineStr">
        <is>
          <t>2026-02-17</t>
        </is>
      </c>
      <c r="G1678" t="n">
        <v>137</v>
      </c>
      <c r="H1678" t="inlineStr">
        <is>
          <t>Y</t>
        </is>
      </c>
      <c r="I1678">
        <f>HYPERLINK("https://admin.shopify.com/store/ge-beauty-cosmeticos/customers/9485199016256","abrir")</f>
        <v/>
      </c>
      <c r="J1678">
        <f>HYPERLINK("https://www.gebeauty.com.br/products/primer-liso-intacto?ref=review","review")</f>
        <v/>
      </c>
      <c r="K1678" t="inlineStr">
        <is>
          <t>SEND</t>
        </is>
      </c>
    </row>
    <row r="1679">
      <c r="A1679" t="inlineStr">
        <is>
          <t>Carine</t>
        </is>
      </c>
      <c r="B1679" t="inlineStr">
        <is>
          <t>+5551997084846</t>
        </is>
      </c>
      <c r="C1679" t="inlineStr">
        <is>
          <t>Refill</t>
        </is>
      </c>
      <c r="D1679" t="inlineStr">
        <is>
          <t>Primer Liso</t>
        </is>
      </c>
      <c r="E1679" t="n">
        <v>1</v>
      </c>
      <c r="F1679" t="inlineStr">
        <is>
          <t>2026-02-18</t>
        </is>
      </c>
      <c r="G1679" t="n">
        <v>136</v>
      </c>
      <c r="H1679" t="inlineStr">
        <is>
          <t>Y</t>
        </is>
      </c>
      <c r="I1679">
        <f>HYPERLINK("https://admin.shopify.com/store/ge-beauty-cosmeticos/customers/7759697084736","abrir")</f>
        <v/>
      </c>
      <c r="J1679">
        <f>HYPERLINK("https://www.gebeauty.com.br/products/primer-liso-intacto?ref=review","review")</f>
        <v/>
      </c>
      <c r="K1679" t="inlineStr">
        <is>
          <t>SEND</t>
        </is>
      </c>
    </row>
    <row r="1680">
      <c r="A1680" t="inlineStr">
        <is>
          <t>Luciane</t>
        </is>
      </c>
      <c r="B1680" t="inlineStr">
        <is>
          <t>+5592984550108</t>
        </is>
      </c>
      <c r="C1680" t="inlineStr">
        <is>
          <t>Refill</t>
        </is>
      </c>
      <c r="D1680" t="inlineStr">
        <is>
          <t>Primer Liso</t>
        </is>
      </c>
      <c r="E1680" t="n">
        <v>1</v>
      </c>
      <c r="F1680" t="inlineStr">
        <is>
          <t>2026-02-18</t>
        </is>
      </c>
      <c r="G1680" t="n">
        <v>136</v>
      </c>
      <c r="H1680" t="inlineStr">
        <is>
          <t>Y</t>
        </is>
      </c>
      <c r="I1680">
        <f>HYPERLINK("https://admin.shopify.com/store/ge-beauty-cosmeticos/customers/9486124155200","abrir")</f>
        <v/>
      </c>
      <c r="J1680">
        <f>HYPERLINK("https://www.gebeauty.com.br/products/primer-liso-intacto?ref=review","review")</f>
        <v/>
      </c>
      <c r="K1680" t="inlineStr">
        <is>
          <t>HOLDOUT</t>
        </is>
      </c>
    </row>
    <row r="1681">
      <c r="A1681" t="inlineStr">
        <is>
          <t>Cristina</t>
        </is>
      </c>
      <c r="B1681" t="inlineStr">
        <is>
          <t>+5511958964375</t>
        </is>
      </c>
      <c r="C1681" t="inlineStr">
        <is>
          <t>Refill</t>
        </is>
      </c>
      <c r="D1681" t="inlineStr">
        <is>
          <t>Primer Liso</t>
        </is>
      </c>
      <c r="E1681" t="n">
        <v>1</v>
      </c>
      <c r="F1681" t="inlineStr">
        <is>
          <t>2026-02-18</t>
        </is>
      </c>
      <c r="G1681" t="n">
        <v>136</v>
      </c>
      <c r="H1681" t="inlineStr">
        <is>
          <t>Y</t>
        </is>
      </c>
      <c r="I1681">
        <f>HYPERLINK("https://admin.shopify.com/store/ge-beauty-cosmeticos/customers/10169247203648","abrir")</f>
        <v/>
      </c>
      <c r="J1681">
        <f>HYPERLINK("https://www.gebeauty.com.br/products/primer-liso-intacto?ref=review","review")</f>
        <v/>
      </c>
      <c r="K1681" t="inlineStr">
        <is>
          <t>HOLDOUT</t>
        </is>
      </c>
    </row>
    <row r="1682">
      <c r="A1682" t="inlineStr">
        <is>
          <t>Grazielle</t>
        </is>
      </c>
      <c r="B1682" t="inlineStr">
        <is>
          <t>+5581988344269</t>
        </is>
      </c>
      <c r="C1682" t="inlineStr">
        <is>
          <t>Refill</t>
        </is>
      </c>
      <c r="D1682" t="inlineStr">
        <is>
          <t>Primer Liso</t>
        </is>
      </c>
      <c r="E1682" t="n">
        <v>1</v>
      </c>
      <c r="F1682" t="inlineStr">
        <is>
          <t>2026-02-18</t>
        </is>
      </c>
      <c r="G1682" t="n">
        <v>136</v>
      </c>
      <c r="H1682" t="inlineStr">
        <is>
          <t>Y</t>
        </is>
      </c>
      <c r="I1682">
        <f>HYPERLINK("https://admin.shopify.com/store/ge-beauty-cosmeticos/customers/10169350684992","abrir")</f>
        <v/>
      </c>
      <c r="J1682">
        <f>HYPERLINK("https://www.gebeauty.com.br/products/primer-liso-intacto?ref=review","review")</f>
        <v/>
      </c>
      <c r="K1682" t="inlineStr">
        <is>
          <t>HOLDOUT</t>
        </is>
      </c>
    </row>
    <row r="1683">
      <c r="A1683" t="inlineStr">
        <is>
          <t>Carla</t>
        </is>
      </c>
      <c r="B1683" t="inlineStr">
        <is>
          <t>+5521998473950</t>
        </is>
      </c>
      <c r="C1683" t="inlineStr">
        <is>
          <t>Refill</t>
        </is>
      </c>
      <c r="D1683" t="inlineStr">
        <is>
          <t>Primer Liso</t>
        </is>
      </c>
      <c r="E1683" t="n">
        <v>1</v>
      </c>
      <c r="F1683" t="inlineStr">
        <is>
          <t>2026-02-18</t>
        </is>
      </c>
      <c r="G1683" t="n">
        <v>136</v>
      </c>
      <c r="H1683" t="inlineStr">
        <is>
          <t>Y</t>
        </is>
      </c>
      <c r="I1683">
        <f>HYPERLINK("https://admin.shopify.com/store/ge-beauty-cosmeticos/customers/9664480903488","abrir")</f>
        <v/>
      </c>
      <c r="J1683">
        <f>HYPERLINK("https://www.gebeauty.com.br/products/primer-liso-intacto?ref=review","review")</f>
        <v/>
      </c>
      <c r="K1683" t="inlineStr">
        <is>
          <t>HOLDOUT</t>
        </is>
      </c>
    </row>
    <row r="1684">
      <c r="A1684" t="inlineStr">
        <is>
          <t>Marisol</t>
        </is>
      </c>
      <c r="B1684" t="inlineStr">
        <is>
          <t>+5577999292211</t>
        </is>
      </c>
      <c r="C1684" t="inlineStr">
        <is>
          <t>Refill</t>
        </is>
      </c>
      <c r="D1684" t="inlineStr">
        <is>
          <t>Primer Liso</t>
        </is>
      </c>
      <c r="E1684" t="n">
        <v>1</v>
      </c>
      <c r="F1684" t="inlineStr">
        <is>
          <t>2026-02-19</t>
        </is>
      </c>
      <c r="G1684" t="n">
        <v>135</v>
      </c>
      <c r="H1684" t="inlineStr">
        <is>
          <t>Y</t>
        </is>
      </c>
      <c r="I1684">
        <f>HYPERLINK("https://admin.shopify.com/store/ge-beauty-cosmeticos/customers/10171141128512","abrir")</f>
        <v/>
      </c>
      <c r="J1684">
        <f>HYPERLINK("https://www.gebeauty.com.br/products/primer-liso-intacto?ref=review","review")</f>
        <v/>
      </c>
      <c r="K1684" t="inlineStr">
        <is>
          <t>SEND</t>
        </is>
      </c>
    </row>
    <row r="1685">
      <c r="A1685" t="inlineStr">
        <is>
          <t>Paloma</t>
        </is>
      </c>
      <c r="B1685" t="inlineStr">
        <is>
          <t>+5516981554689</t>
        </is>
      </c>
      <c r="C1685" t="inlineStr">
        <is>
          <t>Refill</t>
        </is>
      </c>
      <c r="D1685" t="inlineStr">
        <is>
          <t>Primer Liso</t>
        </is>
      </c>
      <c r="E1685" t="n">
        <v>1</v>
      </c>
      <c r="F1685" t="inlineStr">
        <is>
          <t>2026-02-19</t>
        </is>
      </c>
      <c r="G1685" t="n">
        <v>135</v>
      </c>
      <c r="H1685" t="inlineStr">
        <is>
          <t>Y</t>
        </is>
      </c>
      <c r="I1685">
        <f>HYPERLINK("https://admin.shopify.com/store/ge-beauty-cosmeticos/customers/8502367093056","abrir")</f>
        <v/>
      </c>
      <c r="J1685">
        <f>HYPERLINK("https://www.gebeauty.com.br/products/primer-liso-intacto?ref=review","review")</f>
        <v/>
      </c>
      <c r="K1685" t="inlineStr">
        <is>
          <t>SEND</t>
        </is>
      </c>
    </row>
    <row r="1686">
      <c r="A1686" t="inlineStr">
        <is>
          <t>Marileia</t>
        </is>
      </c>
      <c r="B1686" t="inlineStr">
        <is>
          <t>+5511991705477</t>
        </is>
      </c>
      <c r="C1686" t="inlineStr">
        <is>
          <t>Refill</t>
        </is>
      </c>
      <c r="D1686" t="inlineStr">
        <is>
          <t>Primer Liso</t>
        </is>
      </c>
      <c r="E1686" t="n">
        <v>1</v>
      </c>
      <c r="F1686" t="inlineStr">
        <is>
          <t>2026-02-19</t>
        </is>
      </c>
      <c r="G1686" t="n">
        <v>135</v>
      </c>
      <c r="H1686" t="inlineStr">
        <is>
          <t>Y</t>
        </is>
      </c>
      <c r="I1686">
        <f>HYPERLINK("https://admin.shopify.com/store/ge-beauty-cosmeticos/customers/10146258682176","abrir")</f>
        <v/>
      </c>
      <c r="J1686">
        <f>HYPERLINK("https://www.gebeauty.com.br/products/primer-liso-intacto?ref=review","review")</f>
        <v/>
      </c>
      <c r="K1686" t="inlineStr">
        <is>
          <t>HOLDOUT</t>
        </is>
      </c>
    </row>
    <row r="1687">
      <c r="A1687" t="inlineStr">
        <is>
          <t>Sandra</t>
        </is>
      </c>
      <c r="B1687" t="inlineStr">
        <is>
          <t>+5511963164364</t>
        </is>
      </c>
      <c r="C1687" t="inlineStr">
        <is>
          <t>Refill</t>
        </is>
      </c>
      <c r="D1687" t="inlineStr">
        <is>
          <t>Primer Liso</t>
        </is>
      </c>
      <c r="E1687" t="n">
        <v>1</v>
      </c>
      <c r="F1687" t="inlineStr">
        <is>
          <t>2026-02-19</t>
        </is>
      </c>
      <c r="G1687" t="n">
        <v>135</v>
      </c>
      <c r="H1687" t="inlineStr">
        <is>
          <t>Y</t>
        </is>
      </c>
      <c r="I1687">
        <f>HYPERLINK("https://admin.shopify.com/store/ge-beauty-cosmeticos/customers/10150990020928","abrir")</f>
        <v/>
      </c>
      <c r="J1687">
        <f>HYPERLINK("https://www.gebeauty.com.br/products/primer-liso-intacto?ref=review","review")</f>
        <v/>
      </c>
      <c r="K1687" t="inlineStr">
        <is>
          <t>SEND</t>
        </is>
      </c>
    </row>
    <row r="1688">
      <c r="A1688" t="inlineStr">
        <is>
          <t>Denise</t>
        </is>
      </c>
      <c r="B1688" t="inlineStr">
        <is>
          <t>+5548999218789</t>
        </is>
      </c>
      <c r="C1688" t="inlineStr">
        <is>
          <t>Refill</t>
        </is>
      </c>
      <c r="D1688" t="inlineStr">
        <is>
          <t>Primer Liso</t>
        </is>
      </c>
      <c r="E1688" t="n">
        <v>1</v>
      </c>
      <c r="F1688" t="inlineStr">
        <is>
          <t>2026-02-19</t>
        </is>
      </c>
      <c r="G1688" t="n">
        <v>135</v>
      </c>
      <c r="H1688" t="inlineStr">
        <is>
          <t>Y</t>
        </is>
      </c>
      <c r="I1688">
        <f>HYPERLINK("https://admin.shopify.com/store/ge-beauty-cosmeticos/customers/9484719620416","abrir")</f>
        <v/>
      </c>
      <c r="J1688">
        <f>HYPERLINK("https://www.gebeauty.com.br/products/primer-liso-intacto?ref=review","review")</f>
        <v/>
      </c>
      <c r="K1688" t="inlineStr">
        <is>
          <t>HOLDOUT</t>
        </is>
      </c>
    </row>
    <row r="1689">
      <c r="A1689" t="inlineStr">
        <is>
          <t>Patricia</t>
        </is>
      </c>
      <c r="B1689" t="inlineStr">
        <is>
          <t>+5511988366415</t>
        </is>
      </c>
      <c r="C1689" t="inlineStr">
        <is>
          <t>Refill</t>
        </is>
      </c>
      <c r="D1689" t="inlineStr">
        <is>
          <t>Primer Liso</t>
        </is>
      </c>
      <c r="E1689" t="n">
        <v>1</v>
      </c>
      <c r="F1689" t="inlineStr">
        <is>
          <t>2026-02-19</t>
        </is>
      </c>
      <c r="G1689" t="n">
        <v>135</v>
      </c>
      <c r="H1689" t="inlineStr">
        <is>
          <t>Y</t>
        </is>
      </c>
      <c r="I1689">
        <f>HYPERLINK("https://admin.shopify.com/store/ge-beauty-cosmeticos/customers/10137917620544","abrir")</f>
        <v/>
      </c>
      <c r="J1689">
        <f>HYPERLINK("https://www.gebeauty.com.br/products/primer-liso-intacto?ref=review","review")</f>
        <v/>
      </c>
      <c r="K1689" t="inlineStr">
        <is>
          <t>SEND</t>
        </is>
      </c>
    </row>
    <row r="1690">
      <c r="A1690" t="inlineStr">
        <is>
          <t>Lidiane</t>
        </is>
      </c>
      <c r="B1690" t="inlineStr">
        <is>
          <t>+5579999400462</t>
        </is>
      </c>
      <c r="C1690" t="inlineStr">
        <is>
          <t>Refill</t>
        </is>
      </c>
      <c r="D1690" t="inlineStr">
        <is>
          <t>Primer Liso</t>
        </is>
      </c>
      <c r="E1690" t="n">
        <v>1</v>
      </c>
      <c r="F1690" t="inlineStr">
        <is>
          <t>2026-02-19</t>
        </is>
      </c>
      <c r="G1690" t="n">
        <v>135</v>
      </c>
      <c r="H1690" t="inlineStr">
        <is>
          <t>Y</t>
        </is>
      </c>
      <c r="I1690">
        <f>HYPERLINK("https://admin.shopify.com/store/ge-beauty-cosmeticos/customers/10172602876224","abrir")</f>
        <v/>
      </c>
      <c r="J1690">
        <f>HYPERLINK("https://www.gebeauty.com.br/products/primer-liso-intacto?ref=review","review")</f>
        <v/>
      </c>
      <c r="K1690" t="inlineStr">
        <is>
          <t>SEND</t>
        </is>
      </c>
    </row>
    <row r="1691">
      <c r="A1691" t="inlineStr">
        <is>
          <t>Fabiana</t>
        </is>
      </c>
      <c r="B1691" t="inlineStr">
        <is>
          <t>+5581994130274</t>
        </is>
      </c>
      <c r="C1691" t="inlineStr">
        <is>
          <t>Refill</t>
        </is>
      </c>
      <c r="D1691" t="inlineStr">
        <is>
          <t>Primer Liso</t>
        </is>
      </c>
      <c r="E1691" t="n">
        <v>1</v>
      </c>
      <c r="F1691" t="inlineStr">
        <is>
          <t>2026-02-19</t>
        </is>
      </c>
      <c r="G1691" t="n">
        <v>135</v>
      </c>
      <c r="H1691" t="inlineStr">
        <is>
          <t>Y</t>
        </is>
      </c>
      <c r="I1691">
        <f>HYPERLINK("https://admin.shopify.com/store/ge-beauty-cosmeticos/customers/10165539144000","abrir")</f>
        <v/>
      </c>
      <c r="J1691">
        <f>HYPERLINK("https://www.gebeauty.com.br/products/primer-liso-intacto?ref=review","review")</f>
        <v/>
      </c>
      <c r="K1691" t="inlineStr">
        <is>
          <t>SEND</t>
        </is>
      </c>
    </row>
    <row r="1692">
      <c r="A1692" t="inlineStr">
        <is>
          <t>Erica</t>
        </is>
      </c>
      <c r="B1692" t="inlineStr">
        <is>
          <t>+5582999876116</t>
        </is>
      </c>
      <c r="C1692" t="inlineStr">
        <is>
          <t>Refill</t>
        </is>
      </c>
      <c r="D1692" t="inlineStr">
        <is>
          <t>Primer Liso</t>
        </is>
      </c>
      <c r="E1692" t="n">
        <v>1</v>
      </c>
      <c r="F1692" t="inlineStr">
        <is>
          <t>2026-02-19</t>
        </is>
      </c>
      <c r="G1692" t="n">
        <v>135</v>
      </c>
      <c r="H1692" t="inlineStr">
        <is>
          <t>Y</t>
        </is>
      </c>
      <c r="I1692">
        <f>HYPERLINK("https://admin.shopify.com/store/ge-beauty-cosmeticos/customers/10172720578880","abrir")</f>
        <v/>
      </c>
      <c r="J1692">
        <f>HYPERLINK("https://www.gebeauty.com.br/products/primer-liso-intacto?ref=review","review")</f>
        <v/>
      </c>
      <c r="K1692" t="inlineStr">
        <is>
          <t>HOLDOUT</t>
        </is>
      </c>
    </row>
    <row r="1693">
      <c r="A1693" t="inlineStr">
        <is>
          <t>Danielle</t>
        </is>
      </c>
      <c r="B1693" t="inlineStr">
        <is>
          <t>+5591981195834</t>
        </is>
      </c>
      <c r="C1693" t="inlineStr">
        <is>
          <t>Refill</t>
        </is>
      </c>
      <c r="D1693" t="inlineStr">
        <is>
          <t>Primer Liso</t>
        </is>
      </c>
      <c r="E1693" t="n">
        <v>1</v>
      </c>
      <c r="F1693" t="inlineStr">
        <is>
          <t>2026-02-20</t>
        </is>
      </c>
      <c r="G1693" t="n">
        <v>134</v>
      </c>
      <c r="H1693" t="inlineStr">
        <is>
          <t>Y</t>
        </is>
      </c>
      <c r="I1693">
        <f>HYPERLINK("https://admin.shopify.com/store/ge-beauty-cosmeticos/customers/10163709083968","abrir")</f>
        <v/>
      </c>
      <c r="J1693">
        <f>HYPERLINK("https://www.gebeauty.com.br/products/primer-liso-intacto?ref=review","review")</f>
        <v/>
      </c>
      <c r="K1693" t="inlineStr">
        <is>
          <t>SEND</t>
        </is>
      </c>
    </row>
    <row r="1694">
      <c r="A1694" t="inlineStr">
        <is>
          <t>Tainah</t>
        </is>
      </c>
      <c r="B1694" t="inlineStr">
        <is>
          <t>+5551984831314</t>
        </is>
      </c>
      <c r="C1694" t="inlineStr">
        <is>
          <t>Refill</t>
        </is>
      </c>
      <c r="D1694" t="inlineStr">
        <is>
          <t>Primer Liso</t>
        </is>
      </c>
      <c r="E1694" t="n">
        <v>1</v>
      </c>
      <c r="F1694" t="inlineStr">
        <is>
          <t>2026-02-20</t>
        </is>
      </c>
      <c r="G1694" t="n">
        <v>134</v>
      </c>
      <c r="H1694" t="inlineStr">
        <is>
          <t>Y</t>
        </is>
      </c>
      <c r="I1694">
        <f>HYPERLINK("https://admin.shopify.com/store/ge-beauty-cosmeticos/customers/10173729079616","abrir")</f>
        <v/>
      </c>
      <c r="J1694">
        <f>HYPERLINK("https://www.gebeauty.com.br/products/primer-liso-intacto?ref=review","review")</f>
        <v/>
      </c>
      <c r="K1694" t="inlineStr">
        <is>
          <t>SEND</t>
        </is>
      </c>
    </row>
    <row r="1695">
      <c r="A1695" t="inlineStr">
        <is>
          <t>Giuliana</t>
        </is>
      </c>
      <c r="B1695" t="inlineStr">
        <is>
          <t>+5541999919214</t>
        </is>
      </c>
      <c r="C1695" t="inlineStr">
        <is>
          <t>Refill</t>
        </is>
      </c>
      <c r="D1695" t="inlineStr">
        <is>
          <t>Primer Liso</t>
        </is>
      </c>
      <c r="E1695" t="n">
        <v>1</v>
      </c>
      <c r="F1695" t="inlineStr">
        <is>
          <t>2026-02-20</t>
        </is>
      </c>
      <c r="G1695" t="n">
        <v>134</v>
      </c>
      <c r="H1695" t="inlineStr">
        <is>
          <t>Y</t>
        </is>
      </c>
      <c r="I1695">
        <f>HYPERLINK("https://admin.shopify.com/store/ge-beauty-cosmeticos/customers/10169389809984","abrir")</f>
        <v/>
      </c>
      <c r="J1695">
        <f>HYPERLINK("https://www.gebeauty.com.br/products/primer-liso-intacto?ref=review","review")</f>
        <v/>
      </c>
      <c r="K1695" t="inlineStr">
        <is>
          <t>SEND</t>
        </is>
      </c>
    </row>
    <row r="1696">
      <c r="A1696" t="inlineStr">
        <is>
          <t>Patricia</t>
        </is>
      </c>
      <c r="B1696" t="inlineStr">
        <is>
          <t>+5511981432399</t>
        </is>
      </c>
      <c r="C1696" t="inlineStr">
        <is>
          <t>Refill</t>
        </is>
      </c>
      <c r="D1696" t="inlineStr">
        <is>
          <t>Primer Liso</t>
        </is>
      </c>
      <c r="E1696" t="n">
        <v>1</v>
      </c>
      <c r="F1696" t="inlineStr">
        <is>
          <t>2026-02-20</t>
        </is>
      </c>
      <c r="G1696" t="n">
        <v>134</v>
      </c>
      <c r="H1696" t="inlineStr">
        <is>
          <t>Y</t>
        </is>
      </c>
      <c r="I1696">
        <f>HYPERLINK("https://admin.shopify.com/store/ge-beauty-cosmeticos/customers/10174771364160","abrir")</f>
        <v/>
      </c>
      <c r="J1696">
        <f>HYPERLINK("https://www.gebeauty.com.br/products/primer-liso-intacto?ref=review","review")</f>
        <v/>
      </c>
      <c r="K1696" t="inlineStr">
        <is>
          <t>HOLDOUT</t>
        </is>
      </c>
    </row>
    <row r="1697">
      <c r="A1697" t="inlineStr">
        <is>
          <t>Nathália</t>
        </is>
      </c>
      <c r="B1697" t="inlineStr">
        <is>
          <t>+5531998139559</t>
        </is>
      </c>
      <c r="C1697" t="inlineStr">
        <is>
          <t>Refill</t>
        </is>
      </c>
      <c r="D1697" t="inlineStr">
        <is>
          <t>Primer Liso</t>
        </is>
      </c>
      <c r="E1697" t="n">
        <v>1</v>
      </c>
      <c r="F1697" t="inlineStr">
        <is>
          <t>2026-02-21</t>
        </is>
      </c>
      <c r="G1697" t="n">
        <v>133</v>
      </c>
      <c r="H1697" t="inlineStr">
        <is>
          <t>Y</t>
        </is>
      </c>
      <c r="I1697">
        <f>HYPERLINK("https://admin.shopify.com/store/ge-beauty-cosmeticos/customers/10147623731520","abrir")</f>
        <v/>
      </c>
      <c r="J1697">
        <f>HYPERLINK("https://www.gebeauty.com.br/products/primer-liso-intacto?ref=review","review")</f>
        <v/>
      </c>
      <c r="K1697" t="inlineStr">
        <is>
          <t>SEND</t>
        </is>
      </c>
    </row>
    <row r="1698">
      <c r="A1698" t="inlineStr">
        <is>
          <t>Grace</t>
        </is>
      </c>
      <c r="B1698" t="inlineStr">
        <is>
          <t>+5579991380033</t>
        </is>
      </c>
      <c r="C1698" t="inlineStr">
        <is>
          <t>Refill</t>
        </is>
      </c>
      <c r="D1698" t="inlineStr">
        <is>
          <t>Primer Liso</t>
        </is>
      </c>
      <c r="E1698" t="n">
        <v>1</v>
      </c>
      <c r="F1698" t="inlineStr">
        <is>
          <t>2026-02-21</t>
        </is>
      </c>
      <c r="G1698" t="n">
        <v>133</v>
      </c>
      <c r="H1698" t="inlineStr">
        <is>
          <t>Y</t>
        </is>
      </c>
      <c r="I1698">
        <f>HYPERLINK("https://admin.shopify.com/store/ge-beauty-cosmeticos/customers/9485966836032","abrir")</f>
        <v/>
      </c>
      <c r="J1698">
        <f>HYPERLINK("https://www.gebeauty.com.br/products/primer-liso-intacto?ref=review","review")</f>
        <v/>
      </c>
      <c r="K1698" t="inlineStr">
        <is>
          <t>SEND</t>
        </is>
      </c>
    </row>
    <row r="1699">
      <c r="A1699" t="inlineStr">
        <is>
          <t>Betania</t>
        </is>
      </c>
      <c r="B1699" t="inlineStr">
        <is>
          <t>+5511989900916</t>
        </is>
      </c>
      <c r="C1699" t="inlineStr">
        <is>
          <t>Refill</t>
        </is>
      </c>
      <c r="D1699" t="inlineStr">
        <is>
          <t>Primer Liso</t>
        </is>
      </c>
      <c r="E1699" t="n">
        <v>1</v>
      </c>
      <c r="F1699" t="inlineStr">
        <is>
          <t>2026-02-21</t>
        </is>
      </c>
      <c r="G1699" t="n">
        <v>133</v>
      </c>
      <c r="H1699" t="inlineStr">
        <is>
          <t>Y</t>
        </is>
      </c>
      <c r="I1699">
        <f>HYPERLINK("https://admin.shopify.com/store/ge-beauty-cosmeticos/customers/10176147456320","abrir")</f>
        <v/>
      </c>
      <c r="J1699">
        <f>HYPERLINK("https://www.gebeauty.com.br/products/primer-liso-intacto?ref=review","review")</f>
        <v/>
      </c>
      <c r="K1699" t="inlineStr">
        <is>
          <t>SEND</t>
        </is>
      </c>
    </row>
    <row r="1700">
      <c r="A1700" t="inlineStr">
        <is>
          <t>Sophia</t>
        </is>
      </c>
      <c r="B1700" t="inlineStr">
        <is>
          <t>+5511975753582</t>
        </is>
      </c>
      <c r="C1700" t="inlineStr">
        <is>
          <t>Refill</t>
        </is>
      </c>
      <c r="D1700" t="inlineStr">
        <is>
          <t>Primer Liso</t>
        </is>
      </c>
      <c r="E1700" t="n">
        <v>1</v>
      </c>
      <c r="F1700" t="inlineStr">
        <is>
          <t>2026-02-21</t>
        </is>
      </c>
      <c r="G1700" t="n">
        <v>133</v>
      </c>
      <c r="H1700" t="inlineStr">
        <is>
          <t>Y</t>
        </is>
      </c>
      <c r="I1700">
        <f>HYPERLINK("https://admin.shopify.com/store/ge-beauty-cosmeticos/customers/10176292716864","abrir")</f>
        <v/>
      </c>
      <c r="J1700">
        <f>HYPERLINK("https://www.gebeauty.com.br/products/primer-liso-intacto?ref=review","review")</f>
        <v/>
      </c>
      <c r="K1700" t="inlineStr">
        <is>
          <t>SEND</t>
        </is>
      </c>
    </row>
    <row r="1701">
      <c r="A1701" t="inlineStr">
        <is>
          <t>Katia</t>
        </is>
      </c>
      <c r="B1701" t="inlineStr">
        <is>
          <t>+5581988441012</t>
        </is>
      </c>
      <c r="C1701" t="inlineStr">
        <is>
          <t>Refill</t>
        </is>
      </c>
      <c r="D1701" t="inlineStr">
        <is>
          <t>Primer Liso</t>
        </is>
      </c>
      <c r="E1701" t="n">
        <v>1</v>
      </c>
      <c r="F1701" t="inlineStr">
        <is>
          <t>2026-02-21</t>
        </is>
      </c>
      <c r="G1701" t="n">
        <v>133</v>
      </c>
      <c r="H1701" t="inlineStr">
        <is>
          <t>Y</t>
        </is>
      </c>
      <c r="I1701">
        <f>HYPERLINK("https://admin.shopify.com/store/ge-beauty-cosmeticos/customers/10176407503168","abrir")</f>
        <v/>
      </c>
      <c r="J1701">
        <f>HYPERLINK("https://www.gebeauty.com.br/products/primer-liso-intacto?ref=review","review")</f>
        <v/>
      </c>
      <c r="K1701" t="inlineStr">
        <is>
          <t>HOLDOUT</t>
        </is>
      </c>
    </row>
    <row r="1702">
      <c r="A1702" t="inlineStr">
        <is>
          <t>Clarie</t>
        </is>
      </c>
      <c r="B1702" t="inlineStr">
        <is>
          <t>+5511972912676</t>
        </is>
      </c>
      <c r="C1702" t="inlineStr">
        <is>
          <t>Refill</t>
        </is>
      </c>
      <c r="D1702" t="inlineStr">
        <is>
          <t>Primer Liso</t>
        </is>
      </c>
      <c r="E1702" t="n">
        <v>1</v>
      </c>
      <c r="F1702" t="inlineStr">
        <is>
          <t>2026-02-21</t>
        </is>
      </c>
      <c r="G1702" t="n">
        <v>133</v>
      </c>
      <c r="H1702" t="inlineStr">
        <is>
          <t>Y</t>
        </is>
      </c>
      <c r="I1702">
        <f>HYPERLINK("https://admin.shopify.com/store/ge-beauty-cosmeticos/customers/10176679149888","abrir")</f>
        <v/>
      </c>
      <c r="J1702">
        <f>HYPERLINK("https://www.gebeauty.com.br/products/primer-liso-intacto?ref=review","review")</f>
        <v/>
      </c>
      <c r="K1702" t="inlineStr">
        <is>
          <t>SEND</t>
        </is>
      </c>
    </row>
    <row r="1703">
      <c r="A1703" t="inlineStr">
        <is>
          <t>Luiza</t>
        </is>
      </c>
      <c r="B1703" t="inlineStr">
        <is>
          <t>+5524993018804</t>
        </is>
      </c>
      <c r="C1703" t="inlineStr">
        <is>
          <t>Refill</t>
        </is>
      </c>
      <c r="D1703" t="inlineStr">
        <is>
          <t>Primer Liso</t>
        </is>
      </c>
      <c r="E1703" t="n">
        <v>1</v>
      </c>
      <c r="F1703" t="inlineStr">
        <is>
          <t>2026-02-22</t>
        </is>
      </c>
      <c r="G1703" t="n">
        <v>132</v>
      </c>
      <c r="H1703" t="inlineStr">
        <is>
          <t>Y</t>
        </is>
      </c>
      <c r="I1703">
        <f>HYPERLINK("https://admin.shopify.com/store/ge-beauty-cosmeticos/customers/10177805648192","abrir")</f>
        <v/>
      </c>
      <c r="J1703">
        <f>HYPERLINK("https://www.gebeauty.com.br/products/primer-liso-intacto?ref=review","review")</f>
        <v/>
      </c>
      <c r="K1703" t="inlineStr">
        <is>
          <t>SEND</t>
        </is>
      </c>
    </row>
    <row r="1704">
      <c r="A1704" t="inlineStr">
        <is>
          <t>Bianca</t>
        </is>
      </c>
      <c r="B1704" t="inlineStr">
        <is>
          <t>+5511975638091</t>
        </is>
      </c>
      <c r="C1704" t="inlineStr">
        <is>
          <t>Refill</t>
        </is>
      </c>
      <c r="D1704" t="inlineStr">
        <is>
          <t>Primer Liso</t>
        </is>
      </c>
      <c r="E1704" t="n">
        <v>1</v>
      </c>
      <c r="F1704" t="inlineStr">
        <is>
          <t>2026-02-22</t>
        </is>
      </c>
      <c r="G1704" t="n">
        <v>132</v>
      </c>
      <c r="H1704" t="inlineStr">
        <is>
          <t>Y</t>
        </is>
      </c>
      <c r="I1704">
        <f>HYPERLINK("https://admin.shopify.com/store/ge-beauty-cosmeticos/customers/10178540503360","abrir")</f>
        <v/>
      </c>
      <c r="J1704">
        <f>HYPERLINK("https://www.gebeauty.com.br/products/primer-liso-intacto?ref=review","review")</f>
        <v/>
      </c>
      <c r="K1704" t="inlineStr">
        <is>
          <t>SEND</t>
        </is>
      </c>
    </row>
    <row r="1705">
      <c r="A1705" t="inlineStr">
        <is>
          <t>Helena</t>
        </is>
      </c>
      <c r="B1705" t="inlineStr">
        <is>
          <t>+5555999578778</t>
        </is>
      </c>
      <c r="C1705" t="inlineStr">
        <is>
          <t>Refill</t>
        </is>
      </c>
      <c r="D1705" t="inlineStr">
        <is>
          <t>Primer Liso</t>
        </is>
      </c>
      <c r="E1705" t="n">
        <v>1</v>
      </c>
      <c r="F1705" t="inlineStr">
        <is>
          <t>2026-02-22</t>
        </is>
      </c>
      <c r="G1705" t="n">
        <v>132</v>
      </c>
      <c r="H1705" t="inlineStr">
        <is>
          <t>Y</t>
        </is>
      </c>
      <c r="I1705">
        <f>HYPERLINK("https://admin.shopify.com/store/ge-beauty-cosmeticos/customers/10178666037568","abrir")</f>
        <v/>
      </c>
      <c r="J1705">
        <f>HYPERLINK("https://www.gebeauty.com.br/products/primer-liso-intacto?ref=review","review")</f>
        <v/>
      </c>
      <c r="K1705" t="inlineStr">
        <is>
          <t>HOLDOUT</t>
        </is>
      </c>
    </row>
    <row r="1706">
      <c r="A1706" t="inlineStr">
        <is>
          <t>Andrea</t>
        </is>
      </c>
      <c r="B1706" t="inlineStr">
        <is>
          <t>+5541991411198</t>
        </is>
      </c>
      <c r="C1706" t="inlineStr">
        <is>
          <t>Refill</t>
        </is>
      </c>
      <c r="D1706" t="inlineStr">
        <is>
          <t>Primer Liso</t>
        </is>
      </c>
      <c r="E1706" t="n">
        <v>1</v>
      </c>
      <c r="F1706" t="inlineStr">
        <is>
          <t>2026-02-23</t>
        </is>
      </c>
      <c r="G1706" t="n">
        <v>131</v>
      </c>
      <c r="H1706" t="inlineStr">
        <is>
          <t>Y</t>
        </is>
      </c>
      <c r="I1706">
        <f>HYPERLINK("https://admin.shopify.com/store/ge-beauty-cosmeticos/customers/10084495950144","abrir")</f>
        <v/>
      </c>
      <c r="J1706">
        <f>HYPERLINK("https://www.gebeauty.com.br/products/primer-liso-intacto?ref=review","review")</f>
        <v/>
      </c>
      <c r="K1706" t="inlineStr">
        <is>
          <t>SEND</t>
        </is>
      </c>
    </row>
    <row r="1707">
      <c r="A1707" t="inlineStr">
        <is>
          <t>Rafaela</t>
        </is>
      </c>
      <c r="B1707" t="inlineStr">
        <is>
          <t>+5511996010311</t>
        </is>
      </c>
      <c r="C1707" t="inlineStr">
        <is>
          <t>Refill</t>
        </is>
      </c>
      <c r="D1707" t="inlineStr">
        <is>
          <t>Primer Liso</t>
        </is>
      </c>
      <c r="E1707" t="n">
        <v>1</v>
      </c>
      <c r="F1707" t="inlineStr">
        <is>
          <t>2026-02-23</t>
        </is>
      </c>
      <c r="G1707" t="n">
        <v>131</v>
      </c>
      <c r="H1707" t="inlineStr">
        <is>
          <t>Y</t>
        </is>
      </c>
      <c r="I1707">
        <f>HYPERLINK("https://admin.shopify.com/store/ge-beauty-cosmeticos/customers/10180160422208","abrir")</f>
        <v/>
      </c>
      <c r="J1707">
        <f>HYPERLINK("https://www.gebeauty.com.br/products/primer-liso-intacto?ref=review","review")</f>
        <v/>
      </c>
      <c r="K1707" t="inlineStr">
        <is>
          <t>HOLDOUT</t>
        </is>
      </c>
    </row>
    <row r="1708">
      <c r="A1708" t="inlineStr">
        <is>
          <t>Amanda</t>
        </is>
      </c>
      <c r="B1708" t="inlineStr">
        <is>
          <t>+5535997442554</t>
        </is>
      </c>
      <c r="C1708" t="inlineStr">
        <is>
          <t>Refill</t>
        </is>
      </c>
      <c r="D1708" t="inlineStr">
        <is>
          <t>Primer Liso</t>
        </is>
      </c>
      <c r="E1708" t="n">
        <v>1</v>
      </c>
      <c r="F1708" t="inlineStr">
        <is>
          <t>2026-02-23</t>
        </is>
      </c>
      <c r="G1708" t="n">
        <v>131</v>
      </c>
      <c r="H1708" t="inlineStr">
        <is>
          <t>Y</t>
        </is>
      </c>
      <c r="I1708">
        <f>HYPERLINK("https://admin.shopify.com/store/ge-beauty-cosmeticos/customers/10180313153856","abrir")</f>
        <v/>
      </c>
      <c r="J1708">
        <f>HYPERLINK("https://www.gebeauty.com.br/products/primer-liso-intacto?ref=review","review")</f>
        <v/>
      </c>
      <c r="K1708" t="inlineStr">
        <is>
          <t>SEND</t>
        </is>
      </c>
    </row>
    <row r="1709">
      <c r="A1709" t="inlineStr">
        <is>
          <t>Silvia</t>
        </is>
      </c>
      <c r="B1709" t="inlineStr">
        <is>
          <t>+5521981512005</t>
        </is>
      </c>
      <c r="C1709" t="inlineStr">
        <is>
          <t>Refill</t>
        </is>
      </c>
      <c r="D1709" t="inlineStr">
        <is>
          <t>Primer Liso</t>
        </is>
      </c>
      <c r="E1709" t="n">
        <v>1</v>
      </c>
      <c r="F1709" t="inlineStr">
        <is>
          <t>2026-02-23</t>
        </is>
      </c>
      <c r="G1709" t="n">
        <v>131</v>
      </c>
      <c r="H1709" t="inlineStr">
        <is>
          <t>Y</t>
        </is>
      </c>
      <c r="I1709">
        <f>HYPERLINK("https://admin.shopify.com/store/ge-beauty-cosmeticos/customers/10180634804544","abrir")</f>
        <v/>
      </c>
      <c r="J1709">
        <f>HYPERLINK("https://www.gebeauty.com.br/products/primer-liso-intacto?ref=review","review")</f>
        <v/>
      </c>
      <c r="K1709" t="inlineStr">
        <is>
          <t>SEND</t>
        </is>
      </c>
    </row>
    <row r="1710">
      <c r="A1710" t="inlineStr">
        <is>
          <t>Beatriz</t>
        </is>
      </c>
      <c r="B1710" t="inlineStr">
        <is>
          <t>+5579999686958</t>
        </is>
      </c>
      <c r="C1710" t="inlineStr">
        <is>
          <t>Refill</t>
        </is>
      </c>
      <c r="D1710" t="inlineStr">
        <is>
          <t>Primer Liso</t>
        </is>
      </c>
      <c r="E1710" t="n">
        <v>1</v>
      </c>
      <c r="F1710" t="inlineStr">
        <is>
          <t>2026-02-24</t>
        </is>
      </c>
      <c r="G1710" t="n">
        <v>130</v>
      </c>
      <c r="H1710" t="inlineStr">
        <is>
          <t>Y</t>
        </is>
      </c>
      <c r="I1710">
        <f>HYPERLINK("https://admin.shopify.com/store/ge-beauty-cosmeticos/customers/10180943708480","abrir")</f>
        <v/>
      </c>
      <c r="J1710">
        <f>HYPERLINK("https://www.gebeauty.com.br/products/primer-liso-intacto?ref=review","review")</f>
        <v/>
      </c>
      <c r="K1710" t="inlineStr">
        <is>
          <t>SEND</t>
        </is>
      </c>
    </row>
    <row r="1711">
      <c r="A1711" t="inlineStr">
        <is>
          <t>Jhennyfer</t>
        </is>
      </c>
      <c r="B1711" t="inlineStr">
        <is>
          <t>+5511953647409</t>
        </is>
      </c>
      <c r="C1711" t="inlineStr">
        <is>
          <t>Refill</t>
        </is>
      </c>
      <c r="D1711" t="inlineStr">
        <is>
          <t>Primer Liso</t>
        </is>
      </c>
      <c r="E1711" t="n">
        <v>1</v>
      </c>
      <c r="F1711" t="inlineStr">
        <is>
          <t>2026-02-24</t>
        </is>
      </c>
      <c r="G1711" t="n">
        <v>130</v>
      </c>
      <c r="H1711" t="inlineStr">
        <is>
          <t>Y</t>
        </is>
      </c>
      <c r="I1711">
        <f>HYPERLINK("https://admin.shopify.com/store/ge-beauty-cosmeticos/customers/10180523622720","abrir")</f>
        <v/>
      </c>
      <c r="J1711">
        <f>HYPERLINK("https://www.gebeauty.com.br/products/primer-liso-intacto?ref=review","review")</f>
        <v/>
      </c>
      <c r="K1711" t="inlineStr">
        <is>
          <t>SEND</t>
        </is>
      </c>
    </row>
    <row r="1712">
      <c r="A1712" t="inlineStr">
        <is>
          <t>Barbara</t>
        </is>
      </c>
      <c r="B1712" t="inlineStr">
        <is>
          <t>+5548984842805</t>
        </is>
      </c>
      <c r="C1712" t="inlineStr">
        <is>
          <t>Refill</t>
        </is>
      </c>
      <c r="D1712" t="inlineStr">
        <is>
          <t>Primer Liso</t>
        </is>
      </c>
      <c r="E1712" t="n">
        <v>1</v>
      </c>
      <c r="F1712" t="inlineStr">
        <is>
          <t>2026-02-24</t>
        </is>
      </c>
      <c r="G1712" t="n">
        <v>130</v>
      </c>
      <c r="H1712" t="inlineStr">
        <is>
          <t>Y</t>
        </is>
      </c>
      <c r="I1712">
        <f>HYPERLINK("https://admin.shopify.com/store/ge-beauty-cosmeticos/customers/10181069275456","abrir")</f>
        <v/>
      </c>
      <c r="J1712">
        <f>HYPERLINK("https://www.gebeauty.com.br/products/primer-liso-intacto?ref=review","review")</f>
        <v/>
      </c>
      <c r="K1712" t="inlineStr">
        <is>
          <t>SEND</t>
        </is>
      </c>
    </row>
    <row r="1713">
      <c r="A1713" t="inlineStr">
        <is>
          <t>Elisângela</t>
        </is>
      </c>
      <c r="B1713" t="inlineStr">
        <is>
          <t>+5561999677054</t>
        </is>
      </c>
      <c r="C1713" t="inlineStr">
        <is>
          <t>Refill</t>
        </is>
      </c>
      <c r="D1713" t="inlineStr">
        <is>
          <t>Primer Liso</t>
        </is>
      </c>
      <c r="E1713" t="n">
        <v>1</v>
      </c>
      <c r="F1713" t="inlineStr">
        <is>
          <t>2026-02-24</t>
        </is>
      </c>
      <c r="G1713" t="n">
        <v>130</v>
      </c>
      <c r="H1713" t="inlineStr">
        <is>
          <t>Y</t>
        </is>
      </c>
      <c r="I1713">
        <f>HYPERLINK("https://admin.shopify.com/store/ge-beauty-cosmeticos/customers/10181877137728","abrir")</f>
        <v/>
      </c>
      <c r="J1713">
        <f>HYPERLINK("https://www.gebeauty.com.br/products/primer-liso-intacto?ref=review","review")</f>
        <v/>
      </c>
      <c r="K1713" t="inlineStr">
        <is>
          <t>SEND</t>
        </is>
      </c>
    </row>
    <row r="1714">
      <c r="A1714" t="inlineStr">
        <is>
          <t>Carolina</t>
        </is>
      </c>
      <c r="B1714" t="inlineStr">
        <is>
          <t>+5548988282662</t>
        </is>
      </c>
      <c r="C1714" t="inlineStr">
        <is>
          <t>Refill</t>
        </is>
      </c>
      <c r="D1714" t="inlineStr">
        <is>
          <t>Primer Liso</t>
        </is>
      </c>
      <c r="E1714" t="n">
        <v>1</v>
      </c>
      <c r="F1714" t="inlineStr">
        <is>
          <t>2026-02-24</t>
        </is>
      </c>
      <c r="G1714" t="n">
        <v>130</v>
      </c>
      <c r="H1714" t="inlineStr">
        <is>
          <t>Y</t>
        </is>
      </c>
      <c r="I1714">
        <f>HYPERLINK("https://admin.shopify.com/store/ge-beauty-cosmeticos/customers/10181983142208","abrir")</f>
        <v/>
      </c>
      <c r="J1714">
        <f>HYPERLINK("https://www.gebeauty.com.br/products/primer-liso-intacto?ref=review","review")</f>
        <v/>
      </c>
      <c r="K1714" t="inlineStr">
        <is>
          <t>HOLDOUT</t>
        </is>
      </c>
    </row>
    <row r="1715">
      <c r="A1715" t="inlineStr">
        <is>
          <t>Manuella</t>
        </is>
      </c>
      <c r="B1715" t="inlineStr">
        <is>
          <t>+5585981743737</t>
        </is>
      </c>
      <c r="C1715" t="inlineStr">
        <is>
          <t>Refill</t>
        </is>
      </c>
      <c r="D1715" t="inlineStr">
        <is>
          <t>Primer Liso</t>
        </is>
      </c>
      <c r="E1715" t="n">
        <v>1</v>
      </c>
      <c r="F1715" t="inlineStr">
        <is>
          <t>2026-02-24</t>
        </is>
      </c>
      <c r="G1715" t="n">
        <v>130</v>
      </c>
      <c r="H1715" t="inlineStr">
        <is>
          <t>Y</t>
        </is>
      </c>
      <c r="I1715">
        <f>HYPERLINK("https://admin.shopify.com/store/ge-beauty-cosmeticos/customers/10182191415616","abrir")</f>
        <v/>
      </c>
      <c r="J1715">
        <f>HYPERLINK("https://www.gebeauty.com.br/products/primer-liso-intacto?ref=review","review")</f>
        <v/>
      </c>
      <c r="K1715" t="inlineStr">
        <is>
          <t>SEND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2026-07-04T16:14:22Z</dcterms:created>
  <dcterms:modified xmlns:dcterms="http://purl.org/dc/terms/" xmlns:xsi="http://www.w3.org/2001/XMLSchema-instance" xsi:type="dcterms:W3CDTF">2026-07-06T18:12:35Z</dcterms:modified>
</cp:coreProperties>
</file>
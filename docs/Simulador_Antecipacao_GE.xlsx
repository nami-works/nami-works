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Entregas" sheetId="2" state="visible" r:id="rId4"/>
    <sheet name="Parcelas" sheetId="3" state="visible" r:id="rId5"/>
    <sheet name="Resumo" sheetId="4" state="visible" r:id="rId6"/>
    <sheet name="Leia-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<sst xmlns="http://schemas.openxmlformats.org/spreadsheetml/2006/main" count="190" uniqueCount="103">
  <si>
    <t xml:space="preserve">SIMULADOR DE ANTECIPAÇÃO DE RECEBÍVEIS — GE Beauty</t>
  </si>
  <si>
    <t xml:space="preserve">Cash &amp; Funding · controle de o que descontar, quando e com quem</t>
  </si>
  <si>
    <t xml:space="preserve">Data de hoje (editável)</t>
  </si>
  <si>
    <t xml:space="preserve">← usada para 'dias até vencimento'. Troque por data fixa se quiser congelar.</t>
  </si>
  <si>
    <t xml:space="preserve">PARÂMETROS DOS FUNDERS (editáveis)</t>
  </si>
  <si>
    <t xml:space="preserve">Funder</t>
  </si>
  <si>
    <t xml:space="preserve">Taxa a.m.</t>
  </si>
  <si>
    <t xml:space="preserve">IOF diário</t>
  </si>
  <si>
    <t xml:space="preserve">IOF fixo</t>
  </si>
  <si>
    <t xml:space="preserve">Tarifa / parcela</t>
  </si>
  <si>
    <t xml:space="preserve">Tenor máx (dias)</t>
  </si>
  <si>
    <t xml:space="preserve">Teto (R$)</t>
  </si>
  <si>
    <t xml:space="preserve">Itaú</t>
  </si>
  <si>
    <t xml:space="preserve">Ghia</t>
  </si>
  <si>
    <t xml:space="preserve">Notas: Itaú IOF = 0,0082%/dia + 0,38% fixo (crédito PJ). Ghia (FIDC true-sale) IOF assumido 0 e tarifas não quantificadas — CUSTO GHIA É ESTIMATIVA. Ajuste ao confirmar.</t>
  </si>
  <si>
    <t xml:space="preserve">Custo estimado por parcela = valor×(taxa a.m./30)×dias + valor×(IOF diário×dias + IOF fixo) + tarifa.</t>
  </si>
  <si>
    <t xml:space="preserve">ENTREGAS NEGOCIADAS — preencha as células amarelas</t>
  </si>
  <si>
    <t xml:space="preserve">ID</t>
  </si>
  <si>
    <t xml:space="preserve">Cliente</t>
  </si>
  <si>
    <t xml:space="preserve">Produto</t>
  </si>
  <si>
    <t xml:space="preserve">Qtd</t>
  </si>
  <si>
    <t xml:space="preserve">Preço unit.</t>
  </si>
  <si>
    <t xml:space="preserve">Total</t>
  </si>
  <si>
    <t xml:space="preserve">Nº parcelas</t>
  </si>
  <si>
    <t xml:space="preserve">1ª parcela (dias)</t>
  </si>
  <si>
    <t xml:space="preserve">Intervalo (dias)</t>
  </si>
  <si>
    <t xml:space="preserve">Calendário</t>
  </si>
  <si>
    <t xml:space="preserve">Data entrega</t>
  </si>
  <si>
    <t xml:space="preserve">Status</t>
  </si>
  <si>
    <t xml:space="preserve">E01</t>
  </si>
  <si>
    <t xml:space="preserve">UAUBox</t>
  </si>
  <si>
    <t xml:space="preserve">Shampoo a Seco (Março)</t>
  </si>
  <si>
    <t xml:space="preserve">Corrido</t>
  </si>
  <si>
    <t xml:space="preserve">Faturado</t>
  </si>
  <si>
    <t xml:space="preserve">E02</t>
  </si>
  <si>
    <t xml:space="preserve">Booster Hidratante (Maio)</t>
  </si>
  <si>
    <t xml:space="preserve">Parcial</t>
  </si>
  <si>
    <t xml:space="preserve">E03</t>
  </si>
  <si>
    <t xml:space="preserve">Booster Definição (Nov, revisado)</t>
  </si>
  <si>
    <t xml:space="preserve">4x faturadas; 5ª a faturar</t>
  </si>
  <si>
    <t xml:space="preserve">E04</t>
  </si>
  <si>
    <t xml:space="preserve">B4A</t>
  </si>
  <si>
    <t xml:space="preserve">Shampoo sem sulfato 60ml (ajuda custo)</t>
  </si>
  <si>
    <t xml:space="preserve">Terça 3-25</t>
  </si>
  <si>
    <t xml:space="preserve">Contrato 28/07 · dia estimado</t>
  </si>
  <si>
    <t xml:space="preserve">E05</t>
  </si>
  <si>
    <t xml:space="preserve">Máscara condicionadora 50ml (ajuda custo)</t>
  </si>
  <si>
    <t xml:space="preserve">E06</t>
  </si>
  <si>
    <t xml:space="preserve">Leave-in 150ml (ajuda custo)</t>
  </si>
  <si>
    <t xml:space="preserve">E07</t>
  </si>
  <si>
    <t xml:space="preserve">Shampoo a seco 150ml (ajuda custo)</t>
  </si>
  <si>
    <t xml:space="preserve">E08</t>
  </si>
  <si>
    <t xml:space="preserve">Booster Antifrizz 15ml (ajuda custo)</t>
  </si>
  <si>
    <t xml:space="preserve">E09</t>
  </si>
  <si>
    <t xml:space="preserve">E10</t>
  </si>
  <si>
    <t xml:space="preserve">E11</t>
  </si>
  <si>
    <t xml:space="preserve">E12</t>
  </si>
  <si>
    <t xml:space="preserve">Total negociado:</t>
  </si>
  <si>
    <t xml:space="preserve">PARCELAS — vencimentos calculados; edite Data desconto e Funder (amarelo)</t>
  </si>
  <si>
    <t xml:space="preserve">Entrega</t>
  </si>
  <si>
    <t xml:space="preserve">Parc nº</t>
  </si>
  <si>
    <t xml:space="preserve">Valor parcela</t>
  </si>
  <si>
    <t xml:space="preserve">Venc. nominal</t>
  </si>
  <si>
    <t xml:space="preserve">helper T0</t>
  </si>
  <si>
    <t xml:space="preserve">helper 1ºdia m+1</t>
  </si>
  <si>
    <t xml:space="preserve">helper Terça m+1</t>
  </si>
  <si>
    <t xml:space="preserve">Vencimento</t>
  </si>
  <si>
    <t xml:space="preserve">Dias p/ venc (hoje)</t>
  </si>
  <si>
    <t xml:space="preserve">Data desconto</t>
  </si>
  <si>
    <t xml:space="preserve">Tenor (dias)</t>
  </si>
  <si>
    <t xml:space="preserve">Tenor OK?</t>
  </si>
  <si>
    <t xml:space="preserve">Custo estim.</t>
  </si>
  <si>
    <t xml:space="preserve">Valor líquido</t>
  </si>
  <si>
    <t xml:space="preserve">TOTAIS →</t>
  </si>
  <si>
    <t xml:space="preserve">RESUMO</t>
  </si>
  <si>
    <t xml:space="preserve">Por funder</t>
  </si>
  <si>
    <t xml:space="preserve">Face descontada</t>
  </si>
  <si>
    <t xml:space="preserve">Teto</t>
  </si>
  <si>
    <t xml:space="preserve">Utilização</t>
  </si>
  <si>
    <t xml:space="preserve">Total negociado</t>
  </si>
  <si>
    <t xml:space="preserve">Total descontado (face)</t>
  </si>
  <si>
    <t xml:space="preserve">Total líquido a receber</t>
  </si>
  <si>
    <t xml:space="preserve">COMO USAR</t>
  </si>
  <si>
    <t xml:space="preserve">Células AMARELAS = editáveis. As demais são fórmulas — não edite.</t>
  </si>
  <si>
    <t xml:space="preserve">1) Aba ENTREGAS: uma linha por entrega negociada (E01..E12).</t>
  </si>
  <si>
    <t xml:space="preserve">   Preencha: Cliente, Produto, Qtd, Preço unit., Nº parcelas, 1ª parcela (dias),</t>
  </si>
  <si>
    <t xml:space="preserve">   Intervalo (dias), Calendário, Data entrega, Status. 'Total' é calculado.</t>
  </si>
  <si>
    <t xml:space="preserve">   Calendário = 'Corrido' (vence exatamente em entrega+prazo) ou</t>
  </si>
  <si>
    <t xml:space="preserve">   'Terça 3-25' (vencimento cai na 1ª terça-feira, entre dias 3 e 25; se passar do 25,</t>
  </si>
  <si>
    <t xml:space="preserve">   empurra p/ 1ª terça do mês seguinte). UAUBox = Corrido; B4A = Terça 3-25.</t>
  </si>
  <si>
    <t xml:space="preserve">2) Aba PARCELAS: gerada automaticamente (5 linhas por entrega; sobra some sozinha).</t>
  </si>
  <si>
    <t xml:space="preserve">   Vencimento é calculado de Data entrega + prazos + Calendário.</t>
  </si>
  <si>
    <t xml:space="preserve">   Edite só: Data desconto e Funder (amarelo). O resto calcula:</t>
  </si>
  <si>
    <t xml:space="preserve">   Tenor (dias desconto→vencimento), Tenor OK? (vs limite do funder),</t>
  </si>
  <si>
    <t xml:space="preserve">   Custo estimado e Valor líquido.</t>
  </si>
  <si>
    <t xml:space="preserve">3) Aba PARÂMETROS: taxas, IOF, tarifas, tenor máx e teto por funder. Ajuste aqui.</t>
  </si>
  <si>
    <t xml:space="preserve">   Data de hoje controla a coluna 'dias p/ venc'.</t>
  </si>
  <si>
    <t xml:space="preserve">EXEMPLO (linha de entrega já preenchida — E03):</t>
  </si>
  <si>
    <t xml:space="preserve">   UAUBox | Booster Definição | 26.500 | R$21,83 | 5 parc | 30/30 | Corrido | 15/10/2026.</t>
  </si>
  <si>
    <t xml:space="preserve">PENDENTE: entregas da B4A por produto (produto/qtd/preço por entrega) não estão</t>
  </si>
  <si>
    <t xml:space="preserve">no meu alcance — preencha E04+ com calendário 'Terça 3-25'. O motor já suporta.</t>
  </si>
  <si>
    <t xml:space="preserve">RESSALVAS: custo Ghia é ESTIMATIVA (IOF assumido 0, tarifas não quantificadas).</t>
  </si>
  <si>
    <t xml:space="preserve">Teto/uso Itaú ainda não verificados. Vencimentos assumem regra informada, não o contrato.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</si>
</sst>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0%"/>
    <numFmt numFmtId="167" formatCode="&quot;R$ &quot;#,##0.00;[RED]&quot;-R$ &quot;#,##0.00"/>
    <numFmt numFmtId="168" formatCode="0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true">TODAY()</f>
        <v>46239</v>
      </c>
      <c r="C4" s="2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customFormat="false" ht="15" hidden="false" customHeight="false" outlineLevel="0" collapsed="false">
      <c r="A8" s="6" t="s">
        <v>12</v>
      </c>
      <c r="B8" s="7" t="n">
        <v>0.0172</v>
      </c>
      <c r="C8" s="7" t="n">
        <v>8.2E-005</v>
      </c>
      <c r="D8" s="7" t="n">
        <v>0.0038</v>
      </c>
      <c r="E8" s="8" t="n">
        <v>0</v>
      </c>
      <c r="F8" s="9" t="n">
        <v>210</v>
      </c>
      <c r="G8" s="8" t="n">
        <v>650000</v>
      </c>
    </row>
    <row r="9" customFormat="false" ht="15" hidden="false" customHeight="false" outlineLevel="0" collapsed="false">
      <c r="A9" s="6" t="s">
        <v>13</v>
      </c>
      <c r="B9" s="7" t="n">
        <v>0.02</v>
      </c>
      <c r="C9" s="7" t="n">
        <v>0</v>
      </c>
      <c r="D9" s="7" t="n">
        <v>0</v>
      </c>
      <c r="E9" s="8" t="n">
        <v>0</v>
      </c>
      <c r="F9" s="9" t="n">
        <v>120</v>
      </c>
      <c r="G9" s="8" t="n">
        <v>500000</v>
      </c>
    </row>
    <row r="11" customFormat="false" ht="15" hidden="false" customHeight="false" outlineLevel="0" collapsed="false">
      <c r="A11" s="2" t="s">
        <v>14</v>
      </c>
    </row>
    <row r="12" customFormat="false" ht="15" hidden="false" customHeight="false" outlineLevel="0" collapsed="false">
      <c r="A12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1" min="10" style="0" width="13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10" t="s">
        <v>16</v>
      </c>
    </row>
    <row r="2" customFormat="false" ht="23.8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</row>
    <row r="3" customFormat="false" ht="15" hidden="false" customHeight="false" outlineLevel="0" collapsed="false">
      <c r="A3" s="11" t="s">
        <v>29</v>
      </c>
      <c r="B3" s="12" t="s">
        <v>30</v>
      </c>
      <c r="C3" s="12" t="s">
        <v>31</v>
      </c>
      <c r="D3" s="9" t="n">
        <v>17000</v>
      </c>
      <c r="E3" s="8" t="n">
        <v>17.19</v>
      </c>
      <c r="F3" s="13" t="n">
        <f aca="false">IF(D3="","",D3*E3)</f>
        <v>292230</v>
      </c>
      <c r="G3" s="9" t="n">
        <v>4</v>
      </c>
      <c r="H3" s="9" t="n">
        <v>30</v>
      </c>
      <c r="I3" s="9" t="n">
        <v>30</v>
      </c>
      <c r="J3" s="12" t="s">
        <v>32</v>
      </c>
      <c r="K3" s="4" t="n">
        <v>46068</v>
      </c>
      <c r="L3" s="12" t="s">
        <v>33</v>
      </c>
    </row>
    <row r="4" customFormat="false" ht="15" hidden="false" customHeight="false" outlineLevel="0" collapsed="false">
      <c r="A4" s="11" t="s">
        <v>34</v>
      </c>
      <c r="B4" s="12" t="s">
        <v>30</v>
      </c>
      <c r="C4" s="12" t="s">
        <v>35</v>
      </c>
      <c r="D4" s="9" t="n">
        <v>17000</v>
      </c>
      <c r="E4" s="8" t="n">
        <v>18.29</v>
      </c>
      <c r="F4" s="13" t="n">
        <f aca="false">IF(D4="","",D4*E4)</f>
        <v>310930</v>
      </c>
      <c r="G4" s="9" t="n">
        <v>4</v>
      </c>
      <c r="H4" s="9" t="n">
        <v>30</v>
      </c>
      <c r="I4" s="9" t="n">
        <v>30</v>
      </c>
      <c r="J4" s="12" t="s">
        <v>32</v>
      </c>
      <c r="K4" s="4" t="n">
        <v>46127</v>
      </c>
      <c r="L4" s="12" t="s">
        <v>36</v>
      </c>
    </row>
    <row r="5" customFormat="false" ht="15" hidden="false" customHeight="false" outlineLevel="0" collapsed="false">
      <c r="A5" s="11" t="s">
        <v>37</v>
      </c>
      <c r="B5" s="12" t="s">
        <v>30</v>
      </c>
      <c r="C5" s="12" t="s">
        <v>38</v>
      </c>
      <c r="D5" s="9" t="n">
        <v>26500</v>
      </c>
      <c r="E5" s="8" t="n">
        <v>21.83</v>
      </c>
      <c r="F5" s="13" t="n">
        <f aca="false">IF(D5="","",D5*E5)</f>
        <v>578495</v>
      </c>
      <c r="G5" s="9" t="n">
        <v>5</v>
      </c>
      <c r="H5" s="9" t="n">
        <v>30</v>
      </c>
      <c r="I5" s="9" t="n">
        <v>30</v>
      </c>
      <c r="J5" s="12" t="s">
        <v>32</v>
      </c>
      <c r="K5" s="4" t="n">
        <v>46310</v>
      </c>
      <c r="L5" s="12" t="s">
        <v>39</v>
      </c>
    </row>
    <row r="6" customFormat="false" ht="15" hidden="false" customHeight="false" outlineLevel="0" collapsed="false">
      <c r="A6" s="11" t="s">
        <v>40</v>
      </c>
      <c r="B6" s="12" t="s">
        <v>41</v>
      </c>
      <c r="C6" s="12" t="s">
        <v>42</v>
      </c>
      <c r="D6" s="9" t="n">
        <v>15000</v>
      </c>
      <c r="E6" s="8" t="n">
        <v>7</v>
      </c>
      <c r="F6" s="13" t="n">
        <f aca="false">IF(D6="","",D6*E6)</f>
        <v>105000</v>
      </c>
      <c r="G6" s="9" t="n">
        <v>4</v>
      </c>
      <c r="H6" s="9" t="n">
        <v>30</v>
      </c>
      <c r="I6" s="9" t="n">
        <v>30</v>
      </c>
      <c r="J6" s="12" t="s">
        <v>43</v>
      </c>
      <c r="K6" s="4" t="n">
        <v>46239</v>
      </c>
      <c r="L6" s="12" t="s">
        <v>44</v>
      </c>
    </row>
    <row r="7" customFormat="false" ht="15" hidden="false" customHeight="false" outlineLevel="0" collapsed="false">
      <c r="A7" s="11" t="s">
        <v>45</v>
      </c>
      <c r="B7" s="12" t="s">
        <v>41</v>
      </c>
      <c r="C7" s="12" t="s">
        <v>46</v>
      </c>
      <c r="D7" s="9" t="n">
        <v>15000</v>
      </c>
      <c r="E7" s="8" t="n">
        <v>7</v>
      </c>
      <c r="F7" s="13" t="n">
        <f aca="false">IF(D7="","",D7*E7)</f>
        <v>105000</v>
      </c>
      <c r="G7" s="9" t="n">
        <v>4</v>
      </c>
      <c r="H7" s="9" t="n">
        <v>30</v>
      </c>
      <c r="I7" s="9" t="n">
        <v>30</v>
      </c>
      <c r="J7" s="12" t="s">
        <v>43</v>
      </c>
      <c r="K7" s="4" t="n">
        <v>46239</v>
      </c>
      <c r="L7" s="12" t="s">
        <v>44</v>
      </c>
    </row>
    <row r="8" customFormat="false" ht="15" hidden="false" customHeight="false" outlineLevel="0" collapsed="false">
      <c r="A8" s="11" t="s">
        <v>47</v>
      </c>
      <c r="B8" s="12" t="s">
        <v>41</v>
      </c>
      <c r="C8" s="12" t="s">
        <v>48</v>
      </c>
      <c r="D8" s="9" t="n">
        <v>15000</v>
      </c>
      <c r="E8" s="8" t="n">
        <v>12</v>
      </c>
      <c r="F8" s="13" t="n">
        <f aca="false">IF(D8="","",D8*E8)</f>
        <v>180000</v>
      </c>
      <c r="G8" s="9" t="n">
        <v>4</v>
      </c>
      <c r="H8" s="9" t="n">
        <v>30</v>
      </c>
      <c r="I8" s="9" t="n">
        <v>30</v>
      </c>
      <c r="J8" s="12" t="s">
        <v>43</v>
      </c>
      <c r="K8" s="4" t="n">
        <v>46300</v>
      </c>
      <c r="L8" s="12" t="s">
        <v>44</v>
      </c>
    </row>
    <row r="9" customFormat="false" ht="15" hidden="false" customHeight="false" outlineLevel="0" collapsed="false">
      <c r="A9" s="11" t="s">
        <v>49</v>
      </c>
      <c r="B9" s="12" t="s">
        <v>41</v>
      </c>
      <c r="C9" s="12" t="s">
        <v>50</v>
      </c>
      <c r="D9" s="9" t="n">
        <v>15000</v>
      </c>
      <c r="E9" s="8" t="n">
        <v>14</v>
      </c>
      <c r="F9" s="13" t="n">
        <f aca="false">IF(D9="","",D9*E9)</f>
        <v>210000</v>
      </c>
      <c r="G9" s="9" t="n">
        <v>4</v>
      </c>
      <c r="H9" s="9" t="n">
        <v>30</v>
      </c>
      <c r="I9" s="9" t="n">
        <v>30</v>
      </c>
      <c r="J9" s="12" t="s">
        <v>43</v>
      </c>
      <c r="K9" s="4" t="n">
        <v>46331</v>
      </c>
      <c r="L9" s="12" t="s">
        <v>44</v>
      </c>
    </row>
    <row r="10" customFormat="false" ht="15" hidden="false" customHeight="false" outlineLevel="0" collapsed="false">
      <c r="A10" s="11" t="s">
        <v>51</v>
      </c>
      <c r="B10" s="12" t="s">
        <v>41</v>
      </c>
      <c r="C10" s="12" t="s">
        <v>52</v>
      </c>
      <c r="D10" s="9" t="n">
        <v>20000</v>
      </c>
      <c r="E10" s="8" t="n">
        <v>12</v>
      </c>
      <c r="F10" s="13" t="n">
        <f aca="false">IF(D10="","",D10*E10)</f>
        <v>240000</v>
      </c>
      <c r="G10" s="9" t="n">
        <v>4</v>
      </c>
      <c r="H10" s="9" t="n">
        <v>30</v>
      </c>
      <c r="I10" s="9" t="n">
        <v>30</v>
      </c>
      <c r="J10" s="12" t="s">
        <v>43</v>
      </c>
      <c r="K10" s="4" t="n">
        <v>46361</v>
      </c>
      <c r="L10" s="12" t="s">
        <v>44</v>
      </c>
    </row>
    <row r="11" customFormat="false" ht="15" hidden="false" customHeight="false" outlineLevel="0" collapsed="false">
      <c r="A11" s="11" t="s">
        <v>53</v>
      </c>
      <c r="B11" s="12"/>
      <c r="C11" s="12"/>
      <c r="D11" s="9"/>
      <c r="E11" s="8"/>
      <c r="F11" s="13" t="str">
        <f aca="false">IF(D11="","",D11*E11)</f>
        <v/>
      </c>
      <c r="G11" s="9"/>
      <c r="H11" s="9"/>
      <c r="I11" s="9"/>
      <c r="J11" s="12" t="s">
        <v>43</v>
      </c>
      <c r="K11" s="4"/>
      <c r="L11" s="12"/>
    </row>
    <row r="12" customFormat="false" ht="15" hidden="false" customHeight="false" outlineLevel="0" collapsed="false">
      <c r="A12" s="11" t="s">
        <v>54</v>
      </c>
      <c r="B12" s="12"/>
      <c r="C12" s="12"/>
      <c r="D12" s="9"/>
      <c r="E12" s="8"/>
      <c r="F12" s="13" t="str">
        <f aca="false">IF(D12="","",D12*E12)</f>
        <v/>
      </c>
      <c r="G12" s="9"/>
      <c r="H12" s="9"/>
      <c r="I12" s="9"/>
      <c r="J12" s="12" t="s">
        <v>43</v>
      </c>
      <c r="K12" s="4"/>
      <c r="L12" s="12"/>
    </row>
    <row r="13" customFormat="false" ht="15" hidden="false" customHeight="false" outlineLevel="0" collapsed="false">
      <c r="A13" s="11" t="s">
        <v>55</v>
      </c>
      <c r="B13" s="12"/>
      <c r="C13" s="12"/>
      <c r="D13" s="9"/>
      <c r="E13" s="8"/>
      <c r="F13" s="13" t="str">
        <f aca="false">IF(D13="","",D13*E13)</f>
        <v/>
      </c>
      <c r="G13" s="9"/>
      <c r="H13" s="9"/>
      <c r="I13" s="9"/>
      <c r="J13" s="12" t="s">
        <v>43</v>
      </c>
      <c r="K13" s="4"/>
      <c r="L13" s="12"/>
    </row>
    <row r="14" customFormat="false" ht="15" hidden="false" customHeight="false" outlineLevel="0" collapsed="false">
      <c r="A14" s="11" t="s">
        <v>56</v>
      </c>
      <c r="B14" s="12"/>
      <c r="C14" s="12"/>
      <c r="D14" s="9"/>
      <c r="E14" s="8"/>
      <c r="F14" s="13" t="str">
        <f aca="false">IF(D14="","",D14*E14)</f>
        <v/>
      </c>
      <c r="G14" s="9"/>
      <c r="H14" s="9"/>
      <c r="I14" s="9"/>
      <c r="J14" s="12" t="s">
        <v>43</v>
      </c>
      <c r="K14" s="4"/>
      <c r="L14" s="12"/>
    </row>
    <row r="16" customFormat="false" ht="15" hidden="false" customHeight="false" outlineLevel="0" collapsed="false">
      <c r="A16" s="3" t="s">
        <v>57</v>
      </c>
      <c r="F16" s="14" t="n">
        <f aca="false">SUM(F3:F14)</f>
        <v>2021655</v>
      </c>
    </row>
  </sheetData>
  <dataValidations count="1">
    <dataValidation allowBlank="true" errorStyle="stop" operator="between" showDropDown="false" showErrorMessage="false" showInputMessage="false" sqref="J3:J14" type="list">
      <formula1>"Corrido,Terça 3-25"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true" outlineLevel="0" max="7" min="7" style="0" width="10"/>
    <col collapsed="false" customWidth="true" hidden="tru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true" outlineLevel="0" max="20" min="19" style="0" width="13"/>
  </cols>
  <sheetData>
    <row r="1" customFormat="false" ht="15" hidden="false" customHeight="false" outlineLevel="0" collapsed="false">
      <c r="A1" s="10" t="s">
        <v>58</v>
      </c>
    </row>
    <row r="2" customFormat="false" ht="23.85" hidden="false" customHeight="false" outlineLevel="0" collapsed="false">
      <c r="A2" s="5" t="s">
        <v>59</v>
      </c>
      <c r="B2" s="5" t="s">
        <v>60</v>
      </c>
      <c r="C2" s="5" t="s">
        <v>18</v>
      </c>
      <c r="D2" s="5" t="s">
        <v>19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 t="s">
        <v>5</v>
      </c>
      <c r="N2" s="5" t="s">
        <v>69</v>
      </c>
      <c r="O2" s="5" t="s">
        <v>70</v>
      </c>
      <c r="P2" s="5" t="s">
        <v>71</v>
      </c>
      <c r="Q2" s="5" t="s">
        <v>72</v>
      </c>
    </row>
    <row r="3" customFormat="false" ht="15" hidden="false" customHeight="false" outlineLevel="0" collapsed="false">
      <c r="A3" s="15" t="s">
        <v>29</v>
      </c>
      <c r="B3" s="15" t="n">
        <v>1</v>
      </c>
      <c r="C3" s="15" t="str">
        <f aca="false">IF($T3=1,INDEX(Entregas!$B$3:$B$14,$S3),"")</f>
        <v>UAUBox</v>
      </c>
      <c r="D3" s="15" t="str">
        <f aca="false">IF($T3=1,INDEX(Entregas!$C$3:$C$14,$S3),"")</f>
        <v>Shampoo a Seco (Março)</v>
      </c>
      <c r="E3" s="16" t="n">
        <f aca="false">IF($T3=1,INDEX(Entregas!$F$3:$F$14,$S3)/INDEX(Entregas!$G$3:$G$14,$S3),"")</f>
        <v>73057.5</v>
      </c>
      <c r="F3" s="17" t="n">
        <f aca="false">IF($T3=1,INDEX(Entregas!$K$3:$K$14,$S3)+INDEX(Entregas!$H$3:$H$14,$S3),"")</f>
        <v>46098</v>
      </c>
      <c r="G3" s="17" t="n">
        <f aca="false">IF($T3=1,F3+MOD(1-WEEKDAY(F3,3)+7,7),"")</f>
        <v>46098</v>
      </c>
      <c r="H3" s="17" t="n">
        <f aca="false">IF($T3=1,EOMONTH(F3,0)+1,"")</f>
        <v>46113</v>
      </c>
      <c r="I3" s="17" t="n">
        <f aca="false">IF($T3=1,IF(DAY(H3+MOD(1-WEEKDAY(H3,3)+7,7))&lt;3,H3+MOD(1-WEEKDAY(H3,3)+7,7)+7,H3+MOD(1-WEEKDAY(H3,3)+7,7)),"")</f>
        <v>46119</v>
      </c>
      <c r="J3" s="17" t="n">
        <f aca="false">IF($T3=1,IF(INDEX(Entregas!$J$3:$J$14,$S3)="Corrido",F3,IF(DAY(G3)&gt;25,I3,IF(DAY(G3)&lt;3,G3+7,G3))),"")</f>
        <v>46098</v>
      </c>
      <c r="K3" s="18" t="n">
        <f aca="false">IF($T3=1,J3-Parametros!$B$4,"")</f>
        <v>-141</v>
      </c>
      <c r="L3" s="4"/>
      <c r="M3" s="12"/>
      <c r="N3" s="18" t="str">
        <f aca="false">IF(AND($T3=1,L3&lt;&gt;"",M3&lt;&gt;""),J3-L3,"")</f>
        <v/>
      </c>
      <c r="O3" s="15" t="str">
        <f aca="false">IF(N3="","",IF(N3&lt;0,"desc&gt;venc",IF(N3&gt;INDEX(Parametros!$F$8:$F$9,MATCH(M3,Parametros!$A$8:$A$9,0)),"EXCEDE","ok")))</f>
        <v/>
      </c>
      <c r="P3" s="16" t="str">
        <f aca="false">IF(OR(N3="",N3&lt;0),"",E3*(INDEX(Parametros!$B$8:$B$9,MATCH(M3,Parametros!$A$8:$A$9,0))/30)*N3+E3*(INDEX(Parametros!$C$8:$C$9,MATCH(M3,Parametros!$A$8:$A$9,0))*N3+INDEX(Parametros!$D$8:$D$9,MATCH(M3,Parametros!$A$8:$A$9,0)))+INDEX(Parametros!$E$8:$E$9,MATCH(M3,Parametros!$A$8:$A$9,0)))</f>
        <v/>
      </c>
      <c r="Q3" s="16" t="str">
        <f aca="false">IF(P3="","",E3-P3)</f>
        <v/>
      </c>
      <c r="S3" s="19" t="n">
        <f aca="false">IFERROR(MATCH($A3,Entregas!$A$3:$A$14,0),"")</f>
        <v>1</v>
      </c>
      <c r="T3" s="19" t="n">
        <f aca="false">IF($S3="",0,IF(AND(INDEX(Entregas!$F$3:$F$14,$S3)&lt;&gt;"",INDEX(Entregas!$F$3:$F$14,$S3)&gt;0,$B3&lt;=INDEX(Entregas!$G$3:$G$14,$S3)),1,0))</f>
        <v>1</v>
      </c>
    </row>
    <row r="4" customFormat="false" ht="15" hidden="false" customHeight="false" outlineLevel="0" collapsed="false">
      <c r="A4" s="15" t="s">
        <v>29</v>
      </c>
      <c r="B4" s="15" t="n">
        <v>2</v>
      </c>
      <c r="C4" s="15" t="str">
        <f aca="false">IF($T4=1,INDEX(Entregas!$B$3:$B$14,$S4),"")</f>
        <v>UAUBox</v>
      </c>
      <c r="D4" s="15" t="str">
        <f aca="false">IF($T4=1,INDEX(Entregas!$C$3:$C$14,$S4),"")</f>
        <v>Shampoo a Seco (Março)</v>
      </c>
      <c r="E4" s="16" t="n">
        <f aca="false">IF($T4=1,INDEX(Entregas!$F$3:$F$14,$S4)/INDEX(Entregas!$G$3:$G$14,$S4),"")</f>
        <v>73057.5</v>
      </c>
      <c r="F4" s="17" t="n">
        <f aca="false">IF($T4=1,J3+INDEX(Entregas!$I$3:$I$14,$S4),"")</f>
        <v>46128</v>
      </c>
      <c r="G4" s="17" t="n">
        <f aca="false">IF($T4=1,F4+MOD(1-WEEKDAY(F4,3)+7,7),"")</f>
        <v>46133</v>
      </c>
      <c r="H4" s="17" t="n">
        <f aca="false">IF($T4=1,EOMONTH(F4,0)+1,"")</f>
        <v>46143</v>
      </c>
      <c r="I4" s="17" t="n">
        <f aca="false">IF($T4=1,IF(DAY(H4+MOD(1-WEEKDAY(H4,3)+7,7))&lt;3,H4+MOD(1-WEEKDAY(H4,3)+7,7)+7,H4+MOD(1-WEEKDAY(H4,3)+7,7)),"")</f>
        <v>46147</v>
      </c>
      <c r="J4" s="17" t="n">
        <f aca="false">IF($T4=1,IF(INDEX(Entregas!$J$3:$J$14,$S4)="Corrido",F4,IF(DAY(G4)&gt;25,I4,IF(DAY(G4)&lt;3,G4+7,G4))),"")</f>
        <v>46128</v>
      </c>
      <c r="K4" s="18" t="n">
        <f aca="false">IF($T4=1,J4-Parametros!$B$4,"")</f>
        <v>-111</v>
      </c>
      <c r="L4" s="4"/>
      <c r="M4" s="12"/>
      <c r="N4" s="18" t="str">
        <f aca="false">IF(AND($T4=1,L4&lt;&gt;"",M4&lt;&gt;""),J4-L4,"")</f>
        <v/>
      </c>
      <c r="O4" s="15" t="str">
        <f aca="false">IF(N4="","",IF(N4&lt;0,"desc&gt;venc",IF(N4&gt;INDEX(Parametros!$F$8:$F$9,MATCH(M4,Parametros!$A$8:$A$9,0)),"EXCEDE","ok")))</f>
        <v/>
      </c>
      <c r="P4" s="16" t="str">
        <f aca="false">IF(OR(N4="",N4&lt;0),"",E4*(INDEX(Parametros!$B$8:$B$9,MATCH(M4,Parametros!$A$8:$A$9,0))/30)*N4+E4*(INDEX(Parametros!$C$8:$C$9,MATCH(M4,Parametros!$A$8:$A$9,0))*N4+INDEX(Parametros!$D$8:$D$9,MATCH(M4,Parametros!$A$8:$A$9,0)))+INDEX(Parametros!$E$8:$E$9,MATCH(M4,Parametros!$A$8:$A$9,0)))</f>
        <v/>
      </c>
      <c r="Q4" s="16" t="str">
        <f aca="false">IF(P4="","",E4-P4)</f>
        <v/>
      </c>
      <c r="S4" s="19" t="n">
        <f aca="false">IFERROR(MATCH($A4,Entregas!$A$3:$A$14,0),"")</f>
        <v>1</v>
      </c>
      <c r="T4" s="19" t="n">
        <f aca="false">IF($S4="",0,IF(AND(INDEX(Entregas!$F$3:$F$14,$S4)&lt;&gt;"",INDEX(Entregas!$F$3:$F$14,$S4)&gt;0,$B4&lt;=INDEX(Entregas!$G$3:$G$14,$S4)),1,0))</f>
        <v>1</v>
      </c>
    </row>
    <row r="5" customFormat="false" ht="15" hidden="false" customHeight="false" outlineLevel="0" collapsed="false">
      <c r="A5" s="15" t="s">
        <v>29</v>
      </c>
      <c r="B5" s="15" t="n">
        <v>3</v>
      </c>
      <c r="C5" s="15" t="str">
        <f aca="false">IF($T5=1,INDEX(Entregas!$B$3:$B$14,$S5),"")</f>
        <v>UAUBox</v>
      </c>
      <c r="D5" s="15" t="str">
        <f aca="false">IF($T5=1,INDEX(Entregas!$C$3:$C$14,$S5),"")</f>
        <v>Shampoo a Seco (Março)</v>
      </c>
      <c r="E5" s="16" t="n">
        <f aca="false">IF($T5=1,INDEX(Entregas!$F$3:$F$14,$S5)/INDEX(Entregas!$G$3:$G$14,$S5),"")</f>
        <v>73057.5</v>
      </c>
      <c r="F5" s="17" t="n">
        <f aca="false">IF($T5=1,J4+INDEX(Entregas!$I$3:$I$14,$S5),"")</f>
        <v>46158</v>
      </c>
      <c r="G5" s="17" t="n">
        <f aca="false">IF($T5=1,F5+MOD(1-WEEKDAY(F5,3)+7,7),"")</f>
        <v>46161</v>
      </c>
      <c r="H5" s="17" t="n">
        <f aca="false">IF($T5=1,EOMONTH(F5,0)+1,"")</f>
        <v>46174</v>
      </c>
      <c r="I5" s="17" t="n">
        <f aca="false">IF($T5=1,IF(DAY(H5+MOD(1-WEEKDAY(H5,3)+7,7))&lt;3,H5+MOD(1-WEEKDAY(H5,3)+7,7)+7,H5+MOD(1-WEEKDAY(H5,3)+7,7)),"")</f>
        <v>46182</v>
      </c>
      <c r="J5" s="17" t="n">
        <f aca="false">IF($T5=1,IF(INDEX(Entregas!$J$3:$J$14,$S5)="Corrido",F5,IF(DAY(G5)&gt;25,I5,IF(DAY(G5)&lt;3,G5+7,G5))),"")</f>
        <v>46158</v>
      </c>
      <c r="K5" s="18" t="n">
        <f aca="false">IF($T5=1,J5-Parametros!$B$4,"")</f>
        <v>-81</v>
      </c>
      <c r="L5" s="4"/>
      <c r="M5" s="12"/>
      <c r="N5" s="18" t="str">
        <f aca="false">IF(AND($T5=1,L5&lt;&gt;"",M5&lt;&gt;""),J5-L5,"")</f>
        <v/>
      </c>
      <c r="O5" s="15" t="str">
        <f aca="false">IF(N5="","",IF(N5&lt;0,"desc&gt;venc",IF(N5&gt;INDEX(Parametros!$F$8:$F$9,MATCH(M5,Parametros!$A$8:$A$9,0)),"EXCEDE","ok")))</f>
        <v/>
      </c>
      <c r="P5" s="16" t="str">
        <f aca="false">IF(OR(N5="",N5&lt;0),"",E5*(INDEX(Parametros!$B$8:$B$9,MATCH(M5,Parametros!$A$8:$A$9,0))/30)*N5+E5*(INDEX(Parametros!$C$8:$C$9,MATCH(M5,Parametros!$A$8:$A$9,0))*N5+INDEX(Parametros!$D$8:$D$9,MATCH(M5,Parametros!$A$8:$A$9,0)))+INDEX(Parametros!$E$8:$E$9,MATCH(M5,Parametros!$A$8:$A$9,0)))</f>
        <v/>
      </c>
      <c r="Q5" s="16" t="str">
        <f aca="false">IF(P5="","",E5-P5)</f>
        <v/>
      </c>
      <c r="S5" s="19" t="n">
        <f aca="false">IFERROR(MATCH($A5,Entregas!$A$3:$A$14,0),"")</f>
        <v>1</v>
      </c>
      <c r="T5" s="19" t="n">
        <f aca="false">IF($S5="",0,IF(AND(INDEX(Entregas!$F$3:$F$14,$S5)&lt;&gt;"",INDEX(Entregas!$F$3:$F$14,$S5)&gt;0,$B5&lt;=INDEX(Entregas!$G$3:$G$14,$S5)),1,0))</f>
        <v>1</v>
      </c>
    </row>
    <row r="6" customFormat="false" ht="15" hidden="false" customHeight="false" outlineLevel="0" collapsed="false">
      <c r="A6" s="15" t="s">
        <v>29</v>
      </c>
      <c r="B6" s="15" t="n">
        <v>4</v>
      </c>
      <c r="C6" s="15" t="str">
        <f aca="false">IF($T6=1,INDEX(Entregas!$B$3:$B$14,$S6),"")</f>
        <v>UAUBox</v>
      </c>
      <c r="D6" s="15" t="str">
        <f aca="false">IF($T6=1,INDEX(Entregas!$C$3:$C$14,$S6),"")</f>
        <v>Shampoo a Seco (Março)</v>
      </c>
      <c r="E6" s="16" t="n">
        <f aca="false">IF($T6=1,INDEX(Entregas!$F$3:$F$14,$S6)/INDEX(Entregas!$G$3:$G$14,$S6),"")</f>
        <v>73057.5</v>
      </c>
      <c r="F6" s="17" t="n">
        <f aca="false">IF($T6=1,J5+INDEX(Entregas!$I$3:$I$14,$S6),"")</f>
        <v>46188</v>
      </c>
      <c r="G6" s="17" t="n">
        <f aca="false">IF($T6=1,F6+MOD(1-WEEKDAY(F6,3)+7,7),"")</f>
        <v>46189</v>
      </c>
      <c r="H6" s="17" t="n">
        <f aca="false">IF($T6=1,EOMONTH(F6,0)+1,"")</f>
        <v>46204</v>
      </c>
      <c r="I6" s="17" t="n">
        <f aca="false">IF($T6=1,IF(DAY(H6+MOD(1-WEEKDAY(H6,3)+7,7))&lt;3,H6+MOD(1-WEEKDAY(H6,3)+7,7)+7,H6+MOD(1-WEEKDAY(H6,3)+7,7)),"")</f>
        <v>46210</v>
      </c>
      <c r="J6" s="17" t="n">
        <f aca="false">IF($T6=1,IF(INDEX(Entregas!$J$3:$J$14,$S6)="Corrido",F6,IF(DAY(G6)&gt;25,I6,IF(DAY(G6)&lt;3,G6+7,G6))),"")</f>
        <v>46188</v>
      </c>
      <c r="K6" s="18" t="n">
        <f aca="false">IF($T6=1,J6-Parametros!$B$4,"")</f>
        <v>-51</v>
      </c>
      <c r="L6" s="4"/>
      <c r="M6" s="12"/>
      <c r="N6" s="18" t="str">
        <f aca="false">IF(AND($T6=1,L6&lt;&gt;"",M6&lt;&gt;""),J6-L6,"")</f>
        <v/>
      </c>
      <c r="O6" s="15" t="str">
        <f aca="false">IF(N6="","",IF(N6&lt;0,"desc&gt;venc",IF(N6&gt;INDEX(Parametros!$F$8:$F$9,MATCH(M6,Parametros!$A$8:$A$9,0)),"EXCEDE","ok")))</f>
        <v/>
      </c>
      <c r="P6" s="16" t="str">
        <f aca="false">IF(OR(N6="",N6&lt;0),"",E6*(INDEX(Parametros!$B$8:$B$9,MATCH(M6,Parametros!$A$8:$A$9,0))/30)*N6+E6*(INDEX(Parametros!$C$8:$C$9,MATCH(M6,Parametros!$A$8:$A$9,0))*N6+INDEX(Parametros!$D$8:$D$9,MATCH(M6,Parametros!$A$8:$A$9,0)))+INDEX(Parametros!$E$8:$E$9,MATCH(M6,Parametros!$A$8:$A$9,0)))</f>
        <v/>
      </c>
      <c r="Q6" s="16" t="str">
        <f aca="false">IF(P6="","",E6-P6)</f>
        <v/>
      </c>
      <c r="S6" s="19" t="n">
        <f aca="false">IFERROR(MATCH($A6,Entregas!$A$3:$A$14,0),"")</f>
        <v>1</v>
      </c>
      <c r="T6" s="19" t="n">
        <f aca="false">IF($S6="",0,IF(AND(INDEX(Entregas!$F$3:$F$14,$S6)&lt;&gt;"",INDEX(Entregas!$F$3:$F$14,$S6)&gt;0,$B6&lt;=INDEX(Entregas!$G$3:$G$14,$S6)),1,0))</f>
        <v>1</v>
      </c>
    </row>
    <row r="7" customFormat="false" ht="15" hidden="false" customHeight="false" outlineLevel="0" collapsed="false">
      <c r="A7" s="15" t="s">
        <v>29</v>
      </c>
      <c r="B7" s="15" t="n">
        <v>5</v>
      </c>
      <c r="C7" s="15" t="str">
        <f aca="false">IF($T7=1,INDEX(Entregas!$B$3:$B$14,$S7),"")</f>
        <v/>
      </c>
      <c r="D7" s="15" t="str">
        <f aca="false">IF($T7=1,INDEX(Entregas!$C$3:$C$14,$S7),"")</f>
        <v/>
      </c>
      <c r="E7" s="16" t="str">
        <f aca="false">IF($T7=1,INDEX(Entregas!$F$3:$F$14,$S7)/INDEX(Entregas!$G$3:$G$14,$S7),"")</f>
        <v/>
      </c>
      <c r="F7" s="17" t="str">
        <f aca="false">IF($T7=1,J6+INDEX(Entregas!$I$3:$I$14,$S7),"")</f>
        <v/>
      </c>
      <c r="G7" s="17" t="str">
        <f aca="false">IF($T7=1,F7+MOD(1-WEEKDAY(F7,3)+7,7),"")</f>
        <v/>
      </c>
      <c r="H7" s="17" t="str">
        <f aca="false">IF($T7=1,EOMONTH(F7,0)+1,"")</f>
        <v/>
      </c>
      <c r="I7" s="17" t="str">
        <f aca="false">IF($T7=1,IF(DAY(H7+MOD(1-WEEKDAY(H7,3)+7,7))&lt;3,H7+MOD(1-WEEKDAY(H7,3)+7,7)+7,H7+MOD(1-WEEKDAY(H7,3)+7,7)),"")</f>
        <v/>
      </c>
      <c r="J7" s="17" t="str">
        <f aca="false">IF($T7=1,IF(INDEX(Entregas!$J$3:$J$14,$S7)="Corrido",F7,IF(DAY(G7)&gt;25,I7,IF(DAY(G7)&lt;3,G7+7,G7))),"")</f>
        <v/>
      </c>
      <c r="K7" s="18" t="str">
        <f aca="false">IF($T7=1,J7-Parametros!$B$4,"")</f>
        <v/>
      </c>
      <c r="L7" s="4"/>
      <c r="M7" s="12"/>
      <c r="N7" s="18" t="str">
        <f aca="false">IF(AND($T7=1,L7&lt;&gt;"",M7&lt;&gt;""),J7-L7,"")</f>
        <v/>
      </c>
      <c r="O7" s="15" t="str">
        <f aca="false">IF(N7="","",IF(N7&lt;0,"desc&gt;venc",IF(N7&gt;INDEX(Parametros!$F$8:$F$9,MATCH(M7,Parametros!$A$8:$A$9,0)),"EXCEDE","ok")))</f>
        <v/>
      </c>
      <c r="P7" s="16" t="str">
        <f aca="false">IF(OR(N7="",N7&lt;0),"",E7*(INDEX(Parametros!$B$8:$B$9,MATCH(M7,Parametros!$A$8:$A$9,0))/30)*N7+E7*(INDEX(Parametros!$C$8:$C$9,MATCH(M7,Parametros!$A$8:$A$9,0))*N7+INDEX(Parametros!$D$8:$D$9,MATCH(M7,Parametros!$A$8:$A$9,0)))+INDEX(Parametros!$E$8:$E$9,MATCH(M7,Parametros!$A$8:$A$9,0)))</f>
        <v/>
      </c>
      <c r="Q7" s="16" t="str">
        <f aca="false">IF(P7="","",E7-P7)</f>
        <v/>
      </c>
      <c r="S7" s="19" t="n">
        <f aca="false">IFERROR(MATCH($A7,Entregas!$A$3:$A$14,0),"")</f>
        <v>1</v>
      </c>
      <c r="T7" s="19" t="n">
        <f aca="false">IF($S7="",0,IF(AND(INDEX(Entregas!$F$3:$F$14,$S7)&lt;&gt;"",INDEX(Entregas!$F$3:$F$14,$S7)&gt;0,$B7&lt;=INDEX(Entregas!$G$3:$G$14,$S7)),1,0))</f>
        <v>0</v>
      </c>
    </row>
    <row r="8" customFormat="false" ht="15" hidden="false" customHeight="false" outlineLevel="0" collapsed="false">
      <c r="A8" s="15" t="s">
        <v>34</v>
      </c>
      <c r="B8" s="15" t="n">
        <v>1</v>
      </c>
      <c r="C8" s="15" t="str">
        <f aca="false">IF($T8=1,INDEX(Entregas!$B$3:$B$14,$S8),"")</f>
        <v>UAUBox</v>
      </c>
      <c r="D8" s="15" t="str">
        <f aca="false">IF($T8=1,INDEX(Entregas!$C$3:$C$14,$S8),"")</f>
        <v>Booster Hidratante (Maio)</v>
      </c>
      <c r="E8" s="16" t="n">
        <f aca="false">IF($T8=1,INDEX(Entregas!$F$3:$F$14,$S8)/INDEX(Entregas!$G$3:$G$14,$S8),"")</f>
        <v>77732.5</v>
      </c>
      <c r="F8" s="17" t="n">
        <f aca="false">IF($T8=1,INDEX(Entregas!$K$3:$K$14,$S8)+INDEX(Entregas!$H$3:$H$14,$S8),"")</f>
        <v>46157</v>
      </c>
      <c r="G8" s="17" t="n">
        <f aca="false">IF($T8=1,F8+MOD(1-WEEKDAY(F8,3)+7,7),"")</f>
        <v>46161</v>
      </c>
      <c r="H8" s="17" t="n">
        <f aca="false">IF($T8=1,EOMONTH(F8,0)+1,"")</f>
        <v>46174</v>
      </c>
      <c r="I8" s="17" t="n">
        <f aca="false">IF($T8=1,IF(DAY(H8+MOD(1-WEEKDAY(H8,3)+7,7))&lt;3,H8+MOD(1-WEEKDAY(H8,3)+7,7)+7,H8+MOD(1-WEEKDAY(H8,3)+7,7)),"")</f>
        <v>46182</v>
      </c>
      <c r="J8" s="17" t="n">
        <f aca="false">IF($T8=1,IF(INDEX(Entregas!$J$3:$J$14,$S8)="Corrido",F8,IF(DAY(G8)&gt;25,I8,IF(DAY(G8)&lt;3,G8+7,G8))),"")</f>
        <v>46157</v>
      </c>
      <c r="K8" s="18" t="n">
        <f aca="false">IF($T8=1,J8-Parametros!$B$4,"")</f>
        <v>-82</v>
      </c>
      <c r="L8" s="4"/>
      <c r="M8" s="12"/>
      <c r="N8" s="18" t="str">
        <f aca="false">IF(AND($T8=1,L8&lt;&gt;"",M8&lt;&gt;""),J8-L8,"")</f>
        <v/>
      </c>
      <c r="O8" s="15" t="str">
        <f aca="false">IF(N8="","",IF(N8&lt;0,"desc&gt;venc",IF(N8&gt;INDEX(Parametros!$F$8:$F$9,MATCH(M8,Parametros!$A$8:$A$9,0)),"EXCEDE","ok")))</f>
        <v/>
      </c>
      <c r="P8" s="16" t="str">
        <f aca="false">IF(OR(N8="",N8&lt;0),"",E8*(INDEX(Parametros!$B$8:$B$9,MATCH(M8,Parametros!$A$8:$A$9,0))/30)*N8+E8*(INDEX(Parametros!$C$8:$C$9,MATCH(M8,Parametros!$A$8:$A$9,0))*N8+INDEX(Parametros!$D$8:$D$9,MATCH(M8,Parametros!$A$8:$A$9,0)))+INDEX(Parametros!$E$8:$E$9,MATCH(M8,Parametros!$A$8:$A$9,0)))</f>
        <v/>
      </c>
      <c r="Q8" s="16" t="str">
        <f aca="false">IF(P8="","",E8-P8)</f>
        <v/>
      </c>
      <c r="S8" s="19" t="n">
        <f aca="false">IFERROR(MATCH($A8,Entregas!$A$3:$A$14,0),"")</f>
        <v>2</v>
      </c>
      <c r="T8" s="19" t="n">
        <f aca="false">IF($S8="",0,IF(AND(INDEX(Entregas!$F$3:$F$14,$S8)&lt;&gt;"",INDEX(Entregas!$F$3:$F$14,$S8)&gt;0,$B8&lt;=INDEX(Entregas!$G$3:$G$14,$S8)),1,0))</f>
        <v>1</v>
      </c>
    </row>
    <row r="9" customFormat="false" ht="15" hidden="false" customHeight="false" outlineLevel="0" collapsed="false">
      <c r="A9" s="15" t="s">
        <v>34</v>
      </c>
      <c r="B9" s="15" t="n">
        <v>2</v>
      </c>
      <c r="C9" s="15" t="str">
        <f aca="false">IF($T9=1,INDEX(Entregas!$B$3:$B$14,$S9),"")</f>
        <v>UAUBox</v>
      </c>
      <c r="D9" s="15" t="str">
        <f aca="false">IF($T9=1,INDEX(Entregas!$C$3:$C$14,$S9),"")</f>
        <v>Booster Hidratante (Maio)</v>
      </c>
      <c r="E9" s="16" t="n">
        <f aca="false">IF($T9=1,INDEX(Entregas!$F$3:$F$14,$S9)/INDEX(Entregas!$G$3:$G$14,$S9),"")</f>
        <v>77732.5</v>
      </c>
      <c r="F9" s="17" t="n">
        <f aca="false">IF($T9=1,J8+INDEX(Entregas!$I$3:$I$14,$S9),"")</f>
        <v>46187</v>
      </c>
      <c r="G9" s="17" t="n">
        <f aca="false">IF($T9=1,F9+MOD(1-WEEKDAY(F9,3)+7,7),"")</f>
        <v>46189</v>
      </c>
      <c r="H9" s="17" t="n">
        <f aca="false">IF($T9=1,EOMONTH(F9,0)+1,"")</f>
        <v>46204</v>
      </c>
      <c r="I9" s="17" t="n">
        <f aca="false">IF($T9=1,IF(DAY(H9+MOD(1-WEEKDAY(H9,3)+7,7))&lt;3,H9+MOD(1-WEEKDAY(H9,3)+7,7)+7,H9+MOD(1-WEEKDAY(H9,3)+7,7)),"")</f>
        <v>46210</v>
      </c>
      <c r="J9" s="17" t="n">
        <f aca="false">IF($T9=1,IF(INDEX(Entregas!$J$3:$J$14,$S9)="Corrido",F9,IF(DAY(G9)&gt;25,I9,IF(DAY(G9)&lt;3,G9+7,G9))),"")</f>
        <v>46187</v>
      </c>
      <c r="K9" s="18" t="n">
        <f aca="false">IF($T9=1,J9-Parametros!$B$4,"")</f>
        <v>-52</v>
      </c>
      <c r="L9" s="4"/>
      <c r="M9" s="12"/>
      <c r="N9" s="18" t="str">
        <f aca="false">IF(AND($T9=1,L9&lt;&gt;"",M9&lt;&gt;""),J9-L9,"")</f>
        <v/>
      </c>
      <c r="O9" s="15" t="str">
        <f aca="false">IF(N9="","",IF(N9&lt;0,"desc&gt;venc",IF(N9&gt;INDEX(Parametros!$F$8:$F$9,MATCH(M9,Parametros!$A$8:$A$9,0)),"EXCEDE","ok")))</f>
        <v/>
      </c>
      <c r="P9" s="16" t="str">
        <f aca="false">IF(OR(N9="",N9&lt;0),"",E9*(INDEX(Parametros!$B$8:$B$9,MATCH(M9,Parametros!$A$8:$A$9,0))/30)*N9+E9*(INDEX(Parametros!$C$8:$C$9,MATCH(M9,Parametros!$A$8:$A$9,0))*N9+INDEX(Parametros!$D$8:$D$9,MATCH(M9,Parametros!$A$8:$A$9,0)))+INDEX(Parametros!$E$8:$E$9,MATCH(M9,Parametros!$A$8:$A$9,0)))</f>
        <v/>
      </c>
      <c r="Q9" s="16" t="str">
        <f aca="false">IF(P9="","",E9-P9)</f>
        <v/>
      </c>
      <c r="S9" s="19" t="n">
        <f aca="false">IFERROR(MATCH($A9,Entregas!$A$3:$A$14,0),"")</f>
        <v>2</v>
      </c>
      <c r="T9" s="19" t="n">
        <f aca="false">IF($S9="",0,IF(AND(INDEX(Entregas!$F$3:$F$14,$S9)&lt;&gt;"",INDEX(Entregas!$F$3:$F$14,$S9)&gt;0,$B9&lt;=INDEX(Entregas!$G$3:$G$14,$S9)),1,0))</f>
        <v>1</v>
      </c>
    </row>
    <row r="10" customFormat="false" ht="15" hidden="false" customHeight="false" outlineLevel="0" collapsed="false">
      <c r="A10" s="15" t="s">
        <v>34</v>
      </c>
      <c r="B10" s="15" t="n">
        <v>3</v>
      </c>
      <c r="C10" s="15" t="str">
        <f aca="false">IF($T10=1,INDEX(Entregas!$B$3:$B$14,$S10),"")</f>
        <v>UAUBox</v>
      </c>
      <c r="D10" s="15" t="str">
        <f aca="false">IF($T10=1,INDEX(Entregas!$C$3:$C$14,$S10),"")</f>
        <v>Booster Hidratante (Maio)</v>
      </c>
      <c r="E10" s="16" t="n">
        <f aca="false">IF($T10=1,INDEX(Entregas!$F$3:$F$14,$S10)/INDEX(Entregas!$G$3:$G$14,$S10),"")</f>
        <v>77732.5</v>
      </c>
      <c r="F10" s="17" t="n">
        <f aca="false">IF($T10=1,J9+INDEX(Entregas!$I$3:$I$14,$S10),"")</f>
        <v>46217</v>
      </c>
      <c r="G10" s="17" t="n">
        <f aca="false">IF($T10=1,F10+MOD(1-WEEKDAY(F10,3)+7,7),"")</f>
        <v>46217</v>
      </c>
      <c r="H10" s="17" t="n">
        <f aca="false">IF($T10=1,EOMONTH(F10,0)+1,"")</f>
        <v>46235</v>
      </c>
      <c r="I10" s="17" t="n">
        <f aca="false">IF($T10=1,IF(DAY(H10+MOD(1-WEEKDAY(H10,3)+7,7))&lt;3,H10+MOD(1-WEEKDAY(H10,3)+7,7)+7,H10+MOD(1-WEEKDAY(H10,3)+7,7)),"")</f>
        <v>46238</v>
      </c>
      <c r="J10" s="17" t="n">
        <f aca="false">IF($T10=1,IF(INDEX(Entregas!$J$3:$J$14,$S10)="Corrido",F10,IF(DAY(G10)&gt;25,I10,IF(DAY(G10)&lt;3,G10+7,G10))),"")</f>
        <v>46217</v>
      </c>
      <c r="K10" s="18" t="n">
        <f aca="false">IF($T10=1,J10-Parametros!$B$4,"")</f>
        <v>-22</v>
      </c>
      <c r="L10" s="4"/>
      <c r="M10" s="12"/>
      <c r="N10" s="18" t="str">
        <f aca="false">IF(AND($T10=1,L10&lt;&gt;"",M10&lt;&gt;""),J10-L10,"")</f>
        <v/>
      </c>
      <c r="O10" s="15" t="str">
        <f aca="false">IF(N10="","",IF(N10&lt;0,"desc&gt;venc",IF(N10&gt;INDEX(Parametros!$F$8:$F$9,MATCH(M10,Parametros!$A$8:$A$9,0)),"EXCEDE","ok")))</f>
        <v/>
      </c>
      <c r="P10" s="16" t="str">
        <f aca="false">IF(OR(N10="",N10&lt;0),"",E10*(INDEX(Parametros!$B$8:$B$9,MATCH(M10,Parametros!$A$8:$A$9,0))/30)*N10+E10*(INDEX(Parametros!$C$8:$C$9,MATCH(M10,Parametros!$A$8:$A$9,0))*N10+INDEX(Parametros!$D$8:$D$9,MATCH(M10,Parametros!$A$8:$A$9,0)))+INDEX(Parametros!$E$8:$E$9,MATCH(M10,Parametros!$A$8:$A$9,0)))</f>
        <v/>
      </c>
      <c r="Q10" s="16" t="str">
        <f aca="false">IF(P10="","",E10-P10)</f>
        <v/>
      </c>
      <c r="S10" s="19" t="n">
        <f aca="false">IFERROR(MATCH($A10,Entregas!$A$3:$A$14,0),"")</f>
        <v>2</v>
      </c>
      <c r="T10" s="19" t="n">
        <f aca="false">IF($S10="",0,IF(AND(INDEX(Entregas!$F$3:$F$14,$S10)&lt;&gt;"",INDEX(Entregas!$F$3:$F$14,$S10)&gt;0,$B10&lt;=INDEX(Entregas!$G$3:$G$14,$S10)),1,0))</f>
        <v>1</v>
      </c>
    </row>
    <row r="11" customFormat="false" ht="15" hidden="false" customHeight="false" outlineLevel="0" collapsed="false">
      <c r="A11" s="15" t="s">
        <v>34</v>
      </c>
      <c r="B11" s="15" t="n">
        <v>4</v>
      </c>
      <c r="C11" s="15" t="str">
        <f aca="false">IF($T11=1,INDEX(Entregas!$B$3:$B$14,$S11),"")</f>
        <v>UAUBox</v>
      </c>
      <c r="D11" s="15" t="str">
        <f aca="false">IF($T11=1,INDEX(Entregas!$C$3:$C$14,$S11),"")</f>
        <v>Booster Hidratante (Maio)</v>
      </c>
      <c r="E11" s="16" t="n">
        <f aca="false">IF($T11=1,INDEX(Entregas!$F$3:$F$14,$S11)/INDEX(Entregas!$G$3:$G$14,$S11),"")</f>
        <v>77732.5</v>
      </c>
      <c r="F11" s="17" t="n">
        <f aca="false">IF($T11=1,J10+INDEX(Entregas!$I$3:$I$14,$S11),"")</f>
        <v>46247</v>
      </c>
      <c r="G11" s="17" t="n">
        <f aca="false">IF($T11=1,F11+MOD(1-WEEKDAY(F11,3)+7,7),"")</f>
        <v>46252</v>
      </c>
      <c r="H11" s="17" t="n">
        <f aca="false">IF($T11=1,EOMONTH(F11,0)+1,"")</f>
        <v>46266</v>
      </c>
      <c r="I11" s="17" t="n">
        <f aca="false">IF($T11=1,IF(DAY(H11+MOD(1-WEEKDAY(H11,3)+7,7))&lt;3,H11+MOD(1-WEEKDAY(H11,3)+7,7)+7,H11+MOD(1-WEEKDAY(H11,3)+7,7)),"")</f>
        <v>46273</v>
      </c>
      <c r="J11" s="17" t="n">
        <f aca="false">IF($T11=1,IF(INDEX(Entregas!$J$3:$J$14,$S11)="Corrido",F11,IF(DAY(G11)&gt;25,I11,IF(DAY(G11)&lt;3,G11+7,G11))),"")</f>
        <v>46247</v>
      </c>
      <c r="K11" s="18" t="n">
        <f aca="false">IF($T11=1,J11-Parametros!$B$4,"")</f>
        <v>8</v>
      </c>
      <c r="L11" s="4"/>
      <c r="M11" s="12"/>
      <c r="N11" s="18" t="str">
        <f aca="false">IF(AND($T11=1,L11&lt;&gt;"",M11&lt;&gt;""),J11-L11,"")</f>
        <v/>
      </c>
      <c r="O11" s="15" t="str">
        <f aca="false">IF(N11="","",IF(N11&lt;0,"desc&gt;venc",IF(N11&gt;INDEX(Parametros!$F$8:$F$9,MATCH(M11,Parametros!$A$8:$A$9,0)),"EXCEDE","ok")))</f>
        <v/>
      </c>
      <c r="P11" s="16" t="str">
        <f aca="false">IF(OR(N11="",N11&lt;0),"",E11*(INDEX(Parametros!$B$8:$B$9,MATCH(M11,Parametros!$A$8:$A$9,0))/30)*N11+E11*(INDEX(Parametros!$C$8:$C$9,MATCH(M11,Parametros!$A$8:$A$9,0))*N11+INDEX(Parametros!$D$8:$D$9,MATCH(M11,Parametros!$A$8:$A$9,0)))+INDEX(Parametros!$E$8:$E$9,MATCH(M11,Parametros!$A$8:$A$9,0)))</f>
        <v/>
      </c>
      <c r="Q11" s="16" t="str">
        <f aca="false">IF(P11="","",E11-P11)</f>
        <v/>
      </c>
      <c r="S11" s="19" t="n">
        <f aca="false">IFERROR(MATCH($A11,Entregas!$A$3:$A$14,0),"")</f>
        <v>2</v>
      </c>
      <c r="T11" s="19" t="n">
        <f aca="false">IF($S11="",0,IF(AND(INDEX(Entregas!$F$3:$F$14,$S11)&lt;&gt;"",INDEX(Entregas!$F$3:$F$14,$S11)&gt;0,$B11&lt;=INDEX(Entregas!$G$3:$G$14,$S11)),1,0))</f>
        <v>1</v>
      </c>
    </row>
    <row r="12" customFormat="false" ht="15" hidden="false" customHeight="false" outlineLevel="0" collapsed="false">
      <c r="A12" s="15" t="s">
        <v>34</v>
      </c>
      <c r="B12" s="15" t="n">
        <v>5</v>
      </c>
      <c r="C12" s="15" t="str">
        <f aca="false">IF($T12=1,INDEX(Entregas!$B$3:$B$14,$S12),"")</f>
        <v/>
      </c>
      <c r="D12" s="15" t="str">
        <f aca="false">IF($T12=1,INDEX(Entregas!$C$3:$C$14,$S12),"")</f>
        <v/>
      </c>
      <c r="E12" s="16" t="str">
        <f aca="false">IF($T12=1,INDEX(Entregas!$F$3:$F$14,$S12)/INDEX(Entregas!$G$3:$G$14,$S12),"")</f>
        <v/>
      </c>
      <c r="F12" s="17" t="str">
        <f aca="false">IF($T12=1,J11+INDEX(Entregas!$I$3:$I$14,$S12),"")</f>
        <v/>
      </c>
      <c r="G12" s="17" t="str">
        <f aca="false">IF($T12=1,F12+MOD(1-WEEKDAY(F12,3)+7,7),"")</f>
        <v/>
      </c>
      <c r="H12" s="17" t="str">
        <f aca="false">IF($T12=1,EOMONTH(F12,0)+1,"")</f>
        <v/>
      </c>
      <c r="I12" s="17" t="str">
        <f aca="false">IF($T12=1,IF(DAY(H12+MOD(1-WEEKDAY(H12,3)+7,7))&lt;3,H12+MOD(1-WEEKDAY(H12,3)+7,7)+7,H12+MOD(1-WEEKDAY(H12,3)+7,7)),"")</f>
        <v/>
      </c>
      <c r="J12" s="17" t="str">
        <f aca="false">IF($T12=1,IF(INDEX(Entregas!$J$3:$J$14,$S12)="Corrido",F12,IF(DAY(G12)&gt;25,I12,IF(DAY(G12)&lt;3,G12+7,G12))),"")</f>
        <v/>
      </c>
      <c r="K12" s="18" t="str">
        <f aca="false">IF($T12=1,J12-Parametros!$B$4,"")</f>
        <v/>
      </c>
      <c r="L12" s="4"/>
      <c r="M12" s="12"/>
      <c r="N12" s="18" t="str">
        <f aca="false">IF(AND($T12=1,L12&lt;&gt;"",M12&lt;&gt;""),J12-L12,"")</f>
        <v/>
      </c>
      <c r="O12" s="15" t="str">
        <f aca="false">IF(N12="","",IF(N12&lt;0,"desc&gt;venc",IF(N12&gt;INDEX(Parametros!$F$8:$F$9,MATCH(M12,Parametros!$A$8:$A$9,0)),"EXCEDE","ok")))</f>
        <v/>
      </c>
      <c r="P12" s="16" t="str">
        <f aca="false">IF(OR(N12="",N12&lt;0),"",E12*(INDEX(Parametros!$B$8:$B$9,MATCH(M12,Parametros!$A$8:$A$9,0))/30)*N12+E12*(INDEX(Parametros!$C$8:$C$9,MATCH(M12,Parametros!$A$8:$A$9,0))*N12+INDEX(Parametros!$D$8:$D$9,MATCH(M12,Parametros!$A$8:$A$9,0)))+INDEX(Parametros!$E$8:$E$9,MATCH(M12,Parametros!$A$8:$A$9,0)))</f>
        <v/>
      </c>
      <c r="Q12" s="16" t="str">
        <f aca="false">IF(P12="","",E12-P12)</f>
        <v/>
      </c>
      <c r="S12" s="19" t="n">
        <f aca="false">IFERROR(MATCH($A12,Entregas!$A$3:$A$14,0),"")</f>
        <v>2</v>
      </c>
      <c r="T12" s="19" t="n">
        <f aca="false">IF($S12="",0,IF(AND(INDEX(Entregas!$F$3:$F$14,$S12)&lt;&gt;"",INDEX(Entregas!$F$3:$F$14,$S12)&gt;0,$B12&lt;=INDEX(Entregas!$G$3:$G$14,$S12)),1,0))</f>
        <v>0</v>
      </c>
    </row>
    <row r="13" customFormat="false" ht="15" hidden="false" customHeight="false" outlineLevel="0" collapsed="false">
      <c r="A13" s="15" t="s">
        <v>37</v>
      </c>
      <c r="B13" s="15" t="n">
        <v>1</v>
      </c>
      <c r="C13" s="15" t="str">
        <f aca="false">IF($T13=1,INDEX(Entregas!$B$3:$B$14,$S13),"")</f>
        <v>UAUBox</v>
      </c>
      <c r="D13" s="15" t="str">
        <f aca="false">IF($T13=1,INDEX(Entregas!$C$3:$C$14,$S13),"")</f>
        <v>Booster Definição (Nov, revisado)</v>
      </c>
      <c r="E13" s="16" t="n">
        <f aca="false">IF($T13=1,INDEX(Entregas!$F$3:$F$14,$S13)/INDEX(Entregas!$G$3:$G$14,$S13),"")</f>
        <v>115699</v>
      </c>
      <c r="F13" s="17" t="n">
        <f aca="false">IF($T13=1,INDEX(Entregas!$K$3:$K$14,$S13)+INDEX(Entregas!$H$3:$H$14,$S13),"")</f>
        <v>46340</v>
      </c>
      <c r="G13" s="17" t="n">
        <f aca="false">IF($T13=1,F13+MOD(1-WEEKDAY(F13,3)+7,7),"")</f>
        <v>46343</v>
      </c>
      <c r="H13" s="17" t="n">
        <f aca="false">IF($T13=1,EOMONTH(F13,0)+1,"")</f>
        <v>46357</v>
      </c>
      <c r="I13" s="17" t="n">
        <f aca="false">IF($T13=1,IF(DAY(H13+MOD(1-WEEKDAY(H13,3)+7,7))&lt;3,H13+MOD(1-WEEKDAY(H13,3)+7,7)+7,H13+MOD(1-WEEKDAY(H13,3)+7,7)),"")</f>
        <v>46364</v>
      </c>
      <c r="J13" s="17" t="n">
        <f aca="false">IF($T13=1,IF(INDEX(Entregas!$J$3:$J$14,$S13)="Corrido",F13,IF(DAY(G13)&gt;25,I13,IF(DAY(G13)&lt;3,G13+7,G13))),"")</f>
        <v>46340</v>
      </c>
      <c r="K13" s="18" t="n">
        <f aca="false">IF($T13=1,J13-Parametros!$B$4,"")</f>
        <v>101</v>
      </c>
      <c r="L13" s="4"/>
      <c r="M13" s="12"/>
      <c r="N13" s="18" t="str">
        <f aca="false">IF(AND($T13=1,L13&lt;&gt;"",M13&lt;&gt;""),J13-L13,"")</f>
        <v/>
      </c>
      <c r="O13" s="15" t="str">
        <f aca="false">IF(N13="","",IF(N13&lt;0,"desc&gt;venc",IF(N13&gt;INDEX(Parametros!$F$8:$F$9,MATCH(M13,Parametros!$A$8:$A$9,0)),"EXCEDE","ok")))</f>
        <v/>
      </c>
      <c r="P13" s="16" t="str">
        <f aca="false">IF(OR(N13="",N13&lt;0),"",E13*(INDEX(Parametros!$B$8:$B$9,MATCH(M13,Parametros!$A$8:$A$9,0))/30)*N13+E13*(INDEX(Parametros!$C$8:$C$9,MATCH(M13,Parametros!$A$8:$A$9,0))*N13+INDEX(Parametros!$D$8:$D$9,MATCH(M13,Parametros!$A$8:$A$9,0)))+INDEX(Parametros!$E$8:$E$9,MATCH(M13,Parametros!$A$8:$A$9,0)))</f>
        <v/>
      </c>
      <c r="Q13" s="16" t="str">
        <f aca="false">IF(P13="","",E13-P13)</f>
        <v/>
      </c>
      <c r="S13" s="19" t="n">
        <f aca="false">IFERROR(MATCH($A13,Entregas!$A$3:$A$14,0),"")</f>
        <v>3</v>
      </c>
      <c r="T13" s="19" t="n">
        <f aca="false">IF($S13="",0,IF(AND(INDEX(Entregas!$F$3:$F$14,$S13)&lt;&gt;"",INDEX(Entregas!$F$3:$F$14,$S13)&gt;0,$B13&lt;=INDEX(Entregas!$G$3:$G$14,$S13)),1,0))</f>
        <v>1</v>
      </c>
    </row>
    <row r="14" customFormat="false" ht="15" hidden="false" customHeight="false" outlineLevel="0" collapsed="false">
      <c r="A14" s="15" t="s">
        <v>37</v>
      </c>
      <c r="B14" s="15" t="n">
        <v>2</v>
      </c>
      <c r="C14" s="15" t="str">
        <f aca="false">IF($T14=1,INDEX(Entregas!$B$3:$B$14,$S14),"")</f>
        <v>UAUBox</v>
      </c>
      <c r="D14" s="15" t="str">
        <f aca="false">IF($T14=1,INDEX(Entregas!$C$3:$C$14,$S14),"")</f>
        <v>Booster Definição (Nov, revisado)</v>
      </c>
      <c r="E14" s="16" t="n">
        <f aca="false">IF($T14=1,INDEX(Entregas!$F$3:$F$14,$S14)/INDEX(Entregas!$G$3:$G$14,$S14),"")</f>
        <v>115699</v>
      </c>
      <c r="F14" s="17" t="n">
        <f aca="false">IF($T14=1,J13+INDEX(Entregas!$I$3:$I$14,$S14),"")</f>
        <v>46370</v>
      </c>
      <c r="G14" s="17" t="n">
        <f aca="false">IF($T14=1,F14+MOD(1-WEEKDAY(F14,3)+7,7),"")</f>
        <v>46371</v>
      </c>
      <c r="H14" s="17" t="n">
        <f aca="false">IF($T14=1,EOMONTH(F14,0)+1,"")</f>
        <v>46388</v>
      </c>
      <c r="I14" s="17" t="n">
        <f aca="false">IF($T14=1,IF(DAY(H14+MOD(1-WEEKDAY(H14,3)+7,7))&lt;3,H14+MOD(1-WEEKDAY(H14,3)+7,7)+7,H14+MOD(1-WEEKDAY(H14,3)+7,7)),"")</f>
        <v>46392</v>
      </c>
      <c r="J14" s="17" t="n">
        <f aca="false">IF($T14=1,IF(INDEX(Entregas!$J$3:$J$14,$S14)="Corrido",F14,IF(DAY(G14)&gt;25,I14,IF(DAY(G14)&lt;3,G14+7,G14))),"")</f>
        <v>46370</v>
      </c>
      <c r="K14" s="18" t="n">
        <f aca="false">IF($T14=1,J14-Parametros!$B$4,"")</f>
        <v>131</v>
      </c>
      <c r="L14" s="4"/>
      <c r="M14" s="12"/>
      <c r="N14" s="18" t="str">
        <f aca="false">IF(AND($T14=1,L14&lt;&gt;"",M14&lt;&gt;""),J14-L14,"")</f>
        <v/>
      </c>
      <c r="O14" s="15" t="str">
        <f aca="false">IF(N14="","",IF(N14&lt;0,"desc&gt;venc",IF(N14&gt;INDEX(Parametros!$F$8:$F$9,MATCH(M14,Parametros!$A$8:$A$9,0)),"EXCEDE","ok")))</f>
        <v/>
      </c>
      <c r="P14" s="16" t="str">
        <f aca="false">IF(OR(N14="",N14&lt;0),"",E14*(INDEX(Parametros!$B$8:$B$9,MATCH(M14,Parametros!$A$8:$A$9,0))/30)*N14+E14*(INDEX(Parametros!$C$8:$C$9,MATCH(M14,Parametros!$A$8:$A$9,0))*N14+INDEX(Parametros!$D$8:$D$9,MATCH(M14,Parametros!$A$8:$A$9,0)))+INDEX(Parametros!$E$8:$E$9,MATCH(M14,Parametros!$A$8:$A$9,0)))</f>
        <v/>
      </c>
      <c r="Q14" s="16" t="str">
        <f aca="false">IF(P14="","",E14-P14)</f>
        <v/>
      </c>
      <c r="S14" s="19" t="n">
        <f aca="false">IFERROR(MATCH($A14,Entregas!$A$3:$A$14,0),"")</f>
        <v>3</v>
      </c>
      <c r="T14" s="19" t="n">
        <f aca="false">IF($S14="",0,IF(AND(INDEX(Entregas!$F$3:$F$14,$S14)&lt;&gt;"",INDEX(Entregas!$F$3:$F$14,$S14)&gt;0,$B14&lt;=INDEX(Entregas!$G$3:$G$14,$S14)),1,0))</f>
        <v>1</v>
      </c>
    </row>
    <row r="15" customFormat="false" ht="15" hidden="false" customHeight="false" outlineLevel="0" collapsed="false">
      <c r="A15" s="15" t="s">
        <v>37</v>
      </c>
      <c r="B15" s="15" t="n">
        <v>3</v>
      </c>
      <c r="C15" s="15" t="str">
        <f aca="false">IF($T15=1,INDEX(Entregas!$B$3:$B$14,$S15),"")</f>
        <v>UAUBox</v>
      </c>
      <c r="D15" s="15" t="str">
        <f aca="false">IF($T15=1,INDEX(Entregas!$C$3:$C$14,$S15),"")</f>
        <v>Booster Definição (Nov, revisado)</v>
      </c>
      <c r="E15" s="16" t="n">
        <f aca="false">IF($T15=1,INDEX(Entregas!$F$3:$F$14,$S15)/INDEX(Entregas!$G$3:$G$14,$S15),"")</f>
        <v>115699</v>
      </c>
      <c r="F15" s="17" t="n">
        <f aca="false">IF($T15=1,J14+INDEX(Entregas!$I$3:$I$14,$S15),"")</f>
        <v>46400</v>
      </c>
      <c r="G15" s="17" t="n">
        <f aca="false">IF($T15=1,F15+MOD(1-WEEKDAY(F15,3)+7,7),"")</f>
        <v>46406</v>
      </c>
      <c r="H15" s="17" t="n">
        <f aca="false">IF($T15=1,EOMONTH(F15,0)+1,"")</f>
        <v>46419</v>
      </c>
      <c r="I15" s="17" t="n">
        <f aca="false">IF($T15=1,IF(DAY(H15+MOD(1-WEEKDAY(H15,3)+7,7))&lt;3,H15+MOD(1-WEEKDAY(H15,3)+7,7)+7,H15+MOD(1-WEEKDAY(H15,3)+7,7)),"")</f>
        <v>46427</v>
      </c>
      <c r="J15" s="17" t="n">
        <f aca="false">IF($T15=1,IF(INDEX(Entregas!$J$3:$J$14,$S15)="Corrido",F15,IF(DAY(G15)&gt;25,I15,IF(DAY(G15)&lt;3,G15+7,G15))),"")</f>
        <v>46400</v>
      </c>
      <c r="K15" s="18" t="n">
        <f aca="false">IF($T15=1,J15-Parametros!$B$4,"")</f>
        <v>161</v>
      </c>
      <c r="L15" s="4"/>
      <c r="M15" s="12"/>
      <c r="N15" s="18" t="str">
        <f aca="false">IF(AND($T15=1,L15&lt;&gt;"",M15&lt;&gt;""),J15-L15,"")</f>
        <v/>
      </c>
      <c r="O15" s="15" t="str">
        <f aca="false">IF(N15="","",IF(N15&lt;0,"desc&gt;venc",IF(N15&gt;INDEX(Parametros!$F$8:$F$9,MATCH(M15,Parametros!$A$8:$A$9,0)),"EXCEDE","ok")))</f>
        <v/>
      </c>
      <c r="P15" s="16" t="str">
        <f aca="false">IF(OR(N15="",N15&lt;0),"",E15*(INDEX(Parametros!$B$8:$B$9,MATCH(M15,Parametros!$A$8:$A$9,0))/30)*N15+E15*(INDEX(Parametros!$C$8:$C$9,MATCH(M15,Parametros!$A$8:$A$9,0))*N15+INDEX(Parametros!$D$8:$D$9,MATCH(M15,Parametros!$A$8:$A$9,0)))+INDEX(Parametros!$E$8:$E$9,MATCH(M15,Parametros!$A$8:$A$9,0)))</f>
        <v/>
      </c>
      <c r="Q15" s="16" t="str">
        <f aca="false">IF(P15="","",E15-P15)</f>
        <v/>
      </c>
      <c r="S15" s="19" t="n">
        <f aca="false">IFERROR(MATCH($A15,Entregas!$A$3:$A$14,0),"")</f>
        <v>3</v>
      </c>
      <c r="T15" s="19" t="n">
        <f aca="false">IF($S15="",0,IF(AND(INDEX(Entregas!$F$3:$F$14,$S15)&lt;&gt;"",INDEX(Entregas!$F$3:$F$14,$S15)&gt;0,$B15&lt;=INDEX(Entregas!$G$3:$G$14,$S15)),1,0))</f>
        <v>1</v>
      </c>
    </row>
    <row r="16" customFormat="false" ht="15" hidden="false" customHeight="false" outlineLevel="0" collapsed="false">
      <c r="A16" s="15" t="s">
        <v>37</v>
      </c>
      <c r="B16" s="15" t="n">
        <v>4</v>
      </c>
      <c r="C16" s="15" t="str">
        <f aca="false">IF($T16=1,INDEX(Entregas!$B$3:$B$14,$S16),"")</f>
        <v>UAUBox</v>
      </c>
      <c r="D16" s="15" t="str">
        <f aca="false">IF($T16=1,INDEX(Entregas!$C$3:$C$14,$S16),"")</f>
        <v>Booster Definição (Nov, revisado)</v>
      </c>
      <c r="E16" s="16" t="n">
        <f aca="false">IF($T16=1,INDEX(Entregas!$F$3:$F$14,$S16)/INDEX(Entregas!$G$3:$G$14,$S16),"")</f>
        <v>115699</v>
      </c>
      <c r="F16" s="17" t="n">
        <f aca="false">IF($T16=1,J15+INDEX(Entregas!$I$3:$I$14,$S16),"")</f>
        <v>46430</v>
      </c>
      <c r="G16" s="17" t="n">
        <f aca="false">IF($T16=1,F16+MOD(1-WEEKDAY(F16,3)+7,7),"")</f>
        <v>46434</v>
      </c>
      <c r="H16" s="17" t="n">
        <f aca="false">IF($T16=1,EOMONTH(F16,0)+1,"")</f>
        <v>46447</v>
      </c>
      <c r="I16" s="17" t="n">
        <f aca="false">IF($T16=1,IF(DAY(H16+MOD(1-WEEKDAY(H16,3)+7,7))&lt;3,H16+MOD(1-WEEKDAY(H16,3)+7,7)+7,H16+MOD(1-WEEKDAY(H16,3)+7,7)),"")</f>
        <v>46455</v>
      </c>
      <c r="J16" s="17" t="n">
        <f aca="false">IF($T16=1,IF(INDEX(Entregas!$J$3:$J$14,$S16)="Corrido",F16,IF(DAY(G16)&gt;25,I16,IF(DAY(G16)&lt;3,G16+7,G16))),"")</f>
        <v>46430</v>
      </c>
      <c r="K16" s="18" t="n">
        <f aca="false">IF($T16=1,J16-Parametros!$B$4,"")</f>
        <v>191</v>
      </c>
      <c r="L16" s="4"/>
      <c r="M16" s="12"/>
      <c r="N16" s="18" t="str">
        <f aca="false">IF(AND($T16=1,L16&lt;&gt;"",M16&lt;&gt;""),J16-L16,"")</f>
        <v/>
      </c>
      <c r="O16" s="15" t="str">
        <f aca="false">IF(N16="","",IF(N16&lt;0,"desc&gt;venc",IF(N16&gt;INDEX(Parametros!$F$8:$F$9,MATCH(M16,Parametros!$A$8:$A$9,0)),"EXCEDE","ok")))</f>
        <v/>
      </c>
      <c r="P16" s="16" t="str">
        <f aca="false">IF(OR(N16="",N16&lt;0),"",E16*(INDEX(Parametros!$B$8:$B$9,MATCH(M16,Parametros!$A$8:$A$9,0))/30)*N16+E16*(INDEX(Parametros!$C$8:$C$9,MATCH(M16,Parametros!$A$8:$A$9,0))*N16+INDEX(Parametros!$D$8:$D$9,MATCH(M16,Parametros!$A$8:$A$9,0)))+INDEX(Parametros!$E$8:$E$9,MATCH(M16,Parametros!$A$8:$A$9,0)))</f>
        <v/>
      </c>
      <c r="Q16" s="16" t="str">
        <f aca="false">IF(P16="","",E16-P16)</f>
        <v/>
      </c>
      <c r="S16" s="19" t="n">
        <f aca="false">IFERROR(MATCH($A16,Entregas!$A$3:$A$14,0),"")</f>
        <v>3</v>
      </c>
      <c r="T16" s="19" t="n">
        <f aca="false">IF($S16="",0,IF(AND(INDEX(Entregas!$F$3:$F$14,$S16)&lt;&gt;"",INDEX(Entregas!$F$3:$F$14,$S16)&gt;0,$B16&lt;=INDEX(Entregas!$G$3:$G$14,$S16)),1,0))</f>
        <v>1</v>
      </c>
    </row>
    <row r="17" customFormat="false" ht="15" hidden="false" customHeight="false" outlineLevel="0" collapsed="false">
      <c r="A17" s="15" t="s">
        <v>37</v>
      </c>
      <c r="B17" s="15" t="n">
        <v>5</v>
      </c>
      <c r="C17" s="15" t="str">
        <f aca="false">IF($T17=1,INDEX(Entregas!$B$3:$B$14,$S17),"")</f>
        <v>UAUBox</v>
      </c>
      <c r="D17" s="15" t="str">
        <f aca="false">IF($T17=1,INDEX(Entregas!$C$3:$C$14,$S17),"")</f>
        <v>Booster Definição (Nov, revisado)</v>
      </c>
      <c r="E17" s="16" t="n">
        <f aca="false">IF($T17=1,INDEX(Entregas!$F$3:$F$14,$S17)/INDEX(Entregas!$G$3:$G$14,$S17),"")</f>
        <v>115699</v>
      </c>
      <c r="F17" s="17" t="n">
        <f aca="false">IF($T17=1,J16+INDEX(Entregas!$I$3:$I$14,$S17),"")</f>
        <v>46460</v>
      </c>
      <c r="G17" s="17" t="n">
        <f aca="false">IF($T17=1,F17+MOD(1-WEEKDAY(F17,3)+7,7),"")</f>
        <v>46462</v>
      </c>
      <c r="H17" s="17" t="n">
        <f aca="false">IF($T17=1,EOMONTH(F17,0)+1,"")</f>
        <v>46478</v>
      </c>
      <c r="I17" s="17" t="n">
        <f aca="false">IF($T17=1,IF(DAY(H17+MOD(1-WEEKDAY(H17,3)+7,7))&lt;3,H17+MOD(1-WEEKDAY(H17,3)+7,7)+7,H17+MOD(1-WEEKDAY(H17,3)+7,7)),"")</f>
        <v>46483</v>
      </c>
      <c r="J17" s="17" t="n">
        <f aca="false">IF($T17=1,IF(INDEX(Entregas!$J$3:$J$14,$S17)="Corrido",F17,IF(DAY(G17)&gt;25,I17,IF(DAY(G17)&lt;3,G17+7,G17))),"")</f>
        <v>46460</v>
      </c>
      <c r="K17" s="18" t="n">
        <f aca="false">IF($T17=1,J17-Parametros!$B$4,"")</f>
        <v>221</v>
      </c>
      <c r="L17" s="4"/>
      <c r="M17" s="12"/>
      <c r="N17" s="18" t="str">
        <f aca="false">IF(AND($T17=1,L17&lt;&gt;"",M17&lt;&gt;""),J17-L17,"")</f>
        <v/>
      </c>
      <c r="O17" s="15" t="str">
        <f aca="false">IF(N17="","",IF(N17&lt;0,"desc&gt;venc",IF(N17&gt;INDEX(Parametros!$F$8:$F$9,MATCH(M17,Parametros!$A$8:$A$9,0)),"EXCEDE","ok")))</f>
        <v/>
      </c>
      <c r="P17" s="16" t="str">
        <f aca="false">IF(OR(N17="",N17&lt;0),"",E17*(INDEX(Parametros!$B$8:$B$9,MATCH(M17,Parametros!$A$8:$A$9,0))/30)*N17+E17*(INDEX(Parametros!$C$8:$C$9,MATCH(M17,Parametros!$A$8:$A$9,0))*N17+INDEX(Parametros!$D$8:$D$9,MATCH(M17,Parametros!$A$8:$A$9,0)))+INDEX(Parametros!$E$8:$E$9,MATCH(M17,Parametros!$A$8:$A$9,0)))</f>
        <v/>
      </c>
      <c r="Q17" s="16" t="str">
        <f aca="false">IF(P17="","",E17-P17)</f>
        <v/>
      </c>
      <c r="S17" s="19" t="n">
        <f aca="false">IFERROR(MATCH($A17,Entregas!$A$3:$A$14,0),"")</f>
        <v>3</v>
      </c>
      <c r="T17" s="19" t="n">
        <f aca="false">IF($S17="",0,IF(AND(INDEX(Entregas!$F$3:$F$14,$S17)&lt;&gt;"",INDEX(Entregas!$F$3:$F$14,$S17)&gt;0,$B17&lt;=INDEX(Entregas!$G$3:$G$14,$S17)),1,0))</f>
        <v>1</v>
      </c>
    </row>
    <row r="18" customFormat="false" ht="15" hidden="false" customHeight="false" outlineLevel="0" collapsed="false">
      <c r="A18" s="15" t="s">
        <v>40</v>
      </c>
      <c r="B18" s="15" t="n">
        <v>1</v>
      </c>
      <c r="C18" s="15" t="str">
        <f aca="false">IF($T18=1,INDEX(Entregas!$B$3:$B$14,$S18),"")</f>
        <v>B4A</v>
      </c>
      <c r="D18" s="15" t="str">
        <f aca="false">IF($T18=1,INDEX(Entregas!$C$3:$C$14,$S18),"")</f>
        <v>Shampoo sem sulfato 60ml (ajuda custo)</v>
      </c>
      <c r="E18" s="16" t="n">
        <f aca="false">IF($T18=1,INDEX(Entregas!$F$3:$F$14,$S18)/INDEX(Entregas!$G$3:$G$14,$S18),"")</f>
        <v>26250</v>
      </c>
      <c r="F18" s="17" t="n">
        <f aca="false">IF($T18=1,INDEX(Entregas!$K$3:$K$14,$S18)+INDEX(Entregas!$H$3:$H$14,$S18),"")</f>
        <v>46269</v>
      </c>
      <c r="G18" s="17" t="n">
        <f aca="false">IF($T18=1,F18+MOD(1-WEEKDAY(F18,3)+7,7),"")</f>
        <v>46273</v>
      </c>
      <c r="H18" s="17" t="n">
        <f aca="false">IF($T18=1,EOMONTH(F18,0)+1,"")</f>
        <v>46296</v>
      </c>
      <c r="I18" s="17" t="n">
        <f aca="false">IF($T18=1,IF(DAY(H18+MOD(1-WEEKDAY(H18,3)+7,7))&lt;3,H18+MOD(1-WEEKDAY(H18,3)+7,7)+7,H18+MOD(1-WEEKDAY(H18,3)+7,7)),"")</f>
        <v>46301</v>
      </c>
      <c r="J18" s="17" t="n">
        <f aca="false">IF($T18=1,IF(INDEX(Entregas!$J$3:$J$14,$S18)="Corrido",F18,IF(DAY(G18)&gt;25,I18,IF(DAY(G18)&lt;3,G18+7,G18))),"")</f>
        <v>46273</v>
      </c>
      <c r="K18" s="18" t="n">
        <f aca="false">IF($T18=1,J18-Parametros!$B$4,"")</f>
        <v>34</v>
      </c>
      <c r="L18" s="4"/>
      <c r="M18" s="12"/>
      <c r="N18" s="18" t="str">
        <f aca="false">IF(AND($T18=1,L18&lt;&gt;"",M18&lt;&gt;""),J18-L18,"")</f>
        <v/>
      </c>
      <c r="O18" s="15" t="str">
        <f aca="false">IF(N18="","",IF(N18&lt;0,"desc&gt;venc",IF(N18&gt;INDEX(Parametros!$F$8:$F$9,MATCH(M18,Parametros!$A$8:$A$9,0)),"EXCEDE","ok")))</f>
        <v/>
      </c>
      <c r="P18" s="16" t="str">
        <f aca="false">IF(OR(N18="",N18&lt;0),"",E18*(INDEX(Parametros!$B$8:$B$9,MATCH(M18,Parametros!$A$8:$A$9,0))/30)*N18+E18*(INDEX(Parametros!$C$8:$C$9,MATCH(M18,Parametros!$A$8:$A$9,0))*N18+INDEX(Parametros!$D$8:$D$9,MATCH(M18,Parametros!$A$8:$A$9,0)))+INDEX(Parametros!$E$8:$E$9,MATCH(M18,Parametros!$A$8:$A$9,0)))</f>
        <v/>
      </c>
      <c r="Q18" s="16" t="str">
        <f aca="false">IF(P18="","",E18-P18)</f>
        <v/>
      </c>
      <c r="S18" s="19" t="n">
        <f aca="false">IFERROR(MATCH($A18,Entregas!$A$3:$A$14,0),"")</f>
        <v>4</v>
      </c>
      <c r="T18" s="19" t="n">
        <f aca="false">IF($S18="",0,IF(AND(INDEX(Entregas!$F$3:$F$14,$S18)&lt;&gt;"",INDEX(Entregas!$F$3:$F$14,$S18)&gt;0,$B18&lt;=INDEX(Entregas!$G$3:$G$14,$S18)),1,0))</f>
        <v>1</v>
      </c>
    </row>
    <row r="19" customFormat="false" ht="15" hidden="false" customHeight="false" outlineLevel="0" collapsed="false">
      <c r="A19" s="15" t="s">
        <v>40</v>
      </c>
      <c r="B19" s="15" t="n">
        <v>2</v>
      </c>
      <c r="C19" s="15" t="str">
        <f aca="false">IF($T19=1,INDEX(Entregas!$B$3:$B$14,$S19),"")</f>
        <v>B4A</v>
      </c>
      <c r="D19" s="15" t="str">
        <f aca="false">IF($T19=1,INDEX(Entregas!$C$3:$C$14,$S19),"")</f>
        <v>Shampoo sem sulfato 60ml (ajuda custo)</v>
      </c>
      <c r="E19" s="16" t="n">
        <f aca="false">IF($T19=1,INDEX(Entregas!$F$3:$F$14,$S19)/INDEX(Entregas!$G$3:$G$14,$S19),"")</f>
        <v>26250</v>
      </c>
      <c r="F19" s="17" t="n">
        <f aca="false">IF($T19=1,J18+INDEX(Entregas!$I$3:$I$14,$S19),"")</f>
        <v>46303</v>
      </c>
      <c r="G19" s="17" t="n">
        <f aca="false">IF($T19=1,F19+MOD(1-WEEKDAY(F19,3)+7,7),"")</f>
        <v>46308</v>
      </c>
      <c r="H19" s="17" t="n">
        <f aca="false">IF($T19=1,EOMONTH(F19,0)+1,"")</f>
        <v>46327</v>
      </c>
      <c r="I19" s="17" t="n">
        <f aca="false">IF($T19=1,IF(DAY(H19+MOD(1-WEEKDAY(H19,3)+7,7))&lt;3,H19+MOD(1-WEEKDAY(H19,3)+7,7)+7,H19+MOD(1-WEEKDAY(H19,3)+7,7)),"")</f>
        <v>46329</v>
      </c>
      <c r="J19" s="17" t="n">
        <f aca="false">IF($T19=1,IF(INDEX(Entregas!$J$3:$J$14,$S19)="Corrido",F19,IF(DAY(G19)&gt;25,I19,IF(DAY(G19)&lt;3,G19+7,G19))),"")</f>
        <v>46308</v>
      </c>
      <c r="K19" s="18" t="n">
        <f aca="false">IF($T19=1,J19-Parametros!$B$4,"")</f>
        <v>69</v>
      </c>
      <c r="L19" s="4"/>
      <c r="M19" s="12"/>
      <c r="N19" s="18" t="str">
        <f aca="false">IF(AND($T19=1,L19&lt;&gt;"",M19&lt;&gt;""),J19-L19,"")</f>
        <v/>
      </c>
      <c r="O19" s="15" t="str">
        <f aca="false">IF(N19="","",IF(N19&lt;0,"desc&gt;venc",IF(N19&gt;INDEX(Parametros!$F$8:$F$9,MATCH(M19,Parametros!$A$8:$A$9,0)),"EXCEDE","ok")))</f>
        <v/>
      </c>
      <c r="P19" s="16" t="str">
        <f aca="false">IF(OR(N19="",N19&lt;0),"",E19*(INDEX(Parametros!$B$8:$B$9,MATCH(M19,Parametros!$A$8:$A$9,0))/30)*N19+E19*(INDEX(Parametros!$C$8:$C$9,MATCH(M19,Parametros!$A$8:$A$9,0))*N19+INDEX(Parametros!$D$8:$D$9,MATCH(M19,Parametros!$A$8:$A$9,0)))+INDEX(Parametros!$E$8:$E$9,MATCH(M19,Parametros!$A$8:$A$9,0)))</f>
        <v/>
      </c>
      <c r="Q19" s="16" t="str">
        <f aca="false">IF(P19="","",E19-P19)</f>
        <v/>
      </c>
      <c r="S19" s="19" t="n">
        <f aca="false">IFERROR(MATCH($A19,Entregas!$A$3:$A$14,0),"")</f>
        <v>4</v>
      </c>
      <c r="T19" s="19" t="n">
        <f aca="false">IF($S19="",0,IF(AND(INDEX(Entregas!$F$3:$F$14,$S19)&lt;&gt;"",INDEX(Entregas!$F$3:$F$14,$S19)&gt;0,$B19&lt;=INDEX(Entregas!$G$3:$G$14,$S19)),1,0))</f>
        <v>1</v>
      </c>
    </row>
    <row r="20" customFormat="false" ht="15" hidden="false" customHeight="false" outlineLevel="0" collapsed="false">
      <c r="A20" s="15" t="s">
        <v>40</v>
      </c>
      <c r="B20" s="15" t="n">
        <v>3</v>
      </c>
      <c r="C20" s="15" t="str">
        <f aca="false">IF($T20=1,INDEX(Entregas!$B$3:$B$14,$S20),"")</f>
        <v>B4A</v>
      </c>
      <c r="D20" s="15" t="str">
        <f aca="false">IF($T20=1,INDEX(Entregas!$C$3:$C$14,$S20),"")</f>
        <v>Shampoo sem sulfato 60ml (ajuda custo)</v>
      </c>
      <c r="E20" s="16" t="n">
        <f aca="false">IF($T20=1,INDEX(Entregas!$F$3:$F$14,$S20)/INDEX(Entregas!$G$3:$G$14,$S20),"")</f>
        <v>26250</v>
      </c>
      <c r="F20" s="17" t="n">
        <f aca="false">IF($T20=1,J19+INDEX(Entregas!$I$3:$I$14,$S20),"")</f>
        <v>46338</v>
      </c>
      <c r="G20" s="17" t="n">
        <f aca="false">IF($T20=1,F20+MOD(1-WEEKDAY(F20,3)+7,7),"")</f>
        <v>46343</v>
      </c>
      <c r="H20" s="17" t="n">
        <f aca="false">IF($T20=1,EOMONTH(F20,0)+1,"")</f>
        <v>46357</v>
      </c>
      <c r="I20" s="17" t="n">
        <f aca="false">IF($T20=1,IF(DAY(H20+MOD(1-WEEKDAY(H20,3)+7,7))&lt;3,H20+MOD(1-WEEKDAY(H20,3)+7,7)+7,H20+MOD(1-WEEKDAY(H20,3)+7,7)),"")</f>
        <v>46364</v>
      </c>
      <c r="J20" s="17" t="n">
        <f aca="false">IF($T20=1,IF(INDEX(Entregas!$J$3:$J$14,$S20)="Corrido",F20,IF(DAY(G20)&gt;25,I20,IF(DAY(G20)&lt;3,G20+7,G20))),"")</f>
        <v>46343</v>
      </c>
      <c r="K20" s="18" t="n">
        <f aca="false">IF($T20=1,J20-Parametros!$B$4,"")</f>
        <v>104</v>
      </c>
      <c r="L20" s="4"/>
      <c r="M20" s="12"/>
      <c r="N20" s="18" t="str">
        <f aca="false">IF(AND($T20=1,L20&lt;&gt;"",M20&lt;&gt;""),J20-L20,"")</f>
        <v/>
      </c>
      <c r="O20" s="15" t="str">
        <f aca="false">IF(N20="","",IF(N20&lt;0,"desc&gt;venc",IF(N20&gt;INDEX(Parametros!$F$8:$F$9,MATCH(M20,Parametros!$A$8:$A$9,0)),"EXCEDE","ok")))</f>
        <v/>
      </c>
      <c r="P20" s="16" t="str">
        <f aca="false">IF(OR(N20="",N20&lt;0),"",E20*(INDEX(Parametros!$B$8:$B$9,MATCH(M20,Parametros!$A$8:$A$9,0))/30)*N20+E20*(INDEX(Parametros!$C$8:$C$9,MATCH(M20,Parametros!$A$8:$A$9,0))*N20+INDEX(Parametros!$D$8:$D$9,MATCH(M20,Parametros!$A$8:$A$9,0)))+INDEX(Parametros!$E$8:$E$9,MATCH(M20,Parametros!$A$8:$A$9,0)))</f>
        <v/>
      </c>
      <c r="Q20" s="16" t="str">
        <f aca="false">IF(P20="","",E20-P20)</f>
        <v/>
      </c>
      <c r="S20" s="19" t="n">
        <f aca="false">IFERROR(MATCH($A20,Entregas!$A$3:$A$14,0),"")</f>
        <v>4</v>
      </c>
      <c r="T20" s="19" t="n">
        <f aca="false">IF($S20="",0,IF(AND(INDEX(Entregas!$F$3:$F$14,$S20)&lt;&gt;"",INDEX(Entregas!$F$3:$F$14,$S20)&gt;0,$B20&lt;=INDEX(Entregas!$G$3:$G$14,$S20)),1,0))</f>
        <v>1</v>
      </c>
    </row>
    <row r="21" customFormat="false" ht="15" hidden="false" customHeight="false" outlineLevel="0" collapsed="false">
      <c r="A21" s="15" t="s">
        <v>40</v>
      </c>
      <c r="B21" s="15" t="n">
        <v>4</v>
      </c>
      <c r="C21" s="15" t="str">
        <f aca="false">IF($T21=1,INDEX(Entregas!$B$3:$B$14,$S21),"")</f>
        <v>B4A</v>
      </c>
      <c r="D21" s="15" t="str">
        <f aca="false">IF($T21=1,INDEX(Entregas!$C$3:$C$14,$S21),"")</f>
        <v>Shampoo sem sulfato 60ml (ajuda custo)</v>
      </c>
      <c r="E21" s="16" t="n">
        <f aca="false">IF($T21=1,INDEX(Entregas!$F$3:$F$14,$S21)/INDEX(Entregas!$G$3:$G$14,$S21),"")</f>
        <v>26250</v>
      </c>
      <c r="F21" s="17" t="n">
        <f aca="false">IF($T21=1,J20+INDEX(Entregas!$I$3:$I$14,$S21),"")</f>
        <v>46373</v>
      </c>
      <c r="G21" s="17" t="n">
        <f aca="false">IF($T21=1,F21+MOD(1-WEEKDAY(F21,3)+7,7),"")</f>
        <v>46378</v>
      </c>
      <c r="H21" s="17" t="n">
        <f aca="false">IF($T21=1,EOMONTH(F21,0)+1,"")</f>
        <v>46388</v>
      </c>
      <c r="I21" s="17" t="n">
        <f aca="false">IF($T21=1,IF(DAY(H21+MOD(1-WEEKDAY(H21,3)+7,7))&lt;3,H21+MOD(1-WEEKDAY(H21,3)+7,7)+7,H21+MOD(1-WEEKDAY(H21,3)+7,7)),"")</f>
        <v>46392</v>
      </c>
      <c r="J21" s="17" t="n">
        <f aca="false">IF($T21=1,IF(INDEX(Entregas!$J$3:$J$14,$S21)="Corrido",F21,IF(DAY(G21)&gt;25,I21,IF(DAY(G21)&lt;3,G21+7,G21))),"")</f>
        <v>46378</v>
      </c>
      <c r="K21" s="18" t="n">
        <f aca="false">IF($T21=1,J21-Parametros!$B$4,"")</f>
        <v>139</v>
      </c>
      <c r="L21" s="4"/>
      <c r="M21" s="12"/>
      <c r="N21" s="18" t="str">
        <f aca="false">IF(AND($T21=1,L21&lt;&gt;"",M21&lt;&gt;""),J21-L21,"")</f>
        <v/>
      </c>
      <c r="O21" s="15" t="str">
        <f aca="false">IF(N21="","",IF(N21&lt;0,"desc&gt;venc",IF(N21&gt;INDEX(Parametros!$F$8:$F$9,MATCH(M21,Parametros!$A$8:$A$9,0)),"EXCEDE","ok")))</f>
        <v/>
      </c>
      <c r="P21" s="16" t="str">
        <f aca="false">IF(OR(N21="",N21&lt;0),"",E21*(INDEX(Parametros!$B$8:$B$9,MATCH(M21,Parametros!$A$8:$A$9,0))/30)*N21+E21*(INDEX(Parametros!$C$8:$C$9,MATCH(M21,Parametros!$A$8:$A$9,0))*N21+INDEX(Parametros!$D$8:$D$9,MATCH(M21,Parametros!$A$8:$A$9,0)))+INDEX(Parametros!$E$8:$E$9,MATCH(M21,Parametros!$A$8:$A$9,0)))</f>
        <v/>
      </c>
      <c r="Q21" s="16" t="str">
        <f aca="false">IF(P21="","",E21-P21)</f>
        <v/>
      </c>
      <c r="S21" s="19" t="n">
        <f aca="false">IFERROR(MATCH($A21,Entregas!$A$3:$A$14,0),"")</f>
        <v>4</v>
      </c>
      <c r="T21" s="19" t="n">
        <f aca="false">IF($S21="",0,IF(AND(INDEX(Entregas!$F$3:$F$14,$S21)&lt;&gt;"",INDEX(Entregas!$F$3:$F$14,$S21)&gt;0,$B21&lt;=INDEX(Entregas!$G$3:$G$14,$S21)),1,0))</f>
        <v>1</v>
      </c>
    </row>
    <row r="22" customFormat="false" ht="15" hidden="false" customHeight="false" outlineLevel="0" collapsed="false">
      <c r="A22" s="15" t="s">
        <v>40</v>
      </c>
      <c r="B22" s="15" t="n">
        <v>5</v>
      </c>
      <c r="C22" s="15" t="str">
        <f aca="false">IF($T22=1,INDEX(Entregas!$B$3:$B$14,$S22),"")</f>
        <v/>
      </c>
      <c r="D22" s="15" t="str">
        <f aca="false">IF($T22=1,INDEX(Entregas!$C$3:$C$14,$S22),"")</f>
        <v/>
      </c>
      <c r="E22" s="16" t="str">
        <f aca="false">IF($T22=1,INDEX(Entregas!$F$3:$F$14,$S22)/INDEX(Entregas!$G$3:$G$14,$S22),"")</f>
        <v/>
      </c>
      <c r="F22" s="17" t="str">
        <f aca="false">IF($T22=1,J21+INDEX(Entregas!$I$3:$I$14,$S22),"")</f>
        <v/>
      </c>
      <c r="G22" s="17" t="str">
        <f aca="false">IF($T22=1,F22+MOD(1-WEEKDAY(F22,3)+7,7),"")</f>
        <v/>
      </c>
      <c r="H22" s="17" t="str">
        <f aca="false">IF($T22=1,EOMONTH(F22,0)+1,"")</f>
        <v/>
      </c>
      <c r="I22" s="17" t="str">
        <f aca="false">IF($T22=1,IF(DAY(H22+MOD(1-WEEKDAY(H22,3)+7,7))&lt;3,H22+MOD(1-WEEKDAY(H22,3)+7,7)+7,H22+MOD(1-WEEKDAY(H22,3)+7,7)),"")</f>
        <v/>
      </c>
      <c r="J22" s="17" t="str">
        <f aca="false">IF($T22=1,IF(INDEX(Entregas!$J$3:$J$14,$S22)="Corrido",F22,IF(DAY(G22)&gt;25,I22,IF(DAY(G22)&lt;3,G22+7,G22))),"")</f>
        <v/>
      </c>
      <c r="K22" s="18" t="str">
        <f aca="false">IF($T22=1,J22-Parametros!$B$4,"")</f>
        <v/>
      </c>
      <c r="L22" s="4"/>
      <c r="M22" s="12"/>
      <c r="N22" s="18" t="str">
        <f aca="false">IF(AND($T22=1,L22&lt;&gt;"",M22&lt;&gt;""),J22-L22,"")</f>
        <v/>
      </c>
      <c r="O22" s="15" t="str">
        <f aca="false">IF(N22="","",IF(N22&lt;0,"desc&gt;venc",IF(N22&gt;INDEX(Parametros!$F$8:$F$9,MATCH(M22,Parametros!$A$8:$A$9,0)),"EXCEDE","ok")))</f>
        <v/>
      </c>
      <c r="P22" s="16" t="str">
        <f aca="false">IF(OR(N22="",N22&lt;0),"",E22*(INDEX(Parametros!$B$8:$B$9,MATCH(M22,Parametros!$A$8:$A$9,0))/30)*N22+E22*(INDEX(Parametros!$C$8:$C$9,MATCH(M22,Parametros!$A$8:$A$9,0))*N22+INDEX(Parametros!$D$8:$D$9,MATCH(M22,Parametros!$A$8:$A$9,0)))+INDEX(Parametros!$E$8:$E$9,MATCH(M22,Parametros!$A$8:$A$9,0)))</f>
        <v/>
      </c>
      <c r="Q22" s="16" t="str">
        <f aca="false">IF(P22="","",E22-P22)</f>
        <v/>
      </c>
      <c r="S22" s="19" t="n">
        <f aca="false">IFERROR(MATCH($A22,Entregas!$A$3:$A$14,0),"")</f>
        <v>4</v>
      </c>
      <c r="T22" s="19" t="n">
        <f aca="false">IF($S22="",0,IF(AND(INDEX(Entregas!$F$3:$F$14,$S22)&lt;&gt;"",INDEX(Entregas!$F$3:$F$14,$S22)&gt;0,$B22&lt;=INDEX(Entregas!$G$3:$G$14,$S22)),1,0))</f>
        <v>0</v>
      </c>
    </row>
    <row r="23" customFormat="false" ht="15" hidden="false" customHeight="false" outlineLevel="0" collapsed="false">
      <c r="A23" s="15" t="s">
        <v>45</v>
      </c>
      <c r="B23" s="15" t="n">
        <v>1</v>
      </c>
      <c r="C23" s="15" t="str">
        <f aca="false">IF($T23=1,INDEX(Entregas!$B$3:$B$14,$S23),"")</f>
        <v>B4A</v>
      </c>
      <c r="D23" s="15" t="str">
        <f aca="false">IF($T23=1,INDEX(Entregas!$C$3:$C$14,$S23),"")</f>
        <v>Máscara condicionadora 50ml (ajuda custo)</v>
      </c>
      <c r="E23" s="16" t="n">
        <f aca="false">IF($T23=1,INDEX(Entregas!$F$3:$F$14,$S23)/INDEX(Entregas!$G$3:$G$14,$S23),"")</f>
        <v>26250</v>
      </c>
      <c r="F23" s="17" t="n">
        <f aca="false">IF($T23=1,INDEX(Entregas!$K$3:$K$14,$S23)+INDEX(Entregas!$H$3:$H$14,$S23),"")</f>
        <v>46269</v>
      </c>
      <c r="G23" s="17" t="n">
        <f aca="false">IF($T23=1,F23+MOD(1-WEEKDAY(F23,3)+7,7),"")</f>
        <v>46273</v>
      </c>
      <c r="H23" s="17" t="n">
        <f aca="false">IF($T23=1,EOMONTH(F23,0)+1,"")</f>
        <v>46296</v>
      </c>
      <c r="I23" s="17" t="n">
        <f aca="false">IF($T23=1,IF(DAY(H23+MOD(1-WEEKDAY(H23,3)+7,7))&lt;3,H23+MOD(1-WEEKDAY(H23,3)+7,7)+7,H23+MOD(1-WEEKDAY(H23,3)+7,7)),"")</f>
        <v>46301</v>
      </c>
      <c r="J23" s="17" t="n">
        <f aca="false">IF($T23=1,IF(INDEX(Entregas!$J$3:$J$14,$S23)="Corrido",F23,IF(DAY(G23)&gt;25,I23,IF(DAY(G23)&lt;3,G23+7,G23))),"")</f>
        <v>46273</v>
      </c>
      <c r="K23" s="18" t="n">
        <f aca="false">IF($T23=1,J23-Parametros!$B$4,"")</f>
        <v>34</v>
      </c>
      <c r="L23" s="4"/>
      <c r="M23" s="12"/>
      <c r="N23" s="18" t="str">
        <f aca="false">IF(AND($T23=1,L23&lt;&gt;"",M23&lt;&gt;""),J23-L23,"")</f>
        <v/>
      </c>
      <c r="O23" s="15" t="str">
        <f aca="false">IF(N23="","",IF(N23&lt;0,"desc&gt;venc",IF(N23&gt;INDEX(Parametros!$F$8:$F$9,MATCH(M23,Parametros!$A$8:$A$9,0)),"EXCEDE","ok")))</f>
        <v/>
      </c>
      <c r="P23" s="16" t="str">
        <f aca="false">IF(OR(N23="",N23&lt;0),"",E23*(INDEX(Parametros!$B$8:$B$9,MATCH(M23,Parametros!$A$8:$A$9,0))/30)*N23+E23*(INDEX(Parametros!$C$8:$C$9,MATCH(M23,Parametros!$A$8:$A$9,0))*N23+INDEX(Parametros!$D$8:$D$9,MATCH(M23,Parametros!$A$8:$A$9,0)))+INDEX(Parametros!$E$8:$E$9,MATCH(M23,Parametros!$A$8:$A$9,0)))</f>
        <v/>
      </c>
      <c r="Q23" s="16" t="str">
        <f aca="false">IF(P23="","",E23-P23)</f>
        <v/>
      </c>
      <c r="S23" s="19" t="n">
        <f aca="false">IFERROR(MATCH($A23,Entregas!$A$3:$A$14,0),"")</f>
        <v>5</v>
      </c>
      <c r="T23" s="19" t="n">
        <f aca="false">IF($S23="",0,IF(AND(INDEX(Entregas!$F$3:$F$14,$S23)&lt;&gt;"",INDEX(Entregas!$F$3:$F$14,$S23)&gt;0,$B23&lt;=INDEX(Entregas!$G$3:$G$14,$S23)),1,0))</f>
        <v>1</v>
      </c>
    </row>
    <row r="24" customFormat="false" ht="15" hidden="false" customHeight="false" outlineLevel="0" collapsed="false">
      <c r="A24" s="15" t="s">
        <v>45</v>
      </c>
      <c r="B24" s="15" t="n">
        <v>2</v>
      </c>
      <c r="C24" s="15" t="str">
        <f aca="false">IF($T24=1,INDEX(Entregas!$B$3:$B$14,$S24),"")</f>
        <v>B4A</v>
      </c>
      <c r="D24" s="15" t="str">
        <f aca="false">IF($T24=1,INDEX(Entregas!$C$3:$C$14,$S24),"")</f>
        <v>Máscara condicionadora 50ml (ajuda custo)</v>
      </c>
      <c r="E24" s="16" t="n">
        <f aca="false">IF($T24=1,INDEX(Entregas!$F$3:$F$14,$S24)/INDEX(Entregas!$G$3:$G$14,$S24),"")</f>
        <v>26250</v>
      </c>
      <c r="F24" s="17" t="n">
        <f aca="false">IF($T24=1,J23+INDEX(Entregas!$I$3:$I$14,$S24),"")</f>
        <v>46303</v>
      </c>
      <c r="G24" s="17" t="n">
        <f aca="false">IF($T24=1,F24+MOD(1-WEEKDAY(F24,3)+7,7),"")</f>
        <v>46308</v>
      </c>
      <c r="H24" s="17" t="n">
        <f aca="false">IF($T24=1,EOMONTH(F24,0)+1,"")</f>
        <v>46327</v>
      </c>
      <c r="I24" s="17" t="n">
        <f aca="false">IF($T24=1,IF(DAY(H24+MOD(1-WEEKDAY(H24,3)+7,7))&lt;3,H24+MOD(1-WEEKDAY(H24,3)+7,7)+7,H24+MOD(1-WEEKDAY(H24,3)+7,7)),"")</f>
        <v>46329</v>
      </c>
      <c r="J24" s="17" t="n">
        <f aca="false">IF($T24=1,IF(INDEX(Entregas!$J$3:$J$14,$S24)="Corrido",F24,IF(DAY(G24)&gt;25,I24,IF(DAY(G24)&lt;3,G24+7,G24))),"")</f>
        <v>46308</v>
      </c>
      <c r="K24" s="18" t="n">
        <f aca="false">IF($T24=1,J24-Parametros!$B$4,"")</f>
        <v>69</v>
      </c>
      <c r="L24" s="4"/>
      <c r="M24" s="12"/>
      <c r="N24" s="18" t="str">
        <f aca="false">IF(AND($T24=1,L24&lt;&gt;"",M24&lt;&gt;""),J24-L24,"")</f>
        <v/>
      </c>
      <c r="O24" s="15" t="str">
        <f aca="false">IF(N24="","",IF(N24&lt;0,"desc&gt;venc",IF(N24&gt;INDEX(Parametros!$F$8:$F$9,MATCH(M24,Parametros!$A$8:$A$9,0)),"EXCEDE","ok")))</f>
        <v/>
      </c>
      <c r="P24" s="16" t="str">
        <f aca="false">IF(OR(N24="",N24&lt;0),"",E24*(INDEX(Parametros!$B$8:$B$9,MATCH(M24,Parametros!$A$8:$A$9,0))/30)*N24+E24*(INDEX(Parametros!$C$8:$C$9,MATCH(M24,Parametros!$A$8:$A$9,0))*N24+INDEX(Parametros!$D$8:$D$9,MATCH(M24,Parametros!$A$8:$A$9,0)))+INDEX(Parametros!$E$8:$E$9,MATCH(M24,Parametros!$A$8:$A$9,0)))</f>
        <v/>
      </c>
      <c r="Q24" s="16" t="str">
        <f aca="false">IF(P24="","",E24-P24)</f>
        <v/>
      </c>
      <c r="S24" s="19" t="n">
        <f aca="false">IFERROR(MATCH($A24,Entregas!$A$3:$A$14,0),"")</f>
        <v>5</v>
      </c>
      <c r="T24" s="19" t="n">
        <f aca="false">IF($S24="",0,IF(AND(INDEX(Entregas!$F$3:$F$14,$S24)&lt;&gt;"",INDEX(Entregas!$F$3:$F$14,$S24)&gt;0,$B24&lt;=INDEX(Entregas!$G$3:$G$14,$S24)),1,0))</f>
        <v>1</v>
      </c>
    </row>
    <row r="25" customFormat="false" ht="15" hidden="false" customHeight="false" outlineLevel="0" collapsed="false">
      <c r="A25" s="15" t="s">
        <v>45</v>
      </c>
      <c r="B25" s="15" t="n">
        <v>3</v>
      </c>
      <c r="C25" s="15" t="str">
        <f aca="false">IF($T25=1,INDEX(Entregas!$B$3:$B$14,$S25),"")</f>
        <v>B4A</v>
      </c>
      <c r="D25" s="15" t="str">
        <f aca="false">IF($T25=1,INDEX(Entregas!$C$3:$C$14,$S25),"")</f>
        <v>Máscara condicionadora 50ml (ajuda custo)</v>
      </c>
      <c r="E25" s="16" t="n">
        <f aca="false">IF($T25=1,INDEX(Entregas!$F$3:$F$14,$S25)/INDEX(Entregas!$G$3:$G$14,$S25),"")</f>
        <v>26250</v>
      </c>
      <c r="F25" s="17" t="n">
        <f aca="false">IF($T25=1,J24+INDEX(Entregas!$I$3:$I$14,$S25),"")</f>
        <v>46338</v>
      </c>
      <c r="G25" s="17" t="n">
        <f aca="false">IF($T25=1,F25+MOD(1-WEEKDAY(F25,3)+7,7),"")</f>
        <v>46343</v>
      </c>
      <c r="H25" s="17" t="n">
        <f aca="false">IF($T25=1,EOMONTH(F25,0)+1,"")</f>
        <v>46357</v>
      </c>
      <c r="I25" s="17" t="n">
        <f aca="false">IF($T25=1,IF(DAY(H25+MOD(1-WEEKDAY(H25,3)+7,7))&lt;3,H25+MOD(1-WEEKDAY(H25,3)+7,7)+7,H25+MOD(1-WEEKDAY(H25,3)+7,7)),"")</f>
        <v>46364</v>
      </c>
      <c r="J25" s="17" t="n">
        <f aca="false">IF($T25=1,IF(INDEX(Entregas!$J$3:$J$14,$S25)="Corrido",F25,IF(DAY(G25)&gt;25,I25,IF(DAY(G25)&lt;3,G25+7,G25))),"")</f>
        <v>46343</v>
      </c>
      <c r="K25" s="18" t="n">
        <f aca="false">IF($T25=1,J25-Parametros!$B$4,"")</f>
        <v>104</v>
      </c>
      <c r="L25" s="4"/>
      <c r="M25" s="12"/>
      <c r="N25" s="18" t="str">
        <f aca="false">IF(AND($T25=1,L25&lt;&gt;"",M25&lt;&gt;""),J25-L25,"")</f>
        <v/>
      </c>
      <c r="O25" s="15" t="str">
        <f aca="false">IF(N25="","",IF(N25&lt;0,"desc&gt;venc",IF(N25&gt;INDEX(Parametros!$F$8:$F$9,MATCH(M25,Parametros!$A$8:$A$9,0)),"EXCEDE","ok")))</f>
        <v/>
      </c>
      <c r="P25" s="16" t="str">
        <f aca="false">IF(OR(N25="",N25&lt;0),"",E25*(INDEX(Parametros!$B$8:$B$9,MATCH(M25,Parametros!$A$8:$A$9,0))/30)*N25+E25*(INDEX(Parametros!$C$8:$C$9,MATCH(M25,Parametros!$A$8:$A$9,0))*N25+INDEX(Parametros!$D$8:$D$9,MATCH(M25,Parametros!$A$8:$A$9,0)))+INDEX(Parametros!$E$8:$E$9,MATCH(M25,Parametros!$A$8:$A$9,0)))</f>
        <v/>
      </c>
      <c r="Q25" s="16" t="str">
        <f aca="false">IF(P25="","",E25-P25)</f>
        <v/>
      </c>
      <c r="S25" s="19" t="n">
        <f aca="false">IFERROR(MATCH($A25,Entregas!$A$3:$A$14,0),"")</f>
        <v>5</v>
      </c>
      <c r="T25" s="19" t="n">
        <f aca="false">IF($S25="",0,IF(AND(INDEX(Entregas!$F$3:$F$14,$S25)&lt;&gt;"",INDEX(Entregas!$F$3:$F$14,$S25)&gt;0,$B25&lt;=INDEX(Entregas!$G$3:$G$14,$S25)),1,0))</f>
        <v>1</v>
      </c>
    </row>
    <row r="26" customFormat="false" ht="15" hidden="false" customHeight="false" outlineLevel="0" collapsed="false">
      <c r="A26" s="15" t="s">
        <v>45</v>
      </c>
      <c r="B26" s="15" t="n">
        <v>4</v>
      </c>
      <c r="C26" s="15" t="str">
        <f aca="false">IF($T26=1,INDEX(Entregas!$B$3:$B$14,$S26),"")</f>
        <v>B4A</v>
      </c>
      <c r="D26" s="15" t="str">
        <f aca="false">IF($T26=1,INDEX(Entregas!$C$3:$C$14,$S26),"")</f>
        <v>Máscara condicionadora 50ml (ajuda custo)</v>
      </c>
      <c r="E26" s="16" t="n">
        <f aca="false">IF($T26=1,INDEX(Entregas!$F$3:$F$14,$S26)/INDEX(Entregas!$G$3:$G$14,$S26),"")</f>
        <v>26250</v>
      </c>
      <c r="F26" s="17" t="n">
        <f aca="false">IF($T26=1,J25+INDEX(Entregas!$I$3:$I$14,$S26),"")</f>
        <v>46373</v>
      </c>
      <c r="G26" s="17" t="n">
        <f aca="false">IF($T26=1,F26+MOD(1-WEEKDAY(F26,3)+7,7),"")</f>
        <v>46378</v>
      </c>
      <c r="H26" s="17" t="n">
        <f aca="false">IF($T26=1,EOMONTH(F26,0)+1,"")</f>
        <v>46388</v>
      </c>
      <c r="I26" s="17" t="n">
        <f aca="false">IF($T26=1,IF(DAY(H26+MOD(1-WEEKDAY(H26,3)+7,7))&lt;3,H26+MOD(1-WEEKDAY(H26,3)+7,7)+7,H26+MOD(1-WEEKDAY(H26,3)+7,7)),"")</f>
        <v>46392</v>
      </c>
      <c r="J26" s="17" t="n">
        <f aca="false">IF($T26=1,IF(INDEX(Entregas!$J$3:$J$14,$S26)="Corrido",F26,IF(DAY(G26)&gt;25,I26,IF(DAY(G26)&lt;3,G26+7,G26))),"")</f>
        <v>46378</v>
      </c>
      <c r="K26" s="18" t="n">
        <f aca="false">IF($T26=1,J26-Parametros!$B$4,"")</f>
        <v>139</v>
      </c>
      <c r="L26" s="4"/>
      <c r="M26" s="12"/>
      <c r="N26" s="18" t="str">
        <f aca="false">IF(AND($T26=1,L26&lt;&gt;"",M26&lt;&gt;""),J26-L26,"")</f>
        <v/>
      </c>
      <c r="O26" s="15" t="str">
        <f aca="false">IF(N26="","",IF(N26&lt;0,"desc&gt;venc",IF(N26&gt;INDEX(Parametros!$F$8:$F$9,MATCH(M26,Parametros!$A$8:$A$9,0)),"EXCEDE","ok")))</f>
        <v/>
      </c>
      <c r="P26" s="16" t="str">
        <f aca="false">IF(OR(N26="",N26&lt;0),"",E26*(INDEX(Parametros!$B$8:$B$9,MATCH(M26,Parametros!$A$8:$A$9,0))/30)*N26+E26*(INDEX(Parametros!$C$8:$C$9,MATCH(M26,Parametros!$A$8:$A$9,0))*N26+INDEX(Parametros!$D$8:$D$9,MATCH(M26,Parametros!$A$8:$A$9,0)))+INDEX(Parametros!$E$8:$E$9,MATCH(M26,Parametros!$A$8:$A$9,0)))</f>
        <v/>
      </c>
      <c r="Q26" s="16" t="str">
        <f aca="false">IF(P26="","",E26-P26)</f>
        <v/>
      </c>
      <c r="S26" s="19" t="n">
        <f aca="false">IFERROR(MATCH($A26,Entregas!$A$3:$A$14,0),"")</f>
        <v>5</v>
      </c>
      <c r="T26" s="19" t="n">
        <f aca="false">IF($S26="",0,IF(AND(INDEX(Entregas!$F$3:$F$14,$S26)&lt;&gt;"",INDEX(Entregas!$F$3:$F$14,$S26)&gt;0,$B26&lt;=INDEX(Entregas!$G$3:$G$14,$S26)),1,0))</f>
        <v>1</v>
      </c>
    </row>
    <row r="27" customFormat="false" ht="15" hidden="false" customHeight="false" outlineLevel="0" collapsed="false">
      <c r="A27" s="15" t="s">
        <v>45</v>
      </c>
      <c r="B27" s="15" t="n">
        <v>5</v>
      </c>
      <c r="C27" s="15" t="str">
        <f aca="false">IF($T27=1,INDEX(Entregas!$B$3:$B$14,$S27),"")</f>
        <v/>
      </c>
      <c r="D27" s="15" t="str">
        <f aca="false">IF($T27=1,INDEX(Entregas!$C$3:$C$14,$S27),"")</f>
        <v/>
      </c>
      <c r="E27" s="16" t="str">
        <f aca="false">IF($T27=1,INDEX(Entregas!$F$3:$F$14,$S27)/INDEX(Entregas!$G$3:$G$14,$S27),"")</f>
        <v/>
      </c>
      <c r="F27" s="17" t="str">
        <f aca="false">IF($T27=1,J26+INDEX(Entregas!$I$3:$I$14,$S27),"")</f>
        <v/>
      </c>
      <c r="G27" s="17" t="str">
        <f aca="false">IF($T27=1,F27+MOD(1-WEEKDAY(F27,3)+7,7),"")</f>
        <v/>
      </c>
      <c r="H27" s="17" t="str">
        <f aca="false">IF($T27=1,EOMONTH(F27,0)+1,"")</f>
        <v/>
      </c>
      <c r="I27" s="17" t="str">
        <f aca="false">IF($T27=1,IF(DAY(H27+MOD(1-WEEKDAY(H27,3)+7,7))&lt;3,H27+MOD(1-WEEKDAY(H27,3)+7,7)+7,H27+MOD(1-WEEKDAY(H27,3)+7,7)),"")</f>
        <v/>
      </c>
      <c r="J27" s="17" t="str">
        <f aca="false">IF($T27=1,IF(INDEX(Entregas!$J$3:$J$14,$S27)="Corrido",F27,IF(DAY(G27)&gt;25,I27,IF(DAY(G27)&lt;3,G27+7,G27))),"")</f>
        <v/>
      </c>
      <c r="K27" s="18" t="str">
        <f aca="false">IF($T27=1,J27-Parametros!$B$4,"")</f>
        <v/>
      </c>
      <c r="L27" s="4"/>
      <c r="M27" s="12"/>
      <c r="N27" s="18" t="str">
        <f aca="false">IF(AND($T27=1,L27&lt;&gt;"",M27&lt;&gt;""),J27-L27,"")</f>
        <v/>
      </c>
      <c r="O27" s="15" t="str">
        <f aca="false">IF(N27="","",IF(N27&lt;0,"desc&gt;venc",IF(N27&gt;INDEX(Parametros!$F$8:$F$9,MATCH(M27,Parametros!$A$8:$A$9,0)),"EXCEDE","ok")))</f>
        <v/>
      </c>
      <c r="P27" s="16" t="str">
        <f aca="false">IF(OR(N27="",N27&lt;0),"",E27*(INDEX(Parametros!$B$8:$B$9,MATCH(M27,Parametros!$A$8:$A$9,0))/30)*N27+E27*(INDEX(Parametros!$C$8:$C$9,MATCH(M27,Parametros!$A$8:$A$9,0))*N27+INDEX(Parametros!$D$8:$D$9,MATCH(M27,Parametros!$A$8:$A$9,0)))+INDEX(Parametros!$E$8:$E$9,MATCH(M27,Parametros!$A$8:$A$9,0)))</f>
        <v/>
      </c>
      <c r="Q27" s="16" t="str">
        <f aca="false">IF(P27="","",E27-P27)</f>
        <v/>
      </c>
      <c r="S27" s="19" t="n">
        <f aca="false">IFERROR(MATCH($A27,Entregas!$A$3:$A$14,0),"")</f>
        <v>5</v>
      </c>
      <c r="T27" s="19" t="n">
        <f aca="false">IF($S27="",0,IF(AND(INDEX(Entregas!$F$3:$F$14,$S27)&lt;&gt;"",INDEX(Entregas!$F$3:$F$14,$S27)&gt;0,$B27&lt;=INDEX(Entregas!$G$3:$G$14,$S27)),1,0))</f>
        <v>0</v>
      </c>
    </row>
    <row r="28" customFormat="false" ht="15" hidden="false" customHeight="false" outlineLevel="0" collapsed="false">
      <c r="A28" s="15" t="s">
        <v>47</v>
      </c>
      <c r="B28" s="15" t="n">
        <v>1</v>
      </c>
      <c r="C28" s="15" t="str">
        <f aca="false">IF($T28=1,INDEX(Entregas!$B$3:$B$14,$S28),"")</f>
        <v>B4A</v>
      </c>
      <c r="D28" s="15" t="str">
        <f aca="false">IF($T28=1,INDEX(Entregas!$C$3:$C$14,$S28),"")</f>
        <v>Leave-in 150ml (ajuda custo)</v>
      </c>
      <c r="E28" s="16" t="n">
        <f aca="false">IF($T28=1,INDEX(Entregas!$F$3:$F$14,$S28)/INDEX(Entregas!$G$3:$G$14,$S28),"")</f>
        <v>45000</v>
      </c>
      <c r="F28" s="17" t="n">
        <f aca="false">IF($T28=1,INDEX(Entregas!$K$3:$K$14,$S28)+INDEX(Entregas!$H$3:$H$14,$S28),"")</f>
        <v>46330</v>
      </c>
      <c r="G28" s="17" t="n">
        <f aca="false">IF($T28=1,F28+MOD(1-WEEKDAY(F28,3)+7,7),"")</f>
        <v>46336</v>
      </c>
      <c r="H28" s="17" t="n">
        <f aca="false">IF($T28=1,EOMONTH(F28,0)+1,"")</f>
        <v>46357</v>
      </c>
      <c r="I28" s="17" t="n">
        <f aca="false">IF($T28=1,IF(DAY(H28+MOD(1-WEEKDAY(H28,3)+7,7))&lt;3,H28+MOD(1-WEEKDAY(H28,3)+7,7)+7,H28+MOD(1-WEEKDAY(H28,3)+7,7)),"")</f>
        <v>46364</v>
      </c>
      <c r="J28" s="17" t="n">
        <f aca="false">IF($T28=1,IF(INDEX(Entregas!$J$3:$J$14,$S28)="Corrido",F28,IF(DAY(G28)&gt;25,I28,IF(DAY(G28)&lt;3,G28+7,G28))),"")</f>
        <v>46336</v>
      </c>
      <c r="K28" s="18" t="n">
        <f aca="false">IF($T28=1,J28-Parametros!$B$4,"")</f>
        <v>97</v>
      </c>
      <c r="L28" s="4"/>
      <c r="M28" s="12"/>
      <c r="N28" s="18" t="str">
        <f aca="false">IF(AND($T28=1,L28&lt;&gt;"",M28&lt;&gt;""),J28-L28,"")</f>
        <v/>
      </c>
      <c r="O28" s="15" t="str">
        <f aca="false">IF(N28="","",IF(N28&lt;0,"desc&gt;venc",IF(N28&gt;INDEX(Parametros!$F$8:$F$9,MATCH(M28,Parametros!$A$8:$A$9,0)),"EXCEDE","ok")))</f>
        <v/>
      </c>
      <c r="P28" s="16" t="str">
        <f aca="false">IF(OR(N28="",N28&lt;0),"",E28*(INDEX(Parametros!$B$8:$B$9,MATCH(M28,Parametros!$A$8:$A$9,0))/30)*N28+E28*(INDEX(Parametros!$C$8:$C$9,MATCH(M28,Parametros!$A$8:$A$9,0))*N28+INDEX(Parametros!$D$8:$D$9,MATCH(M28,Parametros!$A$8:$A$9,0)))+INDEX(Parametros!$E$8:$E$9,MATCH(M28,Parametros!$A$8:$A$9,0)))</f>
        <v/>
      </c>
      <c r="Q28" s="16" t="str">
        <f aca="false">IF(P28="","",E28-P28)</f>
        <v/>
      </c>
      <c r="S28" s="19" t="n">
        <f aca="false">IFERROR(MATCH($A28,Entregas!$A$3:$A$14,0),"")</f>
        <v>6</v>
      </c>
      <c r="T28" s="19" t="n">
        <f aca="false">IF($S28="",0,IF(AND(INDEX(Entregas!$F$3:$F$14,$S28)&lt;&gt;"",INDEX(Entregas!$F$3:$F$14,$S28)&gt;0,$B28&lt;=INDEX(Entregas!$G$3:$G$14,$S28)),1,0))</f>
        <v>1</v>
      </c>
    </row>
    <row r="29" customFormat="false" ht="15" hidden="false" customHeight="false" outlineLevel="0" collapsed="false">
      <c r="A29" s="15" t="s">
        <v>47</v>
      </c>
      <c r="B29" s="15" t="n">
        <v>2</v>
      </c>
      <c r="C29" s="15" t="str">
        <f aca="false">IF($T29=1,INDEX(Entregas!$B$3:$B$14,$S29),"")</f>
        <v>B4A</v>
      </c>
      <c r="D29" s="15" t="str">
        <f aca="false">IF($T29=1,INDEX(Entregas!$C$3:$C$14,$S29),"")</f>
        <v>Leave-in 150ml (ajuda custo)</v>
      </c>
      <c r="E29" s="16" t="n">
        <f aca="false">IF($T29=1,INDEX(Entregas!$F$3:$F$14,$S29)/INDEX(Entregas!$G$3:$G$14,$S29),"")</f>
        <v>45000</v>
      </c>
      <c r="F29" s="17" t="n">
        <f aca="false">IF($T29=1,J28+INDEX(Entregas!$I$3:$I$14,$S29),"")</f>
        <v>46366</v>
      </c>
      <c r="G29" s="17" t="n">
        <f aca="false">IF($T29=1,F29+MOD(1-WEEKDAY(F29,3)+7,7),"")</f>
        <v>46371</v>
      </c>
      <c r="H29" s="17" t="n">
        <f aca="false">IF($T29=1,EOMONTH(F29,0)+1,"")</f>
        <v>46388</v>
      </c>
      <c r="I29" s="17" t="n">
        <f aca="false">IF($T29=1,IF(DAY(H29+MOD(1-WEEKDAY(H29,3)+7,7))&lt;3,H29+MOD(1-WEEKDAY(H29,3)+7,7)+7,H29+MOD(1-WEEKDAY(H29,3)+7,7)),"")</f>
        <v>46392</v>
      </c>
      <c r="J29" s="17" t="n">
        <f aca="false">IF($T29=1,IF(INDEX(Entregas!$J$3:$J$14,$S29)="Corrido",F29,IF(DAY(G29)&gt;25,I29,IF(DAY(G29)&lt;3,G29+7,G29))),"")</f>
        <v>46371</v>
      </c>
      <c r="K29" s="18" t="n">
        <f aca="false">IF($T29=1,J29-Parametros!$B$4,"")</f>
        <v>132</v>
      </c>
      <c r="L29" s="4"/>
      <c r="M29" s="12"/>
      <c r="N29" s="18" t="str">
        <f aca="false">IF(AND($T29=1,L29&lt;&gt;"",M29&lt;&gt;""),J29-L29,"")</f>
        <v/>
      </c>
      <c r="O29" s="15" t="str">
        <f aca="false">IF(N29="","",IF(N29&lt;0,"desc&gt;venc",IF(N29&gt;INDEX(Parametros!$F$8:$F$9,MATCH(M29,Parametros!$A$8:$A$9,0)),"EXCEDE","ok")))</f>
        <v/>
      </c>
      <c r="P29" s="16" t="str">
        <f aca="false">IF(OR(N29="",N29&lt;0),"",E29*(INDEX(Parametros!$B$8:$B$9,MATCH(M29,Parametros!$A$8:$A$9,0))/30)*N29+E29*(INDEX(Parametros!$C$8:$C$9,MATCH(M29,Parametros!$A$8:$A$9,0))*N29+INDEX(Parametros!$D$8:$D$9,MATCH(M29,Parametros!$A$8:$A$9,0)))+INDEX(Parametros!$E$8:$E$9,MATCH(M29,Parametros!$A$8:$A$9,0)))</f>
        <v/>
      </c>
      <c r="Q29" s="16" t="str">
        <f aca="false">IF(P29="","",E29-P29)</f>
        <v/>
      </c>
      <c r="S29" s="19" t="n">
        <f aca="false">IFERROR(MATCH($A29,Entregas!$A$3:$A$14,0),"")</f>
        <v>6</v>
      </c>
      <c r="T29" s="19" t="n">
        <f aca="false">IF($S29="",0,IF(AND(INDEX(Entregas!$F$3:$F$14,$S29)&lt;&gt;"",INDEX(Entregas!$F$3:$F$14,$S29)&gt;0,$B29&lt;=INDEX(Entregas!$G$3:$G$14,$S29)),1,0))</f>
        <v>1</v>
      </c>
    </row>
    <row r="30" customFormat="false" ht="15" hidden="false" customHeight="false" outlineLevel="0" collapsed="false">
      <c r="A30" s="15" t="s">
        <v>47</v>
      </c>
      <c r="B30" s="15" t="n">
        <v>3</v>
      </c>
      <c r="C30" s="15" t="str">
        <f aca="false">IF($T30=1,INDEX(Entregas!$B$3:$B$14,$S30),"")</f>
        <v>B4A</v>
      </c>
      <c r="D30" s="15" t="str">
        <f aca="false">IF($T30=1,INDEX(Entregas!$C$3:$C$14,$S30),"")</f>
        <v>Leave-in 150ml (ajuda custo)</v>
      </c>
      <c r="E30" s="16" t="n">
        <f aca="false">IF($T30=1,INDEX(Entregas!$F$3:$F$14,$S30)/INDEX(Entregas!$G$3:$G$14,$S30),"")</f>
        <v>45000</v>
      </c>
      <c r="F30" s="17" t="n">
        <f aca="false">IF($T30=1,J29+INDEX(Entregas!$I$3:$I$14,$S30),"")</f>
        <v>46401</v>
      </c>
      <c r="G30" s="17" t="n">
        <f aca="false">IF($T30=1,F30+MOD(1-WEEKDAY(F30,3)+7,7),"")</f>
        <v>46406</v>
      </c>
      <c r="H30" s="17" t="n">
        <f aca="false">IF($T30=1,EOMONTH(F30,0)+1,"")</f>
        <v>46419</v>
      </c>
      <c r="I30" s="17" t="n">
        <f aca="false">IF($T30=1,IF(DAY(H30+MOD(1-WEEKDAY(H30,3)+7,7))&lt;3,H30+MOD(1-WEEKDAY(H30,3)+7,7)+7,H30+MOD(1-WEEKDAY(H30,3)+7,7)),"")</f>
        <v>46427</v>
      </c>
      <c r="J30" s="17" t="n">
        <f aca="false">IF($T30=1,IF(INDEX(Entregas!$J$3:$J$14,$S30)="Corrido",F30,IF(DAY(G30)&gt;25,I30,IF(DAY(G30)&lt;3,G30+7,G30))),"")</f>
        <v>46406</v>
      </c>
      <c r="K30" s="18" t="n">
        <f aca="false">IF($T30=1,J30-Parametros!$B$4,"")</f>
        <v>167</v>
      </c>
      <c r="L30" s="4"/>
      <c r="M30" s="12"/>
      <c r="N30" s="18" t="str">
        <f aca="false">IF(AND($T30=1,L30&lt;&gt;"",M30&lt;&gt;""),J30-L30,"")</f>
        <v/>
      </c>
      <c r="O30" s="15" t="str">
        <f aca="false">IF(N30="","",IF(N30&lt;0,"desc&gt;venc",IF(N30&gt;INDEX(Parametros!$F$8:$F$9,MATCH(M30,Parametros!$A$8:$A$9,0)),"EXCEDE","ok")))</f>
        <v/>
      </c>
      <c r="P30" s="16" t="str">
        <f aca="false">IF(OR(N30="",N30&lt;0),"",E30*(INDEX(Parametros!$B$8:$B$9,MATCH(M30,Parametros!$A$8:$A$9,0))/30)*N30+E30*(INDEX(Parametros!$C$8:$C$9,MATCH(M30,Parametros!$A$8:$A$9,0))*N30+INDEX(Parametros!$D$8:$D$9,MATCH(M30,Parametros!$A$8:$A$9,0)))+INDEX(Parametros!$E$8:$E$9,MATCH(M30,Parametros!$A$8:$A$9,0)))</f>
        <v/>
      </c>
      <c r="Q30" s="16" t="str">
        <f aca="false">IF(P30="","",E30-P30)</f>
        <v/>
      </c>
      <c r="S30" s="19" t="n">
        <f aca="false">IFERROR(MATCH($A30,Entregas!$A$3:$A$14,0),"")</f>
        <v>6</v>
      </c>
      <c r="T30" s="19" t="n">
        <f aca="false">IF($S30="",0,IF(AND(INDEX(Entregas!$F$3:$F$14,$S30)&lt;&gt;"",INDEX(Entregas!$F$3:$F$14,$S30)&gt;0,$B30&lt;=INDEX(Entregas!$G$3:$G$14,$S30)),1,0))</f>
        <v>1</v>
      </c>
    </row>
    <row r="31" customFormat="false" ht="15" hidden="false" customHeight="false" outlineLevel="0" collapsed="false">
      <c r="A31" s="15" t="s">
        <v>47</v>
      </c>
      <c r="B31" s="15" t="n">
        <v>4</v>
      </c>
      <c r="C31" s="15" t="str">
        <f aca="false">IF($T31=1,INDEX(Entregas!$B$3:$B$14,$S31),"")</f>
        <v>B4A</v>
      </c>
      <c r="D31" s="15" t="str">
        <f aca="false">IF($T31=1,INDEX(Entregas!$C$3:$C$14,$S31),"")</f>
        <v>Leave-in 150ml (ajuda custo)</v>
      </c>
      <c r="E31" s="16" t="n">
        <f aca="false">IF($T31=1,INDEX(Entregas!$F$3:$F$14,$S31)/INDEX(Entregas!$G$3:$G$14,$S31),"")</f>
        <v>45000</v>
      </c>
      <c r="F31" s="17" t="n">
        <f aca="false">IF($T31=1,J30+INDEX(Entregas!$I$3:$I$14,$S31),"")</f>
        <v>46436</v>
      </c>
      <c r="G31" s="17" t="n">
        <f aca="false">IF($T31=1,F31+MOD(1-WEEKDAY(F31,3)+7,7),"")</f>
        <v>46441</v>
      </c>
      <c r="H31" s="17" t="n">
        <f aca="false">IF($T31=1,EOMONTH(F31,0)+1,"")</f>
        <v>46447</v>
      </c>
      <c r="I31" s="17" t="n">
        <f aca="false">IF($T31=1,IF(DAY(H31+MOD(1-WEEKDAY(H31,3)+7,7))&lt;3,H31+MOD(1-WEEKDAY(H31,3)+7,7)+7,H31+MOD(1-WEEKDAY(H31,3)+7,7)),"")</f>
        <v>46455</v>
      </c>
      <c r="J31" s="17" t="n">
        <f aca="false">IF($T31=1,IF(INDEX(Entregas!$J$3:$J$14,$S31)="Corrido",F31,IF(DAY(G31)&gt;25,I31,IF(DAY(G31)&lt;3,G31+7,G31))),"")</f>
        <v>46441</v>
      </c>
      <c r="K31" s="18" t="n">
        <f aca="false">IF($T31=1,J31-Parametros!$B$4,"")</f>
        <v>202</v>
      </c>
      <c r="L31" s="4"/>
      <c r="M31" s="12"/>
      <c r="N31" s="18" t="str">
        <f aca="false">IF(AND($T31=1,L31&lt;&gt;"",M31&lt;&gt;""),J31-L31,"")</f>
        <v/>
      </c>
      <c r="O31" s="15" t="str">
        <f aca="false">IF(N31="","",IF(N31&lt;0,"desc&gt;venc",IF(N31&gt;INDEX(Parametros!$F$8:$F$9,MATCH(M31,Parametros!$A$8:$A$9,0)),"EXCEDE","ok")))</f>
        <v/>
      </c>
      <c r="P31" s="16" t="str">
        <f aca="false">IF(OR(N31="",N31&lt;0),"",E31*(INDEX(Parametros!$B$8:$B$9,MATCH(M31,Parametros!$A$8:$A$9,0))/30)*N31+E31*(INDEX(Parametros!$C$8:$C$9,MATCH(M31,Parametros!$A$8:$A$9,0))*N31+INDEX(Parametros!$D$8:$D$9,MATCH(M31,Parametros!$A$8:$A$9,0)))+INDEX(Parametros!$E$8:$E$9,MATCH(M31,Parametros!$A$8:$A$9,0)))</f>
        <v/>
      </c>
      <c r="Q31" s="16" t="str">
        <f aca="false">IF(P31="","",E31-P31)</f>
        <v/>
      </c>
      <c r="S31" s="19" t="n">
        <f aca="false">IFERROR(MATCH($A31,Entregas!$A$3:$A$14,0),"")</f>
        <v>6</v>
      </c>
      <c r="T31" s="19" t="n">
        <f aca="false">IF($S31="",0,IF(AND(INDEX(Entregas!$F$3:$F$14,$S31)&lt;&gt;"",INDEX(Entregas!$F$3:$F$14,$S31)&gt;0,$B31&lt;=INDEX(Entregas!$G$3:$G$14,$S31)),1,0))</f>
        <v>1</v>
      </c>
    </row>
    <row r="32" customFormat="false" ht="15" hidden="false" customHeight="false" outlineLevel="0" collapsed="false">
      <c r="A32" s="15" t="s">
        <v>47</v>
      </c>
      <c r="B32" s="15" t="n">
        <v>5</v>
      </c>
      <c r="C32" s="15" t="str">
        <f aca="false">IF($T32=1,INDEX(Entregas!$B$3:$B$14,$S32),"")</f>
        <v/>
      </c>
      <c r="D32" s="15" t="str">
        <f aca="false">IF($T32=1,INDEX(Entregas!$C$3:$C$14,$S32),"")</f>
        <v/>
      </c>
      <c r="E32" s="16" t="str">
        <f aca="false">IF($T32=1,INDEX(Entregas!$F$3:$F$14,$S32)/INDEX(Entregas!$G$3:$G$14,$S32),"")</f>
        <v/>
      </c>
      <c r="F32" s="17" t="str">
        <f aca="false">IF($T32=1,J31+INDEX(Entregas!$I$3:$I$14,$S32),"")</f>
        <v/>
      </c>
      <c r="G32" s="17" t="str">
        <f aca="false">IF($T32=1,F32+MOD(1-WEEKDAY(F32,3)+7,7),"")</f>
        <v/>
      </c>
      <c r="H32" s="17" t="str">
        <f aca="false">IF($T32=1,EOMONTH(F32,0)+1,"")</f>
        <v/>
      </c>
      <c r="I32" s="17" t="str">
        <f aca="false">IF($T32=1,IF(DAY(H32+MOD(1-WEEKDAY(H32,3)+7,7))&lt;3,H32+MOD(1-WEEKDAY(H32,3)+7,7)+7,H32+MOD(1-WEEKDAY(H32,3)+7,7)),"")</f>
        <v/>
      </c>
      <c r="J32" s="17" t="str">
        <f aca="false">IF($T32=1,IF(INDEX(Entregas!$J$3:$J$14,$S32)="Corrido",F32,IF(DAY(G32)&gt;25,I32,IF(DAY(G32)&lt;3,G32+7,G32))),"")</f>
        <v/>
      </c>
      <c r="K32" s="18" t="str">
        <f aca="false">IF($T32=1,J32-Parametros!$B$4,"")</f>
        <v/>
      </c>
      <c r="L32" s="4"/>
      <c r="M32" s="12"/>
      <c r="N32" s="18" t="str">
        <f aca="false">IF(AND($T32=1,L32&lt;&gt;"",M32&lt;&gt;""),J32-L32,"")</f>
        <v/>
      </c>
      <c r="O32" s="15" t="str">
        <f aca="false">IF(N32="","",IF(N32&lt;0,"desc&gt;venc",IF(N32&gt;INDEX(Parametros!$F$8:$F$9,MATCH(M32,Parametros!$A$8:$A$9,0)),"EXCEDE","ok")))</f>
        <v/>
      </c>
      <c r="P32" s="16" t="str">
        <f aca="false">IF(OR(N32="",N32&lt;0),"",E32*(INDEX(Parametros!$B$8:$B$9,MATCH(M32,Parametros!$A$8:$A$9,0))/30)*N32+E32*(INDEX(Parametros!$C$8:$C$9,MATCH(M32,Parametros!$A$8:$A$9,0))*N32+INDEX(Parametros!$D$8:$D$9,MATCH(M32,Parametros!$A$8:$A$9,0)))+INDEX(Parametros!$E$8:$E$9,MATCH(M32,Parametros!$A$8:$A$9,0)))</f>
        <v/>
      </c>
      <c r="Q32" s="16" t="str">
        <f aca="false">IF(P32="","",E32-P32)</f>
        <v/>
      </c>
      <c r="S32" s="19" t="n">
        <f aca="false">IFERROR(MATCH($A32,Entregas!$A$3:$A$14,0),"")</f>
        <v>6</v>
      </c>
      <c r="T32" s="19" t="n">
        <f aca="false">IF($S32="",0,IF(AND(INDEX(Entregas!$F$3:$F$14,$S32)&lt;&gt;"",INDEX(Entregas!$F$3:$F$14,$S32)&gt;0,$B32&lt;=INDEX(Entregas!$G$3:$G$14,$S32)),1,0))</f>
        <v>0</v>
      </c>
    </row>
    <row r="33" customFormat="false" ht="15" hidden="false" customHeight="false" outlineLevel="0" collapsed="false">
      <c r="A33" s="15" t="s">
        <v>49</v>
      </c>
      <c r="B33" s="15" t="n">
        <v>1</v>
      </c>
      <c r="C33" s="15" t="str">
        <f aca="false">IF($T33=1,INDEX(Entregas!$B$3:$B$14,$S33),"")</f>
        <v>B4A</v>
      </c>
      <c r="D33" s="15" t="str">
        <f aca="false">IF($T33=1,INDEX(Entregas!$C$3:$C$14,$S33),"")</f>
        <v>Shampoo a seco 150ml (ajuda custo)</v>
      </c>
      <c r="E33" s="16" t="n">
        <f aca="false">IF($T33=1,INDEX(Entregas!$F$3:$F$14,$S33)/INDEX(Entregas!$G$3:$G$14,$S33),"")</f>
        <v>52500</v>
      </c>
      <c r="F33" s="17" t="n">
        <f aca="false">IF($T33=1,INDEX(Entregas!$K$3:$K$14,$S33)+INDEX(Entregas!$H$3:$H$14,$S33),"")</f>
        <v>46361</v>
      </c>
      <c r="G33" s="17" t="n">
        <f aca="false">IF($T33=1,F33+MOD(1-WEEKDAY(F33,3)+7,7),"")</f>
        <v>46364</v>
      </c>
      <c r="H33" s="17" t="n">
        <f aca="false">IF($T33=1,EOMONTH(F33,0)+1,"")</f>
        <v>46388</v>
      </c>
      <c r="I33" s="17" t="n">
        <f aca="false">IF($T33=1,IF(DAY(H33+MOD(1-WEEKDAY(H33,3)+7,7))&lt;3,H33+MOD(1-WEEKDAY(H33,3)+7,7)+7,H33+MOD(1-WEEKDAY(H33,3)+7,7)),"")</f>
        <v>46392</v>
      </c>
      <c r="J33" s="17" t="n">
        <f aca="false">IF($T33=1,IF(INDEX(Entregas!$J$3:$J$14,$S33)="Corrido",F33,IF(DAY(G33)&gt;25,I33,IF(DAY(G33)&lt;3,G33+7,G33))),"")</f>
        <v>46364</v>
      </c>
      <c r="K33" s="18" t="n">
        <f aca="false">IF($T33=1,J33-Parametros!$B$4,"")</f>
        <v>125</v>
      </c>
      <c r="L33" s="4"/>
      <c r="M33" s="12"/>
      <c r="N33" s="18" t="str">
        <f aca="false">IF(AND($T33=1,L33&lt;&gt;"",M33&lt;&gt;""),J33-L33,"")</f>
        <v/>
      </c>
      <c r="O33" s="15" t="str">
        <f aca="false">IF(N33="","",IF(N33&lt;0,"desc&gt;venc",IF(N33&gt;INDEX(Parametros!$F$8:$F$9,MATCH(M33,Parametros!$A$8:$A$9,0)),"EXCEDE","ok")))</f>
        <v/>
      </c>
      <c r="P33" s="16" t="str">
        <f aca="false">IF(OR(N33="",N33&lt;0),"",E33*(INDEX(Parametros!$B$8:$B$9,MATCH(M33,Parametros!$A$8:$A$9,0))/30)*N33+E33*(INDEX(Parametros!$C$8:$C$9,MATCH(M33,Parametros!$A$8:$A$9,0))*N33+INDEX(Parametros!$D$8:$D$9,MATCH(M33,Parametros!$A$8:$A$9,0)))+INDEX(Parametros!$E$8:$E$9,MATCH(M33,Parametros!$A$8:$A$9,0)))</f>
        <v/>
      </c>
      <c r="Q33" s="16" t="str">
        <f aca="false">IF(P33="","",E33-P33)</f>
        <v/>
      </c>
      <c r="S33" s="19" t="n">
        <f aca="false">IFERROR(MATCH($A33,Entregas!$A$3:$A$14,0),"")</f>
        <v>7</v>
      </c>
      <c r="T33" s="19" t="n">
        <f aca="false">IF($S33="",0,IF(AND(INDEX(Entregas!$F$3:$F$14,$S33)&lt;&gt;"",INDEX(Entregas!$F$3:$F$14,$S33)&gt;0,$B33&lt;=INDEX(Entregas!$G$3:$G$14,$S33)),1,0))</f>
        <v>1</v>
      </c>
    </row>
    <row r="34" customFormat="false" ht="15" hidden="false" customHeight="false" outlineLevel="0" collapsed="false">
      <c r="A34" s="15" t="s">
        <v>49</v>
      </c>
      <c r="B34" s="15" t="n">
        <v>2</v>
      </c>
      <c r="C34" s="15" t="str">
        <f aca="false">IF($T34=1,INDEX(Entregas!$B$3:$B$14,$S34),"")</f>
        <v>B4A</v>
      </c>
      <c r="D34" s="15" t="str">
        <f aca="false">IF($T34=1,INDEX(Entregas!$C$3:$C$14,$S34),"")</f>
        <v>Shampoo a seco 150ml (ajuda custo)</v>
      </c>
      <c r="E34" s="16" t="n">
        <f aca="false">IF($T34=1,INDEX(Entregas!$F$3:$F$14,$S34)/INDEX(Entregas!$G$3:$G$14,$S34),"")</f>
        <v>52500</v>
      </c>
      <c r="F34" s="17" t="n">
        <f aca="false">IF($T34=1,J33+INDEX(Entregas!$I$3:$I$14,$S34),"")</f>
        <v>46394</v>
      </c>
      <c r="G34" s="17" t="n">
        <f aca="false">IF($T34=1,F34+MOD(1-WEEKDAY(F34,3)+7,7),"")</f>
        <v>46399</v>
      </c>
      <c r="H34" s="17" t="n">
        <f aca="false">IF($T34=1,EOMONTH(F34,0)+1,"")</f>
        <v>46419</v>
      </c>
      <c r="I34" s="17" t="n">
        <f aca="false">IF($T34=1,IF(DAY(H34+MOD(1-WEEKDAY(H34,3)+7,7))&lt;3,H34+MOD(1-WEEKDAY(H34,3)+7,7)+7,H34+MOD(1-WEEKDAY(H34,3)+7,7)),"")</f>
        <v>46427</v>
      </c>
      <c r="J34" s="17" t="n">
        <f aca="false">IF($T34=1,IF(INDEX(Entregas!$J$3:$J$14,$S34)="Corrido",F34,IF(DAY(G34)&gt;25,I34,IF(DAY(G34)&lt;3,G34+7,G34))),"")</f>
        <v>46399</v>
      </c>
      <c r="K34" s="18" t="n">
        <f aca="false">IF($T34=1,J34-Parametros!$B$4,"")</f>
        <v>160</v>
      </c>
      <c r="L34" s="4"/>
      <c r="M34" s="12"/>
      <c r="N34" s="18" t="str">
        <f aca="false">IF(AND($T34=1,L34&lt;&gt;"",M34&lt;&gt;""),J34-L34,"")</f>
        <v/>
      </c>
      <c r="O34" s="15" t="str">
        <f aca="false">IF(N34="","",IF(N34&lt;0,"desc&gt;venc",IF(N34&gt;INDEX(Parametros!$F$8:$F$9,MATCH(M34,Parametros!$A$8:$A$9,0)),"EXCEDE","ok")))</f>
        <v/>
      </c>
      <c r="P34" s="16" t="str">
        <f aca="false">IF(OR(N34="",N34&lt;0),"",E34*(INDEX(Parametros!$B$8:$B$9,MATCH(M34,Parametros!$A$8:$A$9,0))/30)*N34+E34*(INDEX(Parametros!$C$8:$C$9,MATCH(M34,Parametros!$A$8:$A$9,0))*N34+INDEX(Parametros!$D$8:$D$9,MATCH(M34,Parametros!$A$8:$A$9,0)))+INDEX(Parametros!$E$8:$E$9,MATCH(M34,Parametros!$A$8:$A$9,0)))</f>
        <v/>
      </c>
      <c r="Q34" s="16" t="str">
        <f aca="false">IF(P34="","",E34-P34)</f>
        <v/>
      </c>
      <c r="S34" s="19" t="n">
        <f aca="false">IFERROR(MATCH($A34,Entregas!$A$3:$A$14,0),"")</f>
        <v>7</v>
      </c>
      <c r="T34" s="19" t="n">
        <f aca="false">IF($S34="",0,IF(AND(INDEX(Entregas!$F$3:$F$14,$S34)&lt;&gt;"",INDEX(Entregas!$F$3:$F$14,$S34)&gt;0,$B34&lt;=INDEX(Entregas!$G$3:$G$14,$S34)),1,0))</f>
        <v>1</v>
      </c>
    </row>
    <row r="35" customFormat="false" ht="15" hidden="false" customHeight="false" outlineLevel="0" collapsed="false">
      <c r="A35" s="15" t="s">
        <v>49</v>
      </c>
      <c r="B35" s="15" t="n">
        <v>3</v>
      </c>
      <c r="C35" s="15" t="str">
        <f aca="false">IF($T35=1,INDEX(Entregas!$B$3:$B$14,$S35),"")</f>
        <v>B4A</v>
      </c>
      <c r="D35" s="15" t="str">
        <f aca="false">IF($T35=1,INDEX(Entregas!$C$3:$C$14,$S35),"")</f>
        <v>Shampoo a seco 150ml (ajuda custo)</v>
      </c>
      <c r="E35" s="16" t="n">
        <f aca="false">IF($T35=1,INDEX(Entregas!$F$3:$F$14,$S35)/INDEX(Entregas!$G$3:$G$14,$S35),"")</f>
        <v>52500</v>
      </c>
      <c r="F35" s="17" t="n">
        <f aca="false">IF($T35=1,J34+INDEX(Entregas!$I$3:$I$14,$S35),"")</f>
        <v>46429</v>
      </c>
      <c r="G35" s="17" t="n">
        <f aca="false">IF($T35=1,F35+MOD(1-WEEKDAY(F35,3)+7,7),"")</f>
        <v>46434</v>
      </c>
      <c r="H35" s="17" t="n">
        <f aca="false">IF($T35=1,EOMONTH(F35,0)+1,"")</f>
        <v>46447</v>
      </c>
      <c r="I35" s="17" t="n">
        <f aca="false">IF($T35=1,IF(DAY(H35+MOD(1-WEEKDAY(H35,3)+7,7))&lt;3,H35+MOD(1-WEEKDAY(H35,3)+7,7)+7,H35+MOD(1-WEEKDAY(H35,3)+7,7)),"")</f>
        <v>46455</v>
      </c>
      <c r="J35" s="17" t="n">
        <f aca="false">IF($T35=1,IF(INDEX(Entregas!$J$3:$J$14,$S35)="Corrido",F35,IF(DAY(G35)&gt;25,I35,IF(DAY(G35)&lt;3,G35+7,G35))),"")</f>
        <v>46434</v>
      </c>
      <c r="K35" s="18" t="n">
        <f aca="false">IF($T35=1,J35-Parametros!$B$4,"")</f>
        <v>195</v>
      </c>
      <c r="L35" s="4"/>
      <c r="M35" s="12"/>
      <c r="N35" s="18" t="str">
        <f aca="false">IF(AND($T35=1,L35&lt;&gt;"",M35&lt;&gt;""),J35-L35,"")</f>
        <v/>
      </c>
      <c r="O35" s="15" t="str">
        <f aca="false">IF(N35="","",IF(N35&lt;0,"desc&gt;venc",IF(N35&gt;INDEX(Parametros!$F$8:$F$9,MATCH(M35,Parametros!$A$8:$A$9,0)),"EXCEDE","ok")))</f>
        <v/>
      </c>
      <c r="P35" s="16" t="str">
        <f aca="false">IF(OR(N35="",N35&lt;0),"",E35*(INDEX(Parametros!$B$8:$B$9,MATCH(M35,Parametros!$A$8:$A$9,0))/30)*N35+E35*(INDEX(Parametros!$C$8:$C$9,MATCH(M35,Parametros!$A$8:$A$9,0))*N35+INDEX(Parametros!$D$8:$D$9,MATCH(M35,Parametros!$A$8:$A$9,0)))+INDEX(Parametros!$E$8:$E$9,MATCH(M35,Parametros!$A$8:$A$9,0)))</f>
        <v/>
      </c>
      <c r="Q35" s="16" t="str">
        <f aca="false">IF(P35="","",E35-P35)</f>
        <v/>
      </c>
      <c r="S35" s="19" t="n">
        <f aca="false">IFERROR(MATCH($A35,Entregas!$A$3:$A$14,0),"")</f>
        <v>7</v>
      </c>
      <c r="T35" s="19" t="n">
        <f aca="false">IF($S35="",0,IF(AND(INDEX(Entregas!$F$3:$F$14,$S35)&lt;&gt;"",INDEX(Entregas!$F$3:$F$14,$S35)&gt;0,$B35&lt;=INDEX(Entregas!$G$3:$G$14,$S35)),1,0))</f>
        <v>1</v>
      </c>
    </row>
    <row r="36" customFormat="false" ht="15" hidden="false" customHeight="false" outlineLevel="0" collapsed="false">
      <c r="A36" s="15" t="s">
        <v>49</v>
      </c>
      <c r="B36" s="15" t="n">
        <v>4</v>
      </c>
      <c r="C36" s="15" t="str">
        <f aca="false">IF($T36=1,INDEX(Entregas!$B$3:$B$14,$S36),"")</f>
        <v>B4A</v>
      </c>
      <c r="D36" s="15" t="str">
        <f aca="false">IF($T36=1,INDEX(Entregas!$C$3:$C$14,$S36),"")</f>
        <v>Shampoo a seco 150ml (ajuda custo)</v>
      </c>
      <c r="E36" s="16" t="n">
        <f aca="false">IF($T36=1,INDEX(Entregas!$F$3:$F$14,$S36)/INDEX(Entregas!$G$3:$G$14,$S36),"")</f>
        <v>52500</v>
      </c>
      <c r="F36" s="17" t="n">
        <f aca="false">IF($T36=1,J35+INDEX(Entregas!$I$3:$I$14,$S36),"")</f>
        <v>46464</v>
      </c>
      <c r="G36" s="17" t="n">
        <f aca="false">IF($T36=1,F36+MOD(1-WEEKDAY(F36,3)+7,7),"")</f>
        <v>46469</v>
      </c>
      <c r="H36" s="17" t="n">
        <f aca="false">IF($T36=1,EOMONTH(F36,0)+1,"")</f>
        <v>46478</v>
      </c>
      <c r="I36" s="17" t="n">
        <f aca="false">IF($T36=1,IF(DAY(H36+MOD(1-WEEKDAY(H36,3)+7,7))&lt;3,H36+MOD(1-WEEKDAY(H36,3)+7,7)+7,H36+MOD(1-WEEKDAY(H36,3)+7,7)),"")</f>
        <v>46483</v>
      </c>
      <c r="J36" s="17" t="n">
        <f aca="false">IF($T36=1,IF(INDEX(Entregas!$J$3:$J$14,$S36)="Corrido",F36,IF(DAY(G36)&gt;25,I36,IF(DAY(G36)&lt;3,G36+7,G36))),"")</f>
        <v>46469</v>
      </c>
      <c r="K36" s="18" t="n">
        <f aca="false">IF($T36=1,J36-Parametros!$B$4,"")</f>
        <v>230</v>
      </c>
      <c r="L36" s="4"/>
      <c r="M36" s="12"/>
      <c r="N36" s="18" t="str">
        <f aca="false">IF(AND($T36=1,L36&lt;&gt;"",M36&lt;&gt;""),J36-L36,"")</f>
        <v/>
      </c>
      <c r="O36" s="15" t="str">
        <f aca="false">IF(N36="","",IF(N36&lt;0,"desc&gt;venc",IF(N36&gt;INDEX(Parametros!$F$8:$F$9,MATCH(M36,Parametros!$A$8:$A$9,0)),"EXCEDE","ok")))</f>
        <v/>
      </c>
      <c r="P36" s="16" t="str">
        <f aca="false">IF(OR(N36="",N36&lt;0),"",E36*(INDEX(Parametros!$B$8:$B$9,MATCH(M36,Parametros!$A$8:$A$9,0))/30)*N36+E36*(INDEX(Parametros!$C$8:$C$9,MATCH(M36,Parametros!$A$8:$A$9,0))*N36+INDEX(Parametros!$D$8:$D$9,MATCH(M36,Parametros!$A$8:$A$9,0)))+INDEX(Parametros!$E$8:$E$9,MATCH(M36,Parametros!$A$8:$A$9,0)))</f>
        <v/>
      </c>
      <c r="Q36" s="16" t="str">
        <f aca="false">IF(P36="","",E36-P36)</f>
        <v/>
      </c>
      <c r="S36" s="19" t="n">
        <f aca="false">IFERROR(MATCH($A36,Entregas!$A$3:$A$14,0),"")</f>
        <v>7</v>
      </c>
      <c r="T36" s="19" t="n">
        <f aca="false">IF($S36="",0,IF(AND(INDEX(Entregas!$F$3:$F$14,$S36)&lt;&gt;"",INDEX(Entregas!$F$3:$F$14,$S36)&gt;0,$B36&lt;=INDEX(Entregas!$G$3:$G$14,$S36)),1,0))</f>
        <v>1</v>
      </c>
    </row>
    <row r="37" customFormat="false" ht="15" hidden="false" customHeight="false" outlineLevel="0" collapsed="false">
      <c r="A37" s="15" t="s">
        <v>49</v>
      </c>
      <c r="B37" s="15" t="n">
        <v>5</v>
      </c>
      <c r="C37" s="15" t="str">
        <f aca="false">IF($T37=1,INDEX(Entregas!$B$3:$B$14,$S37),"")</f>
        <v/>
      </c>
      <c r="D37" s="15" t="str">
        <f aca="false">IF($T37=1,INDEX(Entregas!$C$3:$C$14,$S37),"")</f>
        <v/>
      </c>
      <c r="E37" s="16" t="str">
        <f aca="false">IF($T37=1,INDEX(Entregas!$F$3:$F$14,$S37)/INDEX(Entregas!$G$3:$G$14,$S37),"")</f>
        <v/>
      </c>
      <c r="F37" s="17" t="str">
        <f aca="false">IF($T37=1,J36+INDEX(Entregas!$I$3:$I$14,$S37),"")</f>
        <v/>
      </c>
      <c r="G37" s="17" t="str">
        <f aca="false">IF($T37=1,F37+MOD(1-WEEKDAY(F37,3)+7,7),"")</f>
        <v/>
      </c>
      <c r="H37" s="17" t="str">
        <f aca="false">IF($T37=1,EOMONTH(F37,0)+1,"")</f>
        <v/>
      </c>
      <c r="I37" s="17" t="str">
        <f aca="false">IF($T37=1,IF(DAY(H37+MOD(1-WEEKDAY(H37,3)+7,7))&lt;3,H37+MOD(1-WEEKDAY(H37,3)+7,7)+7,H37+MOD(1-WEEKDAY(H37,3)+7,7)),"")</f>
        <v/>
      </c>
      <c r="J37" s="17" t="str">
        <f aca="false">IF($T37=1,IF(INDEX(Entregas!$J$3:$J$14,$S37)="Corrido",F37,IF(DAY(G37)&gt;25,I37,IF(DAY(G37)&lt;3,G37+7,G37))),"")</f>
        <v/>
      </c>
      <c r="K37" s="18" t="str">
        <f aca="false">IF($T37=1,J37-Parametros!$B$4,"")</f>
        <v/>
      </c>
      <c r="L37" s="4"/>
      <c r="M37" s="12"/>
      <c r="N37" s="18" t="str">
        <f aca="false">IF(AND($T37=1,L37&lt;&gt;"",M37&lt;&gt;""),J37-L37,"")</f>
        <v/>
      </c>
      <c r="O37" s="15" t="str">
        <f aca="false">IF(N37="","",IF(N37&lt;0,"desc&gt;venc",IF(N37&gt;INDEX(Parametros!$F$8:$F$9,MATCH(M37,Parametros!$A$8:$A$9,0)),"EXCEDE","ok")))</f>
        <v/>
      </c>
      <c r="P37" s="16" t="str">
        <f aca="false">IF(OR(N37="",N37&lt;0),"",E37*(INDEX(Parametros!$B$8:$B$9,MATCH(M37,Parametros!$A$8:$A$9,0))/30)*N37+E37*(INDEX(Parametros!$C$8:$C$9,MATCH(M37,Parametros!$A$8:$A$9,0))*N37+INDEX(Parametros!$D$8:$D$9,MATCH(M37,Parametros!$A$8:$A$9,0)))+INDEX(Parametros!$E$8:$E$9,MATCH(M37,Parametros!$A$8:$A$9,0)))</f>
        <v/>
      </c>
      <c r="Q37" s="16" t="str">
        <f aca="false">IF(P37="","",E37-P37)</f>
        <v/>
      </c>
      <c r="S37" s="19" t="n">
        <f aca="false">IFERROR(MATCH($A37,Entregas!$A$3:$A$14,0),"")</f>
        <v>7</v>
      </c>
      <c r="T37" s="19" t="n">
        <f aca="false">IF($S37="",0,IF(AND(INDEX(Entregas!$F$3:$F$14,$S37)&lt;&gt;"",INDEX(Entregas!$F$3:$F$14,$S37)&gt;0,$B37&lt;=INDEX(Entregas!$G$3:$G$14,$S37)),1,0))</f>
        <v>0</v>
      </c>
    </row>
    <row r="38" customFormat="false" ht="15" hidden="false" customHeight="false" outlineLevel="0" collapsed="false">
      <c r="A38" s="15" t="s">
        <v>51</v>
      </c>
      <c r="B38" s="15" t="n">
        <v>1</v>
      </c>
      <c r="C38" s="15" t="str">
        <f aca="false">IF($T38=1,INDEX(Entregas!$B$3:$B$14,$S38),"")</f>
        <v>B4A</v>
      </c>
      <c r="D38" s="15" t="str">
        <f aca="false">IF($T38=1,INDEX(Entregas!$C$3:$C$14,$S38),"")</f>
        <v>Booster Antifrizz 15ml (ajuda custo)</v>
      </c>
      <c r="E38" s="16" t="n">
        <f aca="false">IF($T38=1,INDEX(Entregas!$F$3:$F$14,$S38)/INDEX(Entregas!$G$3:$G$14,$S38),"")</f>
        <v>60000</v>
      </c>
      <c r="F38" s="17" t="n">
        <f aca="false">IF($T38=1,INDEX(Entregas!$K$3:$K$14,$S38)+INDEX(Entregas!$H$3:$H$14,$S38),"")</f>
        <v>46391</v>
      </c>
      <c r="G38" s="17" t="n">
        <f aca="false">IF($T38=1,F38+MOD(1-WEEKDAY(F38,3)+7,7),"")</f>
        <v>46392</v>
      </c>
      <c r="H38" s="17" t="n">
        <f aca="false">IF($T38=1,EOMONTH(F38,0)+1,"")</f>
        <v>46419</v>
      </c>
      <c r="I38" s="17" t="n">
        <f aca="false">IF($T38=1,IF(DAY(H38+MOD(1-WEEKDAY(H38,3)+7,7))&lt;3,H38+MOD(1-WEEKDAY(H38,3)+7,7)+7,H38+MOD(1-WEEKDAY(H38,3)+7,7)),"")</f>
        <v>46427</v>
      </c>
      <c r="J38" s="17" t="n">
        <f aca="false">IF($T38=1,IF(INDEX(Entregas!$J$3:$J$14,$S38)="Corrido",F38,IF(DAY(G38)&gt;25,I38,IF(DAY(G38)&lt;3,G38+7,G38))),"")</f>
        <v>46392</v>
      </c>
      <c r="K38" s="18" t="n">
        <f aca="false">IF($T38=1,J38-Parametros!$B$4,"")</f>
        <v>153</v>
      </c>
      <c r="L38" s="4"/>
      <c r="M38" s="12"/>
      <c r="N38" s="18" t="str">
        <f aca="false">IF(AND($T38=1,L38&lt;&gt;"",M38&lt;&gt;""),J38-L38,"")</f>
        <v/>
      </c>
      <c r="O38" s="15" t="str">
        <f aca="false">IF(N38="","",IF(N38&lt;0,"desc&gt;venc",IF(N38&gt;INDEX(Parametros!$F$8:$F$9,MATCH(M38,Parametros!$A$8:$A$9,0)),"EXCEDE","ok")))</f>
        <v/>
      </c>
      <c r="P38" s="16" t="str">
        <f aca="false">IF(OR(N38="",N38&lt;0),"",E38*(INDEX(Parametros!$B$8:$B$9,MATCH(M38,Parametros!$A$8:$A$9,0))/30)*N38+E38*(INDEX(Parametros!$C$8:$C$9,MATCH(M38,Parametros!$A$8:$A$9,0))*N38+INDEX(Parametros!$D$8:$D$9,MATCH(M38,Parametros!$A$8:$A$9,0)))+INDEX(Parametros!$E$8:$E$9,MATCH(M38,Parametros!$A$8:$A$9,0)))</f>
        <v/>
      </c>
      <c r="Q38" s="16" t="str">
        <f aca="false">IF(P38="","",E38-P38)</f>
        <v/>
      </c>
      <c r="S38" s="19" t="n">
        <f aca="false">IFERROR(MATCH($A38,Entregas!$A$3:$A$14,0),"")</f>
        <v>8</v>
      </c>
      <c r="T38" s="19" t="n">
        <f aca="false">IF($S38="",0,IF(AND(INDEX(Entregas!$F$3:$F$14,$S38)&lt;&gt;"",INDEX(Entregas!$F$3:$F$14,$S38)&gt;0,$B38&lt;=INDEX(Entregas!$G$3:$G$14,$S38)),1,0))</f>
        <v>1</v>
      </c>
    </row>
    <row r="39" customFormat="false" ht="15" hidden="false" customHeight="false" outlineLevel="0" collapsed="false">
      <c r="A39" s="15" t="s">
        <v>51</v>
      </c>
      <c r="B39" s="15" t="n">
        <v>2</v>
      </c>
      <c r="C39" s="15" t="str">
        <f aca="false">IF($T39=1,INDEX(Entregas!$B$3:$B$14,$S39),"")</f>
        <v>B4A</v>
      </c>
      <c r="D39" s="15" t="str">
        <f aca="false">IF($T39=1,INDEX(Entregas!$C$3:$C$14,$S39),"")</f>
        <v>Booster Antifrizz 15ml (ajuda custo)</v>
      </c>
      <c r="E39" s="16" t="n">
        <f aca="false">IF($T39=1,INDEX(Entregas!$F$3:$F$14,$S39)/INDEX(Entregas!$G$3:$G$14,$S39),"")</f>
        <v>60000</v>
      </c>
      <c r="F39" s="17" t="n">
        <f aca="false">IF($T39=1,J38+INDEX(Entregas!$I$3:$I$14,$S39),"")</f>
        <v>46422</v>
      </c>
      <c r="G39" s="17" t="n">
        <f aca="false">IF($T39=1,F39+MOD(1-WEEKDAY(F39,3)+7,7),"")</f>
        <v>46427</v>
      </c>
      <c r="H39" s="17" t="n">
        <f aca="false">IF($T39=1,EOMONTH(F39,0)+1,"")</f>
        <v>46447</v>
      </c>
      <c r="I39" s="17" t="n">
        <f aca="false">IF($T39=1,IF(DAY(H39+MOD(1-WEEKDAY(H39,3)+7,7))&lt;3,H39+MOD(1-WEEKDAY(H39,3)+7,7)+7,H39+MOD(1-WEEKDAY(H39,3)+7,7)),"")</f>
        <v>46455</v>
      </c>
      <c r="J39" s="17" t="n">
        <f aca="false">IF($T39=1,IF(INDEX(Entregas!$J$3:$J$14,$S39)="Corrido",F39,IF(DAY(G39)&gt;25,I39,IF(DAY(G39)&lt;3,G39+7,G39))),"")</f>
        <v>46427</v>
      </c>
      <c r="K39" s="18" t="n">
        <f aca="false">IF($T39=1,J39-Parametros!$B$4,"")</f>
        <v>188</v>
      </c>
      <c r="L39" s="4"/>
      <c r="M39" s="12"/>
      <c r="N39" s="18" t="str">
        <f aca="false">IF(AND($T39=1,L39&lt;&gt;"",M39&lt;&gt;""),J39-L39,"")</f>
        <v/>
      </c>
      <c r="O39" s="15" t="str">
        <f aca="false">IF(N39="","",IF(N39&lt;0,"desc&gt;venc",IF(N39&gt;INDEX(Parametros!$F$8:$F$9,MATCH(M39,Parametros!$A$8:$A$9,0)),"EXCEDE","ok")))</f>
        <v/>
      </c>
      <c r="P39" s="16" t="str">
        <f aca="false">IF(OR(N39="",N39&lt;0),"",E39*(INDEX(Parametros!$B$8:$B$9,MATCH(M39,Parametros!$A$8:$A$9,0))/30)*N39+E39*(INDEX(Parametros!$C$8:$C$9,MATCH(M39,Parametros!$A$8:$A$9,0))*N39+INDEX(Parametros!$D$8:$D$9,MATCH(M39,Parametros!$A$8:$A$9,0)))+INDEX(Parametros!$E$8:$E$9,MATCH(M39,Parametros!$A$8:$A$9,0)))</f>
        <v/>
      </c>
      <c r="Q39" s="16" t="str">
        <f aca="false">IF(P39="","",E39-P39)</f>
        <v/>
      </c>
      <c r="S39" s="19" t="n">
        <f aca="false">IFERROR(MATCH($A39,Entregas!$A$3:$A$14,0),"")</f>
        <v>8</v>
      </c>
      <c r="T39" s="19" t="n">
        <f aca="false">IF($S39="",0,IF(AND(INDEX(Entregas!$F$3:$F$14,$S39)&lt;&gt;"",INDEX(Entregas!$F$3:$F$14,$S39)&gt;0,$B39&lt;=INDEX(Entregas!$G$3:$G$14,$S39)),1,0))</f>
        <v>1</v>
      </c>
    </row>
    <row r="40" customFormat="false" ht="15" hidden="false" customHeight="false" outlineLevel="0" collapsed="false">
      <c r="A40" s="15" t="s">
        <v>51</v>
      </c>
      <c r="B40" s="15" t="n">
        <v>3</v>
      </c>
      <c r="C40" s="15" t="str">
        <f aca="false">IF($T40=1,INDEX(Entregas!$B$3:$B$14,$S40),"")</f>
        <v>B4A</v>
      </c>
      <c r="D40" s="15" t="str">
        <f aca="false">IF($T40=1,INDEX(Entregas!$C$3:$C$14,$S40),"")</f>
        <v>Booster Antifrizz 15ml (ajuda custo)</v>
      </c>
      <c r="E40" s="16" t="n">
        <f aca="false">IF($T40=1,INDEX(Entregas!$F$3:$F$14,$S40)/INDEX(Entregas!$G$3:$G$14,$S40),"")</f>
        <v>60000</v>
      </c>
      <c r="F40" s="17" t="n">
        <f aca="false">IF($T40=1,J39+INDEX(Entregas!$I$3:$I$14,$S40),"")</f>
        <v>46457</v>
      </c>
      <c r="G40" s="17" t="n">
        <f aca="false">IF($T40=1,F40+MOD(1-WEEKDAY(F40,3)+7,7),"")</f>
        <v>46462</v>
      </c>
      <c r="H40" s="17" t="n">
        <f aca="false">IF($T40=1,EOMONTH(F40,0)+1,"")</f>
        <v>46478</v>
      </c>
      <c r="I40" s="17" t="n">
        <f aca="false">IF($T40=1,IF(DAY(H40+MOD(1-WEEKDAY(H40,3)+7,7))&lt;3,H40+MOD(1-WEEKDAY(H40,3)+7,7)+7,H40+MOD(1-WEEKDAY(H40,3)+7,7)),"")</f>
        <v>46483</v>
      </c>
      <c r="J40" s="17" t="n">
        <f aca="false">IF($T40=1,IF(INDEX(Entregas!$J$3:$J$14,$S40)="Corrido",F40,IF(DAY(G40)&gt;25,I40,IF(DAY(G40)&lt;3,G40+7,G40))),"")</f>
        <v>46462</v>
      </c>
      <c r="K40" s="18" t="n">
        <f aca="false">IF($T40=1,J40-Parametros!$B$4,"")</f>
        <v>223</v>
      </c>
      <c r="L40" s="4"/>
      <c r="M40" s="12"/>
      <c r="N40" s="18" t="str">
        <f aca="false">IF(AND($T40=1,L40&lt;&gt;"",M40&lt;&gt;""),J40-L40,"")</f>
        <v/>
      </c>
      <c r="O40" s="15" t="str">
        <f aca="false">IF(N40="","",IF(N40&lt;0,"desc&gt;venc",IF(N40&gt;INDEX(Parametros!$F$8:$F$9,MATCH(M40,Parametros!$A$8:$A$9,0)),"EXCEDE","ok")))</f>
        <v/>
      </c>
      <c r="P40" s="16" t="str">
        <f aca="false">IF(OR(N40="",N40&lt;0),"",E40*(INDEX(Parametros!$B$8:$B$9,MATCH(M40,Parametros!$A$8:$A$9,0))/30)*N40+E40*(INDEX(Parametros!$C$8:$C$9,MATCH(M40,Parametros!$A$8:$A$9,0))*N40+INDEX(Parametros!$D$8:$D$9,MATCH(M40,Parametros!$A$8:$A$9,0)))+INDEX(Parametros!$E$8:$E$9,MATCH(M40,Parametros!$A$8:$A$9,0)))</f>
        <v/>
      </c>
      <c r="Q40" s="16" t="str">
        <f aca="false">IF(P40="","",E40-P40)</f>
        <v/>
      </c>
      <c r="S40" s="19" t="n">
        <f aca="false">IFERROR(MATCH($A40,Entregas!$A$3:$A$14,0),"")</f>
        <v>8</v>
      </c>
      <c r="T40" s="19" t="n">
        <f aca="false">IF($S40="",0,IF(AND(INDEX(Entregas!$F$3:$F$14,$S40)&lt;&gt;"",INDEX(Entregas!$F$3:$F$14,$S40)&gt;0,$B40&lt;=INDEX(Entregas!$G$3:$G$14,$S40)),1,0))</f>
        <v>1</v>
      </c>
    </row>
    <row r="41" customFormat="false" ht="15" hidden="false" customHeight="false" outlineLevel="0" collapsed="false">
      <c r="A41" s="15" t="s">
        <v>51</v>
      </c>
      <c r="B41" s="15" t="n">
        <v>4</v>
      </c>
      <c r="C41" s="15" t="str">
        <f aca="false">IF($T41=1,INDEX(Entregas!$B$3:$B$14,$S41),"")</f>
        <v>B4A</v>
      </c>
      <c r="D41" s="15" t="str">
        <f aca="false">IF($T41=1,INDEX(Entregas!$C$3:$C$14,$S41),"")</f>
        <v>Booster Antifrizz 15ml (ajuda custo)</v>
      </c>
      <c r="E41" s="16" t="n">
        <f aca="false">IF($T41=1,INDEX(Entregas!$F$3:$F$14,$S41)/INDEX(Entregas!$G$3:$G$14,$S41),"")</f>
        <v>60000</v>
      </c>
      <c r="F41" s="17" t="n">
        <f aca="false">IF($T41=1,J40+INDEX(Entregas!$I$3:$I$14,$S41),"")</f>
        <v>46492</v>
      </c>
      <c r="G41" s="17" t="n">
        <f aca="false">IF($T41=1,F41+MOD(1-WEEKDAY(F41,3)+7,7),"")</f>
        <v>46497</v>
      </c>
      <c r="H41" s="17" t="n">
        <f aca="false">IF($T41=1,EOMONTH(F41,0)+1,"")</f>
        <v>46508</v>
      </c>
      <c r="I41" s="17" t="n">
        <f aca="false">IF($T41=1,IF(DAY(H41+MOD(1-WEEKDAY(H41,3)+7,7))&lt;3,H41+MOD(1-WEEKDAY(H41,3)+7,7)+7,H41+MOD(1-WEEKDAY(H41,3)+7,7)),"")</f>
        <v>46511</v>
      </c>
      <c r="J41" s="17" t="n">
        <f aca="false">IF($T41=1,IF(INDEX(Entregas!$J$3:$J$14,$S41)="Corrido",F41,IF(DAY(G41)&gt;25,I41,IF(DAY(G41)&lt;3,G41+7,G41))),"")</f>
        <v>46497</v>
      </c>
      <c r="K41" s="18" t="n">
        <f aca="false">IF($T41=1,J41-Parametros!$B$4,"")</f>
        <v>258</v>
      </c>
      <c r="L41" s="4"/>
      <c r="M41" s="12"/>
      <c r="N41" s="18" t="str">
        <f aca="false">IF(AND($T41=1,L41&lt;&gt;"",M41&lt;&gt;""),J41-L41,"")</f>
        <v/>
      </c>
      <c r="O41" s="15" t="str">
        <f aca="false">IF(N41="","",IF(N41&lt;0,"desc&gt;venc",IF(N41&gt;INDEX(Parametros!$F$8:$F$9,MATCH(M41,Parametros!$A$8:$A$9,0)),"EXCEDE","ok")))</f>
        <v/>
      </c>
      <c r="P41" s="16" t="str">
        <f aca="false">IF(OR(N41="",N41&lt;0),"",E41*(INDEX(Parametros!$B$8:$B$9,MATCH(M41,Parametros!$A$8:$A$9,0))/30)*N41+E41*(INDEX(Parametros!$C$8:$C$9,MATCH(M41,Parametros!$A$8:$A$9,0))*N41+INDEX(Parametros!$D$8:$D$9,MATCH(M41,Parametros!$A$8:$A$9,0)))+INDEX(Parametros!$E$8:$E$9,MATCH(M41,Parametros!$A$8:$A$9,0)))</f>
        <v/>
      </c>
      <c r="Q41" s="16" t="str">
        <f aca="false">IF(P41="","",E41-P41)</f>
        <v/>
      </c>
      <c r="S41" s="19" t="n">
        <f aca="false">IFERROR(MATCH($A41,Entregas!$A$3:$A$14,0),"")</f>
        <v>8</v>
      </c>
      <c r="T41" s="19" t="n">
        <f aca="false">IF($S41="",0,IF(AND(INDEX(Entregas!$F$3:$F$14,$S41)&lt;&gt;"",INDEX(Entregas!$F$3:$F$14,$S41)&gt;0,$B41&lt;=INDEX(Entregas!$G$3:$G$14,$S41)),1,0))</f>
        <v>1</v>
      </c>
    </row>
    <row r="42" customFormat="false" ht="15" hidden="false" customHeight="false" outlineLevel="0" collapsed="false">
      <c r="A42" s="15" t="s">
        <v>51</v>
      </c>
      <c r="B42" s="15" t="n">
        <v>5</v>
      </c>
      <c r="C42" s="15" t="str">
        <f aca="false">IF($T42=1,INDEX(Entregas!$B$3:$B$14,$S42),"")</f>
        <v/>
      </c>
      <c r="D42" s="15" t="str">
        <f aca="false">IF($T42=1,INDEX(Entregas!$C$3:$C$14,$S42),"")</f>
        <v/>
      </c>
      <c r="E42" s="16" t="str">
        <f aca="false">IF($T42=1,INDEX(Entregas!$F$3:$F$14,$S42)/INDEX(Entregas!$G$3:$G$14,$S42),"")</f>
        <v/>
      </c>
      <c r="F42" s="17" t="str">
        <f aca="false">IF($T42=1,J41+INDEX(Entregas!$I$3:$I$14,$S42),"")</f>
        <v/>
      </c>
      <c r="G42" s="17" t="str">
        <f aca="false">IF($T42=1,F42+MOD(1-WEEKDAY(F42,3)+7,7),"")</f>
        <v/>
      </c>
      <c r="H42" s="17" t="str">
        <f aca="false">IF($T42=1,EOMONTH(F42,0)+1,"")</f>
        <v/>
      </c>
      <c r="I42" s="17" t="str">
        <f aca="false">IF($T42=1,IF(DAY(H42+MOD(1-WEEKDAY(H42,3)+7,7))&lt;3,H42+MOD(1-WEEKDAY(H42,3)+7,7)+7,H42+MOD(1-WEEKDAY(H42,3)+7,7)),"")</f>
        <v/>
      </c>
      <c r="J42" s="17" t="str">
        <f aca="false">IF($T42=1,IF(INDEX(Entregas!$J$3:$J$14,$S42)="Corrido",F42,IF(DAY(G42)&gt;25,I42,IF(DAY(G42)&lt;3,G42+7,G42))),"")</f>
        <v/>
      </c>
      <c r="K42" s="18" t="str">
        <f aca="false">IF($T42=1,J42-Parametros!$B$4,"")</f>
        <v/>
      </c>
      <c r="L42" s="4"/>
      <c r="M42" s="12"/>
      <c r="N42" s="18" t="str">
        <f aca="false">IF(AND($T42=1,L42&lt;&gt;"",M42&lt;&gt;""),J42-L42,"")</f>
        <v/>
      </c>
      <c r="O42" s="15" t="str">
        <f aca="false">IF(N42="","",IF(N42&lt;0,"desc&gt;venc",IF(N42&gt;INDEX(Parametros!$F$8:$F$9,MATCH(M42,Parametros!$A$8:$A$9,0)),"EXCEDE","ok")))</f>
        <v/>
      </c>
      <c r="P42" s="16" t="str">
        <f aca="false">IF(OR(N42="",N42&lt;0),"",E42*(INDEX(Parametros!$B$8:$B$9,MATCH(M42,Parametros!$A$8:$A$9,0))/30)*N42+E42*(INDEX(Parametros!$C$8:$C$9,MATCH(M42,Parametros!$A$8:$A$9,0))*N42+INDEX(Parametros!$D$8:$D$9,MATCH(M42,Parametros!$A$8:$A$9,0)))+INDEX(Parametros!$E$8:$E$9,MATCH(M42,Parametros!$A$8:$A$9,0)))</f>
        <v/>
      </c>
      <c r="Q42" s="16" t="str">
        <f aca="false">IF(P42="","",E42-P42)</f>
        <v/>
      </c>
      <c r="S42" s="19" t="n">
        <f aca="false">IFERROR(MATCH($A42,Entregas!$A$3:$A$14,0),"")</f>
        <v>8</v>
      </c>
      <c r="T42" s="19" t="n">
        <f aca="false">IF($S42="",0,IF(AND(INDEX(Entregas!$F$3:$F$14,$S42)&lt;&gt;"",INDEX(Entregas!$F$3:$F$14,$S42)&gt;0,$B42&lt;=INDEX(Entregas!$G$3:$G$14,$S42)),1,0))</f>
        <v>0</v>
      </c>
    </row>
    <row r="43" customFormat="false" ht="15" hidden="false" customHeight="false" outlineLevel="0" collapsed="false">
      <c r="A43" s="15" t="s">
        <v>53</v>
      </c>
      <c r="B43" s="15" t="n">
        <v>1</v>
      </c>
      <c r="C43" s="15" t="str">
        <f aca="false">IF($T43=1,INDEX(Entregas!$B$3:$B$14,$S43),"")</f>
        <v/>
      </c>
      <c r="D43" s="15" t="str">
        <f aca="false">IF($T43=1,INDEX(Entregas!$C$3:$C$14,$S43),"")</f>
        <v/>
      </c>
      <c r="E43" s="16" t="str">
        <f aca="false">IF($T43=1,INDEX(Entregas!$F$3:$F$14,$S43)/INDEX(Entregas!$G$3:$G$14,$S43),"")</f>
        <v/>
      </c>
      <c r="F43" s="17" t="str">
        <f aca="false">IF($T43=1,INDEX(Entregas!$K$3:$K$14,$S43)+INDEX(Entregas!$H$3:$H$14,$S43),"")</f>
        <v/>
      </c>
      <c r="G43" s="17" t="str">
        <f aca="false">IF($T43=1,F43+MOD(1-WEEKDAY(F43,3)+7,7),"")</f>
        <v/>
      </c>
      <c r="H43" s="17" t="str">
        <f aca="false">IF($T43=1,EOMONTH(F43,0)+1,"")</f>
        <v/>
      </c>
      <c r="I43" s="17" t="str">
        <f aca="false">IF($T43=1,IF(DAY(H43+MOD(1-WEEKDAY(H43,3)+7,7))&lt;3,H43+MOD(1-WEEKDAY(H43,3)+7,7)+7,H43+MOD(1-WEEKDAY(H43,3)+7,7)),"")</f>
        <v/>
      </c>
      <c r="J43" s="17" t="str">
        <f aca="false">IF($T43=1,IF(INDEX(Entregas!$J$3:$J$14,$S43)="Corrido",F43,IF(DAY(G43)&gt;25,I43,IF(DAY(G43)&lt;3,G43+7,G43))),"")</f>
        <v/>
      </c>
      <c r="K43" s="18" t="str">
        <f aca="false">IF($T43=1,J43-Parametros!$B$4,"")</f>
        <v/>
      </c>
      <c r="L43" s="4"/>
      <c r="M43" s="12"/>
      <c r="N43" s="18" t="str">
        <f aca="false">IF(AND($T43=1,L43&lt;&gt;"",M43&lt;&gt;""),J43-L43,"")</f>
        <v/>
      </c>
      <c r="O43" s="15" t="str">
        <f aca="false">IF(N43="","",IF(N43&lt;0,"desc&gt;venc",IF(N43&gt;INDEX(Parametros!$F$8:$F$9,MATCH(M43,Parametros!$A$8:$A$9,0)),"EXCEDE","ok")))</f>
        <v/>
      </c>
      <c r="P43" s="16" t="str">
        <f aca="false">IF(OR(N43="",N43&lt;0),"",E43*(INDEX(Parametros!$B$8:$B$9,MATCH(M43,Parametros!$A$8:$A$9,0))/30)*N43+E43*(INDEX(Parametros!$C$8:$C$9,MATCH(M43,Parametros!$A$8:$A$9,0))*N43+INDEX(Parametros!$D$8:$D$9,MATCH(M43,Parametros!$A$8:$A$9,0)))+INDEX(Parametros!$E$8:$E$9,MATCH(M43,Parametros!$A$8:$A$9,0)))</f>
        <v/>
      </c>
      <c r="Q43" s="16" t="str">
        <f aca="false">IF(P43="","",E43-P43)</f>
        <v/>
      </c>
      <c r="S43" s="19" t="n">
        <f aca="false">IFERROR(MATCH($A43,Entregas!$A$3:$A$14,0),"")</f>
        <v>9</v>
      </c>
      <c r="T43" s="19" t="n">
        <f aca="false">IF($S43="",0,IF(AND(INDEX(Entregas!$F$3:$F$14,$S43)&lt;&gt;"",INDEX(Entregas!$F$3:$F$14,$S43)&gt;0,$B43&lt;=INDEX(Entregas!$G$3:$G$14,$S43)),1,0))</f>
        <v>0</v>
      </c>
    </row>
    <row r="44" customFormat="false" ht="15" hidden="false" customHeight="false" outlineLevel="0" collapsed="false">
      <c r="A44" s="15" t="s">
        <v>53</v>
      </c>
      <c r="B44" s="15" t="n">
        <v>2</v>
      </c>
      <c r="C44" s="15" t="str">
        <f aca="false">IF($T44=1,INDEX(Entregas!$B$3:$B$14,$S44),"")</f>
        <v/>
      </c>
      <c r="D44" s="15" t="str">
        <f aca="false">IF($T44=1,INDEX(Entregas!$C$3:$C$14,$S44),"")</f>
        <v/>
      </c>
      <c r="E44" s="16" t="str">
        <f aca="false">IF($T44=1,INDEX(Entregas!$F$3:$F$14,$S44)/INDEX(Entregas!$G$3:$G$14,$S44),"")</f>
        <v/>
      </c>
      <c r="F44" s="17" t="str">
        <f aca="false">IF($T44=1,J43+INDEX(Entregas!$I$3:$I$14,$S44),"")</f>
        <v/>
      </c>
      <c r="G44" s="17" t="str">
        <f aca="false">IF($T44=1,F44+MOD(1-WEEKDAY(F44,3)+7,7),"")</f>
        <v/>
      </c>
      <c r="H44" s="17" t="str">
        <f aca="false">IF($T44=1,EOMONTH(F44,0)+1,"")</f>
        <v/>
      </c>
      <c r="I44" s="17" t="str">
        <f aca="false">IF($T44=1,IF(DAY(H44+MOD(1-WEEKDAY(H44,3)+7,7))&lt;3,H44+MOD(1-WEEKDAY(H44,3)+7,7)+7,H44+MOD(1-WEEKDAY(H44,3)+7,7)),"")</f>
        <v/>
      </c>
      <c r="J44" s="17" t="str">
        <f aca="false">IF($T44=1,IF(INDEX(Entregas!$J$3:$J$14,$S44)="Corrido",F44,IF(DAY(G44)&gt;25,I44,IF(DAY(G44)&lt;3,G44+7,G44))),"")</f>
        <v/>
      </c>
      <c r="K44" s="18" t="str">
        <f aca="false">IF($T44=1,J44-Parametros!$B$4,"")</f>
        <v/>
      </c>
      <c r="L44" s="4"/>
      <c r="M44" s="12"/>
      <c r="N44" s="18" t="str">
        <f aca="false">IF(AND($T44=1,L44&lt;&gt;"",M44&lt;&gt;""),J44-L44,"")</f>
        <v/>
      </c>
      <c r="O44" s="15" t="str">
        <f aca="false">IF(N44="","",IF(N44&lt;0,"desc&gt;venc",IF(N44&gt;INDEX(Parametros!$F$8:$F$9,MATCH(M44,Parametros!$A$8:$A$9,0)),"EXCEDE","ok")))</f>
        <v/>
      </c>
      <c r="P44" s="16" t="str">
        <f aca="false">IF(OR(N44="",N44&lt;0),"",E44*(INDEX(Parametros!$B$8:$B$9,MATCH(M44,Parametros!$A$8:$A$9,0))/30)*N44+E44*(INDEX(Parametros!$C$8:$C$9,MATCH(M44,Parametros!$A$8:$A$9,0))*N44+INDEX(Parametros!$D$8:$D$9,MATCH(M44,Parametros!$A$8:$A$9,0)))+INDEX(Parametros!$E$8:$E$9,MATCH(M44,Parametros!$A$8:$A$9,0)))</f>
        <v/>
      </c>
      <c r="Q44" s="16" t="str">
        <f aca="false">IF(P44="","",E44-P44)</f>
        <v/>
      </c>
      <c r="S44" s="19" t="n">
        <f aca="false">IFERROR(MATCH($A44,Entregas!$A$3:$A$14,0),"")</f>
        <v>9</v>
      </c>
      <c r="T44" s="19" t="n">
        <f aca="false">IF($S44="",0,IF(AND(INDEX(Entregas!$F$3:$F$14,$S44)&lt;&gt;"",INDEX(Entregas!$F$3:$F$14,$S44)&gt;0,$B44&lt;=INDEX(Entregas!$G$3:$G$14,$S44)),1,0))</f>
        <v>0</v>
      </c>
    </row>
    <row r="45" customFormat="false" ht="15" hidden="false" customHeight="false" outlineLevel="0" collapsed="false">
      <c r="A45" s="15" t="s">
        <v>53</v>
      </c>
      <c r="B45" s="15" t="n">
        <v>3</v>
      </c>
      <c r="C45" s="15" t="str">
        <f aca="false">IF($T45=1,INDEX(Entregas!$B$3:$B$14,$S45),"")</f>
        <v/>
      </c>
      <c r="D45" s="15" t="str">
        <f aca="false">IF($T45=1,INDEX(Entregas!$C$3:$C$14,$S45),"")</f>
        <v/>
      </c>
      <c r="E45" s="16" t="str">
        <f aca="false">IF($T45=1,INDEX(Entregas!$F$3:$F$14,$S45)/INDEX(Entregas!$G$3:$G$14,$S45),"")</f>
        <v/>
      </c>
      <c r="F45" s="17" t="str">
        <f aca="false">IF($T45=1,J44+INDEX(Entregas!$I$3:$I$14,$S45),"")</f>
        <v/>
      </c>
      <c r="G45" s="17" t="str">
        <f aca="false">IF($T45=1,F45+MOD(1-WEEKDAY(F45,3)+7,7),"")</f>
        <v/>
      </c>
      <c r="H45" s="17" t="str">
        <f aca="false">IF($T45=1,EOMONTH(F45,0)+1,"")</f>
        <v/>
      </c>
      <c r="I45" s="17" t="str">
        <f aca="false">IF($T45=1,IF(DAY(H45+MOD(1-WEEKDAY(H45,3)+7,7))&lt;3,H45+MOD(1-WEEKDAY(H45,3)+7,7)+7,H45+MOD(1-WEEKDAY(H45,3)+7,7)),"")</f>
        <v/>
      </c>
      <c r="J45" s="17" t="str">
        <f aca="false">IF($T45=1,IF(INDEX(Entregas!$J$3:$J$14,$S45)="Corrido",F45,IF(DAY(G45)&gt;25,I45,IF(DAY(G45)&lt;3,G45+7,G45))),"")</f>
        <v/>
      </c>
      <c r="K45" s="18" t="str">
        <f aca="false">IF($T45=1,J45-Parametros!$B$4,"")</f>
        <v/>
      </c>
      <c r="L45" s="4"/>
      <c r="M45" s="12"/>
      <c r="N45" s="18" t="str">
        <f aca="false">IF(AND($T45=1,L45&lt;&gt;"",M45&lt;&gt;""),J45-L45,"")</f>
        <v/>
      </c>
      <c r="O45" s="15" t="str">
        <f aca="false">IF(N45="","",IF(N45&lt;0,"desc&gt;venc",IF(N45&gt;INDEX(Parametros!$F$8:$F$9,MATCH(M45,Parametros!$A$8:$A$9,0)),"EXCEDE","ok")))</f>
        <v/>
      </c>
      <c r="P45" s="16" t="str">
        <f aca="false">IF(OR(N45="",N45&lt;0),"",E45*(INDEX(Parametros!$B$8:$B$9,MATCH(M45,Parametros!$A$8:$A$9,0))/30)*N45+E45*(INDEX(Parametros!$C$8:$C$9,MATCH(M45,Parametros!$A$8:$A$9,0))*N45+INDEX(Parametros!$D$8:$D$9,MATCH(M45,Parametros!$A$8:$A$9,0)))+INDEX(Parametros!$E$8:$E$9,MATCH(M45,Parametros!$A$8:$A$9,0)))</f>
        <v/>
      </c>
      <c r="Q45" s="16" t="str">
        <f aca="false">IF(P45="","",E45-P45)</f>
        <v/>
      </c>
      <c r="S45" s="19" t="n">
        <f aca="false">IFERROR(MATCH($A45,Entregas!$A$3:$A$14,0),"")</f>
        <v>9</v>
      </c>
      <c r="T45" s="19" t="n">
        <f aca="false">IF($S45="",0,IF(AND(INDEX(Entregas!$F$3:$F$14,$S45)&lt;&gt;"",INDEX(Entregas!$F$3:$F$14,$S45)&gt;0,$B45&lt;=INDEX(Entregas!$G$3:$G$14,$S45)),1,0))</f>
        <v>0</v>
      </c>
    </row>
    <row r="46" customFormat="false" ht="15" hidden="false" customHeight="false" outlineLevel="0" collapsed="false">
      <c r="A46" s="15" t="s">
        <v>53</v>
      </c>
      <c r="B46" s="15" t="n">
        <v>4</v>
      </c>
      <c r="C46" s="15" t="str">
        <f aca="false">IF($T46=1,INDEX(Entregas!$B$3:$B$14,$S46),"")</f>
        <v/>
      </c>
      <c r="D46" s="15" t="str">
        <f aca="false">IF($T46=1,INDEX(Entregas!$C$3:$C$14,$S46),"")</f>
        <v/>
      </c>
      <c r="E46" s="16" t="str">
        <f aca="false">IF($T46=1,INDEX(Entregas!$F$3:$F$14,$S46)/INDEX(Entregas!$G$3:$G$14,$S46),"")</f>
        <v/>
      </c>
      <c r="F46" s="17" t="str">
        <f aca="false">IF($T46=1,J45+INDEX(Entregas!$I$3:$I$14,$S46),"")</f>
        <v/>
      </c>
      <c r="G46" s="17" t="str">
        <f aca="false">IF($T46=1,F46+MOD(1-WEEKDAY(F46,3)+7,7),"")</f>
        <v/>
      </c>
      <c r="H46" s="17" t="str">
        <f aca="false">IF($T46=1,EOMONTH(F46,0)+1,"")</f>
        <v/>
      </c>
      <c r="I46" s="17" t="str">
        <f aca="false">IF($T46=1,IF(DAY(H46+MOD(1-WEEKDAY(H46,3)+7,7))&lt;3,H46+MOD(1-WEEKDAY(H46,3)+7,7)+7,H46+MOD(1-WEEKDAY(H46,3)+7,7)),"")</f>
        <v/>
      </c>
      <c r="J46" s="17" t="str">
        <f aca="false">IF($T46=1,IF(INDEX(Entregas!$J$3:$J$14,$S46)="Corrido",F46,IF(DAY(G46)&gt;25,I46,IF(DAY(G46)&lt;3,G46+7,G46))),"")</f>
        <v/>
      </c>
      <c r="K46" s="18" t="str">
        <f aca="false">IF($T46=1,J46-Parametros!$B$4,"")</f>
        <v/>
      </c>
      <c r="L46" s="4"/>
      <c r="M46" s="12"/>
      <c r="N46" s="18" t="str">
        <f aca="false">IF(AND($T46=1,L46&lt;&gt;"",M46&lt;&gt;""),J46-L46,"")</f>
        <v/>
      </c>
      <c r="O46" s="15" t="str">
        <f aca="false">IF(N46="","",IF(N46&lt;0,"desc&gt;venc",IF(N46&gt;INDEX(Parametros!$F$8:$F$9,MATCH(M46,Parametros!$A$8:$A$9,0)),"EXCEDE","ok")))</f>
        <v/>
      </c>
      <c r="P46" s="16" t="str">
        <f aca="false">IF(OR(N46="",N46&lt;0),"",E46*(INDEX(Parametros!$B$8:$B$9,MATCH(M46,Parametros!$A$8:$A$9,0))/30)*N46+E46*(INDEX(Parametros!$C$8:$C$9,MATCH(M46,Parametros!$A$8:$A$9,0))*N46+INDEX(Parametros!$D$8:$D$9,MATCH(M46,Parametros!$A$8:$A$9,0)))+INDEX(Parametros!$E$8:$E$9,MATCH(M46,Parametros!$A$8:$A$9,0)))</f>
        <v/>
      </c>
      <c r="Q46" s="16" t="str">
        <f aca="false">IF(P46="","",E46-P46)</f>
        <v/>
      </c>
      <c r="S46" s="19" t="n">
        <f aca="false">IFERROR(MATCH($A46,Entregas!$A$3:$A$14,0),"")</f>
        <v>9</v>
      </c>
      <c r="T46" s="19" t="n">
        <f aca="false">IF($S46="",0,IF(AND(INDEX(Entregas!$F$3:$F$14,$S46)&lt;&gt;"",INDEX(Entregas!$F$3:$F$14,$S46)&gt;0,$B46&lt;=INDEX(Entregas!$G$3:$G$14,$S46)),1,0))</f>
        <v>0</v>
      </c>
    </row>
    <row r="47" customFormat="false" ht="15" hidden="false" customHeight="false" outlineLevel="0" collapsed="false">
      <c r="A47" s="15" t="s">
        <v>53</v>
      </c>
      <c r="B47" s="15" t="n">
        <v>5</v>
      </c>
      <c r="C47" s="15" t="str">
        <f aca="false">IF($T47=1,INDEX(Entregas!$B$3:$B$14,$S47),"")</f>
        <v/>
      </c>
      <c r="D47" s="15" t="str">
        <f aca="false">IF($T47=1,INDEX(Entregas!$C$3:$C$14,$S47),"")</f>
        <v/>
      </c>
      <c r="E47" s="16" t="str">
        <f aca="false">IF($T47=1,INDEX(Entregas!$F$3:$F$14,$S47)/INDEX(Entregas!$G$3:$G$14,$S47),"")</f>
        <v/>
      </c>
      <c r="F47" s="17" t="str">
        <f aca="false">IF($T47=1,J46+INDEX(Entregas!$I$3:$I$14,$S47),"")</f>
        <v/>
      </c>
      <c r="G47" s="17" t="str">
        <f aca="false">IF($T47=1,F47+MOD(1-WEEKDAY(F47,3)+7,7),"")</f>
        <v/>
      </c>
      <c r="H47" s="17" t="str">
        <f aca="false">IF($T47=1,EOMONTH(F47,0)+1,"")</f>
        <v/>
      </c>
      <c r="I47" s="17" t="str">
        <f aca="false">IF($T47=1,IF(DAY(H47+MOD(1-WEEKDAY(H47,3)+7,7))&lt;3,H47+MOD(1-WEEKDAY(H47,3)+7,7)+7,H47+MOD(1-WEEKDAY(H47,3)+7,7)),"")</f>
        <v/>
      </c>
      <c r="J47" s="17" t="str">
        <f aca="false">IF($T47=1,IF(INDEX(Entregas!$J$3:$J$14,$S47)="Corrido",F47,IF(DAY(G47)&gt;25,I47,IF(DAY(G47)&lt;3,G47+7,G47))),"")</f>
        <v/>
      </c>
      <c r="K47" s="18" t="str">
        <f aca="false">IF($T47=1,J47-Parametros!$B$4,"")</f>
        <v/>
      </c>
      <c r="L47" s="4"/>
      <c r="M47" s="12"/>
      <c r="N47" s="18" t="str">
        <f aca="false">IF(AND($T47=1,L47&lt;&gt;"",M47&lt;&gt;""),J47-L47,"")</f>
        <v/>
      </c>
      <c r="O47" s="15" t="str">
        <f aca="false">IF(N47="","",IF(N47&lt;0,"desc&gt;venc",IF(N47&gt;INDEX(Parametros!$F$8:$F$9,MATCH(M47,Parametros!$A$8:$A$9,0)),"EXCEDE","ok")))</f>
        <v/>
      </c>
      <c r="P47" s="16" t="str">
        <f aca="false">IF(OR(N47="",N47&lt;0),"",E47*(INDEX(Parametros!$B$8:$B$9,MATCH(M47,Parametros!$A$8:$A$9,0))/30)*N47+E47*(INDEX(Parametros!$C$8:$C$9,MATCH(M47,Parametros!$A$8:$A$9,0))*N47+INDEX(Parametros!$D$8:$D$9,MATCH(M47,Parametros!$A$8:$A$9,0)))+INDEX(Parametros!$E$8:$E$9,MATCH(M47,Parametros!$A$8:$A$9,0)))</f>
        <v/>
      </c>
      <c r="Q47" s="16" t="str">
        <f aca="false">IF(P47="","",E47-P47)</f>
        <v/>
      </c>
      <c r="S47" s="19" t="n">
        <f aca="false">IFERROR(MATCH($A47,Entregas!$A$3:$A$14,0),"")</f>
        <v>9</v>
      </c>
      <c r="T47" s="19" t="n">
        <f aca="false">IF($S47="",0,IF(AND(INDEX(Entregas!$F$3:$F$14,$S47)&lt;&gt;"",INDEX(Entregas!$F$3:$F$14,$S47)&gt;0,$B47&lt;=INDEX(Entregas!$G$3:$G$14,$S47)),1,0))</f>
        <v>0</v>
      </c>
    </row>
    <row r="48" customFormat="false" ht="15" hidden="false" customHeight="false" outlineLevel="0" collapsed="false">
      <c r="A48" s="15" t="s">
        <v>54</v>
      </c>
      <c r="B48" s="15" t="n">
        <v>1</v>
      </c>
      <c r="C48" s="15" t="str">
        <f aca="false">IF($T48=1,INDEX(Entregas!$B$3:$B$14,$S48),"")</f>
        <v/>
      </c>
      <c r="D48" s="15" t="str">
        <f aca="false">IF($T48=1,INDEX(Entregas!$C$3:$C$14,$S48),"")</f>
        <v/>
      </c>
      <c r="E48" s="16" t="str">
        <f aca="false">IF($T48=1,INDEX(Entregas!$F$3:$F$14,$S48)/INDEX(Entregas!$G$3:$G$14,$S48),"")</f>
        <v/>
      </c>
      <c r="F48" s="17" t="str">
        <f aca="false">IF($T48=1,INDEX(Entregas!$K$3:$K$14,$S48)+INDEX(Entregas!$H$3:$H$14,$S48),"")</f>
        <v/>
      </c>
      <c r="G48" s="17" t="str">
        <f aca="false">IF($T48=1,F48+MOD(1-WEEKDAY(F48,3)+7,7),"")</f>
        <v/>
      </c>
      <c r="H48" s="17" t="str">
        <f aca="false">IF($T48=1,EOMONTH(F48,0)+1,"")</f>
        <v/>
      </c>
      <c r="I48" s="17" t="str">
        <f aca="false">IF($T48=1,IF(DAY(H48+MOD(1-WEEKDAY(H48,3)+7,7))&lt;3,H48+MOD(1-WEEKDAY(H48,3)+7,7)+7,H48+MOD(1-WEEKDAY(H48,3)+7,7)),"")</f>
        <v/>
      </c>
      <c r="J48" s="17" t="str">
        <f aca="false">IF($T48=1,IF(INDEX(Entregas!$J$3:$J$14,$S48)="Corrido",F48,IF(DAY(G48)&gt;25,I48,IF(DAY(G48)&lt;3,G48+7,G48))),"")</f>
        <v/>
      </c>
      <c r="K48" s="18" t="str">
        <f aca="false">IF($T48=1,J48-Parametros!$B$4,"")</f>
        <v/>
      </c>
      <c r="L48" s="4"/>
      <c r="M48" s="12"/>
      <c r="N48" s="18" t="str">
        <f aca="false">IF(AND($T48=1,L48&lt;&gt;"",M48&lt;&gt;""),J48-L48,"")</f>
        <v/>
      </c>
      <c r="O48" s="15" t="str">
        <f aca="false">IF(N48="","",IF(N48&lt;0,"desc&gt;venc",IF(N48&gt;INDEX(Parametros!$F$8:$F$9,MATCH(M48,Parametros!$A$8:$A$9,0)),"EXCEDE","ok")))</f>
        <v/>
      </c>
      <c r="P48" s="16" t="str">
        <f aca="false">IF(OR(N48="",N48&lt;0),"",E48*(INDEX(Parametros!$B$8:$B$9,MATCH(M48,Parametros!$A$8:$A$9,0))/30)*N48+E48*(INDEX(Parametros!$C$8:$C$9,MATCH(M48,Parametros!$A$8:$A$9,0))*N48+INDEX(Parametros!$D$8:$D$9,MATCH(M48,Parametros!$A$8:$A$9,0)))+INDEX(Parametros!$E$8:$E$9,MATCH(M48,Parametros!$A$8:$A$9,0)))</f>
        <v/>
      </c>
      <c r="Q48" s="16" t="str">
        <f aca="false">IF(P48="","",E48-P48)</f>
        <v/>
      </c>
      <c r="S48" s="19" t="n">
        <f aca="false">IFERROR(MATCH($A48,Entregas!$A$3:$A$14,0),"")</f>
        <v>10</v>
      </c>
      <c r="T48" s="19" t="n">
        <f aca="false">IF($S48="",0,IF(AND(INDEX(Entregas!$F$3:$F$14,$S48)&lt;&gt;"",INDEX(Entregas!$F$3:$F$14,$S48)&gt;0,$B48&lt;=INDEX(Entregas!$G$3:$G$14,$S48)),1,0))</f>
        <v>0</v>
      </c>
    </row>
    <row r="49" customFormat="false" ht="15" hidden="false" customHeight="false" outlineLevel="0" collapsed="false">
      <c r="A49" s="15" t="s">
        <v>54</v>
      </c>
      <c r="B49" s="15" t="n">
        <v>2</v>
      </c>
      <c r="C49" s="15" t="str">
        <f aca="false">IF($T49=1,INDEX(Entregas!$B$3:$B$14,$S49),"")</f>
        <v/>
      </c>
      <c r="D49" s="15" t="str">
        <f aca="false">IF($T49=1,INDEX(Entregas!$C$3:$C$14,$S49),"")</f>
        <v/>
      </c>
      <c r="E49" s="16" t="str">
        <f aca="false">IF($T49=1,INDEX(Entregas!$F$3:$F$14,$S49)/INDEX(Entregas!$G$3:$G$14,$S49),"")</f>
        <v/>
      </c>
      <c r="F49" s="17" t="str">
        <f aca="false">IF($T49=1,J48+INDEX(Entregas!$I$3:$I$14,$S49),"")</f>
        <v/>
      </c>
      <c r="G49" s="17" t="str">
        <f aca="false">IF($T49=1,F49+MOD(1-WEEKDAY(F49,3)+7,7),"")</f>
        <v/>
      </c>
      <c r="H49" s="17" t="str">
        <f aca="false">IF($T49=1,EOMONTH(F49,0)+1,"")</f>
        <v/>
      </c>
      <c r="I49" s="17" t="str">
        <f aca="false">IF($T49=1,IF(DAY(H49+MOD(1-WEEKDAY(H49,3)+7,7))&lt;3,H49+MOD(1-WEEKDAY(H49,3)+7,7)+7,H49+MOD(1-WEEKDAY(H49,3)+7,7)),"")</f>
        <v/>
      </c>
      <c r="J49" s="17" t="str">
        <f aca="false">IF($T49=1,IF(INDEX(Entregas!$J$3:$J$14,$S49)="Corrido",F49,IF(DAY(G49)&gt;25,I49,IF(DAY(G49)&lt;3,G49+7,G49))),"")</f>
        <v/>
      </c>
      <c r="K49" s="18" t="str">
        <f aca="false">IF($T49=1,J49-Parametros!$B$4,"")</f>
        <v/>
      </c>
      <c r="L49" s="4"/>
      <c r="M49" s="12"/>
      <c r="N49" s="18" t="str">
        <f aca="false">IF(AND($T49=1,L49&lt;&gt;"",M49&lt;&gt;""),J49-L49,"")</f>
        <v/>
      </c>
      <c r="O49" s="15" t="str">
        <f aca="false">IF(N49="","",IF(N49&lt;0,"desc&gt;venc",IF(N49&gt;INDEX(Parametros!$F$8:$F$9,MATCH(M49,Parametros!$A$8:$A$9,0)),"EXCEDE","ok")))</f>
        <v/>
      </c>
      <c r="P49" s="16" t="str">
        <f aca="false">IF(OR(N49="",N49&lt;0),"",E49*(INDEX(Parametros!$B$8:$B$9,MATCH(M49,Parametros!$A$8:$A$9,0))/30)*N49+E49*(INDEX(Parametros!$C$8:$C$9,MATCH(M49,Parametros!$A$8:$A$9,0))*N49+INDEX(Parametros!$D$8:$D$9,MATCH(M49,Parametros!$A$8:$A$9,0)))+INDEX(Parametros!$E$8:$E$9,MATCH(M49,Parametros!$A$8:$A$9,0)))</f>
        <v/>
      </c>
      <c r="Q49" s="16" t="str">
        <f aca="false">IF(P49="","",E49-P49)</f>
        <v/>
      </c>
      <c r="S49" s="19" t="n">
        <f aca="false">IFERROR(MATCH($A49,Entregas!$A$3:$A$14,0),"")</f>
        <v>10</v>
      </c>
      <c r="T49" s="19" t="n">
        <f aca="false">IF($S49="",0,IF(AND(INDEX(Entregas!$F$3:$F$14,$S49)&lt;&gt;"",INDEX(Entregas!$F$3:$F$14,$S49)&gt;0,$B49&lt;=INDEX(Entregas!$G$3:$G$14,$S49)),1,0))</f>
        <v>0</v>
      </c>
    </row>
    <row r="50" customFormat="false" ht="15" hidden="false" customHeight="false" outlineLevel="0" collapsed="false">
      <c r="A50" s="15" t="s">
        <v>54</v>
      </c>
      <c r="B50" s="15" t="n">
        <v>3</v>
      </c>
      <c r="C50" s="15" t="str">
        <f aca="false">IF($T50=1,INDEX(Entregas!$B$3:$B$14,$S50),"")</f>
        <v/>
      </c>
      <c r="D50" s="15" t="str">
        <f aca="false">IF($T50=1,INDEX(Entregas!$C$3:$C$14,$S50),"")</f>
        <v/>
      </c>
      <c r="E50" s="16" t="str">
        <f aca="false">IF($T50=1,INDEX(Entregas!$F$3:$F$14,$S50)/INDEX(Entregas!$G$3:$G$14,$S50),"")</f>
        <v/>
      </c>
      <c r="F50" s="17" t="str">
        <f aca="false">IF($T50=1,J49+INDEX(Entregas!$I$3:$I$14,$S50),"")</f>
        <v/>
      </c>
      <c r="G50" s="17" t="str">
        <f aca="false">IF($T50=1,F50+MOD(1-WEEKDAY(F50,3)+7,7),"")</f>
        <v/>
      </c>
      <c r="H50" s="17" t="str">
        <f aca="false">IF($T50=1,EOMONTH(F50,0)+1,"")</f>
        <v/>
      </c>
      <c r="I50" s="17" t="str">
        <f aca="false">IF($T50=1,IF(DAY(H50+MOD(1-WEEKDAY(H50,3)+7,7))&lt;3,H50+MOD(1-WEEKDAY(H50,3)+7,7)+7,H50+MOD(1-WEEKDAY(H50,3)+7,7)),"")</f>
        <v/>
      </c>
      <c r="J50" s="17" t="str">
        <f aca="false">IF($T50=1,IF(INDEX(Entregas!$J$3:$J$14,$S50)="Corrido",F50,IF(DAY(G50)&gt;25,I50,IF(DAY(G50)&lt;3,G50+7,G50))),"")</f>
        <v/>
      </c>
      <c r="K50" s="18" t="str">
        <f aca="false">IF($T50=1,J50-Parametros!$B$4,"")</f>
        <v/>
      </c>
      <c r="L50" s="4"/>
      <c r="M50" s="12"/>
      <c r="N50" s="18" t="str">
        <f aca="false">IF(AND($T50=1,L50&lt;&gt;"",M50&lt;&gt;""),J50-L50,"")</f>
        <v/>
      </c>
      <c r="O50" s="15" t="str">
        <f aca="false">IF(N50="","",IF(N50&lt;0,"desc&gt;venc",IF(N50&gt;INDEX(Parametros!$F$8:$F$9,MATCH(M50,Parametros!$A$8:$A$9,0)),"EXCEDE","ok")))</f>
        <v/>
      </c>
      <c r="P50" s="16" t="str">
        <f aca="false">IF(OR(N50="",N50&lt;0),"",E50*(INDEX(Parametros!$B$8:$B$9,MATCH(M50,Parametros!$A$8:$A$9,0))/30)*N50+E50*(INDEX(Parametros!$C$8:$C$9,MATCH(M50,Parametros!$A$8:$A$9,0))*N50+INDEX(Parametros!$D$8:$D$9,MATCH(M50,Parametros!$A$8:$A$9,0)))+INDEX(Parametros!$E$8:$E$9,MATCH(M50,Parametros!$A$8:$A$9,0)))</f>
        <v/>
      </c>
      <c r="Q50" s="16" t="str">
        <f aca="false">IF(P50="","",E50-P50)</f>
        <v/>
      </c>
      <c r="S50" s="19" t="n">
        <f aca="false">IFERROR(MATCH($A50,Entregas!$A$3:$A$14,0),"")</f>
        <v>10</v>
      </c>
      <c r="T50" s="19" t="n">
        <f aca="false">IF($S50="",0,IF(AND(INDEX(Entregas!$F$3:$F$14,$S50)&lt;&gt;"",INDEX(Entregas!$F$3:$F$14,$S50)&gt;0,$B50&lt;=INDEX(Entregas!$G$3:$G$14,$S50)),1,0))</f>
        <v>0</v>
      </c>
    </row>
    <row r="51" customFormat="false" ht="15" hidden="false" customHeight="false" outlineLevel="0" collapsed="false">
      <c r="A51" s="15" t="s">
        <v>54</v>
      </c>
      <c r="B51" s="15" t="n">
        <v>4</v>
      </c>
      <c r="C51" s="15" t="str">
        <f aca="false">IF($T51=1,INDEX(Entregas!$B$3:$B$14,$S51),"")</f>
        <v/>
      </c>
      <c r="D51" s="15" t="str">
        <f aca="false">IF($T51=1,INDEX(Entregas!$C$3:$C$14,$S51),"")</f>
        <v/>
      </c>
      <c r="E51" s="16" t="str">
        <f aca="false">IF($T51=1,INDEX(Entregas!$F$3:$F$14,$S51)/INDEX(Entregas!$G$3:$G$14,$S51),"")</f>
        <v/>
      </c>
      <c r="F51" s="17" t="str">
        <f aca="false">IF($T51=1,J50+INDEX(Entregas!$I$3:$I$14,$S51),"")</f>
        <v/>
      </c>
      <c r="G51" s="17" t="str">
        <f aca="false">IF($T51=1,F51+MOD(1-WEEKDAY(F51,3)+7,7),"")</f>
        <v/>
      </c>
      <c r="H51" s="17" t="str">
        <f aca="false">IF($T51=1,EOMONTH(F51,0)+1,"")</f>
        <v/>
      </c>
      <c r="I51" s="17" t="str">
        <f aca="false">IF($T51=1,IF(DAY(H51+MOD(1-WEEKDAY(H51,3)+7,7))&lt;3,H51+MOD(1-WEEKDAY(H51,3)+7,7)+7,H51+MOD(1-WEEKDAY(H51,3)+7,7)),"")</f>
        <v/>
      </c>
      <c r="J51" s="17" t="str">
        <f aca="false">IF($T51=1,IF(INDEX(Entregas!$J$3:$J$14,$S51)="Corrido",F51,IF(DAY(G51)&gt;25,I51,IF(DAY(G51)&lt;3,G51+7,G51))),"")</f>
        <v/>
      </c>
      <c r="K51" s="18" t="str">
        <f aca="false">IF($T51=1,J51-Parametros!$B$4,"")</f>
        <v/>
      </c>
      <c r="L51" s="4"/>
      <c r="M51" s="12"/>
      <c r="N51" s="18" t="str">
        <f aca="false">IF(AND($T51=1,L51&lt;&gt;"",M51&lt;&gt;""),J51-L51,"")</f>
        <v/>
      </c>
      <c r="O51" s="15" t="str">
        <f aca="false">IF(N51="","",IF(N51&lt;0,"desc&gt;venc",IF(N51&gt;INDEX(Parametros!$F$8:$F$9,MATCH(M51,Parametros!$A$8:$A$9,0)),"EXCEDE","ok")))</f>
        <v/>
      </c>
      <c r="P51" s="16" t="str">
        <f aca="false">IF(OR(N51="",N51&lt;0),"",E51*(INDEX(Parametros!$B$8:$B$9,MATCH(M51,Parametros!$A$8:$A$9,0))/30)*N51+E51*(INDEX(Parametros!$C$8:$C$9,MATCH(M51,Parametros!$A$8:$A$9,0))*N51+INDEX(Parametros!$D$8:$D$9,MATCH(M51,Parametros!$A$8:$A$9,0)))+INDEX(Parametros!$E$8:$E$9,MATCH(M51,Parametros!$A$8:$A$9,0)))</f>
        <v/>
      </c>
      <c r="Q51" s="16" t="str">
        <f aca="false">IF(P51="","",E51-P51)</f>
        <v/>
      </c>
      <c r="S51" s="19" t="n">
        <f aca="false">IFERROR(MATCH($A51,Entregas!$A$3:$A$14,0),"")</f>
        <v>10</v>
      </c>
      <c r="T51" s="19" t="n">
        <f aca="false">IF($S51="",0,IF(AND(INDEX(Entregas!$F$3:$F$14,$S51)&lt;&gt;"",INDEX(Entregas!$F$3:$F$14,$S51)&gt;0,$B51&lt;=INDEX(Entregas!$G$3:$G$14,$S51)),1,0))</f>
        <v>0</v>
      </c>
    </row>
    <row r="52" customFormat="false" ht="15" hidden="false" customHeight="false" outlineLevel="0" collapsed="false">
      <c r="A52" s="15" t="s">
        <v>54</v>
      </c>
      <c r="B52" s="15" t="n">
        <v>5</v>
      </c>
      <c r="C52" s="15" t="str">
        <f aca="false">IF($T52=1,INDEX(Entregas!$B$3:$B$14,$S52),"")</f>
        <v/>
      </c>
      <c r="D52" s="15" t="str">
        <f aca="false">IF($T52=1,INDEX(Entregas!$C$3:$C$14,$S52),"")</f>
        <v/>
      </c>
      <c r="E52" s="16" t="str">
        <f aca="false">IF($T52=1,INDEX(Entregas!$F$3:$F$14,$S52)/INDEX(Entregas!$G$3:$G$14,$S52),"")</f>
        <v/>
      </c>
      <c r="F52" s="17" t="str">
        <f aca="false">IF($T52=1,J51+INDEX(Entregas!$I$3:$I$14,$S52),"")</f>
        <v/>
      </c>
      <c r="G52" s="17" t="str">
        <f aca="false">IF($T52=1,F52+MOD(1-WEEKDAY(F52,3)+7,7),"")</f>
        <v/>
      </c>
      <c r="H52" s="17" t="str">
        <f aca="false">IF($T52=1,EOMONTH(F52,0)+1,"")</f>
        <v/>
      </c>
      <c r="I52" s="17" t="str">
        <f aca="false">IF($T52=1,IF(DAY(H52+MOD(1-WEEKDAY(H52,3)+7,7))&lt;3,H52+MOD(1-WEEKDAY(H52,3)+7,7)+7,H52+MOD(1-WEEKDAY(H52,3)+7,7)),"")</f>
        <v/>
      </c>
      <c r="J52" s="17" t="str">
        <f aca="false">IF($T52=1,IF(INDEX(Entregas!$J$3:$J$14,$S52)="Corrido",F52,IF(DAY(G52)&gt;25,I52,IF(DAY(G52)&lt;3,G52+7,G52))),"")</f>
        <v/>
      </c>
      <c r="K52" s="18" t="str">
        <f aca="false">IF($T52=1,J52-Parametros!$B$4,"")</f>
        <v/>
      </c>
      <c r="L52" s="4"/>
      <c r="M52" s="12"/>
      <c r="N52" s="18" t="str">
        <f aca="false">IF(AND($T52=1,L52&lt;&gt;"",M52&lt;&gt;""),J52-L52,"")</f>
        <v/>
      </c>
      <c r="O52" s="15" t="str">
        <f aca="false">IF(N52="","",IF(N52&lt;0,"desc&gt;venc",IF(N52&gt;INDEX(Parametros!$F$8:$F$9,MATCH(M52,Parametros!$A$8:$A$9,0)),"EXCEDE","ok")))</f>
        <v/>
      </c>
      <c r="P52" s="16" t="str">
        <f aca="false">IF(OR(N52="",N52&lt;0),"",E52*(INDEX(Parametros!$B$8:$B$9,MATCH(M52,Parametros!$A$8:$A$9,0))/30)*N52+E52*(INDEX(Parametros!$C$8:$C$9,MATCH(M52,Parametros!$A$8:$A$9,0))*N52+INDEX(Parametros!$D$8:$D$9,MATCH(M52,Parametros!$A$8:$A$9,0)))+INDEX(Parametros!$E$8:$E$9,MATCH(M52,Parametros!$A$8:$A$9,0)))</f>
        <v/>
      </c>
      <c r="Q52" s="16" t="str">
        <f aca="false">IF(P52="","",E52-P52)</f>
        <v/>
      </c>
      <c r="S52" s="19" t="n">
        <f aca="false">IFERROR(MATCH($A52,Entregas!$A$3:$A$14,0),"")</f>
        <v>10</v>
      </c>
      <c r="T52" s="19" t="n">
        <f aca="false">IF($S52="",0,IF(AND(INDEX(Entregas!$F$3:$F$14,$S52)&lt;&gt;"",INDEX(Entregas!$F$3:$F$14,$S52)&gt;0,$B52&lt;=INDEX(Entregas!$G$3:$G$14,$S52)),1,0))</f>
        <v>0</v>
      </c>
    </row>
    <row r="53" customFormat="false" ht="15" hidden="false" customHeight="false" outlineLevel="0" collapsed="false">
      <c r="A53" s="15" t="s">
        <v>55</v>
      </c>
      <c r="B53" s="15" t="n">
        <v>1</v>
      </c>
      <c r="C53" s="15" t="str">
        <f aca="false">IF($T53=1,INDEX(Entregas!$B$3:$B$14,$S53),"")</f>
        <v/>
      </c>
      <c r="D53" s="15" t="str">
        <f aca="false">IF($T53=1,INDEX(Entregas!$C$3:$C$14,$S53),"")</f>
        <v/>
      </c>
      <c r="E53" s="16" t="str">
        <f aca="false">IF($T53=1,INDEX(Entregas!$F$3:$F$14,$S53)/INDEX(Entregas!$G$3:$G$14,$S53),"")</f>
        <v/>
      </c>
      <c r="F53" s="17" t="str">
        <f aca="false">IF($T53=1,INDEX(Entregas!$K$3:$K$14,$S53)+INDEX(Entregas!$H$3:$H$14,$S53),"")</f>
        <v/>
      </c>
      <c r="G53" s="17" t="str">
        <f aca="false">IF($T53=1,F53+MOD(1-WEEKDAY(F53,3)+7,7),"")</f>
        <v/>
      </c>
      <c r="H53" s="17" t="str">
        <f aca="false">IF($T53=1,EOMONTH(F53,0)+1,"")</f>
        <v/>
      </c>
      <c r="I53" s="17" t="str">
        <f aca="false">IF($T53=1,IF(DAY(H53+MOD(1-WEEKDAY(H53,3)+7,7))&lt;3,H53+MOD(1-WEEKDAY(H53,3)+7,7)+7,H53+MOD(1-WEEKDAY(H53,3)+7,7)),"")</f>
        <v/>
      </c>
      <c r="J53" s="17" t="str">
        <f aca="false">IF($T53=1,IF(INDEX(Entregas!$J$3:$J$14,$S53)="Corrido",F53,IF(DAY(G53)&gt;25,I53,IF(DAY(G53)&lt;3,G53+7,G53))),"")</f>
        <v/>
      </c>
      <c r="K53" s="18" t="str">
        <f aca="false">IF($T53=1,J53-Parametros!$B$4,"")</f>
        <v/>
      </c>
      <c r="L53" s="4"/>
      <c r="M53" s="12"/>
      <c r="N53" s="18" t="str">
        <f aca="false">IF(AND($T53=1,L53&lt;&gt;"",M53&lt;&gt;""),J53-L53,"")</f>
        <v/>
      </c>
      <c r="O53" s="15" t="str">
        <f aca="false">IF(N53="","",IF(N53&lt;0,"desc&gt;venc",IF(N53&gt;INDEX(Parametros!$F$8:$F$9,MATCH(M53,Parametros!$A$8:$A$9,0)),"EXCEDE","ok")))</f>
        <v/>
      </c>
      <c r="P53" s="16" t="str">
        <f aca="false">IF(OR(N53="",N53&lt;0),"",E53*(INDEX(Parametros!$B$8:$B$9,MATCH(M53,Parametros!$A$8:$A$9,0))/30)*N53+E53*(INDEX(Parametros!$C$8:$C$9,MATCH(M53,Parametros!$A$8:$A$9,0))*N53+INDEX(Parametros!$D$8:$D$9,MATCH(M53,Parametros!$A$8:$A$9,0)))+INDEX(Parametros!$E$8:$E$9,MATCH(M53,Parametros!$A$8:$A$9,0)))</f>
        <v/>
      </c>
      <c r="Q53" s="16" t="str">
        <f aca="false">IF(P53="","",E53-P53)</f>
        <v/>
      </c>
      <c r="S53" s="19" t="n">
        <f aca="false">IFERROR(MATCH($A53,Entregas!$A$3:$A$14,0),"")</f>
        <v>11</v>
      </c>
      <c r="T53" s="19" t="n">
        <f aca="false">IF($S53="",0,IF(AND(INDEX(Entregas!$F$3:$F$14,$S53)&lt;&gt;"",INDEX(Entregas!$F$3:$F$14,$S53)&gt;0,$B53&lt;=INDEX(Entregas!$G$3:$G$14,$S53)),1,0))</f>
        <v>0</v>
      </c>
    </row>
    <row r="54" customFormat="false" ht="15" hidden="false" customHeight="false" outlineLevel="0" collapsed="false">
      <c r="A54" s="15" t="s">
        <v>55</v>
      </c>
      <c r="B54" s="15" t="n">
        <v>2</v>
      </c>
      <c r="C54" s="15" t="str">
        <f aca="false">IF($T54=1,INDEX(Entregas!$B$3:$B$14,$S54),"")</f>
        <v/>
      </c>
      <c r="D54" s="15" t="str">
        <f aca="false">IF($T54=1,INDEX(Entregas!$C$3:$C$14,$S54),"")</f>
        <v/>
      </c>
      <c r="E54" s="16" t="str">
        <f aca="false">IF($T54=1,INDEX(Entregas!$F$3:$F$14,$S54)/INDEX(Entregas!$G$3:$G$14,$S54),"")</f>
        <v/>
      </c>
      <c r="F54" s="17" t="str">
        <f aca="false">IF($T54=1,J53+INDEX(Entregas!$I$3:$I$14,$S54),"")</f>
        <v/>
      </c>
      <c r="G54" s="17" t="str">
        <f aca="false">IF($T54=1,F54+MOD(1-WEEKDAY(F54,3)+7,7),"")</f>
        <v/>
      </c>
      <c r="H54" s="17" t="str">
        <f aca="false">IF($T54=1,EOMONTH(F54,0)+1,"")</f>
        <v/>
      </c>
      <c r="I54" s="17" t="str">
        <f aca="false">IF($T54=1,IF(DAY(H54+MOD(1-WEEKDAY(H54,3)+7,7))&lt;3,H54+MOD(1-WEEKDAY(H54,3)+7,7)+7,H54+MOD(1-WEEKDAY(H54,3)+7,7)),"")</f>
        <v/>
      </c>
      <c r="J54" s="17" t="str">
        <f aca="false">IF($T54=1,IF(INDEX(Entregas!$J$3:$J$14,$S54)="Corrido",F54,IF(DAY(G54)&gt;25,I54,IF(DAY(G54)&lt;3,G54+7,G54))),"")</f>
        <v/>
      </c>
      <c r="K54" s="18" t="str">
        <f aca="false">IF($T54=1,J54-Parametros!$B$4,"")</f>
        <v/>
      </c>
      <c r="L54" s="4"/>
      <c r="M54" s="12"/>
      <c r="N54" s="18" t="str">
        <f aca="false">IF(AND($T54=1,L54&lt;&gt;"",M54&lt;&gt;""),J54-L54,"")</f>
        <v/>
      </c>
      <c r="O54" s="15" t="str">
        <f aca="false">IF(N54="","",IF(N54&lt;0,"desc&gt;venc",IF(N54&gt;INDEX(Parametros!$F$8:$F$9,MATCH(M54,Parametros!$A$8:$A$9,0)),"EXCEDE","ok")))</f>
        <v/>
      </c>
      <c r="P54" s="16" t="str">
        <f aca="false">IF(OR(N54="",N54&lt;0),"",E54*(INDEX(Parametros!$B$8:$B$9,MATCH(M54,Parametros!$A$8:$A$9,0))/30)*N54+E54*(INDEX(Parametros!$C$8:$C$9,MATCH(M54,Parametros!$A$8:$A$9,0))*N54+INDEX(Parametros!$D$8:$D$9,MATCH(M54,Parametros!$A$8:$A$9,0)))+INDEX(Parametros!$E$8:$E$9,MATCH(M54,Parametros!$A$8:$A$9,0)))</f>
        <v/>
      </c>
      <c r="Q54" s="16" t="str">
        <f aca="false">IF(P54="","",E54-P54)</f>
        <v/>
      </c>
      <c r="S54" s="19" t="n">
        <f aca="false">IFERROR(MATCH($A54,Entregas!$A$3:$A$14,0),"")</f>
        <v>11</v>
      </c>
      <c r="T54" s="19" t="n">
        <f aca="false">IF($S54="",0,IF(AND(INDEX(Entregas!$F$3:$F$14,$S54)&lt;&gt;"",INDEX(Entregas!$F$3:$F$14,$S54)&gt;0,$B54&lt;=INDEX(Entregas!$G$3:$G$14,$S54)),1,0))</f>
        <v>0</v>
      </c>
    </row>
    <row r="55" customFormat="false" ht="15" hidden="false" customHeight="false" outlineLevel="0" collapsed="false">
      <c r="A55" s="15" t="s">
        <v>55</v>
      </c>
      <c r="B55" s="15" t="n">
        <v>3</v>
      </c>
      <c r="C55" s="15" t="str">
        <f aca="false">IF($T55=1,INDEX(Entregas!$B$3:$B$14,$S55),"")</f>
        <v/>
      </c>
      <c r="D55" s="15" t="str">
        <f aca="false">IF($T55=1,INDEX(Entregas!$C$3:$C$14,$S55),"")</f>
        <v/>
      </c>
      <c r="E55" s="16" t="str">
        <f aca="false">IF($T55=1,INDEX(Entregas!$F$3:$F$14,$S55)/INDEX(Entregas!$G$3:$G$14,$S55),"")</f>
        <v/>
      </c>
      <c r="F55" s="17" t="str">
        <f aca="false">IF($T55=1,J54+INDEX(Entregas!$I$3:$I$14,$S55),"")</f>
        <v/>
      </c>
      <c r="G55" s="17" t="str">
        <f aca="false">IF($T55=1,F55+MOD(1-WEEKDAY(F55,3)+7,7),"")</f>
        <v/>
      </c>
      <c r="H55" s="17" t="str">
        <f aca="false">IF($T55=1,EOMONTH(F55,0)+1,"")</f>
        <v/>
      </c>
      <c r="I55" s="17" t="str">
        <f aca="false">IF($T55=1,IF(DAY(H55+MOD(1-WEEKDAY(H55,3)+7,7))&lt;3,H55+MOD(1-WEEKDAY(H55,3)+7,7)+7,H55+MOD(1-WEEKDAY(H55,3)+7,7)),"")</f>
        <v/>
      </c>
      <c r="J55" s="17" t="str">
        <f aca="false">IF($T55=1,IF(INDEX(Entregas!$J$3:$J$14,$S55)="Corrido",F55,IF(DAY(G55)&gt;25,I55,IF(DAY(G55)&lt;3,G55+7,G55))),"")</f>
        <v/>
      </c>
      <c r="K55" s="18" t="str">
        <f aca="false">IF($T55=1,J55-Parametros!$B$4,"")</f>
        <v/>
      </c>
      <c r="L55" s="4"/>
      <c r="M55" s="12"/>
      <c r="N55" s="18" t="str">
        <f aca="false">IF(AND($T55=1,L55&lt;&gt;"",M55&lt;&gt;""),J55-L55,"")</f>
        <v/>
      </c>
      <c r="O55" s="15" t="str">
        <f aca="false">IF(N55="","",IF(N55&lt;0,"desc&gt;venc",IF(N55&gt;INDEX(Parametros!$F$8:$F$9,MATCH(M55,Parametros!$A$8:$A$9,0)),"EXCEDE","ok")))</f>
        <v/>
      </c>
      <c r="P55" s="16" t="str">
        <f aca="false">IF(OR(N55="",N55&lt;0),"",E55*(INDEX(Parametros!$B$8:$B$9,MATCH(M55,Parametros!$A$8:$A$9,0))/30)*N55+E55*(INDEX(Parametros!$C$8:$C$9,MATCH(M55,Parametros!$A$8:$A$9,0))*N55+INDEX(Parametros!$D$8:$D$9,MATCH(M55,Parametros!$A$8:$A$9,0)))+INDEX(Parametros!$E$8:$E$9,MATCH(M55,Parametros!$A$8:$A$9,0)))</f>
        <v/>
      </c>
      <c r="Q55" s="16" t="str">
        <f aca="false">IF(P55="","",E55-P55)</f>
        <v/>
      </c>
      <c r="S55" s="19" t="n">
        <f aca="false">IFERROR(MATCH($A55,Entregas!$A$3:$A$14,0),"")</f>
        <v>11</v>
      </c>
      <c r="T55" s="19" t="n">
        <f aca="false">IF($S55="",0,IF(AND(INDEX(Entregas!$F$3:$F$14,$S55)&lt;&gt;"",INDEX(Entregas!$F$3:$F$14,$S55)&gt;0,$B55&lt;=INDEX(Entregas!$G$3:$G$14,$S55)),1,0))</f>
        <v>0</v>
      </c>
    </row>
    <row r="56" customFormat="false" ht="15" hidden="false" customHeight="false" outlineLevel="0" collapsed="false">
      <c r="A56" s="15" t="s">
        <v>55</v>
      </c>
      <c r="B56" s="15" t="n">
        <v>4</v>
      </c>
      <c r="C56" s="15" t="str">
        <f aca="false">IF($T56=1,INDEX(Entregas!$B$3:$B$14,$S56),"")</f>
        <v/>
      </c>
      <c r="D56" s="15" t="str">
        <f aca="false">IF($T56=1,INDEX(Entregas!$C$3:$C$14,$S56),"")</f>
        <v/>
      </c>
      <c r="E56" s="16" t="str">
        <f aca="false">IF($T56=1,INDEX(Entregas!$F$3:$F$14,$S56)/INDEX(Entregas!$G$3:$G$14,$S56),"")</f>
        <v/>
      </c>
      <c r="F56" s="17" t="str">
        <f aca="false">IF($T56=1,J55+INDEX(Entregas!$I$3:$I$14,$S56),"")</f>
        <v/>
      </c>
      <c r="G56" s="17" t="str">
        <f aca="false">IF($T56=1,F56+MOD(1-WEEKDAY(F56,3)+7,7),"")</f>
        <v/>
      </c>
      <c r="H56" s="17" t="str">
        <f aca="false">IF($T56=1,EOMONTH(F56,0)+1,"")</f>
        <v/>
      </c>
      <c r="I56" s="17" t="str">
        <f aca="false">IF($T56=1,IF(DAY(H56+MOD(1-WEEKDAY(H56,3)+7,7))&lt;3,H56+MOD(1-WEEKDAY(H56,3)+7,7)+7,H56+MOD(1-WEEKDAY(H56,3)+7,7)),"")</f>
        <v/>
      </c>
      <c r="J56" s="17" t="str">
        <f aca="false">IF($T56=1,IF(INDEX(Entregas!$J$3:$J$14,$S56)="Corrido",F56,IF(DAY(G56)&gt;25,I56,IF(DAY(G56)&lt;3,G56+7,G56))),"")</f>
        <v/>
      </c>
      <c r="K56" s="18" t="str">
        <f aca="false">IF($T56=1,J56-Parametros!$B$4,"")</f>
        <v/>
      </c>
      <c r="L56" s="4"/>
      <c r="M56" s="12"/>
      <c r="N56" s="18" t="str">
        <f aca="false">IF(AND($T56=1,L56&lt;&gt;"",M56&lt;&gt;""),J56-L56,"")</f>
        <v/>
      </c>
      <c r="O56" s="15" t="str">
        <f aca="false">IF(N56="","",IF(N56&lt;0,"desc&gt;venc",IF(N56&gt;INDEX(Parametros!$F$8:$F$9,MATCH(M56,Parametros!$A$8:$A$9,0)),"EXCEDE","ok")))</f>
        <v/>
      </c>
      <c r="P56" s="16" t="str">
        <f aca="false">IF(OR(N56="",N56&lt;0),"",E56*(INDEX(Parametros!$B$8:$B$9,MATCH(M56,Parametros!$A$8:$A$9,0))/30)*N56+E56*(INDEX(Parametros!$C$8:$C$9,MATCH(M56,Parametros!$A$8:$A$9,0))*N56+INDEX(Parametros!$D$8:$D$9,MATCH(M56,Parametros!$A$8:$A$9,0)))+INDEX(Parametros!$E$8:$E$9,MATCH(M56,Parametros!$A$8:$A$9,0)))</f>
        <v/>
      </c>
      <c r="Q56" s="16" t="str">
        <f aca="false">IF(P56="","",E56-P56)</f>
        <v/>
      </c>
      <c r="S56" s="19" t="n">
        <f aca="false">IFERROR(MATCH($A56,Entregas!$A$3:$A$14,0),"")</f>
        <v>11</v>
      </c>
      <c r="T56" s="19" t="n">
        <f aca="false">IF($S56="",0,IF(AND(INDEX(Entregas!$F$3:$F$14,$S56)&lt;&gt;"",INDEX(Entregas!$F$3:$F$14,$S56)&gt;0,$B56&lt;=INDEX(Entregas!$G$3:$G$14,$S56)),1,0))</f>
        <v>0</v>
      </c>
    </row>
    <row r="57" customFormat="false" ht="15" hidden="false" customHeight="false" outlineLevel="0" collapsed="false">
      <c r="A57" s="15" t="s">
        <v>55</v>
      </c>
      <c r="B57" s="15" t="n">
        <v>5</v>
      </c>
      <c r="C57" s="15" t="str">
        <f aca="false">IF($T57=1,INDEX(Entregas!$B$3:$B$14,$S57),"")</f>
        <v/>
      </c>
      <c r="D57" s="15" t="str">
        <f aca="false">IF($T57=1,INDEX(Entregas!$C$3:$C$14,$S57),"")</f>
        <v/>
      </c>
      <c r="E57" s="16" t="str">
        <f aca="false">IF($T57=1,INDEX(Entregas!$F$3:$F$14,$S57)/INDEX(Entregas!$G$3:$G$14,$S57),"")</f>
        <v/>
      </c>
      <c r="F57" s="17" t="str">
        <f aca="false">IF($T57=1,J56+INDEX(Entregas!$I$3:$I$14,$S57),"")</f>
        <v/>
      </c>
      <c r="G57" s="17" t="str">
        <f aca="false">IF($T57=1,F57+MOD(1-WEEKDAY(F57,3)+7,7),"")</f>
        <v/>
      </c>
      <c r="H57" s="17" t="str">
        <f aca="false">IF($T57=1,EOMONTH(F57,0)+1,"")</f>
        <v/>
      </c>
      <c r="I57" s="17" t="str">
        <f aca="false">IF($T57=1,IF(DAY(H57+MOD(1-WEEKDAY(H57,3)+7,7))&lt;3,H57+MOD(1-WEEKDAY(H57,3)+7,7)+7,H57+MOD(1-WEEKDAY(H57,3)+7,7)),"")</f>
        <v/>
      </c>
      <c r="J57" s="17" t="str">
        <f aca="false">IF($T57=1,IF(INDEX(Entregas!$J$3:$J$14,$S57)="Corrido",F57,IF(DAY(G57)&gt;25,I57,IF(DAY(G57)&lt;3,G57+7,G57))),"")</f>
        <v/>
      </c>
      <c r="K57" s="18" t="str">
        <f aca="false">IF($T57=1,J57-Parametros!$B$4,"")</f>
        <v/>
      </c>
      <c r="L57" s="4"/>
      <c r="M57" s="12"/>
      <c r="N57" s="18" t="str">
        <f aca="false">IF(AND($T57=1,L57&lt;&gt;"",M57&lt;&gt;""),J57-L57,"")</f>
        <v/>
      </c>
      <c r="O57" s="15" t="str">
        <f aca="false">IF(N57="","",IF(N57&lt;0,"desc&gt;venc",IF(N57&gt;INDEX(Parametros!$F$8:$F$9,MATCH(M57,Parametros!$A$8:$A$9,0)),"EXCEDE","ok")))</f>
        <v/>
      </c>
      <c r="P57" s="16" t="str">
        <f aca="false">IF(OR(N57="",N57&lt;0),"",E57*(INDEX(Parametros!$B$8:$B$9,MATCH(M57,Parametros!$A$8:$A$9,0))/30)*N57+E57*(INDEX(Parametros!$C$8:$C$9,MATCH(M57,Parametros!$A$8:$A$9,0))*N57+INDEX(Parametros!$D$8:$D$9,MATCH(M57,Parametros!$A$8:$A$9,0)))+INDEX(Parametros!$E$8:$E$9,MATCH(M57,Parametros!$A$8:$A$9,0)))</f>
        <v/>
      </c>
      <c r="Q57" s="16" t="str">
        <f aca="false">IF(P57="","",E57-P57)</f>
        <v/>
      </c>
      <c r="S57" s="19" t="n">
        <f aca="false">IFERROR(MATCH($A57,Entregas!$A$3:$A$14,0),"")</f>
        <v>11</v>
      </c>
      <c r="T57" s="19" t="n">
        <f aca="false">IF($S57="",0,IF(AND(INDEX(Entregas!$F$3:$F$14,$S57)&lt;&gt;"",INDEX(Entregas!$F$3:$F$14,$S57)&gt;0,$B57&lt;=INDEX(Entregas!$G$3:$G$14,$S57)),1,0))</f>
        <v>0</v>
      </c>
    </row>
    <row r="58" customFormat="false" ht="15" hidden="false" customHeight="false" outlineLevel="0" collapsed="false">
      <c r="A58" s="15" t="s">
        <v>56</v>
      </c>
      <c r="B58" s="15" t="n">
        <v>1</v>
      </c>
      <c r="C58" s="15" t="str">
        <f aca="false">IF($T58=1,INDEX(Entregas!$B$3:$B$14,$S58),"")</f>
        <v/>
      </c>
      <c r="D58" s="15" t="str">
        <f aca="false">IF($T58=1,INDEX(Entregas!$C$3:$C$14,$S58),"")</f>
        <v/>
      </c>
      <c r="E58" s="16" t="str">
        <f aca="false">IF($T58=1,INDEX(Entregas!$F$3:$F$14,$S58)/INDEX(Entregas!$G$3:$G$14,$S58),"")</f>
        <v/>
      </c>
      <c r="F58" s="17" t="str">
        <f aca="false">IF($T58=1,INDEX(Entregas!$K$3:$K$14,$S58)+INDEX(Entregas!$H$3:$H$14,$S58),"")</f>
        <v/>
      </c>
      <c r="G58" s="17" t="str">
        <f aca="false">IF($T58=1,F58+MOD(1-WEEKDAY(F58,3)+7,7),"")</f>
        <v/>
      </c>
      <c r="H58" s="17" t="str">
        <f aca="false">IF($T58=1,EOMONTH(F58,0)+1,"")</f>
        <v/>
      </c>
      <c r="I58" s="17" t="str">
        <f aca="false">IF($T58=1,IF(DAY(H58+MOD(1-WEEKDAY(H58,3)+7,7))&lt;3,H58+MOD(1-WEEKDAY(H58,3)+7,7)+7,H58+MOD(1-WEEKDAY(H58,3)+7,7)),"")</f>
        <v/>
      </c>
      <c r="J58" s="17" t="str">
        <f aca="false">IF($T58=1,IF(INDEX(Entregas!$J$3:$J$14,$S58)="Corrido",F58,IF(DAY(G58)&gt;25,I58,IF(DAY(G58)&lt;3,G58+7,G58))),"")</f>
        <v/>
      </c>
      <c r="K58" s="18" t="str">
        <f aca="false">IF($T58=1,J58-Parametros!$B$4,"")</f>
        <v/>
      </c>
      <c r="L58" s="4"/>
      <c r="M58" s="12"/>
      <c r="N58" s="18" t="str">
        <f aca="false">IF(AND($T58=1,L58&lt;&gt;"",M58&lt;&gt;""),J58-L58,"")</f>
        <v/>
      </c>
      <c r="O58" s="15" t="str">
        <f aca="false">IF(N58="","",IF(N58&lt;0,"desc&gt;venc",IF(N58&gt;INDEX(Parametros!$F$8:$F$9,MATCH(M58,Parametros!$A$8:$A$9,0)),"EXCEDE","ok")))</f>
        <v/>
      </c>
      <c r="P58" s="16" t="str">
        <f aca="false">IF(OR(N58="",N58&lt;0),"",E58*(INDEX(Parametros!$B$8:$B$9,MATCH(M58,Parametros!$A$8:$A$9,0))/30)*N58+E58*(INDEX(Parametros!$C$8:$C$9,MATCH(M58,Parametros!$A$8:$A$9,0))*N58+INDEX(Parametros!$D$8:$D$9,MATCH(M58,Parametros!$A$8:$A$9,0)))+INDEX(Parametros!$E$8:$E$9,MATCH(M58,Parametros!$A$8:$A$9,0)))</f>
        <v/>
      </c>
      <c r="Q58" s="16" t="str">
        <f aca="false">IF(P58="","",E58-P58)</f>
        <v/>
      </c>
      <c r="S58" s="19" t="n">
        <f aca="false">IFERROR(MATCH($A58,Entregas!$A$3:$A$14,0),"")</f>
        <v>12</v>
      </c>
      <c r="T58" s="19" t="n">
        <f aca="false">IF($S58="",0,IF(AND(INDEX(Entregas!$F$3:$F$14,$S58)&lt;&gt;"",INDEX(Entregas!$F$3:$F$14,$S58)&gt;0,$B58&lt;=INDEX(Entregas!$G$3:$G$14,$S58)),1,0))</f>
        <v>0</v>
      </c>
    </row>
    <row r="59" customFormat="false" ht="15" hidden="false" customHeight="false" outlineLevel="0" collapsed="false">
      <c r="A59" s="15" t="s">
        <v>56</v>
      </c>
      <c r="B59" s="15" t="n">
        <v>2</v>
      </c>
      <c r="C59" s="15" t="str">
        <f aca="false">IF($T59=1,INDEX(Entregas!$B$3:$B$14,$S59),"")</f>
        <v/>
      </c>
      <c r="D59" s="15" t="str">
        <f aca="false">IF($T59=1,INDEX(Entregas!$C$3:$C$14,$S59),"")</f>
        <v/>
      </c>
      <c r="E59" s="16" t="str">
        <f aca="false">IF($T59=1,INDEX(Entregas!$F$3:$F$14,$S59)/INDEX(Entregas!$G$3:$G$14,$S59),"")</f>
        <v/>
      </c>
      <c r="F59" s="17" t="str">
        <f aca="false">IF($T59=1,J58+INDEX(Entregas!$I$3:$I$14,$S59),"")</f>
        <v/>
      </c>
      <c r="G59" s="17" t="str">
        <f aca="false">IF($T59=1,F59+MOD(1-WEEKDAY(F59,3)+7,7),"")</f>
        <v/>
      </c>
      <c r="H59" s="17" t="str">
        <f aca="false">IF($T59=1,EOMONTH(F59,0)+1,"")</f>
        <v/>
      </c>
      <c r="I59" s="17" t="str">
        <f aca="false">IF($T59=1,IF(DAY(H59+MOD(1-WEEKDAY(H59,3)+7,7))&lt;3,H59+MOD(1-WEEKDAY(H59,3)+7,7)+7,H59+MOD(1-WEEKDAY(H59,3)+7,7)),"")</f>
        <v/>
      </c>
      <c r="J59" s="17" t="str">
        <f aca="false">IF($T59=1,IF(INDEX(Entregas!$J$3:$J$14,$S59)="Corrido",F59,IF(DAY(G59)&gt;25,I59,IF(DAY(G59)&lt;3,G59+7,G59))),"")</f>
        <v/>
      </c>
      <c r="K59" s="18" t="str">
        <f aca="false">IF($T59=1,J59-Parametros!$B$4,"")</f>
        <v/>
      </c>
      <c r="L59" s="4"/>
      <c r="M59" s="12"/>
      <c r="N59" s="18" t="str">
        <f aca="false">IF(AND($T59=1,L59&lt;&gt;"",M59&lt;&gt;""),J59-L59,"")</f>
        <v/>
      </c>
      <c r="O59" s="15" t="str">
        <f aca="false">IF(N59="","",IF(N59&lt;0,"desc&gt;venc",IF(N59&gt;INDEX(Parametros!$F$8:$F$9,MATCH(M59,Parametros!$A$8:$A$9,0)),"EXCEDE","ok")))</f>
        <v/>
      </c>
      <c r="P59" s="16" t="str">
        <f aca="false">IF(OR(N59="",N59&lt;0),"",E59*(INDEX(Parametros!$B$8:$B$9,MATCH(M59,Parametros!$A$8:$A$9,0))/30)*N59+E59*(INDEX(Parametros!$C$8:$C$9,MATCH(M59,Parametros!$A$8:$A$9,0))*N59+INDEX(Parametros!$D$8:$D$9,MATCH(M59,Parametros!$A$8:$A$9,0)))+INDEX(Parametros!$E$8:$E$9,MATCH(M59,Parametros!$A$8:$A$9,0)))</f>
        <v/>
      </c>
      <c r="Q59" s="16" t="str">
        <f aca="false">IF(P59="","",E59-P59)</f>
        <v/>
      </c>
      <c r="S59" s="19" t="n">
        <f aca="false">IFERROR(MATCH($A59,Entregas!$A$3:$A$14,0),"")</f>
        <v>12</v>
      </c>
      <c r="T59" s="19" t="n">
        <f aca="false">IF($S59="",0,IF(AND(INDEX(Entregas!$F$3:$F$14,$S59)&lt;&gt;"",INDEX(Entregas!$F$3:$F$14,$S59)&gt;0,$B59&lt;=INDEX(Entregas!$G$3:$G$14,$S59)),1,0))</f>
        <v>0</v>
      </c>
    </row>
    <row r="60" customFormat="false" ht="15" hidden="false" customHeight="false" outlineLevel="0" collapsed="false">
      <c r="A60" s="15" t="s">
        <v>56</v>
      </c>
      <c r="B60" s="15" t="n">
        <v>3</v>
      </c>
      <c r="C60" s="15" t="str">
        <f aca="false">IF($T60=1,INDEX(Entregas!$B$3:$B$14,$S60),"")</f>
        <v/>
      </c>
      <c r="D60" s="15" t="str">
        <f aca="false">IF($T60=1,INDEX(Entregas!$C$3:$C$14,$S60),"")</f>
        <v/>
      </c>
      <c r="E60" s="16" t="str">
        <f aca="false">IF($T60=1,INDEX(Entregas!$F$3:$F$14,$S60)/INDEX(Entregas!$G$3:$G$14,$S60),"")</f>
        <v/>
      </c>
      <c r="F60" s="17" t="str">
        <f aca="false">IF($T60=1,J59+INDEX(Entregas!$I$3:$I$14,$S60),"")</f>
        <v/>
      </c>
      <c r="G60" s="17" t="str">
        <f aca="false">IF($T60=1,F60+MOD(1-WEEKDAY(F60,3)+7,7),"")</f>
        <v/>
      </c>
      <c r="H60" s="17" t="str">
        <f aca="false">IF($T60=1,EOMONTH(F60,0)+1,"")</f>
        <v/>
      </c>
      <c r="I60" s="17" t="str">
        <f aca="false">IF($T60=1,IF(DAY(H60+MOD(1-WEEKDAY(H60,3)+7,7))&lt;3,H60+MOD(1-WEEKDAY(H60,3)+7,7)+7,H60+MOD(1-WEEKDAY(H60,3)+7,7)),"")</f>
        <v/>
      </c>
      <c r="J60" s="17" t="str">
        <f aca="false">IF($T60=1,IF(INDEX(Entregas!$J$3:$J$14,$S60)="Corrido",F60,IF(DAY(G60)&gt;25,I60,IF(DAY(G60)&lt;3,G60+7,G60))),"")</f>
        <v/>
      </c>
      <c r="K60" s="18" t="str">
        <f aca="false">IF($T60=1,J60-Parametros!$B$4,"")</f>
        <v/>
      </c>
      <c r="L60" s="4"/>
      <c r="M60" s="12"/>
      <c r="N60" s="18" t="str">
        <f aca="false">IF(AND($T60=1,L60&lt;&gt;"",M60&lt;&gt;""),J60-L60,"")</f>
        <v/>
      </c>
      <c r="O60" s="15" t="str">
        <f aca="false">IF(N60="","",IF(N60&lt;0,"desc&gt;venc",IF(N60&gt;INDEX(Parametros!$F$8:$F$9,MATCH(M60,Parametros!$A$8:$A$9,0)),"EXCEDE","ok")))</f>
        <v/>
      </c>
      <c r="P60" s="16" t="str">
        <f aca="false">IF(OR(N60="",N60&lt;0),"",E60*(INDEX(Parametros!$B$8:$B$9,MATCH(M60,Parametros!$A$8:$A$9,0))/30)*N60+E60*(INDEX(Parametros!$C$8:$C$9,MATCH(M60,Parametros!$A$8:$A$9,0))*N60+INDEX(Parametros!$D$8:$D$9,MATCH(M60,Parametros!$A$8:$A$9,0)))+INDEX(Parametros!$E$8:$E$9,MATCH(M60,Parametros!$A$8:$A$9,0)))</f>
        <v/>
      </c>
      <c r="Q60" s="16" t="str">
        <f aca="false">IF(P60="","",E60-P60)</f>
        <v/>
      </c>
      <c r="S60" s="19" t="n">
        <f aca="false">IFERROR(MATCH($A60,Entregas!$A$3:$A$14,0),"")</f>
        <v>12</v>
      </c>
      <c r="T60" s="19" t="n">
        <f aca="false">IF($S60="",0,IF(AND(INDEX(Entregas!$F$3:$F$14,$S60)&lt;&gt;"",INDEX(Entregas!$F$3:$F$14,$S60)&gt;0,$B60&lt;=INDEX(Entregas!$G$3:$G$14,$S60)),1,0))</f>
        <v>0</v>
      </c>
    </row>
    <row r="61" customFormat="false" ht="15" hidden="false" customHeight="false" outlineLevel="0" collapsed="false">
      <c r="A61" s="15" t="s">
        <v>56</v>
      </c>
      <c r="B61" s="15" t="n">
        <v>4</v>
      </c>
      <c r="C61" s="15" t="str">
        <f aca="false">IF($T61=1,INDEX(Entregas!$B$3:$B$14,$S61),"")</f>
        <v/>
      </c>
      <c r="D61" s="15" t="str">
        <f aca="false">IF($T61=1,INDEX(Entregas!$C$3:$C$14,$S61),"")</f>
        <v/>
      </c>
      <c r="E61" s="16" t="str">
        <f aca="false">IF($T61=1,INDEX(Entregas!$F$3:$F$14,$S61)/INDEX(Entregas!$G$3:$G$14,$S61),"")</f>
        <v/>
      </c>
      <c r="F61" s="17" t="str">
        <f aca="false">IF($T61=1,J60+INDEX(Entregas!$I$3:$I$14,$S61),"")</f>
        <v/>
      </c>
      <c r="G61" s="17" t="str">
        <f aca="false">IF($T61=1,F61+MOD(1-WEEKDAY(F61,3)+7,7),"")</f>
        <v/>
      </c>
      <c r="H61" s="17" t="str">
        <f aca="false">IF($T61=1,EOMONTH(F61,0)+1,"")</f>
        <v/>
      </c>
      <c r="I61" s="17" t="str">
        <f aca="false">IF($T61=1,IF(DAY(H61+MOD(1-WEEKDAY(H61,3)+7,7))&lt;3,H61+MOD(1-WEEKDAY(H61,3)+7,7)+7,H61+MOD(1-WEEKDAY(H61,3)+7,7)),"")</f>
        <v/>
      </c>
      <c r="J61" s="17" t="str">
        <f aca="false">IF($T61=1,IF(INDEX(Entregas!$J$3:$J$14,$S61)="Corrido",F61,IF(DAY(G61)&gt;25,I61,IF(DAY(G61)&lt;3,G61+7,G61))),"")</f>
        <v/>
      </c>
      <c r="K61" s="18" t="str">
        <f aca="false">IF($T61=1,J61-Parametros!$B$4,"")</f>
        <v/>
      </c>
      <c r="L61" s="4"/>
      <c r="M61" s="12"/>
      <c r="N61" s="18" t="str">
        <f aca="false">IF(AND($T61=1,L61&lt;&gt;"",M61&lt;&gt;""),J61-L61,"")</f>
        <v/>
      </c>
      <c r="O61" s="15" t="str">
        <f aca="false">IF(N61="","",IF(N61&lt;0,"desc&gt;venc",IF(N61&gt;INDEX(Parametros!$F$8:$F$9,MATCH(M61,Parametros!$A$8:$A$9,0)),"EXCEDE","ok")))</f>
        <v/>
      </c>
      <c r="P61" s="16" t="str">
        <f aca="false">IF(OR(N61="",N61&lt;0),"",E61*(INDEX(Parametros!$B$8:$B$9,MATCH(M61,Parametros!$A$8:$A$9,0))/30)*N61+E61*(INDEX(Parametros!$C$8:$C$9,MATCH(M61,Parametros!$A$8:$A$9,0))*N61+INDEX(Parametros!$D$8:$D$9,MATCH(M61,Parametros!$A$8:$A$9,0)))+INDEX(Parametros!$E$8:$E$9,MATCH(M61,Parametros!$A$8:$A$9,0)))</f>
        <v/>
      </c>
      <c r="Q61" s="16" t="str">
        <f aca="false">IF(P61="","",E61-P61)</f>
        <v/>
      </c>
      <c r="S61" s="19" t="n">
        <f aca="false">IFERROR(MATCH($A61,Entregas!$A$3:$A$14,0),"")</f>
        <v>12</v>
      </c>
      <c r="T61" s="19" t="n">
        <f aca="false">IF($S61="",0,IF(AND(INDEX(Entregas!$F$3:$F$14,$S61)&lt;&gt;"",INDEX(Entregas!$F$3:$F$14,$S61)&gt;0,$B61&lt;=INDEX(Entregas!$G$3:$G$14,$S61)),1,0))</f>
        <v>0</v>
      </c>
    </row>
    <row r="62" customFormat="false" ht="15" hidden="false" customHeight="false" outlineLevel="0" collapsed="false">
      <c r="A62" s="15" t="s">
        <v>56</v>
      </c>
      <c r="B62" s="15" t="n">
        <v>5</v>
      </c>
      <c r="C62" s="15" t="str">
        <f aca="false">IF($T62=1,INDEX(Entregas!$B$3:$B$14,$S62),"")</f>
        <v/>
      </c>
      <c r="D62" s="15" t="str">
        <f aca="false">IF($T62=1,INDEX(Entregas!$C$3:$C$14,$S62),"")</f>
        <v/>
      </c>
      <c r="E62" s="16" t="str">
        <f aca="false">IF($T62=1,INDEX(Entregas!$F$3:$F$14,$S62)/INDEX(Entregas!$G$3:$G$14,$S62),"")</f>
        <v/>
      </c>
      <c r="F62" s="17" t="str">
        <f aca="false">IF($T62=1,J61+INDEX(Entregas!$I$3:$I$14,$S62),"")</f>
        <v/>
      </c>
      <c r="G62" s="17" t="str">
        <f aca="false">IF($T62=1,F62+MOD(1-WEEKDAY(F62,3)+7,7),"")</f>
        <v/>
      </c>
      <c r="H62" s="17" t="str">
        <f aca="false">IF($T62=1,EOMONTH(F62,0)+1,"")</f>
        <v/>
      </c>
      <c r="I62" s="17" t="str">
        <f aca="false">IF($T62=1,IF(DAY(H62+MOD(1-WEEKDAY(H62,3)+7,7))&lt;3,H62+MOD(1-WEEKDAY(H62,3)+7,7)+7,H62+MOD(1-WEEKDAY(H62,3)+7,7)),"")</f>
        <v/>
      </c>
      <c r="J62" s="17" t="str">
        <f aca="false">IF($T62=1,IF(INDEX(Entregas!$J$3:$J$14,$S62)="Corrido",F62,IF(DAY(G62)&gt;25,I62,IF(DAY(G62)&lt;3,G62+7,G62))),"")</f>
        <v/>
      </c>
      <c r="K62" s="18" t="str">
        <f aca="false">IF($T62=1,J62-Parametros!$B$4,"")</f>
        <v/>
      </c>
      <c r="L62" s="4"/>
      <c r="M62" s="12"/>
      <c r="N62" s="18" t="str">
        <f aca="false">IF(AND($T62=1,L62&lt;&gt;"",M62&lt;&gt;""),J62-L62,"")</f>
        <v/>
      </c>
      <c r="O62" s="15" t="str">
        <f aca="false">IF(N62="","",IF(N62&lt;0,"desc&gt;venc",IF(N62&gt;INDEX(Parametros!$F$8:$F$9,MATCH(M62,Parametros!$A$8:$A$9,0)),"EXCEDE","ok")))</f>
        <v/>
      </c>
      <c r="P62" s="16" t="str">
        <f aca="false">IF(OR(N62="",N62&lt;0),"",E62*(INDEX(Parametros!$B$8:$B$9,MATCH(M62,Parametros!$A$8:$A$9,0))/30)*N62+E62*(INDEX(Parametros!$C$8:$C$9,MATCH(M62,Parametros!$A$8:$A$9,0))*N62+INDEX(Parametros!$D$8:$D$9,MATCH(M62,Parametros!$A$8:$A$9,0)))+INDEX(Parametros!$E$8:$E$9,MATCH(M62,Parametros!$A$8:$A$9,0)))</f>
        <v/>
      </c>
      <c r="Q62" s="16" t="str">
        <f aca="false">IF(P62="","",E62-P62)</f>
        <v/>
      </c>
      <c r="S62" s="19" t="n">
        <f aca="false">IFERROR(MATCH($A62,Entregas!$A$3:$A$14,0),"")</f>
        <v>12</v>
      </c>
      <c r="T62" s="19" t="n">
        <f aca="false">IF($S62="",0,IF(AND(INDEX(Entregas!$F$3:$F$14,$S62)&lt;&gt;"",INDEX(Entregas!$F$3:$F$14,$S62)&gt;0,$B62&lt;=INDEX(Entregas!$G$3:$G$14,$S62)),1,0))</f>
        <v>0</v>
      </c>
    </row>
    <row r="64" customFormat="false" ht="15" hidden="false" customHeight="false" outlineLevel="0" collapsed="false">
      <c r="D64" s="3" t="s">
        <v>73</v>
      </c>
      <c r="E64" s="14" t="n">
        <f aca="false">SUM(E3:E62)</f>
        <v>2021655</v>
      </c>
      <c r="P64" s="14" t="n">
        <f aca="false">SUM(P3:P62)</f>
        <v>0</v>
      </c>
      <c r="Q64" s="14" t="n">
        <f aca="false">SUM(Q3:Q62)</f>
        <v>0</v>
      </c>
    </row>
  </sheetData>
  <dataValidations count="1">
    <dataValidation allowBlank="true" errorStyle="stop" operator="between" showDropDown="false" showErrorMessage="false" showInputMessage="false" sqref="M3:M62" type="list">
      <formula1>"Itaú,Ghia"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74</v>
      </c>
    </row>
    <row r="3" customFormat="false" ht="15" hidden="false" customHeight="false" outlineLevel="0" collapsed="false">
      <c r="A3" s="3" t="s">
        <v>75</v>
      </c>
    </row>
    <row r="4" customFormat="false" ht="15" hidden="false" customHeight="false" outlineLevel="0" collapsed="false">
      <c r="A4" s="5" t="s">
        <v>5</v>
      </c>
      <c r="B4" s="5" t="s">
        <v>76</v>
      </c>
      <c r="C4" s="5" t="s">
        <v>72</v>
      </c>
      <c r="D4" s="5" t="s">
        <v>77</v>
      </c>
      <c r="E4" s="5" t="s">
        <v>78</v>
      </c>
    </row>
    <row r="5" customFormat="false" ht="15" hidden="false" customHeight="false" outlineLevel="0" collapsed="false">
      <c r="A5" s="11" t="s">
        <v>12</v>
      </c>
      <c r="B5" s="16" t="n">
        <f aca="false">SUMIFS(Parcelas!$E$3:$E$62,Parcelas!$M$3:$M$62,A5)</f>
        <v>0</v>
      </c>
      <c r="C5" s="16" t="n">
        <f aca="false">SUMIFS(Parcelas!$Q$3:$Q$62,Parcelas!$M$3:$M$62,A5)</f>
        <v>0</v>
      </c>
      <c r="D5" s="16" t="n">
        <f aca="false">INDEX(Parametros!$G$8:$G$9,MATCH(A5,Parametros!$A$8:$A$9,0))</f>
        <v>650000</v>
      </c>
      <c r="E5" s="20" t="n">
        <f aca="false">IF(D5=0,"",B5/D5)</f>
        <v>0</v>
      </c>
    </row>
    <row r="6" customFormat="false" ht="15" hidden="false" customHeight="false" outlineLevel="0" collapsed="false">
      <c r="A6" s="11" t="s">
        <v>13</v>
      </c>
      <c r="B6" s="16" t="n">
        <f aca="false">SUMIFS(Parcelas!$E$3:$E$62,Parcelas!$M$3:$M$62,A6)</f>
        <v>0</v>
      </c>
      <c r="C6" s="16" t="n">
        <f aca="false">SUMIFS(Parcelas!$Q$3:$Q$62,Parcelas!$M$3:$M$62,A6)</f>
        <v>0</v>
      </c>
      <c r="D6" s="16" t="n">
        <f aca="false">INDEX(Parametros!$G$8:$G$9,MATCH(A6,Parametros!$A$8:$A$9,0))</f>
        <v>500000</v>
      </c>
      <c r="E6" s="20" t="n">
        <f aca="false">IF(D6=0,"",B6/D6)</f>
        <v>0</v>
      </c>
    </row>
    <row r="8" customFormat="false" ht="15" hidden="false" customHeight="false" outlineLevel="0" collapsed="false">
      <c r="A8" s="3" t="s">
        <v>79</v>
      </c>
      <c r="B8" s="21" t="n">
        <f aca="false">Entregas!F16</f>
        <v>2021655</v>
      </c>
    </row>
    <row r="9" customFormat="false" ht="15" hidden="false" customHeight="false" outlineLevel="0" collapsed="false">
      <c r="A9" s="3" t="s">
        <v>80</v>
      </c>
      <c r="B9" s="21" t="n">
        <f aca="false">SUM(B5:B6)</f>
        <v>0</v>
      </c>
    </row>
    <row r="10" customFormat="false" ht="15" hidden="false" customHeight="false" outlineLevel="0" collapsed="false">
      <c r="A10" s="3" t="s">
        <v>81</v>
      </c>
      <c r="B10" s="21" t="n">
        <f aca="false">SUM(C5:C6)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2" t="s">
        <v>84</v>
      </c>
    </row>
    <row r="6" customFormat="false" ht="15" hidden="false" customHeight="false" outlineLevel="0" collapsed="false">
      <c r="A6" s="2" t="s">
        <v>85</v>
      </c>
    </row>
    <row r="7" customFormat="false" ht="15" hidden="false" customHeight="false" outlineLevel="0" collapsed="false">
      <c r="A7" s="2" t="s">
        <v>86</v>
      </c>
    </row>
    <row r="8" customFormat="false" ht="15" hidden="false" customHeight="false" outlineLevel="0" collapsed="false">
      <c r="A8" s="2" t="s">
        <v>87</v>
      </c>
    </row>
    <row r="9" customFormat="false" ht="15" hidden="false" customHeight="false" outlineLevel="0" collapsed="false">
      <c r="A9" s="2" t="s">
        <v>88</v>
      </c>
    </row>
    <row r="10" customFormat="false" ht="15" hidden="false" customHeight="false" outlineLevel="0" collapsed="false">
      <c r="A10" s="2" t="s">
        <v>89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90</v>
      </c>
    </row>
    <row r="13" customFormat="false" ht="15" hidden="false" customHeight="false" outlineLevel="0" collapsed="false">
      <c r="A13" s="2" t="s">
        <v>91</v>
      </c>
    </row>
    <row r="14" customFormat="false" ht="15" hidden="false" customHeight="false" outlineLevel="0" collapsed="false">
      <c r="A14" s="2" t="s">
        <v>92</v>
      </c>
    </row>
    <row r="15" customFormat="false" ht="15" hidden="false" customHeight="false" outlineLevel="0" collapsed="false">
      <c r="A15" s="2" t="s">
        <v>93</v>
      </c>
    </row>
    <row r="16" customFormat="false" ht="15" hidden="false" customHeight="false" outlineLevel="0" collapsed="false">
      <c r="A16" s="2" t="s">
        <v>94</v>
      </c>
    </row>
    <row r="17" customFormat="false" ht="15" hidden="false" customHeight="false" outlineLevel="0" collapsed="false">
      <c r="A17" s="22"/>
    </row>
    <row r="18" customFormat="false" ht="15" hidden="false" customHeight="false" outlineLevel="0" collapsed="false">
      <c r="A18" s="22" t="s">
        <v>95</v>
      </c>
    </row>
    <row r="19" customFormat="false" ht="15" hidden="false" customHeight="false" outlineLevel="0" collapsed="false">
      <c r="A19" s="2" t="s">
        <v>96</v>
      </c>
    </row>
    <row r="20" customFormat="false" ht="15" hidden="false" customHeight="false" outlineLevel="0" collapsed="false">
      <c r="A20" s="22"/>
    </row>
    <row r="21" customFormat="false" ht="15" hidden="false" customHeight="false" outlineLevel="0" collapsed="false">
      <c r="A21" s="2" t="s">
        <v>97</v>
      </c>
    </row>
    <row r="22" customFormat="false" ht="15" hidden="false" customHeight="false" outlineLevel="0" collapsed="false">
      <c r="A22" s="2" t="s">
        <v>98</v>
      </c>
    </row>
    <row r="23" customFormat="false" ht="15" hidden="false" customHeight="false" outlineLevel="0" collapsed="false">
      <c r="A23" s="22"/>
    </row>
    <row r="24" customFormat="false" ht="15" hidden="false" customHeight="false" outlineLevel="0" collapsed="false">
      <c r="A24" s="2" t="s">
        <v>99</v>
      </c>
    </row>
    <row r="25" customFormat="false" ht="15" hidden="false" customHeight="false" outlineLevel="0" collapsed="false">
      <c r="A25" s="2" t="s">
        <v>100</v>
      </c>
    </row>
    <row r="26" customFormat="false" ht="15" hidden="false" customHeight="false" outlineLevel="0" collapsed="false">
      <c r="A26" s="22"/>
    </row>
    <row r="27" customFormat="false" ht="15" hidden="false" customHeight="false" outlineLevel="0" collapsed="false">
      <c r="A27" s="2" t="s">
        <v>101</v>
      </c>
    </row>
    <row r="28" customFormat="false" ht="15" hidden="false" customHeight="false" outlineLevel="0" collapsed="false">
      <c r="A28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2026-08-05T22:12:33Z</dcterms:created>
  <dc:creator>openpyxl</dc:creator>
  <dc:description/>
  <dc:language>en-US</dc:language>
  <cp:lastModifiedBy/>
  <dcterms:modified xsi:type="dcterms:W3CDTF">2026-08-05T22:12:33Z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
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7" Type="http://schemas.openxmlformats.org/officeDocument/2006/relationships/custom-properties" Target="docProps/custom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extended-properties" Target="docProps/app.xml"/><Relationship Id="rId5" Type="http://schemas.openxmlformats.org/package/2006/relationships/metadata/core-properties" Target="docProps/core.xml"/><Relationship Id="rId4" Type="http://schemas.openxmlformats.org/package/2006/relationships/metadata/thumbnail" Target="docProps/thumbnail.emf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codeName="ThisWorkbook"/>
  <xr:revisionPtr revIDLastSave="0" documentId="8_{D46C5CF6-91DE-431D-986A-08A5E8D244B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çamento empresarial" sheetId="2" r:id="rId1"/>
  </sheets>
  <definedNames>
    <definedName name="RegiãoDeTítuloDeLinha1..D4">'Orçamento empresarial'!$B$3</definedName>
    <definedName name="TítuloColuna1">Dados[[#Headers],[Item]]</definedName>
    <definedName name="_xlnm.Print_Titles" localSheetId="0">'Orçamento empresarial'!$7:$7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F8" i="2"/>
  <c r="C4" i="2" s="1"/>
  <c r="F9" i="2"/>
  <c r="F10" i="2"/>
  <c r="F11" i="2"/>
  <c r="F12" i="2"/>
  <c r="F13" i="2"/>
  <c r="F14" i="2"/>
  <c r="F15" i="2"/>
  <c r="F16" i="2"/>
  <c r="F17" i="2"/>
  <c r="G3" i="2" l="1"/>
  <c r="B6" i="2"/>
  <c r="C6" i="2"/>
  <c r="F18" i="2"/>
</calcChain>
</file>

<file path=xl/sharedStrings.xml><?xml version="1.0" encoding="utf-8"?>
<sst xmlns="http://schemas.openxmlformats.org/spreadsheetml/2006/main" count="30" uniqueCount="25">
  <si>
    <t>Item</t>
  </si>
  <si>
    <t>Diversos</t>
  </si>
  <si>
    <t>Total</t>
  </si>
  <si>
    <t>Descrição</t>
  </si>
  <si>
    <t>Montante</t>
  </si>
  <si>
    <t>Custo</t>
  </si>
  <si>
    <t>Qtd.</t>
  </si>
  <si>
    <t>Anotações</t>
  </si>
  <si>
    <t>Orçamento planejado</t>
  </si>
  <si>
    <t>Despesas totais</t>
  </si>
  <si>
    <t>Folha de Pagamento</t>
  </si>
  <si>
    <t>Aluguel</t>
  </si>
  <si>
    <t>Marketing</t>
  </si>
  <si>
    <t>Utilidades</t>
  </si>
  <si>
    <t>Software e Assinaturas</t>
  </si>
  <si>
    <t>Suprimentos de Escritório</t>
  </si>
  <si>
    <t>Serviços de Terceiros</t>
  </si>
  <si>
    <t>Equipe administrativa</t>
  </si>
  <si>
    <t>Equipe operacional</t>
  </si>
  <si>
    <t>Escritório</t>
  </si>
  <si>
    <t>Depósito</t>
  </si>
  <si>
    <t>Custo por campanha</t>
  </si>
  <si>
    <t>Custo por kWh</t>
  </si>
  <si>
    <t>Custo por hora</t>
  </si>
  <si>
    <t>Orçamento anual | Baboon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</si>
</sst>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7" formatCode="&quot;R$&quot;\ #,##0.00;\-&quot;R$&quot;\ #,##0.00"/>
    <numFmt numFmtId="8" formatCode="&quot;R$&quot;\ #,##0.00;[Red]\-&quot;R$&quot;\ #,##0.00"/>
    <numFmt numFmtId="164" formatCode="_(* #,##0.00_);_(* \(#,##0.00\);_(* &quot;-&quot;??_);_(@_)"/>
    <numFmt numFmtId="165" formatCode="&quot;R$&quot;\ #,##0.00"/>
    <numFmt numFmtId="166" formatCode="&quot;R$&quot;\ #,##0.00;[Red]&quot;R$&quot;\ #,##0.00"/>
    <numFmt numFmtId="167" formatCode="#,##0_ ;\-#,##0\ "/>
  </numFmts>
  <fonts count="36">
    <font>
      <sz val="11"/>
      <color theme="1" tint="0.24994659260841701"/>
      <name val="Trebuchet MS"/>
      <family val="2"/>
      <scheme val="minor"/>
    </font>
    <font>
      <sz val="11"/>
      <color theme="1"/>
      <name val="Trebuchet MS"/>
      <family val="2"/>
      <charset val="134"/>
      <scheme val="minor"/>
    </font>
    <font>
      <b/>
      <sz val="11"/>
      <color theme="3"/>
      <name val="Trebuchet MS"/>
      <family val="2"/>
      <scheme val="minor"/>
    </font>
    <font>
      <sz val="10"/>
      <color theme="1"/>
      <name val="Trebuchet MS"/>
      <family val="2"/>
      <scheme val="minor"/>
    </font>
    <font>
      <sz val="26"/>
      <color theme="1" tint="0.24994659260841701"/>
      <name val="Trebuchet MS"/>
      <family val="2"/>
      <scheme val="major"/>
    </font>
    <font>
      <b/>
      <sz val="14"/>
      <color theme="5" tint="-0.499984740745262"/>
      <name val="Trebuchet MS"/>
      <family val="2"/>
      <scheme val="major"/>
    </font>
    <font>
      <b/>
      <sz val="14"/>
      <color theme="6" tint="-0.24994659260841701"/>
      <name val="Trebuchet MS"/>
      <family val="2"/>
      <scheme val="major"/>
    </font>
    <font>
      <sz val="11"/>
      <color theme="1" tint="0.24994659260841701"/>
      <name val="Trebuchet MS"/>
      <family val="2"/>
      <scheme val="minor"/>
    </font>
    <font>
      <b/>
      <sz val="14"/>
      <color theme="5" tint="-0.249977111117893"/>
      <name val="Trebuchet MS"/>
      <family val="2"/>
      <scheme val="minor"/>
    </font>
    <font>
      <b/>
      <sz val="14"/>
      <color theme="0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14"/>
      <color theme="4" tint="-0.249977111117893"/>
      <name val="Trebuchet MS"/>
      <family val="2"/>
      <scheme val="minor"/>
    </font>
    <font>
      <sz val="11"/>
      <color theme="3"/>
      <name val="Trebuchet MS"/>
      <family val="2"/>
      <scheme val="minor"/>
    </font>
    <font>
      <sz val="26"/>
      <color theme="3"/>
      <name val="Trebuchet MS"/>
      <family val="2"/>
      <scheme val="minor"/>
    </font>
    <font>
      <sz val="12"/>
      <color theme="3"/>
      <name val="Trebuchet MS"/>
      <family val="2"/>
      <scheme val="minor"/>
    </font>
    <font>
      <b/>
      <sz val="12"/>
      <color theme="3"/>
      <name val="Trebuchet MS"/>
      <family val="2"/>
      <scheme val="minor"/>
    </font>
    <font>
      <sz val="14"/>
      <color theme="1" tint="0.24994659260841701"/>
      <name val="Trebuchet MS"/>
      <family val="2"/>
      <scheme val="minor"/>
    </font>
    <font>
      <sz val="12"/>
      <color theme="1" tint="0.24994659260841701"/>
      <name val="Trebuchet MS"/>
      <family val="2"/>
      <scheme val="minor"/>
    </font>
    <font>
      <b/>
      <sz val="11"/>
      <name val="Trebuchet MS"/>
      <family val="2"/>
      <scheme val="minor"/>
    </font>
    <font>
      <sz val="48"/>
      <color theme="5" tint="-0.499984740745262"/>
      <name val="Trebuchet MS"/>
      <family val="2"/>
      <scheme val="major"/>
    </font>
    <font>
      <b/>
      <sz val="14"/>
      <color theme="5" tint="-0.249977111117893"/>
      <name val="Trebuchet MS"/>
      <family val="2"/>
      <scheme val="major"/>
    </font>
    <font>
      <b/>
      <sz val="14"/>
      <color theme="4" tint="-0.249977111117893"/>
      <name val="Trebuchet MS"/>
      <family val="2"/>
      <scheme val="major"/>
    </font>
    <font>
      <b/>
      <sz val="12"/>
      <color theme="3"/>
      <name val="Trebuchet MS"/>
      <family val="2"/>
      <scheme val="major"/>
    </font>
    <font>
      <sz val="14"/>
      <color theme="1" tint="0.24994659260841701"/>
      <name val="Trebuchet MS"/>
      <family val="2"/>
      <scheme val="major"/>
    </font>
    <font>
      <sz val="11"/>
      <color rgb="FF006100"/>
      <name val="Trebuchet MS"/>
      <family val="2"/>
      <charset val="134"/>
      <scheme val="minor"/>
    </font>
    <font>
      <sz val="11"/>
      <color rgb="FF9C0006"/>
      <name val="Trebuchet MS"/>
      <family val="2"/>
      <charset val="134"/>
      <scheme val="minor"/>
    </font>
    <font>
      <sz val="11"/>
      <color rgb="FF9C5700"/>
      <name val="Trebuchet MS"/>
      <family val="2"/>
      <charset val="134"/>
      <scheme val="minor"/>
    </font>
    <font>
      <sz val="11"/>
      <color rgb="FF3F3F76"/>
      <name val="Trebuchet MS"/>
      <family val="2"/>
      <charset val="134"/>
      <scheme val="minor"/>
    </font>
    <font>
      <b/>
      <sz val="11"/>
      <color rgb="FF3F3F3F"/>
      <name val="Trebuchet MS"/>
      <family val="2"/>
      <charset val="134"/>
      <scheme val="minor"/>
    </font>
    <font>
      <b/>
      <sz val="11"/>
      <color rgb="FFFA7D00"/>
      <name val="Trebuchet MS"/>
      <family val="2"/>
      <charset val="134"/>
      <scheme val="minor"/>
    </font>
    <font>
      <sz val="11"/>
      <color rgb="FFFA7D00"/>
      <name val="Trebuchet MS"/>
      <family val="2"/>
      <charset val="134"/>
      <scheme val="minor"/>
    </font>
    <font>
      <b/>
      <sz val="11"/>
      <color theme="0"/>
      <name val="Trebuchet MS"/>
      <family val="2"/>
      <charset val="134"/>
      <scheme val="minor"/>
    </font>
    <font>
      <sz val="11"/>
      <color rgb="FFFF0000"/>
      <name val="Trebuchet MS"/>
      <family val="2"/>
      <charset val="134"/>
      <scheme val="minor"/>
    </font>
    <font>
      <i/>
      <sz val="11"/>
      <color rgb="FF7F7F7F"/>
      <name val="Trebuchet MS"/>
      <family val="2"/>
      <charset val="134"/>
      <scheme val="minor"/>
    </font>
    <font>
      <b/>
      <sz val="11"/>
      <color theme="1"/>
      <name val="Trebuchet MS"/>
      <family val="2"/>
      <charset val="134"/>
      <scheme val="minor"/>
    </font>
    <font>
      <sz val="11"/>
      <color theme="0"/>
      <name val="Trebuchet MS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6" tint="-0.24994659260841701"/>
      </bottom>
      <diagonal/>
    </border>
    <border>
      <left/>
      <right/>
      <top/>
      <bottom style="thick">
        <color theme="5" tint="-0.24994659260841701"/>
      </bottom>
      <diagonal/>
    </border>
    <border>
      <left/>
      <right/>
      <top/>
      <bottom style="thick">
        <color theme="5"/>
      </bottom>
      <diagonal/>
    </border>
    <border>
      <left/>
      <right/>
      <top/>
      <bottom style="thick">
        <color theme="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>
      <alignment wrapText="1"/>
    </xf>
    <xf numFmtId="0" fontId="4" fillId="2" borderId="0" applyNumberFormat="0" applyProtection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1" applyNumberFormat="0" applyFill="0" applyProtection="0">
      <alignment vertical="center"/>
    </xf>
    <xf numFmtId="0" fontId="2" fillId="0" borderId="0" applyNumberFormat="0" applyFill="0" applyBorder="0" applyProtection="0">
      <alignment vertical="center"/>
    </xf>
    <xf numFmtId="164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7" fontId="7" fillId="0" borderId="0" applyFont="0" applyFill="0" applyBorder="0" applyAlignment="0" applyProtection="0"/>
    <xf numFmtId="7" fontId="7" fillId="0" borderId="0" applyFont="0" applyFill="0" applyBorder="0" applyProtection="0">
      <alignment horizontal="left" vertical="center"/>
    </xf>
    <xf numFmtId="9" fontId="7" fillId="0" borderId="0" applyFont="0" applyFill="0" applyBorder="0" applyAlignment="0" applyProtection="0"/>
    <xf numFmtId="0" fontId="4" fillId="2" borderId="2" applyNumberFormat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0" applyNumberFormat="0" applyBorder="0" applyAlignment="0" applyProtection="0"/>
    <xf numFmtId="0" fontId="27" fillId="6" borderId="5" applyNumberFormat="0" applyAlignment="0" applyProtection="0"/>
    <xf numFmtId="0" fontId="28" fillId="7" borderId="6" applyNumberFormat="0" applyAlignment="0" applyProtection="0"/>
    <xf numFmtId="0" fontId="29" fillId="7" borderId="5" applyNumberFormat="0" applyAlignment="0" applyProtection="0"/>
    <xf numFmtId="0" fontId="30" fillId="0" borderId="7" applyNumberFormat="0" applyFill="0" applyAlignment="0" applyProtection="0"/>
    <xf numFmtId="0" fontId="31" fillId="8" borderId="8" applyNumberFormat="0" applyAlignment="0" applyProtection="0"/>
    <xf numFmtId="0" fontId="32" fillId="0" borderId="0" applyNumberFormat="0" applyFill="0" applyBorder="0" applyAlignment="0" applyProtection="0"/>
    <xf numFmtId="0" fontId="7" fillId="9" borderId="9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5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5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5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5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5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39">
    <xf numFmtId="0" fontId="0" fillId="0" borderId="0" xfId="0">
      <alignment wrapText="1"/>
    </xf>
    <xf numFmtId="0" fontId="3" fillId="0" borderId="0" xfId="0" applyFont="1">
      <alignment wrapText="1"/>
    </xf>
    <xf numFmtId="0" fontId="3" fillId="0" borderId="0" xfId="0" applyFont="1" applyAlignment="1">
      <alignment vertical="center" wrapText="1"/>
    </xf>
    <xf numFmtId="0" fontId="12" fillId="0" borderId="0" xfId="0" applyFont="1">
      <alignment wrapText="1"/>
    </xf>
    <xf numFmtId="0" fontId="11" fillId="0" borderId="3" xfId="3" applyFont="1" applyBorder="1" applyAlignment="1">
      <alignment horizontal="left" vertical="center"/>
    </xf>
    <xf numFmtId="0" fontId="13" fillId="0" borderId="0" xfId="10" applyFont="1" applyFill="1" applyBorder="1" applyAlignment="1">
      <alignment vertical="center"/>
    </xf>
    <xf numFmtId="0" fontId="13" fillId="2" borderId="0" xfId="10" applyFont="1" applyBorder="1" applyAlignment="1">
      <alignment horizontal="left" vertical="center" indent="1"/>
    </xf>
    <xf numFmtId="0" fontId="14" fillId="0" borderId="0" xfId="0" applyFont="1">
      <alignment wrapText="1"/>
    </xf>
    <xf numFmtId="0" fontId="15" fillId="0" borderId="0" xfId="4" applyFont="1">
      <alignment vertical="center"/>
    </xf>
    <xf numFmtId="0" fontId="16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17" fillId="0" borderId="0" xfId="0" applyFont="1" applyAlignment="1">
      <alignment horizontal="left" vertical="center" wrapText="1" indent="1"/>
    </xf>
    <xf numFmtId="0" fontId="17" fillId="0" borderId="0" xfId="0" applyFont="1" applyAlignment="1">
      <alignment vertical="center" wrapText="1"/>
    </xf>
    <xf numFmtId="167" fontId="17" fillId="0" borderId="0" xfId="6" applyFont="1" applyFill="1" applyBorder="1" applyAlignment="1">
      <alignment horizontal="center" vertical="center"/>
    </xf>
    <xf numFmtId="49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9" fillId="2" borderId="0" xfId="0" applyFont="1" applyFill="1" applyAlignment="1">
      <alignment horizontal="left" vertical="center" indent="1"/>
    </xf>
    <xf numFmtId="0" fontId="20" fillId="0" borderId="0" xfId="2" applyFont="1" applyAlignment="1">
      <alignment horizontal="left" vertical="center" indent="1"/>
    </xf>
    <xf numFmtId="0" fontId="21" fillId="0" borderId="0" xfId="3" applyFont="1" applyBorder="1" applyAlignment="1">
      <alignment horizontal="left" vertical="center" indent="1"/>
    </xf>
    <xf numFmtId="0" fontId="22" fillId="0" borderId="0" xfId="4" applyFont="1" applyBorder="1" applyAlignment="1">
      <alignment horizontal="left" vertical="center" indent="1"/>
    </xf>
    <xf numFmtId="0" fontId="23" fillId="0" borderId="4" xfId="0" applyFont="1" applyBorder="1" applyAlignment="1">
      <alignment horizontal="left" vertical="center" indent="1"/>
    </xf>
    <xf numFmtId="0" fontId="23" fillId="0" borderId="4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7" fontId="8" fillId="0" borderId="0" xfId="8" applyFont="1" applyBorder="1">
      <alignment horizontal="left" vertical="center"/>
    </xf>
    <xf numFmtId="165" fontId="9" fillId="0" borderId="0" xfId="2" applyNumberFormat="1" applyFont="1" applyBorder="1">
      <alignment vertical="center"/>
    </xf>
    <xf numFmtId="165" fontId="10" fillId="0" borderId="0" xfId="2" applyNumberFormat="1" applyFont="1">
      <alignment vertical="center"/>
    </xf>
    <xf numFmtId="7" fontId="11" fillId="0" borderId="0" xfId="8" applyFont="1" applyBorder="1">
      <alignment horizontal="left" vertical="center"/>
    </xf>
    <xf numFmtId="7" fontId="11" fillId="0" borderId="3" xfId="8" applyFont="1" applyBorder="1">
      <alignment horizontal="left" vertical="center"/>
    </xf>
    <xf numFmtId="165" fontId="9" fillId="0" borderId="3" xfId="2" applyNumberFormat="1" applyFont="1" applyFill="1" applyBorder="1">
      <alignment vertical="center"/>
    </xf>
    <xf numFmtId="7" fontId="15" fillId="0" borderId="0" xfId="8" applyFont="1" applyBorder="1">
      <alignment horizontal="left" vertical="center"/>
    </xf>
    <xf numFmtId="166" fontId="23" fillId="0" borderId="4" xfId="0" applyNumberFormat="1" applyFont="1" applyBorder="1" applyAlignment="1">
      <alignment horizontal="center" vertical="center"/>
    </xf>
    <xf numFmtId="166" fontId="23" fillId="0" borderId="4" xfId="0" applyNumberFormat="1" applyFont="1" applyBorder="1" applyAlignment="1">
      <alignment horizontal="right" vertical="center" indent="1"/>
    </xf>
    <xf numFmtId="7" fontId="17" fillId="0" borderId="0" xfId="7" applyFont="1" applyFill="1" applyBorder="1" applyAlignment="1">
      <alignment horizontal="center" vertical="center"/>
    </xf>
    <xf numFmtId="7" fontId="17" fillId="0" borderId="0" xfId="7" applyFont="1" applyFill="1" applyBorder="1" applyAlignment="1">
      <alignment horizontal="right" vertical="center" indent="1"/>
    </xf>
    <xf numFmtId="165" fontId="17" fillId="0" borderId="0" xfId="0" applyNumberFormat="1" applyFont="1" applyAlignment="1">
      <alignment horizontal="right" vertical="center" indent="1"/>
    </xf>
    <xf numFmtId="8" fontId="10" fillId="0" borderId="0" xfId="3" applyNumberFormat="1" applyFont="1" applyBorder="1">
      <alignment vertical="center"/>
    </xf>
    <xf numFmtId="8" fontId="10" fillId="0" borderId="3" xfId="3" applyNumberFormat="1" applyFont="1" applyBorder="1">
      <alignment vertical="center"/>
    </xf>
    <xf numFmtId="8" fontId="17" fillId="0" borderId="0" xfId="0" applyNumberFormat="1" applyFont="1" applyAlignment="1">
      <alignment horizontal="center" vertical="center"/>
    </xf>
  </cellXfs>
  <cellStyles count="47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Moeda" xfId="7" builtinId="4" customBuiltin="1"/>
    <cellStyle name="Moeda [0]" xfId="8" builtinId="7" customBuiltin="1"/>
    <cellStyle name="Neutro" xfId="13" builtinId="28" customBuiltin="1"/>
    <cellStyle name="Normal" xfId="0" builtinId="0" customBuiltin="1"/>
    <cellStyle name="Nota" xfId="20" builtinId="10" customBuiltin="1"/>
    <cellStyle name="Porcentagem" xfId="9" builtinId="5" customBuiltin="1"/>
    <cellStyle name="Ruim" xfId="12" builtinId="27" customBuiltin="1"/>
    <cellStyle name="Saída" xfId="15" builtinId="21" customBuiltin="1"/>
    <cellStyle name="Separador de milhares [0]" xfId="6" builtinId="6" customBuiltin="1"/>
    <cellStyle name="Texto de Aviso" xfId="19" builtinId="11" customBuiltin="1"/>
    <cellStyle name="Texto Explicativo" xfId="21" builtinId="53" customBuiltin="1"/>
    <cellStyle name="Título" xfId="10" builtinId="15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4" builtinId="19" customBuiltin="1"/>
    <cellStyle name="Total" xfId="22" builtinId="25" customBuiltin="1"/>
    <cellStyle name="Vírgula" xfId="5" builtinId="3" customBuiltin="1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numFmt numFmtId="165" formatCode="&quot;R$&quot;\ #,##0.00"/>
      <alignment horizontal="right" vertical="center" textRotation="0" wrapText="0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numFmt numFmtId="12" formatCode="&quot;R$&quot;\ #,##0.00;[Red]\-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  <alignment horizontal="left" vertical="center" textRotation="0" wrapText="1" indent="1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1" tint="0.24994659260841701"/>
        <name val="Trebuchet MS"/>
        <family val="2"/>
        <scheme val="minor"/>
      </font>
    </dxf>
    <dxf>
      <border>
        <bottom style="thick">
          <color theme="0"/>
        </bottom>
      </border>
    </dxf>
    <dxf>
      <font>
        <b/>
        <i val="0"/>
        <strike val="0"/>
        <outline val="0"/>
        <shadow val="0"/>
        <u val="none"/>
        <vertAlign val="baseline"/>
        <sz val="11"/>
        <color auto="1"/>
        <name val="Trebuchet MS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Trebuchet MS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4"/>
        <color theme="1" tint="0.24994659260841701"/>
        <name val="Trebuchet MS"/>
        <family val="2"/>
        <scheme val="major"/>
      </font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color theme="0"/>
      </font>
    </dxf>
    <dxf>
      <fill>
        <patternFill patternType="solid">
          <fgColor theme="5" tint="0.79998168889431442"/>
          <bgColor theme="5" tint="0.79998168889431442"/>
        </patternFill>
      </fill>
    </dxf>
    <dxf>
      <font>
        <b/>
        <i val="0"/>
        <color theme="3"/>
      </font>
      <fill>
        <patternFill patternType="none">
          <bgColor auto="1"/>
        </patternFill>
      </fill>
      <border>
        <top style="thick">
          <color theme="5"/>
        </top>
        <bottom style="thick">
          <color theme="5"/>
        </bottom>
      </border>
    </dxf>
    <dxf>
      <font>
        <b/>
        <color theme="0"/>
      </font>
      <fill>
        <patternFill patternType="solid">
          <fgColor theme="5" tint="-0.499984740745262"/>
          <bgColor theme="5" tint="-0.499984740745262"/>
        </patternFill>
      </fill>
    </dxf>
    <dxf>
      <font>
        <color theme="3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DeTabelaMédio3 2" pivot="0" count="4" xr9:uid="{A88AE882-90C2-E547-A305-113545AB80EA}">
      <tableStyleElement type="wholeTable" dxfId="20"/>
      <tableStyleElement type="headerRow" dxfId="19"/>
      <tableStyleElement type="totalRow" dxfId="18"/>
      <tableStyleElement type="first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758169934640521E-2"/>
          <c:y val="2.693599837111443E-2"/>
          <c:w val="0.94248366013071894"/>
          <c:h val="0.9473650380096159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3">
                      <a:shade val="30000"/>
                      <a:satMod val="115000"/>
                    </a:schemeClr>
                  </a:gs>
                  <a:gs pos="50000">
                    <a:schemeClr val="accent3">
                      <a:shade val="67500"/>
                      <a:satMod val="115000"/>
                    </a:schemeClr>
                  </a:gs>
                  <a:gs pos="100000">
                    <a:schemeClr val="accent3">
                      <a:shade val="100000"/>
                      <a:satMod val="1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E4F-9064-C7F9A30C221C}"/>
              </c:ext>
            </c:extLst>
          </c:dPt>
          <c:dPt>
            <c:idx val="1"/>
            <c:invertIfNegative val="0"/>
            <c:bubble3D val="0"/>
            <c:spPr>
              <a:gradFill flip="none" rotWithShape="1">
                <a:gsLst>
                  <a:gs pos="0">
                    <a:schemeClr val="accent2">
                      <a:shade val="30000"/>
                      <a:satMod val="115000"/>
                    </a:schemeClr>
                  </a:gs>
                  <a:gs pos="50000">
                    <a:schemeClr val="accent2">
                      <a:shade val="67500"/>
                      <a:satMod val="115000"/>
                    </a:schemeClr>
                  </a:gs>
                  <a:gs pos="100000">
                    <a:schemeClr val="accent2">
                      <a:shade val="100000"/>
                      <a:satMod val="115000"/>
                    </a:schemeClr>
                  </a:gs>
                </a:gsLst>
                <a:lin ang="10800000" scaled="1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E4F-9064-C7F9A30C221C}"/>
              </c:ext>
            </c:extLst>
          </c:dPt>
          <c:dLbls>
            <c:delete val="1"/>
          </c:dLbls>
          <c:val>
            <c:numLit>
              <c:formatCode>General</c:formatCode>
              <c:ptCount val="2"/>
              <c:pt idx="0">
                <c:v>0</c:v>
              </c:pt>
              <c:pt idx="1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97F7-4E4F-9064-C7F9A30C221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"/>
        <c:axId val="255005400"/>
        <c:axId val="255004224"/>
        <c:extLst/>
      </c:barChart>
      <c:barChart>
        <c:barDir val="bar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7F7-4E4F-9064-C7F9A30C22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97F7-4E4F-9064-C7F9A30C22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'Orçamento empresarial'!$G$3:$G$4</c:f>
              <c:numCache>
                <c:formatCode>"R$"#,##0.00_);[Red]\("R$"#,##0.00\)</c:formatCode>
                <c:ptCount val="2"/>
                <c:pt idx="0" formatCode="&quot;R$&quot;\ #,##0.00">
                  <c:v>21870</c:v>
                </c:pt>
                <c:pt idx="1">
                  <c:v>22000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7F7-4E4F-9064-C7F9A30C2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"/>
        <c:axId val="298395664"/>
        <c:axId val="255006184"/>
      </c:barChart>
      <c:catAx>
        <c:axId val="255005400"/>
        <c:scaling>
          <c:orientation val="minMax"/>
        </c:scaling>
        <c:delete val="1"/>
        <c:axPos val="l"/>
        <c:numFmt formatCode="&quot;$&quot;#,##0.00_);[Red]\(&quot;$&quot;#,##0.00\)" sourceLinked="1"/>
        <c:majorTickMark val="none"/>
        <c:minorTickMark val="none"/>
        <c:tickLblPos val="nextTo"/>
        <c:crossAx val="255004224"/>
        <c:crosses val="autoZero"/>
        <c:auto val="1"/>
        <c:lblAlgn val="ctr"/>
        <c:lblOffset val="100"/>
        <c:noMultiLvlLbl val="0"/>
      </c:catAx>
      <c:valAx>
        <c:axId val="255004224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55005400"/>
        <c:crosses val="autoZero"/>
        <c:crossBetween val="between"/>
      </c:valAx>
      <c:valAx>
        <c:axId val="255006184"/>
        <c:scaling>
          <c:orientation val="minMax"/>
        </c:scaling>
        <c:delete val="1"/>
        <c:axPos val="t"/>
        <c:numFmt formatCode="&quot;R$&quot;\ #,##0.00" sourceLinked="1"/>
        <c:majorTickMark val="out"/>
        <c:minorTickMark val="none"/>
        <c:tickLblPos val="nextTo"/>
        <c:crossAx val="298395664"/>
        <c:crosses val="max"/>
        <c:crossBetween val="between"/>
      </c:valAx>
      <c:catAx>
        <c:axId val="298395664"/>
        <c:scaling>
          <c:orientation val="minMax"/>
        </c:scaling>
        <c:delete val="1"/>
        <c:axPos val="l"/>
        <c:majorTickMark val="out"/>
        <c:minorTickMark val="none"/>
        <c:tickLblPos val="nextTo"/>
        <c:crossAx val="255006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1058</xdr:colOff>
      <xdr:row>2</xdr:row>
      <xdr:rowOff>57150</xdr:rowOff>
    </xdr:from>
    <xdr:to>
      <xdr:col>6</xdr:col>
      <xdr:colOff>1908175</xdr:colOff>
      <xdr:row>3</xdr:row>
      <xdr:rowOff>431800</xdr:rowOff>
    </xdr:to>
    <xdr:graphicFrame macro="">
      <xdr:nvGraphicFramePr>
        <xdr:cNvPr id="5" name="Gráfico de Custo do Orçamento" descr="Gráfico mostrando o orçamento total e o custo total da viagem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" displayName="Dados" ref="B7:G18" totalsRowCount="1" headerRowDxfId="15" dataDxfId="14" totalsRowDxfId="13" headerRowBorderDxfId="12">
  <autoFilter ref="B7:G1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Item" totalsRowLabel="Total" dataDxfId="11" totalsRowDxfId="10"/>
    <tableColumn id="2" xr3:uid="{00000000-0010-0000-0000-000002000000}" name="Descrição" dataDxfId="9" totalsRowDxfId="8"/>
    <tableColumn id="3" xr3:uid="{00000000-0010-0000-0000-000003000000}" name="Custo" dataDxfId="7" totalsRowDxfId="6"/>
    <tableColumn id="4" xr3:uid="{00000000-0010-0000-0000-000004000000}" name="Qtd." dataDxfId="5" totalsRowDxfId="4"/>
    <tableColumn id="5" xr3:uid="{00000000-0010-0000-0000-000005000000}" name="Montante" totalsRowFunction="sum" dataDxfId="3" totalsRowDxfId="2">
      <calculatedColumnFormula>Dados[[#This Row],[Qtd.]]*Dados[[#This Row],[Custo]]</calculatedColumnFormula>
    </tableColumn>
    <tableColumn id="6" xr3:uid="{00000000-0010-0000-0000-000006000000}" name="Anotações" dataDxfId="1" totalsRowDxfId="0"/>
  </tableColumns>
  <tableStyleInfo name="EstiloDeTabelaMédio3 2" showFirstColumn="0" showLastColumn="0" showRowStripes="1" showColumnStripes="0"/>
  <extLst>
    <ext xmlns:x14="http://schemas.microsoft.com/office/spreadsheetml/2009/9/main" uri="{504A1905-F514-4f6f-8877-14C23A59335A}">
      <x14:table altTextSummary="Insira o Item, Descrição, Custo, Quantidade e as Anotações nesta tabela. O valor é calculado automaticamente"/>
    </ext>
  </extLst>
</table>
</file>

<file path=xl/theme/theme1.xml><?xml version="1.0" encoding="utf-8"?>
<a:theme xmlns:a="http://schemas.openxmlformats.org/drawingml/2006/main" name="Office Theme">
  <a:themeElements>
    <a:clrScheme name="Business trip budget">
      <a:dk1>
        <a:srgbClr val="000000"/>
      </a:dk1>
      <a:lt1>
        <a:srgbClr val="FFFFFF"/>
      </a:lt1>
      <a:dk2>
        <a:srgbClr val="334E4E"/>
      </a:dk2>
      <a:lt2>
        <a:srgbClr val="F0F0F0"/>
      </a:lt2>
      <a:accent1>
        <a:srgbClr val="8CABB1"/>
      </a:accent1>
      <a:accent2>
        <a:srgbClr val="94BD59"/>
      </a:accent2>
      <a:accent3>
        <a:srgbClr val="E1B13F"/>
      </a:accent3>
      <a:accent4>
        <a:srgbClr val="DC8358"/>
      </a:accent4>
      <a:accent5>
        <a:srgbClr val="C56274"/>
      </a:accent5>
      <a:accent6>
        <a:srgbClr val="9C8CA2"/>
      </a:accent6>
      <a:hlink>
        <a:srgbClr val="8CABB1"/>
      </a:hlink>
      <a:folHlink>
        <a:srgbClr val="9C8CA2"/>
      </a:folHlink>
    </a:clrScheme>
    <a:fontScheme name="Custom 60">
      <a:majorFont>
        <a:latin typeface="Trebuchet MS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15D2A0C-8914-4016-B1E5-47F88F0A4F87}">
  <we:reference id="29673e3c-d826-4f00-92ee-162334a52b1a" version="1.0.0.8" store="EXCatalog" storeType="EXCatalog"/>
  <we:alternateReferences>
    <we:reference id="WA200009404" version="1.0.0.8" store="pt-BR" storeType="OMEX"/>
  </we:alternateReferences>
  <we:properties>
    <we:property name="claude.fileId" value="&quot;f371cad1-9143-43a6-9ec0-dfb027efbfd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5"/>
    <pageSetUpPr fitToPage="1"/>
  </sheetPr>
  <dimension ref="A1:G19"/>
  <sheetViews>
    <sheetView showGridLines="0" tabSelected="1" zoomScale="80" zoomScaleNormal="80" workbookViewId="0">
      <selection activeCell="B2" sqref="B2"/>
    </sheetView>
  </sheetViews>
  <sheetFormatPr defaultColWidth="8.83203125" defaultRowHeight="30" customHeight="1"/>
  <cols>
    <col min="1" max="1" width="2.58203125" style="1" customWidth="1"/>
    <col min="2" max="2" width="41.75" style="1" customWidth="1"/>
    <col min="3" max="3" width="21.25" style="1" bestFit="1" customWidth="1"/>
    <col min="4" max="6" width="15.83203125" style="1" customWidth="1"/>
    <col min="7" max="7" width="48.58203125" style="1" customWidth="1"/>
    <col min="8" max="8" width="2.58203125" customWidth="1"/>
  </cols>
  <sheetData>
    <row r="1" spans="1:7" s="3" customFormat="1" ht="100" customHeight="1">
      <c r="B1" s="17" t="s">
        <v>24</v>
      </c>
      <c r="C1" s="6"/>
      <c r="D1" s="6"/>
      <c r="E1" s="6"/>
      <c r="F1" s="6"/>
      <c r="G1" s="6"/>
    </row>
    <row r="2" spans="1:7" s="3" customFormat="1" ht="15" customHeight="1">
      <c r="B2" s="5"/>
      <c r="C2" s="5"/>
      <c r="D2" s="5"/>
      <c r="E2" s="5"/>
      <c r="F2" s="5"/>
      <c r="G2" s="5"/>
    </row>
    <row r="3" spans="1:7" ht="35.15" customHeight="1">
      <c r="A3"/>
      <c r="B3" s="18" t="s">
        <v>8</v>
      </c>
      <c r="C3" s="24">
        <v>22000</v>
      </c>
      <c r="E3" s="24"/>
      <c r="F3" s="25"/>
      <c r="G3" s="26">
        <f>C4</f>
        <v>21870</v>
      </c>
    </row>
    <row r="4" spans="1:7" ht="35.15" customHeight="1">
      <c r="A4"/>
      <c r="B4" s="19" t="s">
        <v>9</v>
      </c>
      <c r="C4" s="27">
        <f>SUBTOTAL(9,Dados[Montante])</f>
        <v>21870</v>
      </c>
      <c r="E4" s="27"/>
      <c r="F4" s="25"/>
      <c r="G4" s="36">
        <f>C3</f>
        <v>22000</v>
      </c>
    </row>
    <row r="5" spans="1:7" ht="15" customHeight="1" thickBot="1">
      <c r="A5"/>
      <c r="B5" s="4"/>
      <c r="C5" s="4"/>
      <c r="D5" s="28"/>
      <c r="E5" s="28"/>
      <c r="F5" s="29"/>
      <c r="G5" s="37"/>
    </row>
    <row r="6" spans="1:7" s="7" customFormat="1" ht="35.15" customHeight="1" thickTop="1">
      <c r="B6" s="20" t="str">
        <f>IF(C3&gt;C4,"Você está abaixo do orçamento de","Você está acima do orçamento de")</f>
        <v>Você está abaixo do orçamento de</v>
      </c>
      <c r="C6" s="30">
        <f>(C3-C4)</f>
        <v>130</v>
      </c>
      <c r="E6" s="30"/>
      <c r="F6" s="8"/>
      <c r="G6" s="8"/>
    </row>
    <row r="7" spans="1:7" s="9" customFormat="1" ht="30" customHeight="1" thickBot="1">
      <c r="B7" s="21" t="s">
        <v>0</v>
      </c>
      <c r="C7" s="22" t="s">
        <v>3</v>
      </c>
      <c r="D7" s="31" t="s">
        <v>5</v>
      </c>
      <c r="E7" s="23" t="s">
        <v>6</v>
      </c>
      <c r="F7" s="32" t="s">
        <v>4</v>
      </c>
      <c r="G7" s="23" t="s">
        <v>7</v>
      </c>
    </row>
    <row r="8" spans="1:7" s="10" customFormat="1" ht="30" customHeight="1" thickTop="1">
      <c r="B8" s="11" t="s">
        <v>10</v>
      </c>
      <c r="C8" s="12" t="s">
        <v>17</v>
      </c>
      <c r="D8" s="33">
        <v>3500</v>
      </c>
      <c r="E8" s="13">
        <v>2</v>
      </c>
      <c r="F8" s="34">
        <f>Dados[[#This Row],[Qtd.]]*Dados[[#This Row],[Custo]]</f>
        <v>7000</v>
      </c>
      <c r="G8" s="14"/>
    </row>
    <row r="9" spans="1:7" s="10" customFormat="1" ht="30" customHeight="1">
      <c r="A9" s="2"/>
      <c r="B9" s="11" t="s">
        <v>10</v>
      </c>
      <c r="C9" s="12" t="s">
        <v>18</v>
      </c>
      <c r="D9" s="33">
        <v>2800</v>
      </c>
      <c r="E9" s="13">
        <v>4</v>
      </c>
      <c r="F9" s="34">
        <f>Dados[[#This Row],[Qtd.]]*Dados[[#This Row],[Custo]]</f>
        <v>11200</v>
      </c>
      <c r="G9" s="14"/>
    </row>
    <row r="10" spans="1:7" s="10" customFormat="1" ht="30" customHeight="1">
      <c r="A10" s="2"/>
      <c r="B10" s="11" t="s">
        <v>11</v>
      </c>
      <c r="C10" s="12" t="s">
        <v>19</v>
      </c>
      <c r="D10" s="33">
        <v>1200</v>
      </c>
      <c r="E10" s="13">
        <v>1</v>
      </c>
      <c r="F10" s="34">
        <f>Dados[[#This Row],[Qtd.]]*Dados[[#This Row],[Custo]]</f>
        <v>1200</v>
      </c>
      <c r="G10" s="14"/>
    </row>
    <row r="11" spans="1:7" s="10" customFormat="1" ht="30" customHeight="1">
      <c r="A11" s="2"/>
      <c r="B11" s="11" t="s">
        <v>11</v>
      </c>
      <c r="C11" s="12" t="s">
        <v>20</v>
      </c>
      <c r="D11" s="33">
        <v>600</v>
      </c>
      <c r="E11" s="13">
        <v>1</v>
      </c>
      <c r="F11" s="34">
        <f>Dados[[#This Row],[Qtd.]]*Dados[[#This Row],[Custo]]</f>
        <v>600</v>
      </c>
      <c r="G11" s="14"/>
    </row>
    <row r="12" spans="1:7" s="10" customFormat="1" ht="30" customHeight="1">
      <c r="A12" s="2"/>
      <c r="B12" s="11" t="s">
        <v>12</v>
      </c>
      <c r="C12" s="12" t="s">
        <v>21</v>
      </c>
      <c r="D12" s="33">
        <v>250</v>
      </c>
      <c r="E12" s="13">
        <v>3</v>
      </c>
      <c r="F12" s="34">
        <f>Dados[[#This Row],[Qtd.]]*Dados[[#This Row],[Custo]]</f>
        <v>750</v>
      </c>
      <c r="G12" s="14"/>
    </row>
    <row r="13" spans="1:7" s="10" customFormat="1" ht="30" customHeight="1">
      <c r="A13" s="2"/>
      <c r="B13" s="11" t="s">
        <v>13</v>
      </c>
      <c r="C13" s="12" t="s">
        <v>22</v>
      </c>
      <c r="D13" s="33">
        <v>0.85</v>
      </c>
      <c r="E13" s="13">
        <v>500</v>
      </c>
      <c r="F13" s="34">
        <f>Dados[[#This Row],[Qtd.]]*Dados[[#This Row],[Custo]]</f>
        <v>425</v>
      </c>
      <c r="G13" s="14"/>
    </row>
    <row r="14" spans="1:7" s="10" customFormat="1" ht="30" customHeight="1">
      <c r="A14" s="2"/>
      <c r="B14" s="11" t="s">
        <v>14</v>
      </c>
      <c r="C14" s="12" t="s">
        <v>4</v>
      </c>
      <c r="D14" s="33">
        <v>180</v>
      </c>
      <c r="E14" s="13">
        <v>1</v>
      </c>
      <c r="F14" s="34">
        <f>Dados[[#This Row],[Qtd.]]*Dados[[#This Row],[Custo]]</f>
        <v>180</v>
      </c>
      <c r="G14" s="14"/>
    </row>
    <row r="15" spans="1:7" s="10" customFormat="1" ht="30" customHeight="1">
      <c r="A15" s="2"/>
      <c r="B15" s="11" t="s">
        <v>15</v>
      </c>
      <c r="C15" s="12" t="s">
        <v>4</v>
      </c>
      <c r="D15" s="33">
        <v>95</v>
      </c>
      <c r="E15" s="13">
        <v>1</v>
      </c>
      <c r="F15" s="34">
        <f>Dados[[#This Row],[Qtd.]]*Dados[[#This Row],[Custo]]</f>
        <v>95</v>
      </c>
      <c r="G15" s="14"/>
    </row>
    <row r="16" spans="1:7" s="10" customFormat="1" ht="30" customHeight="1">
      <c r="A16" s="2"/>
      <c r="B16" s="11" t="s">
        <v>1</v>
      </c>
      <c r="C16" s="12" t="s">
        <v>4</v>
      </c>
      <c r="D16" s="33">
        <v>60</v>
      </c>
      <c r="E16" s="13">
        <v>1</v>
      </c>
      <c r="F16" s="34">
        <f>Dados[[#This Row],[Qtd.]]*Dados[[#This Row],[Custo]]</f>
        <v>60</v>
      </c>
      <c r="G16" s="14"/>
    </row>
    <row r="17" spans="1:7" s="10" customFormat="1" ht="30" customHeight="1">
      <c r="A17" s="2"/>
      <c r="B17" s="11" t="s">
        <v>16</v>
      </c>
      <c r="C17" s="12" t="s">
        <v>23</v>
      </c>
      <c r="D17" s="33">
        <v>45</v>
      </c>
      <c r="E17" s="13">
        <v>8</v>
      </c>
      <c r="F17" s="34">
        <f>Dados[[#This Row],[Qtd.]]*Dados[[#This Row],[Custo]]</f>
        <v>360</v>
      </c>
      <c r="G17" s="14"/>
    </row>
    <row r="18" spans="1:7" s="15" customFormat="1" ht="30" customHeight="1">
      <c r="B18" s="11" t="s">
        <v>2</v>
      </c>
      <c r="C18" s="12"/>
      <c r="D18" s="38"/>
      <c r="E18" s="16"/>
      <c r="F18" s="35">
        <f>SUBTOTAL(109,Dados[Montante])</f>
        <v>21870</v>
      </c>
      <c r="G18" s="16"/>
    </row>
    <row r="19" spans="1:7" ht="30" customHeight="1">
      <c r="B19"/>
      <c r="C19"/>
      <c r="D19"/>
      <c r="E19"/>
      <c r="F19"/>
      <c r="G19"/>
    </row>
  </sheetData>
  <conditionalFormatting sqref="G3:G5">
    <cfRule type="notContainsBlanks" dxfId="16" priority="1">
      <formula>LEN(TRIM(G3))&gt;0</formula>
    </cfRule>
  </conditionalFormatting>
  <dataValidations count="15">
    <dataValidation allowBlank="1" showInputMessage="1" showErrorMessage="1" prompt="Crie um orçamento de viagem de negócios nesta planilha. Insira os detalhes da viagem na tabela de dados. O saldo e o custo total da viagem são calculados automaticamente" sqref="A1" xr:uid="{00000000-0002-0000-0000-000000000000}"/>
    <dataValidation allowBlank="1" showInputMessage="1" showErrorMessage="1" prompt="Insira a Meta de orçamento da viagem na célula à direita" sqref="B3" xr:uid="{00000000-0002-0000-0000-000001000000}"/>
    <dataValidation allowBlank="1" showInputMessage="1" showErrorMessage="1" prompt="O custo total da viagem é calculado automaticamente na célula à direita" sqref="B4" xr:uid="{00000000-0002-0000-0000-000003000000}"/>
    <dataValidation allowBlank="1" showInputMessage="1" showErrorMessage="1" prompt="O montante do orçamento acima ou abaixo do planejado é calculado automaticamente na célula à direita" sqref="B6:C6" xr:uid="{00000000-0002-0000-0000-000006000000}"/>
    <dataValidation allowBlank="1" showInputMessage="1" showErrorMessage="1" prompt="Insira o Item nesta coluna sob este título" sqref="B7" xr:uid="{00000000-0002-0000-0000-000008000000}"/>
    <dataValidation allowBlank="1" showInputMessage="1" showErrorMessage="1" prompt="Insira a descrição na coluna sob este cabeçalho" sqref="C7" xr:uid="{00000000-0002-0000-0000-000009000000}"/>
    <dataValidation allowBlank="1" showInputMessage="1" showErrorMessage="1" prompt="Insira o Custo na coluna sob este cabeçalho" sqref="D7" xr:uid="{00000000-0002-0000-0000-00000A000000}"/>
    <dataValidation allowBlank="1" showInputMessage="1" showErrorMessage="1" prompt="Insira a Quantidade na coluna sob este cabeçalho" sqref="E7" xr:uid="{00000000-0002-0000-0000-00000B000000}"/>
    <dataValidation allowBlank="1" showInputMessage="1" showErrorMessage="1" prompt="O montante é calculado automaticamente na coluna sob este cabeçalho" sqref="F7" xr:uid="{00000000-0002-0000-0000-00000C000000}"/>
    <dataValidation allowBlank="1" showInputMessage="1" showErrorMessage="1" prompt="Insira as Anotações na coluna abaixo deste cabeçalho" sqref="G7" xr:uid="{00000000-0002-0000-0000-00000D000000}"/>
    <dataValidation allowBlank="1" showInputMessage="1" showErrorMessage="1" prompt="O custo total da viagem é calculado automaticamente nesta célula" sqref="C4 C4" xr:uid="{00000000-0002-0000-0000-000004000000}"/>
    <dataValidation allowBlank="1" showInputMessage="1" showErrorMessage="1" prompt="O montante do orçamento acima ou abaixo do planejado é calculado automaticamente nesta célula. Insira os detalhes da viagem na tabela abaixo" sqref="C6" xr:uid="{00000000-0002-0000-0000-000007000000}"/>
    <dataValidation allowBlank="1" showInputMessage="1" showErrorMessage="1" prompt="Insira a Meta de orçamento da viagem nesta célula" sqref="C3" xr:uid="{F53A739E-F10E-4F9B-ACB0-49C097A52E45}"/>
    <dataValidation allowBlank="1" showInputMessage="1" showErrorMessage="1" prompt="Insira a Meta de orçamento da viagem nesta célula. O gráfico mostrando o orçamento total da viagem e o custo total da viagem está nas células D3 a G3 à direita" sqref="C3" xr:uid="{A79AB1AB-26AC-4D55-81B9-FA769A651F12}"/>
    <dataValidation allowBlank="1" showInputMessage="1" showErrorMessage="1" prompt="O título desta planilha está nesta célula. Insira abaixo a Meta de orçamento da viagem. O custo total da viagem e o orçamento abaixo ou acima são calculados automaticamente nas células D3 e D4" sqref="B1" xr:uid="{0E4DE54F-27C0-4972-80CA-52421E13F161}"/>
  </dataValidations>
  <printOptions horizontalCentered="1"/>
  <pageMargins left="0.4" right="0.4" top="0.4" bottom="0.4" header="0.3" footer="0.3"/>
  <pageSetup paperSize="9" scale="86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5CC934-6F66-48D4-9422-EAD6F72E829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D617B1FF-588F-42B9-91BB-713C19905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07DDF9F-901B-4ECA-ADEC-5AFCD0CE63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TM03986935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3</vt:i4>
      </vt:variant>
    </vt:vector>
  </HeadingPairs>
  <TitlesOfParts>
    <vt:vector size="4" baseType="lpstr">
      <vt:lpstr>Orçamento empresarial</vt:lpstr>
      <vt:lpstr>RegiãoDeTítuloDeLinha1..D4</vt:lpstr>
      <vt:lpstr>TítuloColuna1</vt:lpstr>
      <vt:lpstr>'Orçamento empresarial'!Titulos_de_impressao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2022-11-28T07:27:49Z</dcterms:created>
  <dcterms:modified xsi:type="dcterms:W3CDTF">2026-08-02T16:45:32Z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
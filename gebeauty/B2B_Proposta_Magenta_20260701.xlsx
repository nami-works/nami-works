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cas Guimarães\Desktop\nami-works\sandbox\gebeauty\"/>
    </mc:Choice>
  </mc:AlternateContent>
  <xr:revisionPtr revIDLastSave="0" documentId="13_ncr:1_{B46F53C7-9F02-4280-B050-836404BF378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shboard" sheetId="1" r:id="rId1"/>
    <sheet name="COGS" sheetId="2" r:id="rId2"/>
    <sheet name="Histórico" sheetId="3" r:id="rId3"/>
    <sheet name="Esto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3" l="1"/>
  <c r="O19" i="3"/>
  <c r="N19" i="3"/>
  <c r="M19" i="3"/>
  <c r="L19" i="3"/>
  <c r="P18" i="3"/>
  <c r="O18" i="3"/>
  <c r="N18" i="3"/>
  <c r="M18" i="3"/>
  <c r="L18" i="3"/>
  <c r="P17" i="3"/>
  <c r="O17" i="3"/>
  <c r="N17" i="3"/>
  <c r="M17" i="3"/>
  <c r="L17" i="3"/>
  <c r="P16" i="3"/>
  <c r="O16" i="3"/>
  <c r="N16" i="3"/>
  <c r="M16" i="3"/>
  <c r="L16" i="3"/>
  <c r="P15" i="3"/>
  <c r="O15" i="3"/>
  <c r="N15" i="3"/>
  <c r="M15" i="3"/>
  <c r="L15" i="3"/>
  <c r="P14" i="3"/>
  <c r="O14" i="3"/>
  <c r="N14" i="3"/>
  <c r="M14" i="3"/>
  <c r="L14" i="3"/>
  <c r="P13" i="3"/>
  <c r="O13" i="3"/>
  <c r="N13" i="3"/>
  <c r="M13" i="3"/>
  <c r="L13" i="3"/>
  <c r="P12" i="3"/>
  <c r="O12" i="3"/>
  <c r="N12" i="3"/>
  <c r="M12" i="3"/>
  <c r="L12" i="3"/>
  <c r="P11" i="3"/>
  <c r="O11" i="3"/>
  <c r="N11" i="3"/>
  <c r="M11" i="3"/>
  <c r="L11" i="3"/>
  <c r="P10" i="3"/>
  <c r="O10" i="3"/>
  <c r="N10" i="3"/>
  <c r="M10" i="3"/>
  <c r="L10" i="3"/>
  <c r="P9" i="3"/>
  <c r="O9" i="3"/>
  <c r="N9" i="3"/>
  <c r="M9" i="3"/>
  <c r="L9" i="3"/>
  <c r="P8" i="3"/>
  <c r="O8" i="3"/>
  <c r="N8" i="3"/>
  <c r="M8" i="3"/>
  <c r="L8" i="3"/>
  <c r="P7" i="3"/>
  <c r="O7" i="3"/>
  <c r="N7" i="3"/>
  <c r="M7" i="3"/>
  <c r="L7" i="3"/>
  <c r="P6" i="3"/>
  <c r="O6" i="3"/>
  <c r="N6" i="3"/>
  <c r="M6" i="3"/>
  <c r="L6" i="3"/>
  <c r="P5" i="3"/>
  <c r="O5" i="3"/>
  <c r="N5" i="3"/>
  <c r="M5" i="3"/>
  <c r="L5" i="3"/>
  <c r="P4" i="3"/>
  <c r="O4" i="3"/>
  <c r="N4" i="3"/>
  <c r="M4" i="3"/>
  <c r="L4" i="3"/>
  <c r="J62" i="1"/>
  <c r="C64" i="1" s="1"/>
  <c r="D62" i="1"/>
  <c r="P61" i="1"/>
  <c r="O61" i="1"/>
  <c r="N61" i="1"/>
  <c r="M61" i="1"/>
  <c r="L61" i="1"/>
  <c r="J61" i="1"/>
  <c r="I61" i="1"/>
  <c r="G61" i="1"/>
  <c r="H61" i="1" s="1"/>
  <c r="F61" i="1"/>
  <c r="K61" i="1" s="1"/>
  <c r="C61" i="1"/>
  <c r="P60" i="1"/>
  <c r="O60" i="1"/>
  <c r="N60" i="1"/>
  <c r="M60" i="1"/>
  <c r="L60" i="1"/>
  <c r="J60" i="1"/>
  <c r="I60" i="1"/>
  <c r="G60" i="1"/>
  <c r="H60" i="1" s="1"/>
  <c r="F60" i="1"/>
  <c r="K60" i="1" s="1"/>
  <c r="C60" i="1"/>
  <c r="P59" i="1"/>
  <c r="O59" i="1"/>
  <c r="N59" i="1"/>
  <c r="M59" i="1"/>
  <c r="L59" i="1"/>
  <c r="J59" i="1"/>
  <c r="I59" i="1"/>
  <c r="G59" i="1"/>
  <c r="H59" i="1" s="1"/>
  <c r="F59" i="1"/>
  <c r="K59" i="1" s="1"/>
  <c r="C59" i="1"/>
  <c r="P58" i="1"/>
  <c r="O58" i="1"/>
  <c r="N58" i="1"/>
  <c r="M58" i="1"/>
  <c r="L58" i="1"/>
  <c r="J58" i="1"/>
  <c r="I58" i="1"/>
  <c r="G58" i="1"/>
  <c r="H58" i="1" s="1"/>
  <c r="F58" i="1"/>
  <c r="K58" i="1" s="1"/>
  <c r="C58" i="1"/>
  <c r="P57" i="1"/>
  <c r="O57" i="1"/>
  <c r="N57" i="1"/>
  <c r="M57" i="1"/>
  <c r="L57" i="1"/>
  <c r="J57" i="1"/>
  <c r="I57" i="1"/>
  <c r="G57" i="1"/>
  <c r="H57" i="1" s="1"/>
  <c r="F57" i="1"/>
  <c r="K57" i="1" s="1"/>
  <c r="C57" i="1"/>
  <c r="P56" i="1"/>
  <c r="O56" i="1"/>
  <c r="N56" i="1"/>
  <c r="M56" i="1"/>
  <c r="L56" i="1"/>
  <c r="J56" i="1"/>
  <c r="I56" i="1"/>
  <c r="G56" i="1"/>
  <c r="H56" i="1" s="1"/>
  <c r="F56" i="1"/>
  <c r="K56" i="1" s="1"/>
  <c r="C56" i="1"/>
  <c r="O55" i="1"/>
  <c r="N55" i="1"/>
  <c r="M55" i="1"/>
  <c r="L55" i="1"/>
  <c r="J55" i="1"/>
  <c r="I55" i="1"/>
  <c r="G55" i="1"/>
  <c r="H55" i="1" s="1"/>
  <c r="P55" i="1" s="1"/>
  <c r="F55" i="1"/>
  <c r="K55" i="1" s="1"/>
  <c r="C55" i="1"/>
  <c r="O54" i="1"/>
  <c r="N54" i="1"/>
  <c r="M54" i="1"/>
  <c r="L54" i="1"/>
  <c r="J54" i="1"/>
  <c r="I54" i="1"/>
  <c r="G54" i="1"/>
  <c r="H54" i="1" s="1"/>
  <c r="P54" i="1" s="1"/>
  <c r="F54" i="1"/>
  <c r="K54" i="1" s="1"/>
  <c r="O53" i="1"/>
  <c r="N53" i="1"/>
  <c r="M53" i="1"/>
  <c r="L53" i="1"/>
  <c r="K53" i="1"/>
  <c r="J53" i="1"/>
  <c r="G53" i="1"/>
  <c r="H53" i="1" s="1"/>
  <c r="P53" i="1" s="1"/>
  <c r="F53" i="1"/>
  <c r="I53" i="1" s="1"/>
  <c r="C53" i="1"/>
  <c r="O52" i="1"/>
  <c r="N52" i="1"/>
  <c r="M52" i="1"/>
  <c r="L52" i="1"/>
  <c r="K52" i="1"/>
  <c r="J52" i="1"/>
  <c r="G52" i="1"/>
  <c r="H52" i="1" s="1"/>
  <c r="P52" i="1" s="1"/>
  <c r="F52" i="1"/>
  <c r="I52" i="1" s="1"/>
  <c r="C52" i="1"/>
  <c r="O51" i="1"/>
  <c r="N51" i="1"/>
  <c r="M51" i="1"/>
  <c r="L51" i="1"/>
  <c r="K51" i="1"/>
  <c r="J51" i="1"/>
  <c r="G51" i="1"/>
  <c r="H51" i="1" s="1"/>
  <c r="P51" i="1" s="1"/>
  <c r="F51" i="1"/>
  <c r="I51" i="1" s="1"/>
  <c r="C51" i="1"/>
  <c r="O50" i="1"/>
  <c r="N50" i="1"/>
  <c r="M50" i="1"/>
  <c r="L50" i="1"/>
  <c r="K50" i="1"/>
  <c r="J50" i="1"/>
  <c r="G50" i="1"/>
  <c r="H50" i="1" s="1"/>
  <c r="P50" i="1" s="1"/>
  <c r="F50" i="1"/>
  <c r="I50" i="1" s="1"/>
  <c r="C50" i="1"/>
  <c r="O49" i="1"/>
  <c r="N49" i="1"/>
  <c r="M49" i="1"/>
  <c r="L49" i="1"/>
  <c r="K49" i="1"/>
  <c r="J49" i="1"/>
  <c r="G49" i="1"/>
  <c r="H49" i="1" s="1"/>
  <c r="P49" i="1" s="1"/>
  <c r="F49" i="1"/>
  <c r="I49" i="1" s="1"/>
  <c r="C49" i="1"/>
  <c r="O48" i="1"/>
  <c r="N48" i="1"/>
  <c r="M48" i="1"/>
  <c r="L48" i="1"/>
  <c r="K48" i="1"/>
  <c r="J48" i="1"/>
  <c r="G48" i="1"/>
  <c r="H48" i="1" s="1"/>
  <c r="P48" i="1" s="1"/>
  <c r="F48" i="1"/>
  <c r="I48" i="1" s="1"/>
  <c r="C48" i="1"/>
  <c r="O47" i="1"/>
  <c r="N47" i="1"/>
  <c r="M47" i="1"/>
  <c r="L47" i="1"/>
  <c r="K47" i="1"/>
  <c r="J47" i="1"/>
  <c r="G47" i="1"/>
  <c r="H47" i="1" s="1"/>
  <c r="F47" i="1"/>
  <c r="I47" i="1" s="1"/>
  <c r="C47" i="1"/>
  <c r="C44" i="1"/>
  <c r="G40" i="1"/>
  <c r="I40" i="1" s="1"/>
  <c r="F40" i="1"/>
  <c r="E40" i="1"/>
  <c r="D40" i="1"/>
  <c r="C40" i="1"/>
  <c r="G39" i="1"/>
  <c r="I39" i="1" s="1"/>
  <c r="D39" i="1"/>
  <c r="F39" i="1" s="1"/>
  <c r="C39" i="1"/>
  <c r="G38" i="1"/>
  <c r="I38" i="1" s="1"/>
  <c r="F38" i="1"/>
  <c r="D38" i="1"/>
  <c r="E38" i="1" s="1"/>
  <c r="C38" i="1"/>
  <c r="G37" i="1"/>
  <c r="I37" i="1" s="1"/>
  <c r="D37" i="1"/>
  <c r="F37" i="1" s="1"/>
  <c r="C37" i="1"/>
  <c r="I36" i="1"/>
  <c r="G36" i="1"/>
  <c r="H36" i="1" s="1"/>
  <c r="D36" i="1"/>
  <c r="F36" i="1" s="1"/>
  <c r="C36" i="1"/>
  <c r="G35" i="1"/>
  <c r="I35" i="1" s="1"/>
  <c r="D35" i="1"/>
  <c r="F35" i="1" s="1"/>
  <c r="C35" i="1"/>
  <c r="I34" i="1"/>
  <c r="G34" i="1"/>
  <c r="H34" i="1" s="1"/>
  <c r="D34" i="1"/>
  <c r="F34" i="1" s="1"/>
  <c r="C34" i="1"/>
  <c r="G33" i="1"/>
  <c r="I33" i="1" s="1"/>
  <c r="F33" i="1"/>
  <c r="D33" i="1"/>
  <c r="E33" i="1" s="1"/>
  <c r="C33" i="1"/>
  <c r="I32" i="1"/>
  <c r="H32" i="1"/>
  <c r="G32" i="1"/>
  <c r="D32" i="1"/>
  <c r="E32" i="1" s="1"/>
  <c r="C32" i="1"/>
  <c r="I31" i="1"/>
  <c r="H31" i="1"/>
  <c r="G31" i="1"/>
  <c r="F31" i="1"/>
  <c r="D31" i="1"/>
  <c r="E31" i="1" s="1"/>
  <c r="C31" i="1"/>
  <c r="D25" i="1"/>
  <c r="D24" i="1"/>
  <c r="D23" i="1"/>
  <c r="D22" i="1"/>
  <c r="D21" i="1"/>
  <c r="D20" i="1"/>
  <c r="D19" i="1"/>
  <c r="D18" i="1"/>
  <c r="D17" i="1"/>
  <c r="D16" i="1"/>
  <c r="D15" i="1"/>
  <c r="D14" i="1"/>
  <c r="C10" i="1"/>
  <c r="F9" i="1"/>
  <c r="C9" i="1"/>
  <c r="F8" i="1"/>
  <c r="C8" i="1"/>
  <c r="B7" i="1"/>
  <c r="H62" i="1" l="1"/>
  <c r="L64" i="1" s="1"/>
  <c r="P47" i="1"/>
  <c r="K62" i="1"/>
  <c r="F64" i="1" s="1"/>
  <c r="H38" i="1"/>
  <c r="E35" i="1"/>
  <c r="H33" i="1"/>
  <c r="E37" i="1"/>
  <c r="H40" i="1"/>
  <c r="E39" i="1"/>
  <c r="E34" i="1"/>
  <c r="H37" i="1"/>
  <c r="I62" i="1"/>
  <c r="I64" i="1" s="1"/>
  <c r="H35" i="1"/>
  <c r="F32" i="1"/>
  <c r="E36" i="1"/>
  <c r="H39" i="1"/>
</calcChain>
</file>

<file path=xl/sharedStrings.xml><?xml version="1.0" encoding="utf-8"?>
<sst xmlns="http://schemas.openxmlformats.org/spreadsheetml/2006/main" count="309" uniqueCount="157">
  <si>
    <t>GE Beauty — B2B Box · Dashboard</t>
  </si>
  <si>
    <t>Lista de clientes:</t>
  </si>
  <si>
    <t>Magenta</t>
  </si>
  <si>
    <t>← selecione o cliente para filtrar todo o dashboard</t>
  </si>
  <si>
    <t>RECEITA TOTAL (R$)</t>
  </si>
  <si>
    <t>Pedidos fechados</t>
  </si>
  <si>
    <t>Margem gerada (R$)</t>
  </si>
  <si>
    <t>SKUs distintos</t>
  </si>
  <si>
    <t>Volume total (un.)</t>
  </si>
  <si>
    <t>Desc% médio pond.</t>
  </si>
  <si>
    <t>Mês</t>
  </si>
  <si>
    <t>Data</t>
  </si>
  <si>
    <t>Receita (R$)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</si>
  <si>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</si>
  <si>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</si>
  <si>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</si>
  <si>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</si>
  <si>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</si>
  <si>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</si>
  <si>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</si>
  <si>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</si>
  <si>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</si>
  <si>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</si>
  <si>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</si>
  <si>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</si>
  <si>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LEDGER — HISTÓRICO</t>
  </si>
  <si>
    <t>SKU</t>
  </si>
  <si>
    <t>Produto</t>
  </si>
  <si>
    <t>Qtd (geral)</t>
  </si>
  <si>
    <t>Min% (geral)</t>
  </si>
  <si>
    <t>Max% (geral)</t>
  </si>
  <si>
    <t>Qtd (cliente)</t>
  </si>
  <si>
    <t>Min% (cliente)</t>
  </si>
  <si>
    <t>Max% (cliente)</t>
  </si>
  <si>
    <t>GEB 008</t>
  </si>
  <si>
    <t>GEB 019</t>
  </si>
  <si>
    <t>GEB 023</t>
  </si>
  <si>
    <t>GEB 020</t>
  </si>
  <si>
    <t>GEB 003</t>
  </si>
  <si>
    <t>GEB 002</t>
  </si>
  <si>
    <t>GEB 013</t>
  </si>
  <si>
    <t>GEB 010</t>
  </si>
  <si>
    <t>GEB 021</t>
  </si>
  <si>
    <t>GEB 022</t>
  </si>
  <si>
    <t>PROPOSTA EM CONSTRUÇÃO</t>
  </si>
  <si>
    <t>Operador:</t>
  </si>
  <si>
    <t>Data proposta:</t>
  </si>
  <si>
    <t>Prazo:</t>
  </si>
  <si>
    <t>dias</t>
  </si>
  <si>
    <t>Volume</t>
  </si>
  <si>
    <t>Preço unit.</t>
  </si>
  <si>
    <t>COGS ES</t>
  </si>
  <si>
    <t>Retail</t>
  </si>
  <si>
    <t>Desc%</t>
  </si>
  <si>
    <t>GM%</t>
  </si>
  <si>
    <t>Receita</t>
  </si>
  <si>
    <t>Margem</t>
  </si>
  <si>
    <t>Hist. min%
(cliente)</t>
  </si>
  <si>
    <t>Hist. max%
(cliente)</t>
  </si>
  <si>
    <t>Hist. min%
(geral)</t>
  </si>
  <si>
    <t>Hist. max%
(geral)</t>
  </si>
  <si>
    <t>Flag</t>
  </si>
  <si>
    <t>GEB 102</t>
  </si>
  <si>
    <t>GEB 024</t>
  </si>
  <si>
    <t>GEB 029</t>
  </si>
  <si>
    <t>GEB 011</t>
  </si>
  <si>
    <t>Finalizador Leave-in 50ml</t>
  </si>
  <si>
    <t>TOTAL</t>
  </si>
  <si>
    <t>Receita total</t>
  </si>
  <si>
    <t>Margem total</t>
  </si>
  <si>
    <t>GM% médio</t>
  </si>
  <si>
    <t>GE Beauty — B2B · Base COGS</t>
  </si>
  <si>
    <t>COGS SP</t>
  </si>
  <si>
    <t>Fonte</t>
  </si>
  <si>
    <t>GEB 001</t>
  </si>
  <si>
    <t>Shampoo sem sulfato GE Beauty 250ml</t>
  </si>
  <si>
    <t>Shopify</t>
  </si>
  <si>
    <t>Máscara Condicionadora GE Beauty 200ml</t>
  </si>
  <si>
    <t>Leave-in com proteção térmica GE Beauty 150ml</t>
  </si>
  <si>
    <t>Shampoo a Seco GE Beauty 150ml</t>
  </si>
  <si>
    <t>Mascara Condicionadora GE Beauty 50ml</t>
  </si>
  <si>
    <t>Shampoo GE Beauty 60 ml</t>
  </si>
  <si>
    <t>Booster Antifrizz GE Beauty 15ml</t>
  </si>
  <si>
    <t>Melon Mood Mini Body &amp; Hair Mist</t>
  </si>
  <si>
    <t>GEB 101</t>
  </si>
  <si>
    <t>Primer Cachos Definidos GE Beauty 250ml</t>
  </si>
  <si>
    <t>GEB 121</t>
  </si>
  <si>
    <t>MÁSCARA RECONSTRUTORA MAYDAY GE Beauty (200ml)</t>
  </si>
  <si>
    <t>Booster Fortificante GE Beauty 15ml</t>
  </si>
  <si>
    <t>Booster Hidratante GE Beauty 15ml</t>
  </si>
  <si>
    <t>Booster Definição GE Beauty 15ml</t>
  </si>
  <si>
    <t>Booster Antioxidante GE Beauty 15ml</t>
  </si>
  <si>
    <t>Body Hair Mist Melon Mood GE Beauty 200ml</t>
  </si>
  <si>
    <t>Primer Liso Intacto GE Beauty 150ml</t>
  </si>
  <si>
    <t>GEB 120</t>
  </si>
  <si>
    <t>Leave-in Pluma GE Beauty 200ml</t>
  </si>
  <si>
    <t>GE Beauty — B2B · Histórico de Deals</t>
  </si>
  <si>
    <t>Operador</t>
  </si>
  <si>
    <t>NF</t>
  </si>
  <si>
    <t>Status</t>
  </si>
  <si>
    <t>ID_Deal</t>
  </si>
  <si>
    <t>Preco</t>
  </si>
  <si>
    <t>Retail_hist</t>
  </si>
  <si>
    <t>Desconto_pct</t>
  </si>
  <si>
    <t>GM_pct</t>
  </si>
  <si>
    <t>Último preço</t>
  </si>
  <si>
    <t>B4A</t>
  </si>
  <si>
    <t>00076502</t>
  </si>
  <si>
    <t>completed</t>
  </si>
  <si>
    <t>b4a_2025-10-03_nf00076502</t>
  </si>
  <si>
    <t>UAU Box</t>
  </si>
  <si>
    <t>00077620</t>
  </si>
  <si>
    <t>uaubox_2025-11-06_nf00077620</t>
  </si>
  <si>
    <t>84.166</t>
  </si>
  <si>
    <t>uaubox-2026-02</t>
  </si>
  <si>
    <t>00001921</t>
  </si>
  <si>
    <t>uaubox_2026-03-31_nf00001921</t>
  </si>
  <si>
    <t>00001928</t>
  </si>
  <si>
    <t>magenta_2026-03-31_nf00001928</t>
  </si>
  <si>
    <t>00002174</t>
  </si>
  <si>
    <t>uaubox_2026-04-17_nf00002174</t>
  </si>
  <si>
    <t>00002682</t>
  </si>
  <si>
    <t>magenta_2026-05-27_nf00002682</t>
  </si>
  <si>
    <t>00002701</t>
  </si>
  <si>
    <t>b4a_2026-05-29_nf00002701</t>
  </si>
  <si>
    <t>00002702</t>
  </si>
  <si>
    <t>b4a_2026-05-29_nf00002702</t>
  </si>
  <si>
    <t>contracted</t>
  </si>
  <si>
    <t>uaubox_2026-11_contracted</t>
  </si>
  <si>
    <t>b4a-2026-ago-out</t>
  </si>
  <si>
    <t>GE Beauty — Estoque Omie  ·  30/06/2026 16:33</t>
  </si>
  <si>
    <t>CD (un.)</t>
  </si>
  <si>
    <t>Lojas (un.)</t>
  </si>
  <si>
    <t>Total (un.)</t>
  </si>
  <si>
    <t>Leave-in GE Beauty 50ml</t>
  </si>
  <si>
    <t>GEB 031</t>
  </si>
  <si>
    <t>Body Hair Mist Santal Skin GE Beauty 200ml</t>
  </si>
  <si>
    <t>GEB 032</t>
  </si>
  <si>
    <t>Body Hair Mist Rose Ritual GE Beauty 200ml</t>
  </si>
  <si>
    <t>GEB 033</t>
  </si>
  <si>
    <t>Body Hair Mist Pear Fresh GE Beauty 200ml</t>
  </si>
  <si>
    <t>GEB 122</t>
  </si>
  <si>
    <t>SHAMPOO RECONSTRUTOR MAYDAY GE Beauty</t>
  </si>
  <si>
    <t>GEB 123</t>
  </si>
  <si>
    <t>CONDICIONADOR RECONSTRUTOR MAYDAY GE Beauty</t>
  </si>
  <si>
    <t>GEB 124</t>
  </si>
  <si>
    <t>LEAVE-IN RECONSTRUTOR MAYDAY GE Beauty</t>
  </si>
  <si>
    <t>GEB 125</t>
  </si>
  <si>
    <t>KIT RECONSTRUÇÃO MAYDAY</t>
  </si>
  <si>
    <t>GEB 126</t>
  </si>
  <si>
    <t>Sérum Reparador Noturno MayDay</t>
  </si>
  <si>
    <t>GEB 301</t>
  </si>
  <si>
    <t>SACHÊ SHAMPOO GE BEAUTY 15ml</t>
  </si>
  <si>
    <t>GEB 302</t>
  </si>
  <si>
    <t>SACHÊ MASCARA CONDICIONADORA GE BEAUTY 15ml</t>
  </si>
  <si>
    <t>GEB 303</t>
  </si>
  <si>
    <t>SACHÊ LEAVE-IN GE BEAUTY 15ml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</si>
</sst>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mm/yyyy"/>
  </numFmts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Calibri"/>
    </font>
    <font>
      <sz val="8"/>
      <color rgb="FF000000"/>
      <name val="Calibri"/>
    </font>
    <font>
      <b/>
      <sz val="8"/>
      <color rgb="FF595959"/>
      <name val="Calibri"/>
    </font>
    <font>
      <b/>
      <sz val="8"/>
      <color rgb="FF000000"/>
      <name val="Calibri"/>
    </font>
    <font>
      <i/>
      <sz val="8"/>
      <color rgb="FF9B9B9B"/>
      <name val="Calibri"/>
    </font>
    <font>
      <sz val="8"/>
      <color rgb="FF59595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F3630"/>
      </patternFill>
    </fill>
    <fill>
      <patternFill patternType="solid">
        <fgColor rgb="FFF4F3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8EFF8"/>
      </patternFill>
    </fill>
    <fill>
      <patternFill patternType="solid">
        <fgColor rgb="FFF7F7F7"/>
      </patternFill>
    </fill>
    <fill>
      <patternFill patternType="solid">
        <fgColor rgb="FFE8E8E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/>
      <top/>
      <bottom style="medium">
        <color rgb="FFDF3630"/>
      </bottom>
      <diagonal/>
    </border>
    <border>
      <left/>
      <right/>
      <top/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5" borderId="2" xfId="0" applyFont="1" applyFill="1" applyBorder="1" applyAlignment="1">
      <alignment horizontal="centerContinuous" vertical="center"/>
    </xf>
    <xf numFmtId="0" fontId="0" fillId="5" borderId="2" xfId="0" applyFill="1" applyBorder="1" applyAlignment="1">
      <alignment horizontal="centerContinuous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6" borderId="1" xfId="0" applyNumberFormat="1" applyFont="1" applyFill="1" applyBorder="1" applyAlignment="1">
      <alignment horizontal="centerContinuous" vertical="center"/>
    </xf>
    <xf numFmtId="0" fontId="0" fillId="6" borderId="1" xfId="0" applyFill="1" applyBorder="1" applyAlignment="1">
      <alignment horizontal="centerContinuous" vertical="center"/>
    </xf>
    <xf numFmtId="3" fontId="4" fillId="6" borderId="1" xfId="0" applyNumberFormat="1" applyFont="1" applyFill="1" applyBorder="1" applyAlignment="1">
      <alignment horizontal="centerContinuous" vertical="center"/>
    </xf>
    <xf numFmtId="9" fontId="4" fillId="6" borderId="1" xfId="0" applyNumberFormat="1" applyFont="1" applyFill="1" applyBorder="1" applyAlignment="1">
      <alignment horizontal="centerContinuous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9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9" fontId="2" fillId="4" borderId="1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Continuous" vertical="center"/>
    </xf>
    <xf numFmtId="0" fontId="0" fillId="7" borderId="2" xfId="0" applyFill="1" applyBorder="1" applyAlignment="1">
      <alignment horizontal="centerContinuous" vertical="center"/>
    </xf>
    <xf numFmtId="14" fontId="2" fillId="5" borderId="2" xfId="0" applyNumberFormat="1" applyFont="1" applyFill="1" applyBorder="1" applyAlignment="1">
      <alignment horizontal="centerContinuous" vertical="center"/>
    </xf>
    <xf numFmtId="0" fontId="2" fillId="5" borderId="2" xfId="0" applyFont="1" applyFill="1" applyBorder="1" applyAlignment="1">
      <alignment horizontal="centerContinuous" vertical="center"/>
    </xf>
    <xf numFmtId="0" fontId="6" fillId="0" borderId="0" xfId="0" applyFont="1"/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4" fillId="8" borderId="4" xfId="0" applyFont="1" applyFill="1" applyBorder="1" applyAlignment="1">
      <alignment horizontal="left" vertical="center"/>
    </xf>
    <xf numFmtId="0" fontId="0" fillId="8" borderId="4" xfId="0" applyFill="1" applyBorder="1"/>
    <xf numFmtId="3" fontId="4" fillId="8" borderId="4" xfId="0" applyNumberFormat="1" applyFont="1" applyFill="1" applyBorder="1" applyAlignment="1">
      <alignment horizontal="right" vertical="center"/>
    </xf>
    <xf numFmtId="9" fontId="4" fillId="8" borderId="4" xfId="0" applyNumberFormat="1" applyFont="1" applyFill="1" applyBorder="1" applyAlignment="1">
      <alignment horizontal="right" vertical="center"/>
    </xf>
    <xf numFmtId="164" fontId="4" fillId="8" borderId="4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left" vertical="center"/>
    </xf>
    <xf numFmtId="9" fontId="4" fillId="5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sz val="8"/>
        <color rgb="FF1E4FBE"/>
        <name val="Calibri"/>
      </font>
    </dxf>
    <dxf>
      <font>
        <b/>
        <sz val="8"/>
        <color rgb="FFB83010"/>
        <name val="Calibri"/>
      </font>
    </dxf>
    <dxf>
      <font>
        <b/>
        <sz val="8"/>
        <color rgb="FF1F7A3E"/>
        <name val="Calibri"/>
      </font>
    </dxf>
    <dxf>
      <font>
        <b/>
        <sz val="8"/>
        <color rgb="FF1F7A3E"/>
        <name val="Calibri"/>
      </font>
    </dxf>
    <dxf>
      <font>
        <b/>
        <sz val="8"/>
        <color rgb="FFB83010"/>
        <name val="Calibri"/>
      </font>
    </dxf>
    <dxf>
      <font>
        <b/>
        <sz val="8"/>
        <color rgb="FFB83010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Dashboard!$D$13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DF3630"/>
            </a:solidFill>
            <a:ln>
              <a:prstDash val="solid"/>
            </a:ln>
          </c:spPr>
          <c:invertIfNegative val="1"/>
          <c:cat>
            <c:strRef>
              <c:f>Dashboard!$B$14:$B$25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Dashboard!$D$14:$D$25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36240</c:v>
                </c:pt>
                <c:pt idx="3">
                  <c:v>0</c:v>
                </c:pt>
                <c:pt idx="4">
                  <c:v>37980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77-4977-A143-BCC76755F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R$&quot;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F3630"/>
  </sheetPr>
  <dimension ref="B2:P64"/>
  <sheetViews>
    <sheetView showGridLines="0" tabSelected="1" workbookViewId="0">
      <pane xSplit="1" ySplit="4" topLeftCell="B33" activePane="bottomRight" state="frozen"/>
      <selection pane="topRight"/>
      <selection pane="bottomLeft"/>
      <selection pane="bottomRight" activeCell="C44" sqref="C44"/>
    </sheetView>
  </sheetViews>
  <sheetFormatPr defaultRowHeight="10.5" customHeight="1" x14ac:dyDescent="0.25"/>
  <cols>
    <col min="1" max="1" width="2.42578125" customWidth="1"/>
    <col min="2" max="2" width="8" customWidth="1"/>
    <col min="3" max="3" width="34.28515625" bestFit="1" customWidth="1"/>
    <col min="4" max="4" width="10" customWidth="1"/>
    <col min="5" max="5" width="12" customWidth="1"/>
    <col min="6" max="7" width="10" customWidth="1"/>
    <col min="8" max="9" width="9" customWidth="1"/>
    <col min="10" max="13" width="14" customWidth="1"/>
    <col min="14" max="15" width="13" customWidth="1"/>
    <col min="16" max="16" width="24" customWidth="1"/>
  </cols>
  <sheetData>
    <row r="2" spans="2:16" ht="18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2:16" ht="20.100000000000001" customHeight="1" x14ac:dyDescent="0.25">
      <c r="B4" s="3" t="s">
        <v>1</v>
      </c>
      <c r="D4" s="4" t="s">
        <v>2</v>
      </c>
      <c r="E4" s="5"/>
      <c r="F4" s="5"/>
      <c r="G4" s="5"/>
      <c r="I4" s="6" t="s">
        <v>3</v>
      </c>
    </row>
    <row r="6" spans="2:16" ht="15" x14ac:dyDescent="0.25">
      <c r="B6" s="7" t="s">
        <v>4</v>
      </c>
    </row>
    <row r="7" spans="2:16" ht="15" x14ac:dyDescent="0.25">
      <c r="B7" s="8">
        <f>IF($D$4="Todos",SUM(Histórico!$O$4:$O$503),SUMIF(Histórico!$B$4:$B$503,$D$4,Histórico!$O$4:$O$503))</f>
        <v>74220</v>
      </c>
      <c r="C7" s="9"/>
      <c r="D7" s="9"/>
      <c r="E7" s="9"/>
    </row>
    <row r="8" spans="2:16" ht="15" x14ac:dyDescent="0.25">
      <c r="B8" s="7" t="s">
        <v>5</v>
      </c>
      <c r="C8" s="10">
        <f>IFERROR(IF($D$4="Todos",SUMPRODUCT(IFERROR((Histórico!$F$4:$F$503&lt;&gt;"")/COUNTIFS(Histórico!$F$4:$F$503,Histórico!$F$4:$F$503),0)),SUMPRODUCT(IFERROR((Histórico!$F$4:$F$503&lt;&gt;"")/COUNTIFS(Histórico!$F$4:$F$503,Histórico!$F$4:$F$503,Histórico!$B$4:$B$503,$D$4),0))),0)</f>
        <v>0</v>
      </c>
      <c r="E8" s="7" t="s">
        <v>6</v>
      </c>
      <c r="F8" s="8">
        <f>SUMPRODUCT(IF($D$4="Todos",1,1*(Histórico!$B$4:$B$503=$D$4))*IF(ISNUMBER(Histórico!$M$4:$M$503),Histórico!$M$4:$M$503,0)*Histórico!$O$4:$O$503)</f>
        <v>0</v>
      </c>
    </row>
    <row r="9" spans="2:16" ht="15" x14ac:dyDescent="0.25">
      <c r="B9" s="7" t="s">
        <v>7</v>
      </c>
      <c r="C9" s="10">
        <f>IFERROR(IF($D$4="Todos",SUMPRODUCT(IFERROR((Histórico!$G$4:$G$503&lt;&gt;"")/COUNTIFS(Histórico!$G$4:$G$503,Histórico!$G$4:$G$503),0)),SUMPRODUCT(IFERROR((Histórico!$G$4:$G$503&lt;&gt;"")/COUNTIFS(Histórico!$G$4:$G$503,Histórico!$G$4:$G$503,Histórico!$B$4:$B$503,$D$4),0))),0)</f>
        <v>0.5</v>
      </c>
      <c r="E9" s="7" t="s">
        <v>8</v>
      </c>
      <c r="F9" s="10">
        <f>IF($D$4="Todos",SUM(Histórico!$I$4:$I$503),SUMIF(Histórico!$B$4:$B$503,$D$4,Histórico!$I$4:$I$503))</f>
        <v>4560</v>
      </c>
    </row>
    <row r="10" spans="2:16" ht="15" x14ac:dyDescent="0.25">
      <c r="B10" s="7" t="s">
        <v>9</v>
      </c>
      <c r="C10" s="11">
        <f>IFERROR(IF($D$4="Todos",SUMPRODUCT(IF(ISNUMBER(Histórico!$L$4:$L$503),Histórico!$L$4:$L$503,0)*Histórico!$O$4:$O$503)/SUM(Histórico!$O$4:$O$503),SUMPRODUCT((Histórico!$B$4:$B$503=$D$4)*IF(ISNUMBER(Histórico!$L$4:$L$503),Histórico!$L$4:$L$503,0)*Histórico!$O$4:$O$503)/SUMIF(Histórico!$B$4:$B$503,$D$4,Histórico!$O$4:$O$503)),"")</f>
        <v>0</v>
      </c>
    </row>
    <row r="13" spans="2:16" ht="15" x14ac:dyDescent="0.25">
      <c r="B13" s="12" t="s">
        <v>10</v>
      </c>
      <c r="C13" s="12" t="s">
        <v>11</v>
      </c>
      <c r="D13" s="12" t="s">
        <v>12</v>
      </c>
    </row>
    <row r="14" spans="2:16" ht="15" x14ac:dyDescent="0.25">
      <c r="B14" s="13" t="s">
        <v>13</v>
      </c>
      <c r="C14" s="14">
        <v>46023</v>
      </c>
      <c r="D14" s="15">
        <f>IF($D$4="Todos",SUMIF(Histórico!$N$4:$N$503,$C14,Histórico!$O$4:$O$503),SUMIFS(Histórico!$O$4:$O$503,Histórico!$N$4:$N$503,$C14,Histórico!$B$4:$B$503,$D$4))</f>
        <v>0</v>
      </c>
    </row>
    <row r="15" spans="2:16" ht="15" x14ac:dyDescent="0.25">
      <c r="B15" s="16" t="s">
        <v>14</v>
      </c>
      <c r="C15" s="17">
        <v>46054</v>
      </c>
      <c r="D15" s="18">
        <f>IF($D$4="Todos",SUMIF(Histórico!$N$4:$N$503,$C15,Histórico!$O$4:$O$503),SUMIFS(Histórico!$O$4:$O$503,Histórico!$N$4:$N$503,$C15,Histórico!$B$4:$B$503,$D$4))</f>
        <v>0</v>
      </c>
    </row>
    <row r="16" spans="2:16" ht="15" x14ac:dyDescent="0.25">
      <c r="B16" s="13" t="s">
        <v>15</v>
      </c>
      <c r="C16" s="14">
        <v>46082</v>
      </c>
      <c r="D16" s="15">
        <f>IF($D$4="Todos",SUMIF(Histórico!$N$4:$N$503,$C16,Histórico!$O$4:$O$503),SUMIFS(Histórico!$O$4:$O$503,Histórico!$N$4:$N$503,$C16,Histórico!$B$4:$B$503,$D$4))</f>
        <v>36240</v>
      </c>
    </row>
    <row r="17" spans="2:9" ht="15" x14ac:dyDescent="0.25">
      <c r="B17" s="16" t="s">
        <v>16</v>
      </c>
      <c r="C17" s="17">
        <v>46113</v>
      </c>
      <c r="D17" s="18">
        <f>IF($D$4="Todos",SUMIF(Histórico!$N$4:$N$503,$C17,Histórico!$O$4:$O$503),SUMIFS(Histórico!$O$4:$O$503,Histórico!$N$4:$N$503,$C17,Histórico!$B$4:$B$503,$D$4))</f>
        <v>0</v>
      </c>
    </row>
    <row r="18" spans="2:9" ht="15" x14ac:dyDescent="0.25">
      <c r="B18" s="13" t="s">
        <v>17</v>
      </c>
      <c r="C18" s="14">
        <v>46143</v>
      </c>
      <c r="D18" s="15">
        <f>IF($D$4="Todos",SUMIF(Histórico!$N$4:$N$503,$C18,Histórico!$O$4:$O$503),SUMIFS(Histórico!$O$4:$O$503,Histórico!$N$4:$N$503,$C18,Histórico!$B$4:$B$503,$D$4))</f>
        <v>37980</v>
      </c>
    </row>
    <row r="19" spans="2:9" ht="15" x14ac:dyDescent="0.25">
      <c r="B19" s="16" t="s">
        <v>18</v>
      </c>
      <c r="C19" s="17">
        <v>46174</v>
      </c>
      <c r="D19" s="18">
        <f>IF($D$4="Todos",SUMIF(Histórico!$N$4:$N$503,$C19,Histórico!$O$4:$O$503),SUMIFS(Histórico!$O$4:$O$503,Histórico!$N$4:$N$503,$C19,Histórico!$B$4:$B$503,$D$4))</f>
        <v>0</v>
      </c>
    </row>
    <row r="20" spans="2:9" ht="15" x14ac:dyDescent="0.25">
      <c r="B20" s="13" t="s">
        <v>19</v>
      </c>
      <c r="C20" s="14">
        <v>46204</v>
      </c>
      <c r="D20" s="15">
        <f>IF($D$4="Todos",SUMIF(Histórico!$N$4:$N$503,$C20,Histórico!$O$4:$O$503),SUMIFS(Histórico!$O$4:$O$503,Histórico!$N$4:$N$503,$C20,Histórico!$B$4:$B$503,$D$4))</f>
        <v>0</v>
      </c>
    </row>
    <row r="21" spans="2:9" ht="15" x14ac:dyDescent="0.25">
      <c r="B21" s="16" t="s">
        <v>20</v>
      </c>
      <c r="C21" s="17">
        <v>46235</v>
      </c>
      <c r="D21" s="18">
        <f>IF($D$4="Todos",SUMIF(Histórico!$N$4:$N$503,$C21,Histórico!$O$4:$O$503),SUMIFS(Histórico!$O$4:$O$503,Histórico!$N$4:$N$503,$C21,Histórico!$B$4:$B$503,$D$4))</f>
        <v>0</v>
      </c>
    </row>
    <row r="22" spans="2:9" ht="15" x14ac:dyDescent="0.25">
      <c r="B22" s="13" t="s">
        <v>21</v>
      </c>
      <c r="C22" s="14">
        <v>46266</v>
      </c>
      <c r="D22" s="15">
        <f>IF($D$4="Todos",SUMIF(Histórico!$N$4:$N$503,$C22,Histórico!$O$4:$O$503),SUMIFS(Histórico!$O$4:$O$503,Histórico!$N$4:$N$503,$C22,Histórico!$B$4:$B$503,$D$4))</f>
        <v>0</v>
      </c>
    </row>
    <row r="23" spans="2:9" ht="15" x14ac:dyDescent="0.25">
      <c r="B23" s="16" t="s">
        <v>22</v>
      </c>
      <c r="C23" s="17">
        <v>46296</v>
      </c>
      <c r="D23" s="18">
        <f>IF($D$4="Todos",SUMIF(Histórico!$N$4:$N$503,$C23,Histórico!$O$4:$O$503),SUMIFS(Histórico!$O$4:$O$503,Histórico!$N$4:$N$503,$C23,Histórico!$B$4:$B$503,$D$4))</f>
        <v>0</v>
      </c>
    </row>
    <row r="24" spans="2:9" ht="15" x14ac:dyDescent="0.25">
      <c r="B24" s="13" t="s">
        <v>23</v>
      </c>
      <c r="C24" s="14">
        <v>46327</v>
      </c>
      <c r="D24" s="15">
        <f>IF($D$4="Todos",SUMIF(Histórico!$N$4:$N$503,$C24,Histórico!$O$4:$O$503),SUMIFS(Histórico!$O$4:$O$503,Histórico!$N$4:$N$503,$C24,Histórico!$B$4:$B$503,$D$4))</f>
        <v>0</v>
      </c>
    </row>
    <row r="25" spans="2:9" ht="15" x14ac:dyDescent="0.25">
      <c r="B25" s="16" t="s">
        <v>24</v>
      </c>
      <c r="C25" s="17">
        <v>46357</v>
      </c>
      <c r="D25" s="18">
        <f>IF($D$4="Todos",SUMIF(Histórico!$N$4:$N$503,$C25,Histórico!$O$4:$O$503),SUMIFS(Histórico!$O$4:$O$503,Histórico!$N$4:$N$503,$C25,Histórico!$B$4:$B$503,$D$4))</f>
        <v>0</v>
      </c>
    </row>
    <row r="29" spans="2:9" ht="18" customHeight="1" x14ac:dyDescent="0.25">
      <c r="B29" s="1" t="s">
        <v>25</v>
      </c>
      <c r="C29" s="2"/>
      <c r="D29" s="2"/>
      <c r="E29" s="2"/>
      <c r="F29" s="2"/>
      <c r="G29" s="2"/>
      <c r="H29" s="2"/>
      <c r="I29" s="2"/>
    </row>
    <row r="30" spans="2:9" ht="26.1" customHeight="1" x14ac:dyDescent="0.25">
      <c r="B30" s="19" t="s">
        <v>26</v>
      </c>
      <c r="C30" s="19" t="s">
        <v>27</v>
      </c>
      <c r="D30" s="19" t="s">
        <v>28</v>
      </c>
      <c r="E30" s="19" t="s">
        <v>29</v>
      </c>
      <c r="F30" s="19" t="s">
        <v>30</v>
      </c>
      <c r="G30" s="19" t="s">
        <v>31</v>
      </c>
      <c r="H30" s="19" t="s">
        <v>32</v>
      </c>
      <c r="I30" s="19" t="s">
        <v>33</v>
      </c>
    </row>
    <row r="31" spans="2:9" ht="15" x14ac:dyDescent="0.25">
      <c r="B31" s="20" t="s">
        <v>34</v>
      </c>
      <c r="C31" s="20" t="str">
        <f>IFERROR(INDEX(COGS!$C$4:$C$20,MATCH($B31,COGS!$B$4:$B$20,0)),"?")</f>
        <v>Shampoo a Seco GE Beauty 150ml</v>
      </c>
      <c r="D31" s="21">
        <f>COUNTIFS(Histórico!$G$4:$G$503,$B31)</f>
        <v>3</v>
      </c>
      <c r="E31" s="22" t="str">
        <f ca="1">IFERROR(IF(D31=0,"—",_xludf.MINIFS(Histórico!$L$4:$L$503,Histórico!$G$4:$G$503,$B31)),"—")</f>
        <v>—</v>
      </c>
      <c r="F31" s="22" t="str">
        <f ca="1">IFERROR(IF(D31=0,"—",_xludf.MAXIFS(Histórico!$L$4:$L$503,Histórico!$G$4:$G$503,$B31)),"—")</f>
        <v>—</v>
      </c>
      <c r="G31" s="21">
        <f>COUNTIFS(Histórico!$G$4:$G$503,$B31,Histórico!$B$4:$B$503,$D$4)</f>
        <v>0</v>
      </c>
      <c r="H31" s="22" t="str">
        <f>IFERROR(IF(G31=0,"—",_xludf.MINIFS(Histórico!$L$4:$L$503,Histórico!$G$4:$G$503,$B31,Histórico!$B$4:$B$503,$D$4)),"—")</f>
        <v>—</v>
      </c>
      <c r="I31" s="22" t="str">
        <f>IFERROR(IF(G31=0,"—",_xludf.MAXIFS(Histórico!$L$4:$L$503,Histórico!$G$4:$G$503,$B31,Histórico!$B$4:$B$503,$D$4)),"—")</f>
        <v>—</v>
      </c>
    </row>
    <row r="32" spans="2:9" ht="15" x14ac:dyDescent="0.25">
      <c r="B32" s="23" t="s">
        <v>35</v>
      </c>
      <c r="C32" s="23" t="str">
        <f>IFERROR(INDEX(COGS!$C$4:$C$20,MATCH($B32,COGS!$B$4:$B$20,0)),"?")</f>
        <v>Booster Fortificante GE Beauty 15ml</v>
      </c>
      <c r="D32" s="24">
        <f>COUNTIFS(Histórico!$G$4:$G$503,$B32)</f>
        <v>1</v>
      </c>
      <c r="E32" s="25" t="str">
        <f ca="1">IFERROR(IF(D32=0,"—",_xludf.MINIFS(Histórico!$L$4:$L$503,Histórico!$G$4:$G$503,$B32)),"—")</f>
        <v>—</v>
      </c>
      <c r="F32" s="25" t="str">
        <f ca="1">IFERROR(IF(D32=0,"—",_xludf.MAXIFS(Histórico!$L$4:$L$503,Histórico!$G$4:$G$503,$B32)),"—")</f>
        <v>—</v>
      </c>
      <c r="G32" s="24">
        <f>COUNTIFS(Histórico!$G$4:$G$503,$B32,Histórico!$B$4:$B$503,$D$4)</f>
        <v>0</v>
      </c>
      <c r="H32" s="25" t="str">
        <f>IFERROR(IF(G32=0,"—",_xludf.MINIFS(Histórico!$L$4:$L$503,Histórico!$G$4:$G$503,$B32,Histórico!$B$4:$B$503,$D$4)),"—")</f>
        <v>—</v>
      </c>
      <c r="I32" s="25" t="str">
        <f>IFERROR(IF(G32=0,"—",_xludf.MAXIFS(Histórico!$L$4:$L$503,Histórico!$G$4:$G$503,$B32,Histórico!$B$4:$B$503,$D$4)),"—")</f>
        <v>—</v>
      </c>
    </row>
    <row r="33" spans="2:16" ht="15" x14ac:dyDescent="0.25">
      <c r="B33" s="20" t="s">
        <v>36</v>
      </c>
      <c r="C33" s="20" t="str">
        <f>IFERROR(INDEX(COGS!$C$4:$C$20,MATCH($B33,COGS!$B$4:$B$20,0)),"?")</f>
        <v>Booster Antioxidante GE Beauty 15ml</v>
      </c>
      <c r="D33" s="21">
        <f>COUNTIFS(Histórico!$G$4:$G$503,$B33)</f>
        <v>1</v>
      </c>
      <c r="E33" s="22" t="str">
        <f ca="1">IFERROR(IF(D33=0,"—",_xludf.MINIFS(Histórico!$L$4:$L$503,Histórico!$G$4:$G$503,$B33)),"—")</f>
        <v>—</v>
      </c>
      <c r="F33" s="22" t="str">
        <f ca="1">IFERROR(IF(D33=0,"—",_xludf.MAXIFS(Histórico!$L$4:$L$503,Histórico!$G$4:$G$503,$B33)),"—")</f>
        <v>—</v>
      </c>
      <c r="G33" s="21">
        <f>COUNTIFS(Histórico!$G$4:$G$503,$B33,Histórico!$B$4:$B$503,$D$4)</f>
        <v>0</v>
      </c>
      <c r="H33" s="22" t="str">
        <f>IFERROR(IF(G33=0,"—",_xludf.MINIFS(Histórico!$L$4:$L$503,Histórico!$G$4:$G$503,$B33,Histórico!$B$4:$B$503,$D$4)),"—")</f>
        <v>—</v>
      </c>
      <c r="I33" s="22" t="str">
        <f>IFERROR(IF(G33=0,"—",_xludf.MAXIFS(Histórico!$L$4:$L$503,Histórico!$G$4:$G$503,$B33,Histórico!$B$4:$B$503,$D$4)),"—")</f>
        <v>—</v>
      </c>
    </row>
    <row r="34" spans="2:16" ht="15" x14ac:dyDescent="0.25">
      <c r="B34" s="23" t="s">
        <v>37</v>
      </c>
      <c r="C34" s="23" t="str">
        <f>IFERROR(INDEX(COGS!$C$4:$C$20,MATCH($B34,COGS!$B$4:$B$20,0)),"?")</f>
        <v>Booster Hidratante GE Beauty 15ml</v>
      </c>
      <c r="D34" s="24">
        <f>COUNTIFS(Histórico!$G$4:$G$503,$B34)</f>
        <v>2</v>
      </c>
      <c r="E34" s="25" t="str">
        <f ca="1">IFERROR(IF(D34=0,"—",_xludf.MINIFS(Histórico!$L$4:$L$503,Histórico!$G$4:$G$503,$B34)),"—")</f>
        <v>—</v>
      </c>
      <c r="F34" s="25" t="str">
        <f ca="1">IFERROR(IF(D34=0,"—",_xludf.MAXIFS(Histórico!$L$4:$L$503,Histórico!$G$4:$G$503,$B34)),"—")</f>
        <v>—</v>
      </c>
      <c r="G34" s="24">
        <f>COUNTIFS(Histórico!$G$4:$G$503,$B34,Histórico!$B$4:$B$503,$D$4)</f>
        <v>0</v>
      </c>
      <c r="H34" s="25" t="str">
        <f>IFERROR(IF(G34=0,"—",_xludf.MINIFS(Histórico!$L$4:$L$503,Histórico!$G$4:$G$503,$B34,Histórico!$B$4:$B$503,$D$4)),"—")</f>
        <v>—</v>
      </c>
      <c r="I34" s="25" t="str">
        <f>IFERROR(IF(G34=0,"—",_xludf.MAXIFS(Histórico!$L$4:$L$503,Histórico!$G$4:$G$503,$B34,Histórico!$B$4:$B$503,$D$4)),"—")</f>
        <v>—</v>
      </c>
    </row>
    <row r="35" spans="2:16" ht="15" x14ac:dyDescent="0.25">
      <c r="B35" s="20" t="s">
        <v>38</v>
      </c>
      <c r="C35" s="20" t="str">
        <f>IFERROR(INDEX(COGS!$C$4:$C$20,MATCH($B35,COGS!$B$4:$B$20,0)),"?")</f>
        <v>Leave-in com proteção térmica GE Beauty 150ml</v>
      </c>
      <c r="D35" s="21">
        <f>COUNTIFS(Histórico!$G$4:$G$503,$B35)</f>
        <v>3</v>
      </c>
      <c r="E35" s="22" t="str">
        <f ca="1">IFERROR(IF(D35=0,"—",_xludf.MINIFS(Histórico!$L$4:$L$503,Histórico!$G$4:$G$503,$B35)),"—")</f>
        <v>—</v>
      </c>
      <c r="F35" s="22" t="str">
        <f ca="1">IFERROR(IF(D35=0,"—",_xludf.MAXIFS(Histórico!$L$4:$L$503,Histórico!$G$4:$G$503,$B35)),"—")</f>
        <v>—</v>
      </c>
      <c r="G35" s="21">
        <f>COUNTIFS(Histórico!$G$4:$G$503,$B35,Histórico!$B$4:$B$503,$D$4)</f>
        <v>2</v>
      </c>
      <c r="H35" s="22" t="str">
        <f ca="1">IFERROR(IF(G35=0,"—",_xludf.MINIFS(Histórico!$L$4:$L$503,Histórico!$G$4:$G$503,$B35,Histórico!$B$4:$B$503,$D$4)),"—")</f>
        <v>—</v>
      </c>
      <c r="I35" s="22" t="str">
        <f ca="1">IFERROR(IF(G35=0,"—",_xludf.MAXIFS(Histórico!$L$4:$L$503,Histórico!$G$4:$G$503,$B35,Histórico!$B$4:$B$503,$D$4)),"—")</f>
        <v>—</v>
      </c>
    </row>
    <row r="36" spans="2:16" ht="15" x14ac:dyDescent="0.25">
      <c r="B36" s="23" t="s">
        <v>39</v>
      </c>
      <c r="C36" s="23" t="str">
        <f>IFERROR(INDEX(COGS!$C$4:$C$20,MATCH($B36,COGS!$B$4:$B$20,0)),"?")</f>
        <v>Máscara Condicionadora GE Beauty 200ml</v>
      </c>
      <c r="D36" s="24">
        <f>COUNTIFS(Histórico!$G$4:$G$503,$B36)</f>
        <v>2</v>
      </c>
      <c r="E36" s="25" t="str">
        <f ca="1">IFERROR(IF(D36=0,"—",_xludf.MINIFS(Histórico!$L$4:$L$503,Histórico!$G$4:$G$503,$B36)),"—")</f>
        <v>—</v>
      </c>
      <c r="F36" s="25" t="str">
        <f ca="1">IFERROR(IF(D36=0,"—",_xludf.MAXIFS(Histórico!$L$4:$L$503,Histórico!$G$4:$G$503,$B36)),"—")</f>
        <v>—</v>
      </c>
      <c r="G36" s="24">
        <f>COUNTIFS(Histórico!$G$4:$G$503,$B36,Histórico!$B$4:$B$503,$D$4)</f>
        <v>2</v>
      </c>
      <c r="H36" s="25" t="str">
        <f ca="1">IFERROR(IF(G36=0,"—",_xludf.MINIFS(Histórico!$L$4:$L$503,Histórico!$G$4:$G$503,$B36,Histórico!$B$4:$B$503,$D$4)),"—")</f>
        <v>—</v>
      </c>
      <c r="I36" s="25" t="str">
        <f ca="1">IFERROR(IF(G36=0,"—",_xludf.MAXIFS(Histórico!$L$4:$L$503,Histórico!$G$4:$G$503,$B36,Histórico!$B$4:$B$503,$D$4)),"—")</f>
        <v>—</v>
      </c>
    </row>
    <row r="37" spans="2:16" ht="15" x14ac:dyDescent="0.25">
      <c r="B37" s="20" t="s">
        <v>40</v>
      </c>
      <c r="C37" s="20" t="str">
        <f>IFERROR(INDEX(COGS!$C$4:$C$20,MATCH($B37,COGS!$B$4:$B$20,0)),"?")</f>
        <v>Shampoo GE Beauty 60 ml</v>
      </c>
      <c r="D37" s="21">
        <f>COUNTIFS(Histórico!$G$4:$G$503,$B37)</f>
        <v>1</v>
      </c>
      <c r="E37" s="22" t="str">
        <f ca="1">IFERROR(IF(D37=0,"—",_xludf.MINIFS(Histórico!$L$4:$L$503,Histórico!$G$4:$G$503,$B37)),"—")</f>
        <v>—</v>
      </c>
      <c r="F37" s="22" t="str">
        <f ca="1">IFERROR(IF(D37=0,"—",_xludf.MAXIFS(Histórico!$L$4:$L$503,Histórico!$G$4:$G$503,$B37)),"—")</f>
        <v>—</v>
      </c>
      <c r="G37" s="21">
        <f>COUNTIFS(Histórico!$G$4:$G$503,$B37,Histórico!$B$4:$B$503,$D$4)</f>
        <v>0</v>
      </c>
      <c r="H37" s="22" t="str">
        <f>IFERROR(IF(G37=0,"—",_xludf.MINIFS(Histórico!$L$4:$L$503,Histórico!$G$4:$G$503,$B37,Histórico!$B$4:$B$503,$D$4)),"—")</f>
        <v>—</v>
      </c>
      <c r="I37" s="22" t="str">
        <f>IFERROR(IF(G37=0,"—",_xludf.MAXIFS(Histórico!$L$4:$L$503,Histórico!$G$4:$G$503,$B37,Histórico!$B$4:$B$503,$D$4)),"—")</f>
        <v>—</v>
      </c>
    </row>
    <row r="38" spans="2:16" ht="15" x14ac:dyDescent="0.25">
      <c r="B38" s="23" t="s">
        <v>41</v>
      </c>
      <c r="C38" s="23" t="str">
        <f>IFERROR(INDEX(COGS!$C$4:$C$20,MATCH($B38,COGS!$B$4:$B$20,0)),"?")</f>
        <v>Mascara Condicionadora GE Beauty 50ml</v>
      </c>
      <c r="D38" s="24">
        <f>COUNTIFS(Histórico!$G$4:$G$503,$B38)</f>
        <v>1</v>
      </c>
      <c r="E38" s="25" t="str">
        <f ca="1">IFERROR(IF(D38=0,"—",_xludf.MINIFS(Histórico!$L$4:$L$503,Histórico!$G$4:$G$503,$B38)),"—")</f>
        <v>—</v>
      </c>
      <c r="F38" s="25" t="str">
        <f ca="1">IFERROR(IF(D38=0,"—",_xludf.MAXIFS(Histórico!$L$4:$L$503,Histórico!$G$4:$G$503,$B38)),"—")</f>
        <v>—</v>
      </c>
      <c r="G38" s="24">
        <f>COUNTIFS(Histórico!$G$4:$G$503,$B38,Histórico!$B$4:$B$503,$D$4)</f>
        <v>0</v>
      </c>
      <c r="H38" s="25" t="str">
        <f>IFERROR(IF(G38=0,"—",_xludf.MINIFS(Histórico!$L$4:$L$503,Histórico!$G$4:$G$503,$B38,Histórico!$B$4:$B$503,$D$4)),"—")</f>
        <v>—</v>
      </c>
      <c r="I38" s="25" t="str">
        <f>IFERROR(IF(G38=0,"—",_xludf.MAXIFS(Histórico!$L$4:$L$503,Histórico!$G$4:$G$503,$B38,Histórico!$B$4:$B$503,$D$4)),"—")</f>
        <v>—</v>
      </c>
    </row>
    <row r="39" spans="2:16" ht="15" x14ac:dyDescent="0.25">
      <c r="B39" s="20" t="s">
        <v>42</v>
      </c>
      <c r="C39" s="20" t="str">
        <f>IFERROR(INDEX(COGS!$C$4:$C$20,MATCH($B39,COGS!$B$4:$B$20,0)),"?")</f>
        <v>Booster Definição GE Beauty 15ml</v>
      </c>
      <c r="D39" s="21">
        <f>COUNTIFS(Histórico!$G$4:$G$503,$B39)</f>
        <v>1</v>
      </c>
      <c r="E39" s="22" t="str">
        <f ca="1">IFERROR(IF(D39=0,"—",_xludf.MINIFS(Histórico!$L$4:$L$503,Histórico!$G$4:$G$503,$B39)),"—")</f>
        <v>—</v>
      </c>
      <c r="F39" s="22" t="str">
        <f ca="1">IFERROR(IF(D39=0,"—",_xludf.MAXIFS(Histórico!$L$4:$L$503,Histórico!$G$4:$G$503,$B39)),"—")</f>
        <v>—</v>
      </c>
      <c r="G39" s="21">
        <f>COUNTIFS(Histórico!$G$4:$G$503,$B39,Histórico!$B$4:$B$503,$D$4)</f>
        <v>0</v>
      </c>
      <c r="H39" s="22" t="str">
        <f>IFERROR(IF(G39=0,"—",_xludf.MINIFS(Histórico!$L$4:$L$503,Histórico!$G$4:$G$503,$B39,Histórico!$B$4:$B$503,$D$4)),"—")</f>
        <v>—</v>
      </c>
      <c r="I39" s="22" t="str">
        <f>IFERROR(IF(G39=0,"—",_xludf.MAXIFS(Histórico!$L$4:$L$503,Histórico!$G$4:$G$503,$B39,Histórico!$B$4:$B$503,$D$4)),"—")</f>
        <v>—</v>
      </c>
    </row>
    <row r="40" spans="2:16" ht="15" x14ac:dyDescent="0.25">
      <c r="B40" s="23" t="s">
        <v>43</v>
      </c>
      <c r="C40" s="23" t="str">
        <f>IFERROR(INDEX(COGS!$C$4:$C$20,MATCH($B40,COGS!$B$4:$B$20,0)),"?")</f>
        <v>Booster Antifrizz GE Beauty 15ml</v>
      </c>
      <c r="D40" s="24">
        <f>COUNTIFS(Histórico!$G$4:$G$503,$B40)</f>
        <v>1</v>
      </c>
      <c r="E40" s="25" t="str">
        <f ca="1">IFERROR(IF(D40=0,"—",_xludf.MINIFS(Histórico!$L$4:$L$503,Histórico!$G$4:$G$503,$B40)),"—")</f>
        <v>—</v>
      </c>
      <c r="F40" s="25" t="str">
        <f ca="1">IFERROR(IF(D40=0,"—",_xludf.MAXIFS(Histórico!$L$4:$L$503,Histórico!$G$4:$G$503,$B40)),"—")</f>
        <v>—</v>
      </c>
      <c r="G40" s="24">
        <f>COUNTIFS(Histórico!$G$4:$G$503,$B40,Histórico!$B$4:$B$503,$D$4)</f>
        <v>0</v>
      </c>
      <c r="H40" s="25" t="str">
        <f>IFERROR(IF(G40=0,"—",_xludf.MINIFS(Histórico!$L$4:$L$503,Histórico!$G$4:$G$503,$B40,Histórico!$B$4:$B$503,$D$4)),"—")</f>
        <v>—</v>
      </c>
      <c r="I40" s="25" t="str">
        <f>IFERROR(IF(G40=0,"—",_xludf.MAXIFS(Histórico!$L$4:$L$503,Histórico!$G$4:$G$503,$B40,Histórico!$B$4:$B$503,$D$4)),"—")</f>
        <v>—</v>
      </c>
    </row>
    <row r="43" spans="2:16" ht="18" customHeight="1" x14ac:dyDescent="0.25">
      <c r="B43" s="1" t="s">
        <v>44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2:16" ht="18" customHeight="1" x14ac:dyDescent="0.25">
      <c r="B44" s="3" t="s">
        <v>45</v>
      </c>
      <c r="C44" s="26" t="str">
        <f>$D$4</f>
        <v>Magenta</v>
      </c>
      <c r="D44" s="27"/>
      <c r="E44" s="27"/>
      <c r="F44" s="3" t="s">
        <v>46</v>
      </c>
      <c r="G44" s="28"/>
      <c r="H44" s="5"/>
      <c r="I44" s="3" t="s">
        <v>47</v>
      </c>
      <c r="J44" s="29"/>
      <c r="K44" s="30" t="s">
        <v>48</v>
      </c>
    </row>
    <row r="46" spans="2:16" ht="27.95" customHeight="1" x14ac:dyDescent="0.25">
      <c r="B46" s="19" t="s">
        <v>26</v>
      </c>
      <c r="C46" s="19" t="s">
        <v>27</v>
      </c>
      <c r="D46" s="19" t="s">
        <v>49</v>
      </c>
      <c r="E46" s="19" t="s">
        <v>50</v>
      </c>
      <c r="F46" s="19" t="s">
        <v>51</v>
      </c>
      <c r="G46" s="19" t="s">
        <v>52</v>
      </c>
      <c r="H46" s="19" t="s">
        <v>53</v>
      </c>
      <c r="I46" s="19" t="s">
        <v>54</v>
      </c>
      <c r="J46" s="19" t="s">
        <v>55</v>
      </c>
      <c r="K46" s="19" t="s">
        <v>56</v>
      </c>
      <c r="L46" s="19" t="s">
        <v>57</v>
      </c>
      <c r="M46" s="19" t="s">
        <v>58</v>
      </c>
      <c r="N46" s="19" t="s">
        <v>59</v>
      </c>
      <c r="O46" s="19" t="s">
        <v>60</v>
      </c>
      <c r="P46" s="19" t="s">
        <v>61</v>
      </c>
    </row>
    <row r="47" spans="2:16" ht="15" x14ac:dyDescent="0.25">
      <c r="B47" s="31" t="s">
        <v>36</v>
      </c>
      <c r="C47" s="23" t="str">
        <f>IFERROR(INDEX(COGS!$C$4:$C$20,MATCH($B47,COGS!$B$4:$B$20,0)),"")</f>
        <v>Booster Antioxidante GE Beauty 15ml</v>
      </c>
      <c r="D47" s="32">
        <v>3000</v>
      </c>
      <c r="E47" s="33">
        <v>24.65</v>
      </c>
      <c r="F47" s="18">
        <f>IFERROR(INDEX(COGS!$D$4:$D$20,MATCH($B47,COGS!$B$4:$B$20,0)),"")</f>
        <v>0</v>
      </c>
      <c r="G47" s="18">
        <f>IFERROR(INDEX(COGS!$F$4:$F$20,MATCH($B47,COGS!$B$4:$B$20,0)),"")</f>
        <v>75</v>
      </c>
      <c r="H47" s="25">
        <f t="shared" ref="H47:H61" si="0">IF(OR($B47="",$E47="",$G47=""),"",(G47-E47)/G47)</f>
        <v>0.67133333333333334</v>
      </c>
      <c r="I47" s="25">
        <f t="shared" ref="I47:I61" si="1">IF(OR($B47="",$E47="",$F47=""),"",(E47-F47)/E47)</f>
        <v>1</v>
      </c>
      <c r="J47" s="18">
        <f t="shared" ref="J47:J61" si="2">IF(OR($B47="",$D47="",$E47=""),"",D47*E47)</f>
        <v>73950</v>
      </c>
      <c r="K47" s="18">
        <f t="shared" ref="K47:K61" si="3">IF(OR($B47="",$D47="",$E47="",$F47=""),"",D47*(E47-F47))</f>
        <v>73950</v>
      </c>
      <c r="L47" s="25" t="str">
        <f>IFERROR(IF(COUNTIFS(Histórico!$G$4:$G$503,$B47,Histórico!$B$4:$B$503,$D$4)=0,"—",_xludf.MINIFS(Histórico!$L$4:$L$503,Histórico!$G$4:$G$503,$B47,Histórico!$B$4:$B$503,$D$4)),"—")</f>
        <v>—</v>
      </c>
      <c r="M47" s="25" t="str">
        <f>IFERROR(IF(COUNTIFS(Histórico!$G$4:$G$503,$B47,Histórico!$B$4:$B$503,$D$4)=0,"—",_xludf.MAXIFS(Histórico!$L$4:$L$503,Histórico!$G$4:$G$503,$B47,Histórico!$B$4:$B$503,$D$4)),"—")</f>
        <v>—</v>
      </c>
      <c r="N47" s="25" t="str">
        <f ca="1">IFERROR(IF(COUNTIFS(Histórico!$G$4:$G$503,$B47)=0,"—",_xludf.MINIFS(Histórico!$L$4:$L$503,Histórico!$G$4:$G$503,$B47)),"—")</f>
        <v>—</v>
      </c>
      <c r="O47" s="25" t="str">
        <f ca="1">IFERROR(IF(COUNTIFS(Histórico!$G$4:$G$503,$B47)=0,"—",_xludf.MAXIFS(Histórico!$L$4:$L$503,Histórico!$G$4:$G$503,$B47)),"—")</f>
        <v>—</v>
      </c>
      <c r="P47" s="23" t="str">
        <f t="shared" ref="P47:P61" si="4">IF($B47="","",IF($H47="","",IF($L47="—","novo para cliente",IF($H47&lt;$L47,"+ melhor que o histórico",IF($H47&gt;$M47,"! acima do max histórico","~ no range histórico")))))</f>
        <v>novo para cliente</v>
      </c>
    </row>
    <row r="48" spans="2:16" ht="15" x14ac:dyDescent="0.25">
      <c r="B48" s="31" t="s">
        <v>43</v>
      </c>
      <c r="C48" s="20" t="str">
        <f>IFERROR(INDEX(COGS!$C$4:$C$20,MATCH($B48,COGS!$B$4:$B$20,0)),"")</f>
        <v>Booster Antifrizz GE Beauty 15ml</v>
      </c>
      <c r="D48" s="32">
        <v>2000</v>
      </c>
      <c r="E48" s="33">
        <v>22.7</v>
      </c>
      <c r="F48" s="15">
        <f>IFERROR(INDEX(COGS!$D$4:$D$20,MATCH($B48,COGS!$B$4:$B$20,0)),"")</f>
        <v>9.24</v>
      </c>
      <c r="G48" s="15">
        <f>IFERROR(INDEX(COGS!$F$4:$F$20,MATCH($B48,COGS!$B$4:$B$20,0)),"")</f>
        <v>79</v>
      </c>
      <c r="H48" s="22">
        <f t="shared" si="0"/>
        <v>0.71265822784810118</v>
      </c>
      <c r="I48" s="22">
        <f t="shared" si="1"/>
        <v>0.59295154185022025</v>
      </c>
      <c r="J48" s="15">
        <f t="shared" si="2"/>
        <v>45400</v>
      </c>
      <c r="K48" s="15">
        <f t="shared" si="3"/>
        <v>26919.999999999996</v>
      </c>
      <c r="L48" s="22" t="str">
        <f>IFERROR(IF(COUNTIFS(Histórico!$G$4:$G$503,$B48,Histórico!$B$4:$B$503,$D$4)=0,"—",_xludf.MINIFS(Histórico!$L$4:$L$503,Histórico!$G$4:$G$503,$B48,Histórico!$B$4:$B$503,$D$4)),"—")</f>
        <v>—</v>
      </c>
      <c r="M48" s="22" t="str">
        <f>IFERROR(IF(COUNTIFS(Histórico!$G$4:$G$503,$B48,Histórico!$B$4:$B$503,$D$4)=0,"—",_xludf.MAXIFS(Histórico!$L$4:$L$503,Histórico!$G$4:$G$503,$B48,Histórico!$B$4:$B$503,$D$4)),"—")</f>
        <v>—</v>
      </c>
      <c r="N48" s="22" t="str">
        <f ca="1">IFERROR(IF(COUNTIFS(Histórico!$G$4:$G$503,$B48)=0,"—",_xludf.MINIFS(Histórico!$L$4:$L$503,Histórico!$G$4:$G$503,$B48)),"—")</f>
        <v>—</v>
      </c>
      <c r="O48" s="22" t="str">
        <f ca="1">IFERROR(IF(COUNTIFS(Histórico!$G$4:$G$503,$B48)=0,"—",_xludf.MAXIFS(Histórico!$L$4:$L$503,Histórico!$G$4:$G$503,$B48)),"—")</f>
        <v>—</v>
      </c>
      <c r="P48" s="20" t="str">
        <f t="shared" si="4"/>
        <v>novo para cliente</v>
      </c>
    </row>
    <row r="49" spans="2:16" ht="15" x14ac:dyDescent="0.25">
      <c r="B49" s="31" t="s">
        <v>62</v>
      </c>
      <c r="C49" s="23" t="str">
        <f>IFERROR(INDEX(COGS!$C$4:$C$20,MATCH($B49,COGS!$B$4:$B$20,0)),"")</f>
        <v>Primer Liso Intacto GE Beauty 150ml</v>
      </c>
      <c r="D49" s="32">
        <v>4000</v>
      </c>
      <c r="E49" s="33">
        <v>31</v>
      </c>
      <c r="F49" s="18">
        <f>IFERROR(INDEX(COGS!$D$4:$D$20,MATCH($B49,COGS!$B$4:$B$20,0)),"")</f>
        <v>0</v>
      </c>
      <c r="G49" s="18">
        <f>IFERROR(INDEX(COGS!$F$4:$F$20,MATCH($B49,COGS!$B$4:$B$20,0)),"")</f>
        <v>139</v>
      </c>
      <c r="H49" s="25">
        <f t="shared" si="0"/>
        <v>0.7769784172661871</v>
      </c>
      <c r="I49" s="25">
        <f t="shared" si="1"/>
        <v>1</v>
      </c>
      <c r="J49" s="18">
        <f t="shared" si="2"/>
        <v>124000</v>
      </c>
      <c r="K49" s="18">
        <f t="shared" si="3"/>
        <v>124000</v>
      </c>
      <c r="L49" s="25" t="str">
        <f>IFERROR(IF(COUNTIFS(Histórico!$G$4:$G$503,$B49,Histórico!$B$4:$B$503,$D$4)=0,"—",_xludf.MINIFS(Histórico!$L$4:$L$503,Histórico!$G$4:$G$503,$B49,Histórico!$B$4:$B$503,$D$4)),"—")</f>
        <v>—</v>
      </c>
      <c r="M49" s="25" t="str">
        <f>IFERROR(IF(COUNTIFS(Histórico!$G$4:$G$503,$B49,Histórico!$B$4:$B$503,$D$4)=0,"—",_xludf.MAXIFS(Histórico!$L$4:$L$503,Histórico!$G$4:$G$503,$B49,Histórico!$B$4:$B$503,$D$4)),"—")</f>
        <v>—</v>
      </c>
      <c r="N49" s="25" t="str">
        <f>IFERROR(IF(COUNTIFS(Histórico!$G$4:$G$503,$B49)=0,"—",_xludf.MINIFS(Histórico!$L$4:$L$503,Histórico!$G$4:$G$503,$B49)),"—")</f>
        <v>—</v>
      </c>
      <c r="O49" s="25" t="str">
        <f>IFERROR(IF(COUNTIFS(Histórico!$G$4:$G$503,$B49)=0,"—",_xludf.MAXIFS(Histórico!$L$4:$L$503,Histórico!$G$4:$G$503,$B49)),"—")</f>
        <v>—</v>
      </c>
      <c r="P49" s="23" t="str">
        <f t="shared" si="4"/>
        <v>novo para cliente</v>
      </c>
    </row>
    <row r="50" spans="2:16" ht="15" x14ac:dyDescent="0.25">
      <c r="B50" s="31" t="s">
        <v>63</v>
      </c>
      <c r="C50" s="20" t="str">
        <f>IFERROR(INDEX(COGS!$C$4:$C$20,MATCH($B50,COGS!$B$4:$B$20,0)),"")</f>
        <v>Body Hair Mist Melon Mood GE Beauty 200ml</v>
      </c>
      <c r="D50" s="32">
        <v>5000</v>
      </c>
      <c r="E50" s="33">
        <v>28.5</v>
      </c>
      <c r="F50" s="15">
        <f>IFERROR(INDEX(COGS!$D$4:$D$20,MATCH($B50,COGS!$B$4:$B$20,0)),"")</f>
        <v>20.68</v>
      </c>
      <c r="G50" s="15">
        <f>IFERROR(INDEX(COGS!$F$4:$F$20,MATCH($B50,COGS!$B$4:$B$20,0)),"")</f>
        <v>129</v>
      </c>
      <c r="H50" s="22">
        <f t="shared" si="0"/>
        <v>0.77906976744186052</v>
      </c>
      <c r="I50" s="22">
        <f t="shared" si="1"/>
        <v>0.27438596491228073</v>
      </c>
      <c r="J50" s="15">
        <f t="shared" si="2"/>
        <v>142500</v>
      </c>
      <c r="K50" s="15">
        <f t="shared" si="3"/>
        <v>39100</v>
      </c>
      <c r="L50" s="22" t="str">
        <f>IFERROR(IF(COUNTIFS(Histórico!$G$4:$G$503,$B50,Histórico!$B$4:$B$503,$D$4)=0,"—",_xludf.MINIFS(Histórico!$L$4:$L$503,Histórico!$G$4:$G$503,$B50,Histórico!$B$4:$B$503,$D$4)),"—")</f>
        <v>—</v>
      </c>
      <c r="M50" s="22" t="str">
        <f>IFERROR(IF(COUNTIFS(Histórico!$G$4:$G$503,$B50,Histórico!$B$4:$B$503,$D$4)=0,"—",_xludf.MAXIFS(Histórico!$L$4:$L$503,Histórico!$G$4:$G$503,$B50,Histórico!$B$4:$B$503,$D$4)),"—")</f>
        <v>—</v>
      </c>
      <c r="N50" s="22" t="str">
        <f>IFERROR(IF(COUNTIFS(Histórico!$G$4:$G$503,$B50)=0,"—",_xludf.MINIFS(Histórico!$L$4:$L$503,Histórico!$G$4:$G$503,$B50)),"—")</f>
        <v>—</v>
      </c>
      <c r="O50" s="22" t="str">
        <f>IFERROR(IF(COUNTIFS(Histórico!$G$4:$G$503,$B50)=0,"—",_xludf.MAXIFS(Histórico!$L$4:$L$503,Histórico!$G$4:$G$503,$B50)),"—")</f>
        <v>—</v>
      </c>
      <c r="P50" s="20" t="str">
        <f t="shared" si="4"/>
        <v>novo para cliente</v>
      </c>
    </row>
    <row r="51" spans="2:16" ht="15" x14ac:dyDescent="0.25">
      <c r="B51" s="31" t="s">
        <v>64</v>
      </c>
      <c r="C51" s="23" t="str">
        <f>IFERROR(INDEX(COGS!$C$4:$C$20,MATCH($B51,COGS!$B$4:$B$20,0)),"")</f>
        <v>Melon Mood Mini Body &amp; Hair Mist</v>
      </c>
      <c r="D51" s="32">
        <v>4000</v>
      </c>
      <c r="E51" s="33">
        <v>23.45</v>
      </c>
      <c r="F51" s="18">
        <f>IFERROR(INDEX(COGS!$D$4:$D$20,MATCH($B51,COGS!$B$4:$B$20,0)),"")</f>
        <v>16.7</v>
      </c>
      <c r="G51" s="18">
        <f>IFERROR(INDEX(COGS!$F$4:$F$20,MATCH($B51,COGS!$B$4:$B$20,0)),"")</f>
        <v>79</v>
      </c>
      <c r="H51" s="25">
        <f t="shared" si="0"/>
        <v>0.70316455696202529</v>
      </c>
      <c r="I51" s="25">
        <f t="shared" si="1"/>
        <v>0.2878464818763326</v>
      </c>
      <c r="J51" s="18">
        <f t="shared" si="2"/>
        <v>93800</v>
      </c>
      <c r="K51" s="18">
        <f t="shared" si="3"/>
        <v>27000</v>
      </c>
      <c r="L51" s="25" t="str">
        <f>IFERROR(IF(COUNTIFS(Histórico!$G$4:$G$503,$B51,Histórico!$B$4:$B$503,$D$4)=0,"—",_xludf.MINIFS(Histórico!$L$4:$L$503,Histórico!$G$4:$G$503,$B51,Histórico!$B$4:$B$503,$D$4)),"—")</f>
        <v>—</v>
      </c>
      <c r="M51" s="25" t="str">
        <f>IFERROR(IF(COUNTIFS(Histórico!$G$4:$G$503,$B51,Histórico!$B$4:$B$503,$D$4)=0,"—",_xludf.MAXIFS(Histórico!$L$4:$L$503,Histórico!$G$4:$G$503,$B51,Histórico!$B$4:$B$503,$D$4)),"—")</f>
        <v>—</v>
      </c>
      <c r="N51" s="25" t="str">
        <f>IFERROR(IF(COUNTIFS(Histórico!$G$4:$G$503,$B51)=0,"—",_xludf.MINIFS(Histórico!$L$4:$L$503,Histórico!$G$4:$G$503,$B51)),"—")</f>
        <v>—</v>
      </c>
      <c r="O51" s="25" t="str">
        <f>IFERROR(IF(COUNTIFS(Histórico!$G$4:$G$503,$B51)=0,"—",_xludf.MAXIFS(Histórico!$L$4:$L$503,Histórico!$G$4:$G$503,$B51)),"—")</f>
        <v>—</v>
      </c>
      <c r="P51" s="23" t="str">
        <f t="shared" si="4"/>
        <v>novo para cliente</v>
      </c>
    </row>
    <row r="52" spans="2:16" ht="15" x14ac:dyDescent="0.25">
      <c r="B52" s="31" t="s">
        <v>40</v>
      </c>
      <c r="C52" s="20" t="str">
        <f>IFERROR(INDEX(COGS!$C$4:$C$20,MATCH($B52,COGS!$B$4:$B$20,0)),"")</f>
        <v>Shampoo GE Beauty 60 ml</v>
      </c>
      <c r="D52" s="32">
        <v>3000</v>
      </c>
      <c r="E52" s="33">
        <v>11</v>
      </c>
      <c r="F52" s="15">
        <f>IFERROR(INDEX(COGS!$D$4:$D$20,MATCH($B52,COGS!$B$4:$B$20,0)),"")</f>
        <v>6.49</v>
      </c>
      <c r="G52" s="15">
        <f>IFERROR(INDEX(COGS!$F$4:$F$20,MATCH($B52,COGS!$B$4:$B$20,0)),"")</f>
        <v>40</v>
      </c>
      <c r="H52" s="22">
        <f t="shared" si="0"/>
        <v>0.72499999999999998</v>
      </c>
      <c r="I52" s="22">
        <f t="shared" si="1"/>
        <v>0.41</v>
      </c>
      <c r="J52" s="15">
        <f t="shared" si="2"/>
        <v>33000</v>
      </c>
      <c r="K52" s="15">
        <f t="shared" si="3"/>
        <v>13530</v>
      </c>
      <c r="L52" s="22" t="str">
        <f>IFERROR(IF(COUNTIFS(Histórico!$G$4:$G$503,$B52,Histórico!$B$4:$B$503,$D$4)=0,"—",_xludf.MINIFS(Histórico!$L$4:$L$503,Histórico!$G$4:$G$503,$B52,Histórico!$B$4:$B$503,$D$4)),"—")</f>
        <v>—</v>
      </c>
      <c r="M52" s="22" t="str">
        <f>IFERROR(IF(COUNTIFS(Histórico!$G$4:$G$503,$B52,Histórico!$B$4:$B$503,$D$4)=0,"—",_xludf.MAXIFS(Histórico!$L$4:$L$503,Histórico!$G$4:$G$503,$B52,Histórico!$B$4:$B$503,$D$4)),"—")</f>
        <v>—</v>
      </c>
      <c r="N52" s="22" t="str">
        <f ca="1">IFERROR(IF(COUNTIFS(Histórico!$G$4:$G$503,$B52)=0,"—",_xludf.MINIFS(Histórico!$L$4:$L$503,Histórico!$G$4:$G$503,$B52)),"—")</f>
        <v>—</v>
      </c>
      <c r="O52" s="22" t="str">
        <f ca="1">IFERROR(IF(COUNTIFS(Histórico!$G$4:$G$503,$B52)=0,"—",_xludf.MAXIFS(Histórico!$L$4:$L$503,Histórico!$G$4:$G$503,$B52)),"—")</f>
        <v>—</v>
      </c>
      <c r="P52" s="20" t="str">
        <f t="shared" si="4"/>
        <v>novo para cliente</v>
      </c>
    </row>
    <row r="53" spans="2:16" ht="15" x14ac:dyDescent="0.25">
      <c r="B53" s="31" t="s">
        <v>41</v>
      </c>
      <c r="C53" s="23" t="str">
        <f>IFERROR(INDEX(COGS!$C$4:$C$20,MATCH($B53,COGS!$B$4:$B$20,0)),"")</f>
        <v>Mascara Condicionadora GE Beauty 50ml</v>
      </c>
      <c r="D53" s="32">
        <v>3000</v>
      </c>
      <c r="E53" s="33">
        <v>11</v>
      </c>
      <c r="F53" s="18">
        <f>IFERROR(INDEX(COGS!$D$4:$D$20,MATCH($B53,COGS!$B$4:$B$20,0)),"")</f>
        <v>5.1100000000000003</v>
      </c>
      <c r="G53" s="18">
        <f>IFERROR(INDEX(COGS!$F$4:$F$20,MATCH($B53,COGS!$B$4:$B$20,0)),"")</f>
        <v>40</v>
      </c>
      <c r="H53" s="25">
        <f t="shared" si="0"/>
        <v>0.72499999999999998</v>
      </c>
      <c r="I53" s="25">
        <f t="shared" si="1"/>
        <v>0.53545454545454541</v>
      </c>
      <c r="J53" s="18">
        <f t="shared" si="2"/>
        <v>33000</v>
      </c>
      <c r="K53" s="18">
        <f t="shared" si="3"/>
        <v>17670</v>
      </c>
      <c r="L53" s="25" t="str">
        <f>IFERROR(IF(COUNTIFS(Histórico!$G$4:$G$503,$B53,Histórico!$B$4:$B$503,$D$4)=0,"—",_xludf.MINIFS(Histórico!$L$4:$L$503,Histórico!$G$4:$G$503,$B53,Histórico!$B$4:$B$503,$D$4)),"—")</f>
        <v>—</v>
      </c>
      <c r="M53" s="25" t="str">
        <f>IFERROR(IF(COUNTIFS(Histórico!$G$4:$G$503,$B53,Histórico!$B$4:$B$503,$D$4)=0,"—",_xludf.MAXIFS(Histórico!$L$4:$L$503,Histórico!$G$4:$G$503,$B53,Histórico!$B$4:$B$503,$D$4)),"—")</f>
        <v>—</v>
      </c>
      <c r="N53" s="25" t="str">
        <f ca="1">IFERROR(IF(COUNTIFS(Histórico!$G$4:$G$503,$B53)=0,"—",_xludf.MINIFS(Histórico!$L$4:$L$503,Histórico!$G$4:$G$503,$B53)),"—")</f>
        <v>—</v>
      </c>
      <c r="O53" s="25" t="str">
        <f ca="1">IFERROR(IF(COUNTIFS(Histórico!$G$4:$G$503,$B53)=0,"—",_xludf.MAXIFS(Histórico!$L$4:$L$503,Histórico!$G$4:$G$503,$B53)),"—")</f>
        <v>—</v>
      </c>
      <c r="P53" s="23" t="str">
        <f t="shared" si="4"/>
        <v>novo para cliente</v>
      </c>
    </row>
    <row r="54" spans="2:16" ht="15" x14ac:dyDescent="0.25">
      <c r="B54" s="31" t="s">
        <v>65</v>
      </c>
      <c r="C54" s="20" t="s">
        <v>66</v>
      </c>
      <c r="D54" s="32">
        <v>3000</v>
      </c>
      <c r="E54" s="33">
        <v>12</v>
      </c>
      <c r="F54" s="15" t="str">
        <f>IFERROR(INDEX(COGS!$D$4:$D$20,MATCH($B54,COGS!$B$4:$B$20,0)),"")</f>
        <v/>
      </c>
      <c r="G54" s="15" t="str">
        <f>IFERROR(INDEX(COGS!$F$4:$F$20,MATCH($B54,COGS!$B$4:$B$20,0)),"")</f>
        <v/>
      </c>
      <c r="H54" s="22" t="str">
        <f t="shared" si="0"/>
        <v/>
      </c>
      <c r="I54" s="22" t="str">
        <f t="shared" si="1"/>
        <v/>
      </c>
      <c r="J54" s="15">
        <f t="shared" si="2"/>
        <v>36000</v>
      </c>
      <c r="K54" s="15" t="str">
        <f t="shared" si="3"/>
        <v/>
      </c>
      <c r="L54" s="22" t="str">
        <f>IFERROR(IF(COUNTIFS(Histórico!$G$4:$G$503,$B54,Histórico!$B$4:$B$503,$D$4)=0,"—",_xludf.MINIFS(Histórico!$L$4:$L$503,Histórico!$G$4:$G$503,$B54,Histórico!$B$4:$B$503,$D$4)),"—")</f>
        <v>—</v>
      </c>
      <c r="M54" s="22" t="str">
        <f>IFERROR(IF(COUNTIFS(Histórico!$G$4:$G$503,$B54,Histórico!$B$4:$B$503,$D$4)=0,"—",_xludf.MAXIFS(Histórico!$L$4:$L$503,Histórico!$G$4:$G$503,$B54,Histórico!$B$4:$B$503,$D$4)),"—")</f>
        <v>—</v>
      </c>
      <c r="N54" s="22" t="str">
        <f>IFERROR(IF(COUNTIFS(Histórico!$G$4:$G$503,$B54)=0,"—",_xludf.MINIFS(Histórico!$L$4:$L$503,Histórico!$G$4:$G$503,$B54)),"—")</f>
        <v>—</v>
      </c>
      <c r="O54" s="22" t="str">
        <f>IFERROR(IF(COUNTIFS(Histórico!$G$4:$G$503,$B54)=0,"—",_xludf.MAXIFS(Histórico!$L$4:$L$503,Histórico!$G$4:$G$503,$B54)),"—")</f>
        <v>—</v>
      </c>
      <c r="P54" s="20" t="str">
        <f t="shared" si="4"/>
        <v/>
      </c>
    </row>
    <row r="55" spans="2:16" ht="15" x14ac:dyDescent="0.25">
      <c r="B55" s="31" t="s">
        <v>34</v>
      </c>
      <c r="C55" s="23" t="str">
        <f>IFERROR(INDEX(COGS!$C$4:$C$20,MATCH($B55,COGS!$B$4:$B$20,0)),"")</f>
        <v>Shampoo a Seco GE Beauty 150ml</v>
      </c>
      <c r="D55" s="32">
        <v>1000</v>
      </c>
      <c r="E55" s="33">
        <v>18</v>
      </c>
      <c r="F55" s="18">
        <f>IFERROR(INDEX(COGS!$D$4:$D$20,MATCH($B55,COGS!$B$4:$B$20,0)),"")</f>
        <v>12.14</v>
      </c>
      <c r="G55" s="18">
        <f>IFERROR(INDEX(COGS!$F$4:$F$20,MATCH($B55,COGS!$B$4:$B$20,0)),"")</f>
        <v>69</v>
      </c>
      <c r="H55" s="25">
        <f t="shared" si="0"/>
        <v>0.73913043478260865</v>
      </c>
      <c r="I55" s="25">
        <f t="shared" si="1"/>
        <v>0.32555555555555554</v>
      </c>
      <c r="J55" s="18">
        <f t="shared" si="2"/>
        <v>18000</v>
      </c>
      <c r="K55" s="18">
        <f t="shared" si="3"/>
        <v>5859.9999999999991</v>
      </c>
      <c r="L55" s="25" t="str">
        <f>IFERROR(IF(COUNTIFS(Histórico!$G$4:$G$503,$B55,Histórico!$B$4:$B$503,$D$4)=0,"—",_xludf.MINIFS(Histórico!$L$4:$L$503,Histórico!$G$4:$G$503,$B55,Histórico!$B$4:$B$503,$D$4)),"—")</f>
        <v>—</v>
      </c>
      <c r="M55" s="25" t="str">
        <f>IFERROR(IF(COUNTIFS(Histórico!$G$4:$G$503,$B55,Histórico!$B$4:$B$503,$D$4)=0,"—",_xludf.MAXIFS(Histórico!$L$4:$L$503,Histórico!$G$4:$G$503,$B55,Histórico!$B$4:$B$503,$D$4)),"—")</f>
        <v>—</v>
      </c>
      <c r="N55" s="25" t="str">
        <f ca="1">IFERROR(IF(COUNTIFS(Histórico!$G$4:$G$503,$B55)=0,"—",_xludf.MINIFS(Histórico!$L$4:$L$503,Histórico!$G$4:$G$503,$B55)),"—")</f>
        <v>—</v>
      </c>
      <c r="O55" s="25" t="str">
        <f ca="1">IFERROR(IF(COUNTIFS(Histórico!$G$4:$G$503,$B55)=0,"—",_xludf.MAXIFS(Histórico!$L$4:$L$503,Histórico!$G$4:$G$503,$B55)),"—")</f>
        <v>—</v>
      </c>
      <c r="P55" s="23" t="str">
        <f t="shared" si="4"/>
        <v>novo para cliente</v>
      </c>
    </row>
    <row r="56" spans="2:16" ht="15" x14ac:dyDescent="0.25">
      <c r="B56" s="31"/>
      <c r="C56" s="20" t="str">
        <f>IFERROR(INDEX(COGS!$C$4:$C$20,MATCH($B56,COGS!$B$4:$B$20,0)),"")</f>
        <v/>
      </c>
      <c r="D56" s="32"/>
      <c r="E56" s="33"/>
      <c r="F56" s="15" t="str">
        <f>IFERROR(INDEX(COGS!$D$4:$D$20,MATCH($B56,COGS!$B$4:$B$20,0)),"")</f>
        <v/>
      </c>
      <c r="G56" s="15" t="str">
        <f>IFERROR(INDEX(COGS!$F$4:$F$20,MATCH($B56,COGS!$B$4:$B$20,0)),"")</f>
        <v/>
      </c>
      <c r="H56" s="22" t="str">
        <f t="shared" si="0"/>
        <v/>
      </c>
      <c r="I56" s="22" t="str">
        <f t="shared" si="1"/>
        <v/>
      </c>
      <c r="J56" s="15" t="str">
        <f t="shared" si="2"/>
        <v/>
      </c>
      <c r="K56" s="15" t="str">
        <f t="shared" si="3"/>
        <v/>
      </c>
      <c r="L56" s="22" t="str">
        <f>IFERROR(IF(COUNTIFS(Histórico!$G$4:$G$503,$B56,Histórico!$B$4:$B$503,$D$4)=0,"—",_xludf.MINIFS(Histórico!$L$4:$L$503,Histórico!$G$4:$G$503,$B56,Histórico!$B$4:$B$503,$D$4)),"—")</f>
        <v>—</v>
      </c>
      <c r="M56" s="22" t="str">
        <f>IFERROR(IF(COUNTIFS(Histórico!$G$4:$G$503,$B56,Histórico!$B$4:$B$503,$D$4)=0,"—",_xludf.MAXIFS(Histórico!$L$4:$L$503,Histórico!$G$4:$G$503,$B56,Histórico!$B$4:$B$503,$D$4)),"—")</f>
        <v>—</v>
      </c>
      <c r="N56" s="22" t="str">
        <f>IFERROR(IF(COUNTIFS(Histórico!$G$4:$G$503,$B56)=0,"—",_xludf.MINIFS(Histórico!$L$4:$L$503,Histórico!$G$4:$G$503,$B56)),"—")</f>
        <v>—</v>
      </c>
      <c r="O56" s="22" t="str">
        <f>IFERROR(IF(COUNTIFS(Histórico!$G$4:$G$503,$B56)=0,"—",_xludf.MAXIFS(Histórico!$L$4:$L$503,Histórico!$G$4:$G$503,$B56)),"—")</f>
        <v>—</v>
      </c>
      <c r="P56" s="20" t="str">
        <f t="shared" si="4"/>
        <v/>
      </c>
    </row>
    <row r="57" spans="2:16" ht="15" x14ac:dyDescent="0.25">
      <c r="B57" s="31"/>
      <c r="C57" s="23" t="str">
        <f>IFERROR(INDEX(COGS!$C$4:$C$20,MATCH($B57,COGS!$B$4:$B$20,0)),"")</f>
        <v/>
      </c>
      <c r="D57" s="32"/>
      <c r="E57" s="33"/>
      <c r="F57" s="18" t="str">
        <f>IFERROR(INDEX(COGS!$D$4:$D$20,MATCH($B57,COGS!$B$4:$B$20,0)),"")</f>
        <v/>
      </c>
      <c r="G57" s="18" t="str">
        <f>IFERROR(INDEX(COGS!$F$4:$F$20,MATCH($B57,COGS!$B$4:$B$20,0)),"")</f>
        <v/>
      </c>
      <c r="H57" s="25" t="str">
        <f t="shared" si="0"/>
        <v/>
      </c>
      <c r="I57" s="25" t="str">
        <f t="shared" si="1"/>
        <v/>
      </c>
      <c r="J57" s="18" t="str">
        <f t="shared" si="2"/>
        <v/>
      </c>
      <c r="K57" s="18" t="str">
        <f t="shared" si="3"/>
        <v/>
      </c>
      <c r="L57" s="25" t="str">
        <f>IFERROR(IF(COUNTIFS(Histórico!$G$4:$G$503,$B57,Histórico!$B$4:$B$503,$D$4)=0,"—",_xludf.MINIFS(Histórico!$L$4:$L$503,Histórico!$G$4:$G$503,$B57,Histórico!$B$4:$B$503,$D$4)),"—")</f>
        <v>—</v>
      </c>
      <c r="M57" s="25" t="str">
        <f>IFERROR(IF(COUNTIFS(Histórico!$G$4:$G$503,$B57,Histórico!$B$4:$B$503,$D$4)=0,"—",_xludf.MAXIFS(Histórico!$L$4:$L$503,Histórico!$G$4:$G$503,$B57,Histórico!$B$4:$B$503,$D$4)),"—")</f>
        <v>—</v>
      </c>
      <c r="N57" s="25" t="str">
        <f>IFERROR(IF(COUNTIFS(Histórico!$G$4:$G$503,$B57)=0,"—",_xludf.MINIFS(Histórico!$L$4:$L$503,Histórico!$G$4:$G$503,$B57)),"—")</f>
        <v>—</v>
      </c>
      <c r="O57" s="25" t="str">
        <f>IFERROR(IF(COUNTIFS(Histórico!$G$4:$G$503,$B57)=0,"—",_xludf.MAXIFS(Histórico!$L$4:$L$503,Histórico!$G$4:$G$503,$B57)),"—")</f>
        <v>—</v>
      </c>
      <c r="P57" s="23" t="str">
        <f t="shared" si="4"/>
        <v/>
      </c>
    </row>
    <row r="58" spans="2:16" ht="15" x14ac:dyDescent="0.25">
      <c r="B58" s="31"/>
      <c r="C58" s="20" t="str">
        <f>IFERROR(INDEX(COGS!$C$4:$C$20,MATCH($B58,COGS!$B$4:$B$20,0)),"")</f>
        <v/>
      </c>
      <c r="D58" s="32"/>
      <c r="E58" s="33"/>
      <c r="F58" s="15" t="str">
        <f>IFERROR(INDEX(COGS!$D$4:$D$20,MATCH($B58,COGS!$B$4:$B$20,0)),"")</f>
        <v/>
      </c>
      <c r="G58" s="15" t="str">
        <f>IFERROR(INDEX(COGS!$F$4:$F$20,MATCH($B58,COGS!$B$4:$B$20,0)),"")</f>
        <v/>
      </c>
      <c r="H58" s="22" t="str">
        <f t="shared" si="0"/>
        <v/>
      </c>
      <c r="I58" s="22" t="str">
        <f t="shared" si="1"/>
        <v/>
      </c>
      <c r="J58" s="15" t="str">
        <f t="shared" si="2"/>
        <v/>
      </c>
      <c r="K58" s="15" t="str">
        <f t="shared" si="3"/>
        <v/>
      </c>
      <c r="L58" s="22" t="str">
        <f>IFERROR(IF(COUNTIFS(Histórico!$G$4:$G$503,$B58,Histórico!$B$4:$B$503,$D$4)=0,"—",_xludf.MINIFS(Histórico!$L$4:$L$503,Histórico!$G$4:$G$503,$B58,Histórico!$B$4:$B$503,$D$4)),"—")</f>
        <v>—</v>
      </c>
      <c r="M58" s="22" t="str">
        <f>IFERROR(IF(COUNTIFS(Histórico!$G$4:$G$503,$B58,Histórico!$B$4:$B$503,$D$4)=0,"—",_xludf.MAXIFS(Histórico!$L$4:$L$503,Histórico!$G$4:$G$503,$B58,Histórico!$B$4:$B$503,$D$4)),"—")</f>
        <v>—</v>
      </c>
      <c r="N58" s="22" t="str">
        <f>IFERROR(IF(COUNTIFS(Histórico!$G$4:$G$503,$B58)=0,"—",_xludf.MINIFS(Histórico!$L$4:$L$503,Histórico!$G$4:$G$503,$B58)),"—")</f>
        <v>—</v>
      </c>
      <c r="O58" s="22" t="str">
        <f>IFERROR(IF(COUNTIFS(Histórico!$G$4:$G$503,$B58)=0,"—",_xludf.MAXIFS(Histórico!$L$4:$L$503,Histórico!$G$4:$G$503,$B58)),"—")</f>
        <v>—</v>
      </c>
      <c r="P58" s="20" t="str">
        <f t="shared" si="4"/>
        <v/>
      </c>
    </row>
    <row r="59" spans="2:16" ht="15" x14ac:dyDescent="0.25">
      <c r="B59" s="31"/>
      <c r="C59" s="23" t="str">
        <f>IFERROR(INDEX(COGS!$C$4:$C$20,MATCH($B59,COGS!$B$4:$B$20,0)),"")</f>
        <v/>
      </c>
      <c r="D59" s="32"/>
      <c r="E59" s="33"/>
      <c r="F59" s="18" t="str">
        <f>IFERROR(INDEX(COGS!$D$4:$D$20,MATCH($B59,COGS!$B$4:$B$20,0)),"")</f>
        <v/>
      </c>
      <c r="G59" s="18" t="str">
        <f>IFERROR(INDEX(COGS!$F$4:$F$20,MATCH($B59,COGS!$B$4:$B$20,0)),"")</f>
        <v/>
      </c>
      <c r="H59" s="25" t="str">
        <f t="shared" si="0"/>
        <v/>
      </c>
      <c r="I59" s="25" t="str">
        <f t="shared" si="1"/>
        <v/>
      </c>
      <c r="J59" s="18" t="str">
        <f t="shared" si="2"/>
        <v/>
      </c>
      <c r="K59" s="18" t="str">
        <f t="shared" si="3"/>
        <v/>
      </c>
      <c r="L59" s="25" t="str">
        <f>IFERROR(IF(COUNTIFS(Histórico!$G$4:$G$503,$B59,Histórico!$B$4:$B$503,$D$4)=0,"—",_xludf.MINIFS(Histórico!$L$4:$L$503,Histórico!$G$4:$G$503,$B59,Histórico!$B$4:$B$503,$D$4)),"—")</f>
        <v>—</v>
      </c>
      <c r="M59" s="25" t="str">
        <f>IFERROR(IF(COUNTIFS(Histórico!$G$4:$G$503,$B59,Histórico!$B$4:$B$503,$D$4)=0,"—",_xludf.MAXIFS(Histórico!$L$4:$L$503,Histórico!$G$4:$G$503,$B59,Histórico!$B$4:$B$503,$D$4)),"—")</f>
        <v>—</v>
      </c>
      <c r="N59" s="25" t="str">
        <f>IFERROR(IF(COUNTIFS(Histórico!$G$4:$G$503,$B59)=0,"—",_xludf.MINIFS(Histórico!$L$4:$L$503,Histórico!$G$4:$G$503,$B59)),"—")</f>
        <v>—</v>
      </c>
      <c r="O59" s="25" t="str">
        <f>IFERROR(IF(COUNTIFS(Histórico!$G$4:$G$503,$B59)=0,"—",_xludf.MAXIFS(Histórico!$L$4:$L$503,Histórico!$G$4:$G$503,$B59)),"—")</f>
        <v>—</v>
      </c>
      <c r="P59" s="23" t="str">
        <f t="shared" si="4"/>
        <v/>
      </c>
    </row>
    <row r="60" spans="2:16" ht="15" x14ac:dyDescent="0.25">
      <c r="B60" s="31"/>
      <c r="C60" s="20" t="str">
        <f>IFERROR(INDEX(COGS!$C$4:$C$20,MATCH($B60,COGS!$B$4:$B$20,0)),"")</f>
        <v/>
      </c>
      <c r="D60" s="32"/>
      <c r="E60" s="33"/>
      <c r="F60" s="15" t="str">
        <f>IFERROR(INDEX(COGS!$D$4:$D$20,MATCH($B60,COGS!$B$4:$B$20,0)),"")</f>
        <v/>
      </c>
      <c r="G60" s="15" t="str">
        <f>IFERROR(INDEX(COGS!$F$4:$F$20,MATCH($B60,COGS!$B$4:$B$20,0)),"")</f>
        <v/>
      </c>
      <c r="H60" s="22" t="str">
        <f t="shared" si="0"/>
        <v/>
      </c>
      <c r="I60" s="22" t="str">
        <f t="shared" si="1"/>
        <v/>
      </c>
      <c r="J60" s="15" t="str">
        <f t="shared" si="2"/>
        <v/>
      </c>
      <c r="K60" s="15" t="str">
        <f t="shared" si="3"/>
        <v/>
      </c>
      <c r="L60" s="22" t="str">
        <f>IFERROR(IF(COUNTIFS(Histórico!$G$4:$G$503,$B60,Histórico!$B$4:$B$503,$D$4)=0,"—",_xludf.MINIFS(Histórico!$L$4:$L$503,Histórico!$G$4:$G$503,$B60,Histórico!$B$4:$B$503,$D$4)),"—")</f>
        <v>—</v>
      </c>
      <c r="M60" s="22" t="str">
        <f>IFERROR(IF(COUNTIFS(Histórico!$G$4:$G$503,$B60,Histórico!$B$4:$B$503,$D$4)=0,"—",_xludf.MAXIFS(Histórico!$L$4:$L$503,Histórico!$G$4:$G$503,$B60,Histórico!$B$4:$B$503,$D$4)),"—")</f>
        <v>—</v>
      </c>
      <c r="N60" s="22" t="str">
        <f>IFERROR(IF(COUNTIFS(Histórico!$G$4:$G$503,$B60)=0,"—",_xludf.MINIFS(Histórico!$L$4:$L$503,Histórico!$G$4:$G$503,$B60)),"—")</f>
        <v>—</v>
      </c>
      <c r="O60" s="22" t="str">
        <f>IFERROR(IF(COUNTIFS(Histórico!$G$4:$G$503,$B60)=0,"—",_xludf.MAXIFS(Histórico!$L$4:$L$503,Histórico!$G$4:$G$503,$B60)),"—")</f>
        <v>—</v>
      </c>
      <c r="P60" s="20" t="str">
        <f t="shared" si="4"/>
        <v/>
      </c>
    </row>
    <row r="61" spans="2:16" ht="15" x14ac:dyDescent="0.25">
      <c r="B61" s="31"/>
      <c r="C61" s="23" t="str">
        <f>IFERROR(INDEX(COGS!$C$4:$C$20,MATCH($B61,COGS!$B$4:$B$20,0)),"")</f>
        <v/>
      </c>
      <c r="D61" s="32"/>
      <c r="E61" s="33"/>
      <c r="F61" s="18" t="str">
        <f>IFERROR(INDEX(COGS!$D$4:$D$20,MATCH($B61,COGS!$B$4:$B$20,0)),"")</f>
        <v/>
      </c>
      <c r="G61" s="18" t="str">
        <f>IFERROR(INDEX(COGS!$F$4:$F$20,MATCH($B61,COGS!$B$4:$B$20,0)),"")</f>
        <v/>
      </c>
      <c r="H61" s="25" t="str">
        <f t="shared" si="0"/>
        <v/>
      </c>
      <c r="I61" s="25" t="str">
        <f t="shared" si="1"/>
        <v/>
      </c>
      <c r="J61" s="18" t="str">
        <f t="shared" si="2"/>
        <v/>
      </c>
      <c r="K61" s="18" t="str">
        <f t="shared" si="3"/>
        <v/>
      </c>
      <c r="L61" s="25" t="str">
        <f>IFERROR(IF(COUNTIFS(Histórico!$G$4:$G$503,$B61,Histórico!$B$4:$B$503,$D$4)=0,"—",_xludf.MINIFS(Histórico!$L$4:$L$503,Histórico!$G$4:$G$503,$B61,Histórico!$B$4:$B$503,$D$4)),"—")</f>
        <v>—</v>
      </c>
      <c r="M61" s="25" t="str">
        <f>IFERROR(IF(COUNTIFS(Histórico!$G$4:$G$503,$B61,Histórico!$B$4:$B$503,$D$4)=0,"—",_xludf.MAXIFS(Histórico!$L$4:$L$503,Histórico!$G$4:$G$503,$B61,Histórico!$B$4:$B$503,$D$4)),"—")</f>
        <v>—</v>
      </c>
      <c r="N61" s="25" t="str">
        <f>IFERROR(IF(COUNTIFS(Histórico!$G$4:$G$503,$B61)=0,"—",_xludf.MINIFS(Histórico!$L$4:$L$503,Histórico!$G$4:$G$503,$B61)),"—")</f>
        <v>—</v>
      </c>
      <c r="O61" s="25" t="str">
        <f>IFERROR(IF(COUNTIFS(Histórico!$G$4:$G$503,$B61)=0,"—",_xludf.MAXIFS(Histórico!$L$4:$L$503,Histórico!$G$4:$G$503,$B61)),"—")</f>
        <v>—</v>
      </c>
      <c r="P61" s="23" t="str">
        <f t="shared" si="4"/>
        <v/>
      </c>
    </row>
    <row r="62" spans="2:16" ht="15" x14ac:dyDescent="0.25">
      <c r="B62" s="34" t="s">
        <v>67</v>
      </c>
      <c r="C62" s="35"/>
      <c r="D62" s="36">
        <f>SUMPRODUCT(($B47:$B61&lt;&gt;"")*D47:D61)</f>
        <v>28000</v>
      </c>
      <c r="E62" s="35"/>
      <c r="F62" s="35"/>
      <c r="G62" s="35"/>
      <c r="H62" s="37" t="str">
        <f>IFERROR(SUMPRODUCT((J47:J61&lt;&gt;"")*H47:H61*J47:J61)/SUM(IF(ISNUMBER(J47:J61),J47:J61,0)),"")</f>
        <v/>
      </c>
      <c r="I62" s="37" t="str">
        <f>IFERROR(SUM(K47:K61)/SUM(IF(ISNUMBER(J47:J61),J47:J61,0)),"")</f>
        <v/>
      </c>
      <c r="J62" s="38">
        <f>IFERROR(SUM(J47:J61),"")</f>
        <v>599650</v>
      </c>
      <c r="K62" s="38">
        <f>IFERROR(SUM(K47:K61),"")</f>
        <v>328030</v>
      </c>
      <c r="L62" s="35"/>
      <c r="M62" s="35"/>
      <c r="N62" s="35"/>
      <c r="O62" s="35"/>
      <c r="P62" s="35"/>
    </row>
    <row r="64" spans="2:16" ht="15" x14ac:dyDescent="0.25">
      <c r="B64" s="3" t="s">
        <v>68</v>
      </c>
      <c r="C64" s="39">
        <f>J62</f>
        <v>599650</v>
      </c>
      <c r="E64" s="3" t="s">
        <v>69</v>
      </c>
      <c r="F64" s="39">
        <f>K62</f>
        <v>328030</v>
      </c>
      <c r="H64" s="3" t="s">
        <v>70</v>
      </c>
      <c r="I64" s="40" t="str">
        <f>I62</f>
        <v/>
      </c>
      <c r="K64" s="3" t="s">
        <v>9</v>
      </c>
      <c r="L64" s="40" t="str">
        <f>H62</f>
        <v/>
      </c>
    </row>
  </sheetData>
  <conditionalFormatting sqref="H47:H61">
    <cfRule type="expression" dxfId="5" priority="1">
      <formula>AND(ISNUMBER(H47),H47&gt;0.85)</formula>
    </cfRule>
  </conditionalFormatting>
  <conditionalFormatting sqref="I47:I61">
    <cfRule type="expression" dxfId="4" priority="2">
      <formula>AND(ISNUMBER(I47),I47&lt;0.1)</formula>
    </cfRule>
    <cfRule type="expression" dxfId="3" priority="3">
      <formula>AND(ISNUMBER(I47),I47&gt;0.25)</formula>
    </cfRule>
  </conditionalFormatting>
  <conditionalFormatting sqref="P47:P61">
    <cfRule type="expression" dxfId="2" priority="4">
      <formula>ISNUMBER(FIND("+",P47))</formula>
    </cfRule>
    <cfRule type="expression" dxfId="1" priority="5">
      <formula>ISNUMBER(FIND("!",P47))</formula>
    </cfRule>
    <cfRule type="expression" dxfId="0" priority="6">
      <formula>ISNUMBER(FIND("novo",P47))</formula>
    </cfRule>
  </conditionalFormatting>
  <dataValidations count="1">
    <dataValidation type="list" sqref="D4" xr:uid="{00000000-0002-0000-0000-000000000000}">
      <formula1>"Todos,B4A,Magenta,UAU Box"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SKU inválido" error="Selecione um SKU da lista COGS." xr:uid="{00000000-0002-0000-0000-000001000000}">
          <x14:formula1>
            <xm:f>COGS!$B$4:$B$20</xm:f>
          </x14:formula1>
          <xm:sqref>B47 B48 B49 B50 B51 B52 B53 B54 B55 B56 B57 B58 B59 B60 B61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95959"/>
  </sheetPr>
  <dimension ref="B2:G20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0.5" customHeight="1" x14ac:dyDescent="0.25"/>
  <cols>
    <col min="1" max="1" width="2.42578125" customWidth="1"/>
    <col min="2" max="2" width="10" customWidth="1"/>
    <col min="3" max="3" width="34" customWidth="1"/>
    <col min="4" max="6" width="12" customWidth="1"/>
    <col min="7" max="7" width="10" customWidth="1"/>
  </cols>
  <sheetData>
    <row r="2" spans="2:7" ht="18" customHeight="1" x14ac:dyDescent="0.25">
      <c r="B2" s="1" t="s">
        <v>71</v>
      </c>
      <c r="C2" s="2"/>
      <c r="D2" s="2"/>
      <c r="E2" s="2"/>
      <c r="F2" s="2"/>
      <c r="G2" s="2"/>
    </row>
    <row r="3" spans="2:7" ht="26.1" customHeight="1" x14ac:dyDescent="0.25">
      <c r="B3" s="41" t="s">
        <v>26</v>
      </c>
      <c r="C3" s="41" t="s">
        <v>27</v>
      </c>
      <c r="D3" s="41" t="s">
        <v>51</v>
      </c>
      <c r="E3" s="41" t="s">
        <v>72</v>
      </c>
      <c r="F3" s="41" t="s">
        <v>52</v>
      </c>
      <c r="G3" s="41" t="s">
        <v>73</v>
      </c>
    </row>
    <row r="4" spans="2:7" ht="15" x14ac:dyDescent="0.25">
      <c r="B4" s="20" t="s">
        <v>74</v>
      </c>
      <c r="C4" s="20" t="s">
        <v>75</v>
      </c>
      <c r="D4" s="15">
        <v>17.329999999999998</v>
      </c>
      <c r="E4" s="15">
        <v>18.52</v>
      </c>
      <c r="F4" s="15">
        <v>95</v>
      </c>
      <c r="G4" s="42" t="s">
        <v>76</v>
      </c>
    </row>
    <row r="5" spans="2:7" ht="15" x14ac:dyDescent="0.25">
      <c r="B5" s="23" t="s">
        <v>39</v>
      </c>
      <c r="C5" s="23" t="s">
        <v>77</v>
      </c>
      <c r="D5" s="18">
        <v>10.64</v>
      </c>
      <c r="E5" s="18">
        <v>11.37</v>
      </c>
      <c r="F5" s="18">
        <v>95</v>
      </c>
      <c r="G5" s="43" t="s">
        <v>76</v>
      </c>
    </row>
    <row r="6" spans="2:7" ht="15" x14ac:dyDescent="0.25">
      <c r="B6" s="20" t="s">
        <v>38</v>
      </c>
      <c r="C6" s="20" t="s">
        <v>78</v>
      </c>
      <c r="D6" s="15">
        <v>8.35</v>
      </c>
      <c r="E6" s="15">
        <v>8.7200000000000006</v>
      </c>
      <c r="F6" s="15">
        <v>99</v>
      </c>
      <c r="G6" s="42" t="s">
        <v>76</v>
      </c>
    </row>
    <row r="7" spans="2:7" ht="15" x14ac:dyDescent="0.25">
      <c r="B7" s="23" t="s">
        <v>34</v>
      </c>
      <c r="C7" s="23" t="s">
        <v>79</v>
      </c>
      <c r="D7" s="18">
        <v>12.14</v>
      </c>
      <c r="E7" s="18">
        <v>12.14</v>
      </c>
      <c r="F7" s="18">
        <v>69</v>
      </c>
      <c r="G7" s="43" t="s">
        <v>76</v>
      </c>
    </row>
    <row r="8" spans="2:7" ht="15" x14ac:dyDescent="0.25">
      <c r="B8" s="20" t="s">
        <v>41</v>
      </c>
      <c r="C8" s="20" t="s">
        <v>80</v>
      </c>
      <c r="D8" s="15">
        <v>5.1100000000000003</v>
      </c>
      <c r="E8" s="15">
        <v>5.81</v>
      </c>
      <c r="F8" s="15">
        <v>40</v>
      </c>
      <c r="G8" s="42" t="s">
        <v>76</v>
      </c>
    </row>
    <row r="9" spans="2:7" ht="15" x14ac:dyDescent="0.25">
      <c r="B9" s="23" t="s">
        <v>40</v>
      </c>
      <c r="C9" s="23" t="s">
        <v>81</v>
      </c>
      <c r="D9" s="18">
        <v>6.49</v>
      </c>
      <c r="E9" s="18">
        <v>6.85</v>
      </c>
      <c r="F9" s="18">
        <v>40</v>
      </c>
      <c r="G9" s="43" t="s">
        <v>76</v>
      </c>
    </row>
    <row r="10" spans="2:7" ht="15" x14ac:dyDescent="0.25">
      <c r="B10" s="20" t="s">
        <v>43</v>
      </c>
      <c r="C10" s="20" t="s">
        <v>82</v>
      </c>
      <c r="D10" s="15">
        <v>9.24</v>
      </c>
      <c r="E10" s="15">
        <v>9.86</v>
      </c>
      <c r="F10" s="15">
        <v>79</v>
      </c>
      <c r="G10" s="42" t="s">
        <v>76</v>
      </c>
    </row>
    <row r="11" spans="2:7" ht="15" x14ac:dyDescent="0.25">
      <c r="B11" s="23" t="s">
        <v>64</v>
      </c>
      <c r="C11" s="23" t="s">
        <v>83</v>
      </c>
      <c r="D11" s="18">
        <v>16.7</v>
      </c>
      <c r="E11" s="18">
        <v>17.2</v>
      </c>
      <c r="F11" s="18">
        <v>79</v>
      </c>
      <c r="G11" s="43" t="s">
        <v>76</v>
      </c>
    </row>
    <row r="12" spans="2:7" ht="15" x14ac:dyDescent="0.25">
      <c r="B12" s="20" t="s">
        <v>84</v>
      </c>
      <c r="C12" s="20" t="s">
        <v>85</v>
      </c>
      <c r="D12" s="15">
        <v>15.73</v>
      </c>
      <c r="E12" s="15">
        <v>16.010000000000002</v>
      </c>
      <c r="F12" s="15">
        <v>149</v>
      </c>
      <c r="G12" s="42" t="s">
        <v>76</v>
      </c>
    </row>
    <row r="13" spans="2:7" ht="15" x14ac:dyDescent="0.25">
      <c r="B13" s="23" t="s">
        <v>86</v>
      </c>
      <c r="C13" s="23" t="s">
        <v>87</v>
      </c>
      <c r="D13" s="18">
        <v>29.88</v>
      </c>
      <c r="E13" s="18">
        <v>30.38</v>
      </c>
      <c r="F13" s="18">
        <v>111</v>
      </c>
      <c r="G13" s="43" t="s">
        <v>76</v>
      </c>
    </row>
    <row r="14" spans="2:7" ht="15" x14ac:dyDescent="0.25">
      <c r="B14" s="20" t="s">
        <v>35</v>
      </c>
      <c r="C14" s="20" t="s">
        <v>88</v>
      </c>
      <c r="D14" s="42"/>
      <c r="E14" s="42"/>
      <c r="F14" s="15">
        <v>75</v>
      </c>
      <c r="G14" s="42" t="s">
        <v>76</v>
      </c>
    </row>
    <row r="15" spans="2:7" ht="15" x14ac:dyDescent="0.25">
      <c r="B15" s="23" t="s">
        <v>37</v>
      </c>
      <c r="C15" s="23" t="s">
        <v>89</v>
      </c>
      <c r="D15" s="43"/>
      <c r="E15" s="43"/>
      <c r="F15" s="18">
        <v>69</v>
      </c>
      <c r="G15" s="43" t="s">
        <v>76</v>
      </c>
    </row>
    <row r="16" spans="2:7" ht="15" x14ac:dyDescent="0.25">
      <c r="B16" s="20" t="s">
        <v>42</v>
      </c>
      <c r="C16" s="20" t="s">
        <v>90</v>
      </c>
      <c r="D16" s="42"/>
      <c r="E16" s="42"/>
      <c r="F16" s="15">
        <v>69</v>
      </c>
      <c r="G16" s="42" t="s">
        <v>76</v>
      </c>
    </row>
    <row r="17" spans="2:7" ht="15" x14ac:dyDescent="0.25">
      <c r="B17" s="23" t="s">
        <v>36</v>
      </c>
      <c r="C17" s="23" t="s">
        <v>91</v>
      </c>
      <c r="D17" s="43"/>
      <c r="E17" s="43"/>
      <c r="F17" s="18">
        <v>75</v>
      </c>
      <c r="G17" s="43" t="s">
        <v>76</v>
      </c>
    </row>
    <row r="18" spans="2:7" ht="15" x14ac:dyDescent="0.25">
      <c r="B18" s="20" t="s">
        <v>63</v>
      </c>
      <c r="C18" s="20" t="s">
        <v>92</v>
      </c>
      <c r="D18" s="15">
        <v>20.68</v>
      </c>
      <c r="E18" s="15">
        <v>21.18</v>
      </c>
      <c r="F18" s="15">
        <v>129</v>
      </c>
      <c r="G18" s="42" t="s">
        <v>76</v>
      </c>
    </row>
    <row r="19" spans="2:7" ht="15" x14ac:dyDescent="0.25">
      <c r="B19" s="23" t="s">
        <v>62</v>
      </c>
      <c r="C19" s="23" t="s">
        <v>93</v>
      </c>
      <c r="D19" s="43"/>
      <c r="E19" s="43"/>
      <c r="F19" s="18">
        <v>139</v>
      </c>
      <c r="G19" s="43" t="s">
        <v>76</v>
      </c>
    </row>
    <row r="20" spans="2:7" ht="15" x14ac:dyDescent="0.25">
      <c r="B20" s="20" t="s">
        <v>94</v>
      </c>
      <c r="C20" s="20" t="s">
        <v>95</v>
      </c>
      <c r="D20" s="42"/>
      <c r="E20" s="42"/>
      <c r="F20" s="15">
        <v>149</v>
      </c>
      <c r="G20" s="42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</sheetPr>
  <dimension ref="B2:P19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0.5" customHeight="1" x14ac:dyDescent="0.25"/>
  <cols>
    <col min="1" max="1" width="2.42578125" customWidth="1"/>
    <col min="2" max="2" width="14" customWidth="1"/>
    <col min="3" max="3" width="12" customWidth="1"/>
    <col min="4" max="4" width="10" customWidth="1"/>
    <col min="5" max="5" width="12" customWidth="1"/>
    <col min="6" max="6" width="16" customWidth="1"/>
    <col min="7" max="7" width="10" customWidth="1"/>
    <col min="8" max="8" width="30" customWidth="1"/>
    <col min="9" max="9" width="10" customWidth="1"/>
    <col min="10" max="12" width="12" customWidth="1"/>
    <col min="13" max="13" width="10" customWidth="1"/>
    <col min="14" max="14" width="12" customWidth="1"/>
    <col min="15" max="15" width="14" customWidth="1"/>
    <col min="16" max="16" width="12" customWidth="1"/>
  </cols>
  <sheetData>
    <row r="2" spans="2:16" ht="18" customHeight="1" x14ac:dyDescent="0.25">
      <c r="B2" s="1" t="s">
        <v>96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26.1" customHeight="1" x14ac:dyDescent="0.25">
      <c r="B3" s="41" t="s">
        <v>97</v>
      </c>
      <c r="C3" s="41" t="s">
        <v>11</v>
      </c>
      <c r="D3" s="41" t="s">
        <v>98</v>
      </c>
      <c r="E3" s="41" t="s">
        <v>99</v>
      </c>
      <c r="F3" s="41" t="s">
        <v>100</v>
      </c>
      <c r="G3" s="41" t="s">
        <v>26</v>
      </c>
      <c r="H3" s="41" t="s">
        <v>27</v>
      </c>
      <c r="I3" s="41" t="s">
        <v>49</v>
      </c>
      <c r="J3" s="41" t="s">
        <v>101</v>
      </c>
      <c r="K3" s="41" t="s">
        <v>102</v>
      </c>
      <c r="L3" s="41" t="s">
        <v>103</v>
      </c>
      <c r="M3" s="41" t="s">
        <v>104</v>
      </c>
      <c r="N3" s="41" t="s">
        <v>10</v>
      </c>
      <c r="O3" s="41" t="s">
        <v>55</v>
      </c>
      <c r="P3" s="41" t="s">
        <v>105</v>
      </c>
    </row>
    <row r="4" spans="2:16" ht="15" x14ac:dyDescent="0.25">
      <c r="B4" s="20" t="s">
        <v>106</v>
      </c>
      <c r="C4" s="44">
        <v>45933</v>
      </c>
      <c r="D4" s="13" t="s">
        <v>107</v>
      </c>
      <c r="E4" s="13" t="s">
        <v>108</v>
      </c>
      <c r="F4" s="20" t="s">
        <v>109</v>
      </c>
      <c r="G4" s="20" t="s">
        <v>34</v>
      </c>
      <c r="H4" s="20" t="s">
        <v>79</v>
      </c>
      <c r="I4" s="21">
        <v>300</v>
      </c>
      <c r="J4" s="15">
        <v>15</v>
      </c>
      <c r="K4" s="15"/>
      <c r="L4" s="22" t="str">
        <f t="shared" ref="L4:L19" si="0">IFERROR(IF(K4=0,"",((K4-J4)/K4)),"")</f>
        <v/>
      </c>
      <c r="M4" s="22">
        <f>IFERROR((J4-INDEX(COGS!$D$4:$D$20,MATCH($G4,COGS!$B$4:$B$20,0)))/J4,"")</f>
        <v>0.19066666666666662</v>
      </c>
      <c r="N4" s="45">
        <f t="shared" ref="N4:N19" si="1">EOMONTH(C4,-1)+1</f>
        <v>45931</v>
      </c>
      <c r="O4" s="15">
        <f t="shared" ref="O4:O19" si="2">J4*I4</f>
        <v>4500</v>
      </c>
      <c r="P4" s="15" t="str">
        <f ca="1">IFERROR(INDEX($J$4:$J$503,MATCH(_xludf.MAXIFS($C$4:$C$503,$G$4:$G$503,$G4,$B$4:$B$503,$B4),$C$4:$C$503,0)),"—")</f>
        <v>—</v>
      </c>
    </row>
    <row r="5" spans="2:16" ht="15" x14ac:dyDescent="0.25">
      <c r="B5" s="23" t="s">
        <v>110</v>
      </c>
      <c r="C5" s="46">
        <v>45967</v>
      </c>
      <c r="D5" s="16" t="s">
        <v>111</v>
      </c>
      <c r="E5" s="16" t="s">
        <v>108</v>
      </c>
      <c r="F5" s="23" t="s">
        <v>112</v>
      </c>
      <c r="G5" s="23" t="s">
        <v>35</v>
      </c>
      <c r="H5" s="23" t="s">
        <v>88</v>
      </c>
      <c r="I5" s="24">
        <v>1250</v>
      </c>
      <c r="J5" s="18">
        <v>16.37</v>
      </c>
      <c r="K5" s="18"/>
      <c r="L5" s="25" t="str">
        <f t="shared" si="0"/>
        <v/>
      </c>
      <c r="M5" s="25">
        <f>IFERROR((J5-INDEX(COGS!$D$4:$D$20,MATCH($G5,COGS!$B$4:$B$20,0)))/J5,"")</f>
        <v>1</v>
      </c>
      <c r="N5" s="47">
        <f t="shared" si="1"/>
        <v>45962</v>
      </c>
      <c r="O5" s="18">
        <f t="shared" si="2"/>
        <v>20462.5</v>
      </c>
      <c r="P5" s="18" t="str">
        <f ca="1">IFERROR(INDEX($J$4:$J$503,MATCH(_xludf.MAXIFS($C$4:$C$503,$G$4:$G$503,$G5,$B$4:$B$503,$B5),$C$4:$C$503,0)),"—")</f>
        <v>—</v>
      </c>
    </row>
    <row r="6" spans="2:16" ht="15" x14ac:dyDescent="0.25">
      <c r="B6" s="20" t="s">
        <v>110</v>
      </c>
      <c r="C6" s="44">
        <v>45967</v>
      </c>
      <c r="D6" s="13" t="s">
        <v>111</v>
      </c>
      <c r="E6" s="13" t="s">
        <v>108</v>
      </c>
      <c r="F6" s="20" t="s">
        <v>112</v>
      </c>
      <c r="G6" s="20" t="s">
        <v>36</v>
      </c>
      <c r="H6" s="20" t="s">
        <v>91</v>
      </c>
      <c r="I6" s="21">
        <v>1250</v>
      </c>
      <c r="J6" s="15">
        <v>18.32</v>
      </c>
      <c r="K6" s="15"/>
      <c r="L6" s="22" t="str">
        <f t="shared" si="0"/>
        <v/>
      </c>
      <c r="M6" s="22">
        <f>IFERROR((J6-INDEX(COGS!$D$4:$D$20,MATCH($G6,COGS!$B$4:$B$20,0)))/J6,"")</f>
        <v>1</v>
      </c>
      <c r="N6" s="45">
        <f t="shared" si="1"/>
        <v>45962</v>
      </c>
      <c r="O6" s="15">
        <f t="shared" si="2"/>
        <v>22900</v>
      </c>
      <c r="P6" s="15" t="str">
        <f ca="1">IFERROR(INDEX($J$4:$J$503,MATCH(_xludf.MAXIFS($C$4:$C$503,$G$4:$G$503,$G6,$B$4:$B$503,$B6),$C$4:$C$503,0)),"—")</f>
        <v>—</v>
      </c>
    </row>
    <row r="7" spans="2:16" ht="15" x14ac:dyDescent="0.25">
      <c r="B7" s="23" t="s">
        <v>110</v>
      </c>
      <c r="C7" s="46">
        <v>46062</v>
      </c>
      <c r="D7" s="16" t="s">
        <v>113</v>
      </c>
      <c r="E7" s="16" t="s">
        <v>108</v>
      </c>
      <c r="F7" s="23" t="s">
        <v>114</v>
      </c>
      <c r="G7" s="23" t="s">
        <v>34</v>
      </c>
      <c r="H7" s="23" t="s">
        <v>79</v>
      </c>
      <c r="I7" s="24">
        <v>17000</v>
      </c>
      <c r="J7" s="18">
        <v>17.190000000000001</v>
      </c>
      <c r="K7" s="18">
        <v>58.65</v>
      </c>
      <c r="L7" s="25">
        <f t="shared" si="0"/>
        <v>0.70690537084398963</v>
      </c>
      <c r="M7" s="25">
        <f>IFERROR((J7-INDEX(COGS!$D$4:$D$20,MATCH($G7,COGS!$B$4:$B$20,0)))/J7,"")</f>
        <v>0.2937754508435137</v>
      </c>
      <c r="N7" s="47">
        <f t="shared" si="1"/>
        <v>46054</v>
      </c>
      <c r="O7" s="18">
        <f t="shared" si="2"/>
        <v>292230</v>
      </c>
      <c r="P7" s="18" t="str">
        <f ca="1">IFERROR(INDEX($J$4:$J$503,MATCH(_xludf.MAXIFS($C$4:$C$503,$G$4:$G$503,$G7,$B$4:$B$503,$B7),$C$4:$C$503,0)),"—")</f>
        <v>—</v>
      </c>
    </row>
    <row r="8" spans="2:16" ht="15" x14ac:dyDescent="0.25">
      <c r="B8" s="20" t="s">
        <v>110</v>
      </c>
      <c r="C8" s="44">
        <v>46112</v>
      </c>
      <c r="D8" s="13" t="s">
        <v>115</v>
      </c>
      <c r="E8" s="13" t="s">
        <v>108</v>
      </c>
      <c r="F8" s="20" t="s">
        <v>116</v>
      </c>
      <c r="G8" s="20" t="s">
        <v>37</v>
      </c>
      <c r="H8" s="20" t="s">
        <v>89</v>
      </c>
      <c r="I8" s="21">
        <v>17000</v>
      </c>
      <c r="J8" s="15">
        <v>18.29</v>
      </c>
      <c r="K8" s="15"/>
      <c r="L8" s="22" t="str">
        <f t="shared" si="0"/>
        <v/>
      </c>
      <c r="M8" s="22">
        <f>IFERROR((J8-INDEX(COGS!$D$4:$D$20,MATCH($G8,COGS!$B$4:$B$20,0)))/J8,"")</f>
        <v>1</v>
      </c>
      <c r="N8" s="45">
        <f t="shared" si="1"/>
        <v>46082</v>
      </c>
      <c r="O8" s="15">
        <f t="shared" si="2"/>
        <v>310930</v>
      </c>
      <c r="P8" s="15" t="str">
        <f ca="1">IFERROR(INDEX($J$4:$J$503,MATCH(_xludf.MAXIFS($C$4:$C$503,$G$4:$G$503,$G8,$B$4:$B$503,$B8),$C$4:$C$503,0)),"—")</f>
        <v>—</v>
      </c>
    </row>
    <row r="9" spans="2:16" ht="15" x14ac:dyDescent="0.25">
      <c r="B9" s="23" t="s">
        <v>2</v>
      </c>
      <c r="C9" s="46">
        <v>46112</v>
      </c>
      <c r="D9" s="16" t="s">
        <v>117</v>
      </c>
      <c r="E9" s="16" t="s">
        <v>108</v>
      </c>
      <c r="F9" s="23" t="s">
        <v>118</v>
      </c>
      <c r="G9" s="23" t="s">
        <v>38</v>
      </c>
      <c r="H9" s="23" t="s">
        <v>78</v>
      </c>
      <c r="I9" s="24">
        <v>2000</v>
      </c>
      <c r="J9" s="18">
        <v>13.5</v>
      </c>
      <c r="K9" s="18"/>
      <c r="L9" s="25" t="str">
        <f t="shared" si="0"/>
        <v/>
      </c>
      <c r="M9" s="25">
        <f>IFERROR((J9-INDEX(COGS!$D$4:$D$20,MATCH($G9,COGS!$B$4:$B$20,0)))/J9,"")</f>
        <v>0.38148148148148153</v>
      </c>
      <c r="N9" s="47">
        <f t="shared" si="1"/>
        <v>46082</v>
      </c>
      <c r="O9" s="18">
        <f t="shared" si="2"/>
        <v>27000</v>
      </c>
      <c r="P9" s="18" t="str">
        <f ca="1">IFERROR(INDEX($J$4:$J$503,MATCH(_xludf.MAXIFS($C$4:$C$503,$G$4:$G$503,$G9,$B$4:$B$503,$B9),$C$4:$C$503,0)),"—")</f>
        <v>—</v>
      </c>
    </row>
    <row r="10" spans="2:16" ht="15" x14ac:dyDescent="0.25">
      <c r="B10" s="20" t="s">
        <v>2</v>
      </c>
      <c r="C10" s="44">
        <v>46112</v>
      </c>
      <c r="D10" s="13" t="s">
        <v>117</v>
      </c>
      <c r="E10" s="13" t="s">
        <v>108</v>
      </c>
      <c r="F10" s="20" t="s">
        <v>118</v>
      </c>
      <c r="G10" s="20" t="s">
        <v>39</v>
      </c>
      <c r="H10" s="20" t="s">
        <v>77</v>
      </c>
      <c r="I10" s="21">
        <v>560</v>
      </c>
      <c r="J10" s="15">
        <v>16.5</v>
      </c>
      <c r="K10" s="15"/>
      <c r="L10" s="22" t="str">
        <f t="shared" si="0"/>
        <v/>
      </c>
      <c r="M10" s="22">
        <f>IFERROR((J10-INDEX(COGS!$D$4:$D$20,MATCH($G10,COGS!$B$4:$B$20,0)))/J10,"")</f>
        <v>0.35515151515151511</v>
      </c>
      <c r="N10" s="45">
        <f t="shared" si="1"/>
        <v>46082</v>
      </c>
      <c r="O10" s="15">
        <f t="shared" si="2"/>
        <v>9240</v>
      </c>
      <c r="P10" s="15" t="str">
        <f ca="1">IFERROR(INDEX($J$4:$J$503,MATCH(_xludf.MAXIFS($C$4:$C$503,$G$4:$G$503,$G10,$B$4:$B$503,$B10),$C$4:$C$503,0)),"—")</f>
        <v>—</v>
      </c>
    </row>
    <row r="11" spans="2:16" ht="15" x14ac:dyDescent="0.25">
      <c r="B11" s="23" t="s">
        <v>110</v>
      </c>
      <c r="C11" s="46">
        <v>46129</v>
      </c>
      <c r="D11" s="16" t="s">
        <v>119</v>
      </c>
      <c r="E11" s="16" t="s">
        <v>108</v>
      </c>
      <c r="F11" s="23" t="s">
        <v>120</v>
      </c>
      <c r="G11" s="23" t="s">
        <v>37</v>
      </c>
      <c r="H11" s="23" t="s">
        <v>89</v>
      </c>
      <c r="I11" s="24">
        <v>1500</v>
      </c>
      <c r="J11" s="18">
        <v>18.29</v>
      </c>
      <c r="K11" s="18"/>
      <c r="L11" s="25" t="str">
        <f t="shared" si="0"/>
        <v/>
      </c>
      <c r="M11" s="25">
        <f>IFERROR((J11-INDEX(COGS!$D$4:$D$20,MATCH($G11,COGS!$B$4:$B$20,0)))/J11,"")</f>
        <v>1</v>
      </c>
      <c r="N11" s="47">
        <f t="shared" si="1"/>
        <v>46113</v>
      </c>
      <c r="O11" s="18">
        <f t="shared" si="2"/>
        <v>27435</v>
      </c>
      <c r="P11" s="18" t="str">
        <f ca="1">IFERROR(INDEX($J$4:$J$503,MATCH(_xludf.MAXIFS($C$4:$C$503,$G$4:$G$503,$G11,$B$4:$B$503,$B11),$C$4:$C$503,0)),"—")</f>
        <v>—</v>
      </c>
    </row>
    <row r="12" spans="2:16" ht="15" x14ac:dyDescent="0.25">
      <c r="B12" s="20" t="s">
        <v>2</v>
      </c>
      <c r="C12" s="44">
        <v>46169</v>
      </c>
      <c r="D12" s="13" t="s">
        <v>121</v>
      </c>
      <c r="E12" s="13" t="s">
        <v>108</v>
      </c>
      <c r="F12" s="20" t="s">
        <v>122</v>
      </c>
      <c r="G12" s="20" t="s">
        <v>38</v>
      </c>
      <c r="H12" s="20" t="s">
        <v>78</v>
      </c>
      <c r="I12" s="21">
        <v>1000</v>
      </c>
      <c r="J12" s="15">
        <v>18.809999999999999</v>
      </c>
      <c r="K12" s="15"/>
      <c r="L12" s="22" t="str">
        <f t="shared" si="0"/>
        <v/>
      </c>
      <c r="M12" s="22">
        <f>IFERROR((J12-INDEX(COGS!$D$4:$D$20,MATCH($G12,COGS!$B$4:$B$20,0)))/J12,"")</f>
        <v>0.55608718766613507</v>
      </c>
      <c r="N12" s="45">
        <f t="shared" si="1"/>
        <v>46143</v>
      </c>
      <c r="O12" s="15">
        <f t="shared" si="2"/>
        <v>18810</v>
      </c>
      <c r="P12" s="15" t="str">
        <f ca="1">IFERROR(INDEX($J$4:$J$503,MATCH(_xludf.MAXIFS($C$4:$C$503,$G$4:$G$503,$G12,$B$4:$B$503,$B12),$C$4:$C$503,0)),"—")</f>
        <v>—</v>
      </c>
    </row>
    <row r="13" spans="2:16" ht="15" x14ac:dyDescent="0.25">
      <c r="B13" s="23" t="s">
        <v>2</v>
      </c>
      <c r="C13" s="46">
        <v>46169</v>
      </c>
      <c r="D13" s="16" t="s">
        <v>121</v>
      </c>
      <c r="E13" s="16" t="s">
        <v>108</v>
      </c>
      <c r="F13" s="23" t="s">
        <v>122</v>
      </c>
      <c r="G13" s="23" t="s">
        <v>39</v>
      </c>
      <c r="H13" s="23" t="s">
        <v>77</v>
      </c>
      <c r="I13" s="24">
        <v>1000</v>
      </c>
      <c r="J13" s="18">
        <v>19.170000000000002</v>
      </c>
      <c r="K13" s="18"/>
      <c r="L13" s="25" t="str">
        <f t="shared" si="0"/>
        <v/>
      </c>
      <c r="M13" s="25">
        <f>IFERROR((J13-INDEX(COGS!$D$4:$D$20,MATCH($G13,COGS!$B$4:$B$20,0)))/J13,"")</f>
        <v>0.44496609285341682</v>
      </c>
      <c r="N13" s="47">
        <f t="shared" si="1"/>
        <v>46143</v>
      </c>
      <c r="O13" s="18">
        <f t="shared" si="2"/>
        <v>19170</v>
      </c>
      <c r="P13" s="18" t="str">
        <f ca="1">IFERROR(INDEX($J$4:$J$503,MATCH(_xludf.MAXIFS($C$4:$C$503,$G$4:$G$503,$G13,$B$4:$B$503,$B13),$C$4:$C$503,0)),"—")</f>
        <v>—</v>
      </c>
    </row>
    <row r="14" spans="2:16" ht="15" x14ac:dyDescent="0.25">
      <c r="B14" s="20" t="s">
        <v>106</v>
      </c>
      <c r="C14" s="44">
        <v>46171</v>
      </c>
      <c r="D14" s="13" t="s">
        <v>123</v>
      </c>
      <c r="E14" s="13" t="s">
        <v>108</v>
      </c>
      <c r="F14" s="20" t="s">
        <v>124</v>
      </c>
      <c r="G14" s="20" t="s">
        <v>40</v>
      </c>
      <c r="H14" s="20" t="s">
        <v>81</v>
      </c>
      <c r="I14" s="21">
        <v>15000</v>
      </c>
      <c r="J14" s="15">
        <v>7</v>
      </c>
      <c r="K14" s="15"/>
      <c r="L14" s="22" t="str">
        <f t="shared" si="0"/>
        <v/>
      </c>
      <c r="M14" s="22">
        <f>IFERROR((J14-INDEX(COGS!$D$4:$D$20,MATCH($G14,COGS!$B$4:$B$20,0)))/J14,"")</f>
        <v>7.2857142857142829E-2</v>
      </c>
      <c r="N14" s="45">
        <f t="shared" si="1"/>
        <v>46143</v>
      </c>
      <c r="O14" s="15">
        <f t="shared" si="2"/>
        <v>105000</v>
      </c>
      <c r="P14" s="15" t="str">
        <f ca="1">IFERROR(INDEX($J$4:$J$503,MATCH(_xludf.MAXIFS($C$4:$C$503,$G$4:$G$503,$G14,$B$4:$B$503,$B14),$C$4:$C$503,0)),"—")</f>
        <v>—</v>
      </c>
    </row>
    <row r="15" spans="2:16" ht="15" x14ac:dyDescent="0.25">
      <c r="B15" s="23" t="s">
        <v>106</v>
      </c>
      <c r="C15" s="46">
        <v>46171</v>
      </c>
      <c r="D15" s="16" t="s">
        <v>125</v>
      </c>
      <c r="E15" s="16" t="s">
        <v>108</v>
      </c>
      <c r="F15" s="23" t="s">
        <v>126</v>
      </c>
      <c r="G15" s="23" t="s">
        <v>41</v>
      </c>
      <c r="H15" s="23" t="s">
        <v>80</v>
      </c>
      <c r="I15" s="24">
        <v>15000</v>
      </c>
      <c r="J15" s="18">
        <v>7</v>
      </c>
      <c r="K15" s="18"/>
      <c r="L15" s="25" t="str">
        <f t="shared" si="0"/>
        <v/>
      </c>
      <c r="M15" s="25">
        <f>IFERROR((J15-INDEX(COGS!$D$4:$D$20,MATCH($G15,COGS!$B$4:$B$20,0)))/J15,"")</f>
        <v>0.26999999999999996</v>
      </c>
      <c r="N15" s="47">
        <f t="shared" si="1"/>
        <v>46143</v>
      </c>
      <c r="O15" s="18">
        <f t="shared" si="2"/>
        <v>105000</v>
      </c>
      <c r="P15" s="18" t="str">
        <f ca="1">IFERROR(INDEX($J$4:$J$503,MATCH(_xludf.MAXIFS($C$4:$C$503,$G$4:$G$503,$G15,$B$4:$B$503,$B15),$C$4:$C$503,0)),"—")</f>
        <v>—</v>
      </c>
    </row>
    <row r="16" spans="2:16" ht="15" x14ac:dyDescent="0.25">
      <c r="B16" s="20" t="s">
        <v>110</v>
      </c>
      <c r="C16" s="44">
        <v>46310</v>
      </c>
      <c r="D16" s="13"/>
      <c r="E16" s="13" t="s">
        <v>127</v>
      </c>
      <c r="F16" s="20" t="s">
        <v>128</v>
      </c>
      <c r="G16" s="20" t="s">
        <v>42</v>
      </c>
      <c r="H16" s="20" t="s">
        <v>90</v>
      </c>
      <c r="I16" s="21">
        <v>17000</v>
      </c>
      <c r="J16" s="15">
        <v>21.83</v>
      </c>
      <c r="K16" s="15"/>
      <c r="L16" s="22" t="str">
        <f t="shared" si="0"/>
        <v/>
      </c>
      <c r="M16" s="22">
        <f>IFERROR((J16-INDEX(COGS!$D$4:$D$20,MATCH($G16,COGS!$B$4:$B$20,0)))/J16,"")</f>
        <v>1</v>
      </c>
      <c r="N16" s="45">
        <f t="shared" si="1"/>
        <v>46296</v>
      </c>
      <c r="O16" s="15">
        <f t="shared" si="2"/>
        <v>371110</v>
      </c>
      <c r="P16" s="15" t="str">
        <f ca="1">IFERROR(INDEX($J$4:$J$503,MATCH(_xludf.MAXIFS($C$4:$C$503,$G$4:$G$503,$G16,$B$4:$B$503,$B16),$C$4:$C$503,0)),"—")</f>
        <v>—</v>
      </c>
    </row>
    <row r="17" spans="2:16" ht="15" x14ac:dyDescent="0.25">
      <c r="B17" s="23" t="s">
        <v>106</v>
      </c>
      <c r="C17" s="46">
        <v>46235</v>
      </c>
      <c r="D17" s="16"/>
      <c r="E17" s="16" t="s">
        <v>108</v>
      </c>
      <c r="F17" s="23" t="s">
        <v>129</v>
      </c>
      <c r="G17" s="23" t="s">
        <v>38</v>
      </c>
      <c r="H17" s="23" t="s">
        <v>78</v>
      </c>
      <c r="I17" s="24">
        <v>15000</v>
      </c>
      <c r="J17" s="18">
        <v>12</v>
      </c>
      <c r="K17" s="18">
        <v>84.15</v>
      </c>
      <c r="L17" s="25">
        <f t="shared" si="0"/>
        <v>0.85739750445632801</v>
      </c>
      <c r="M17" s="25">
        <f>IFERROR((J17-INDEX(COGS!$D$4:$D$20,MATCH($G17,COGS!$B$4:$B$20,0)))/J17,"")</f>
        <v>0.3041666666666667</v>
      </c>
      <c r="N17" s="47">
        <f t="shared" si="1"/>
        <v>46235</v>
      </c>
      <c r="O17" s="18">
        <f t="shared" si="2"/>
        <v>180000</v>
      </c>
      <c r="P17" s="18" t="str">
        <f ca="1">IFERROR(INDEX($J$4:$J$503,MATCH(_xludf.MAXIFS($C$4:$C$503,$G$4:$G$503,$G17,$B$4:$B$503,$B17),$C$4:$C$503,0)),"—")</f>
        <v>—</v>
      </c>
    </row>
    <row r="18" spans="2:16" ht="15" x14ac:dyDescent="0.25">
      <c r="B18" s="20" t="s">
        <v>106</v>
      </c>
      <c r="C18" s="44">
        <v>46235</v>
      </c>
      <c r="D18" s="13"/>
      <c r="E18" s="13" t="s">
        <v>108</v>
      </c>
      <c r="F18" s="20" t="s">
        <v>129</v>
      </c>
      <c r="G18" s="20" t="s">
        <v>34</v>
      </c>
      <c r="H18" s="20" t="s">
        <v>79</v>
      </c>
      <c r="I18" s="21">
        <v>15000</v>
      </c>
      <c r="J18" s="15">
        <v>14</v>
      </c>
      <c r="K18" s="15">
        <v>58.65</v>
      </c>
      <c r="L18" s="22">
        <f t="shared" si="0"/>
        <v>0.76129582267689688</v>
      </c>
      <c r="M18" s="22">
        <f>IFERROR((J18-INDEX(COGS!$D$4:$D$20,MATCH($G18,COGS!$B$4:$B$20,0)))/J18,"")</f>
        <v>0.13285714285714281</v>
      </c>
      <c r="N18" s="45">
        <f t="shared" si="1"/>
        <v>46235</v>
      </c>
      <c r="O18" s="15">
        <f t="shared" si="2"/>
        <v>210000</v>
      </c>
      <c r="P18" s="15" t="str">
        <f ca="1">IFERROR(INDEX($J$4:$J$503,MATCH(_xludf.MAXIFS($C$4:$C$503,$G$4:$G$503,$G18,$B$4:$B$503,$B18),$C$4:$C$503,0)),"—")</f>
        <v>—</v>
      </c>
    </row>
    <row r="19" spans="2:16" ht="15" x14ac:dyDescent="0.25">
      <c r="B19" s="23" t="s">
        <v>106</v>
      </c>
      <c r="C19" s="46">
        <v>46235</v>
      </c>
      <c r="D19" s="16"/>
      <c r="E19" s="16" t="s">
        <v>108</v>
      </c>
      <c r="F19" s="23" t="s">
        <v>129</v>
      </c>
      <c r="G19" s="23" t="s">
        <v>43</v>
      </c>
      <c r="H19" s="23" t="s">
        <v>82</v>
      </c>
      <c r="I19" s="24">
        <v>20000</v>
      </c>
      <c r="J19" s="18">
        <v>12</v>
      </c>
      <c r="K19" s="18">
        <v>67.150000000000006</v>
      </c>
      <c r="L19" s="25">
        <f t="shared" si="0"/>
        <v>0.82129560685033509</v>
      </c>
      <c r="M19" s="25">
        <f>IFERROR((J19-INDEX(COGS!$D$4:$D$20,MATCH($G19,COGS!$B$4:$B$20,0)))/J19,"")</f>
        <v>0.22999999999999998</v>
      </c>
      <c r="N19" s="47">
        <f t="shared" si="1"/>
        <v>46235</v>
      </c>
      <c r="O19" s="18">
        <f t="shared" si="2"/>
        <v>240000</v>
      </c>
      <c r="P19" s="18" t="str">
        <f ca="1">IFERROR(INDEX($J$4:$J$503,MATCH(_xludf.MAXIFS($C$4:$C$503,$G$4:$G$503,$G19,$B$4:$B$503,$B19),$C$4:$C$503,0)),"—")</f>
        <v>—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95959"/>
  </sheetPr>
  <dimension ref="B2:F32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0.5" customHeight="1" x14ac:dyDescent="0.25"/>
  <cols>
    <col min="1" max="1" width="2.42578125" customWidth="1"/>
    <col min="2" max="2" width="10" customWidth="1"/>
    <col min="3" max="3" width="34" customWidth="1"/>
    <col min="4" max="6" width="14" customWidth="1"/>
  </cols>
  <sheetData>
    <row r="2" spans="2:6" ht="18" customHeight="1" x14ac:dyDescent="0.25">
      <c r="B2" s="1" t="s">
        <v>130</v>
      </c>
      <c r="C2" s="2"/>
      <c r="D2" s="2"/>
      <c r="E2" s="2"/>
      <c r="F2" s="2"/>
    </row>
    <row r="3" spans="2:6" ht="26.1" customHeight="1" x14ac:dyDescent="0.25">
      <c r="B3" s="41" t="s">
        <v>26</v>
      </c>
      <c r="C3" s="41" t="s">
        <v>27</v>
      </c>
      <c r="D3" s="41" t="s">
        <v>131</v>
      </c>
      <c r="E3" s="41" t="s">
        <v>132</v>
      </c>
      <c r="F3" s="41" t="s">
        <v>133</v>
      </c>
    </row>
    <row r="4" spans="2:6" ht="15" x14ac:dyDescent="0.25">
      <c r="B4" s="20" t="s">
        <v>74</v>
      </c>
      <c r="C4" s="20" t="s">
        <v>75</v>
      </c>
      <c r="D4" s="21">
        <v>0</v>
      </c>
      <c r="E4" s="21">
        <v>0</v>
      </c>
      <c r="F4" s="21">
        <v>0</v>
      </c>
    </row>
    <row r="5" spans="2:6" ht="15" x14ac:dyDescent="0.25">
      <c r="B5" s="23" t="s">
        <v>39</v>
      </c>
      <c r="C5" s="23" t="s">
        <v>77</v>
      </c>
      <c r="D5" s="24">
        <v>0</v>
      </c>
      <c r="E5" s="24">
        <v>0</v>
      </c>
      <c r="F5" s="24">
        <v>0</v>
      </c>
    </row>
    <row r="6" spans="2:6" ht="15" x14ac:dyDescent="0.25">
      <c r="B6" s="20" t="s">
        <v>38</v>
      </c>
      <c r="C6" s="20" t="s">
        <v>78</v>
      </c>
      <c r="D6" s="21">
        <v>0</v>
      </c>
      <c r="E6" s="21">
        <v>0</v>
      </c>
      <c r="F6" s="21">
        <v>0</v>
      </c>
    </row>
    <row r="7" spans="2:6" ht="15" x14ac:dyDescent="0.25">
      <c r="B7" s="23" t="s">
        <v>34</v>
      </c>
      <c r="C7" s="23" t="s">
        <v>79</v>
      </c>
      <c r="D7" s="24">
        <v>0</v>
      </c>
      <c r="E7" s="24">
        <v>0</v>
      </c>
      <c r="F7" s="24">
        <v>0</v>
      </c>
    </row>
    <row r="8" spans="2:6" ht="15" x14ac:dyDescent="0.25">
      <c r="B8" s="20" t="s">
        <v>41</v>
      </c>
      <c r="C8" s="20" t="s">
        <v>80</v>
      </c>
      <c r="D8" s="21">
        <v>0</v>
      </c>
      <c r="E8" s="21">
        <v>0</v>
      </c>
      <c r="F8" s="21">
        <v>0</v>
      </c>
    </row>
    <row r="9" spans="2:6" ht="15" x14ac:dyDescent="0.25">
      <c r="B9" s="23" t="s">
        <v>65</v>
      </c>
      <c r="C9" s="23" t="s">
        <v>134</v>
      </c>
      <c r="D9" s="24">
        <v>0</v>
      </c>
      <c r="E9" s="24">
        <v>0</v>
      </c>
      <c r="F9" s="24">
        <v>0</v>
      </c>
    </row>
    <row r="10" spans="2:6" ht="15" x14ac:dyDescent="0.25">
      <c r="B10" s="20" t="s">
        <v>40</v>
      </c>
      <c r="C10" s="20" t="s">
        <v>81</v>
      </c>
      <c r="D10" s="21">
        <v>0</v>
      </c>
      <c r="E10" s="21">
        <v>0</v>
      </c>
      <c r="F10" s="21">
        <v>0</v>
      </c>
    </row>
    <row r="11" spans="2:6" ht="15" x14ac:dyDescent="0.25">
      <c r="B11" s="23" t="s">
        <v>35</v>
      </c>
      <c r="C11" s="23" t="s">
        <v>88</v>
      </c>
      <c r="D11" s="24">
        <v>0</v>
      </c>
      <c r="E11" s="24">
        <v>0</v>
      </c>
      <c r="F11" s="24">
        <v>0</v>
      </c>
    </row>
    <row r="12" spans="2:6" ht="15" x14ac:dyDescent="0.25">
      <c r="B12" s="20" t="s">
        <v>37</v>
      </c>
      <c r="C12" s="20" t="s">
        <v>89</v>
      </c>
      <c r="D12" s="21">
        <v>0</v>
      </c>
      <c r="E12" s="21">
        <v>0</v>
      </c>
      <c r="F12" s="21">
        <v>0</v>
      </c>
    </row>
    <row r="13" spans="2:6" ht="15" x14ac:dyDescent="0.25">
      <c r="B13" s="23" t="s">
        <v>42</v>
      </c>
      <c r="C13" s="23" t="s">
        <v>90</v>
      </c>
      <c r="D13" s="24">
        <v>0</v>
      </c>
      <c r="E13" s="24">
        <v>0</v>
      </c>
      <c r="F13" s="24">
        <v>0</v>
      </c>
    </row>
    <row r="14" spans="2:6" ht="15" x14ac:dyDescent="0.25">
      <c r="B14" s="20" t="s">
        <v>43</v>
      </c>
      <c r="C14" s="20" t="s">
        <v>82</v>
      </c>
      <c r="D14" s="21">
        <v>0</v>
      </c>
      <c r="E14" s="21">
        <v>0</v>
      </c>
      <c r="F14" s="21">
        <v>0</v>
      </c>
    </row>
    <row r="15" spans="2:6" ht="15" x14ac:dyDescent="0.25">
      <c r="B15" s="23" t="s">
        <v>36</v>
      </c>
      <c r="C15" s="23" t="s">
        <v>91</v>
      </c>
      <c r="D15" s="24">
        <v>0</v>
      </c>
      <c r="E15" s="24">
        <v>0</v>
      </c>
      <c r="F15" s="24">
        <v>0</v>
      </c>
    </row>
    <row r="16" spans="2:6" ht="15" x14ac:dyDescent="0.25">
      <c r="B16" s="20" t="s">
        <v>63</v>
      </c>
      <c r="C16" s="20" t="s">
        <v>92</v>
      </c>
      <c r="D16" s="21">
        <v>0</v>
      </c>
      <c r="E16" s="21">
        <v>0</v>
      </c>
      <c r="F16" s="21">
        <v>0</v>
      </c>
    </row>
    <row r="17" spans="2:6" ht="15" x14ac:dyDescent="0.25">
      <c r="B17" s="23" t="s">
        <v>64</v>
      </c>
      <c r="C17" s="23" t="s">
        <v>83</v>
      </c>
      <c r="D17" s="24">
        <v>0</v>
      </c>
      <c r="E17" s="24">
        <v>0</v>
      </c>
      <c r="F17" s="24">
        <v>0</v>
      </c>
    </row>
    <row r="18" spans="2:6" ht="15" x14ac:dyDescent="0.25">
      <c r="B18" s="20" t="s">
        <v>135</v>
      </c>
      <c r="C18" s="20" t="s">
        <v>136</v>
      </c>
      <c r="D18" s="21">
        <v>0</v>
      </c>
      <c r="E18" s="21">
        <v>0</v>
      </c>
      <c r="F18" s="21">
        <v>0</v>
      </c>
    </row>
    <row r="19" spans="2:6" ht="15" x14ac:dyDescent="0.25">
      <c r="B19" s="23" t="s">
        <v>137</v>
      </c>
      <c r="C19" s="23" t="s">
        <v>138</v>
      </c>
      <c r="D19" s="24">
        <v>0</v>
      </c>
      <c r="E19" s="24">
        <v>0</v>
      </c>
      <c r="F19" s="24">
        <v>0</v>
      </c>
    </row>
    <row r="20" spans="2:6" ht="15" x14ac:dyDescent="0.25">
      <c r="B20" s="20" t="s">
        <v>139</v>
      </c>
      <c r="C20" s="20" t="s">
        <v>140</v>
      </c>
      <c r="D20" s="21">
        <v>0</v>
      </c>
      <c r="E20" s="21">
        <v>0</v>
      </c>
      <c r="F20" s="21">
        <v>0</v>
      </c>
    </row>
    <row r="21" spans="2:6" ht="15" x14ac:dyDescent="0.25">
      <c r="B21" s="23" t="s">
        <v>84</v>
      </c>
      <c r="C21" s="23" t="s">
        <v>85</v>
      </c>
      <c r="D21" s="24">
        <v>0</v>
      </c>
      <c r="E21" s="24">
        <v>0</v>
      </c>
      <c r="F21" s="24">
        <v>0</v>
      </c>
    </row>
    <row r="22" spans="2:6" ht="15" x14ac:dyDescent="0.25">
      <c r="B22" s="20" t="s">
        <v>62</v>
      </c>
      <c r="C22" s="20" t="s">
        <v>93</v>
      </c>
      <c r="D22" s="21">
        <v>0</v>
      </c>
      <c r="E22" s="21">
        <v>0</v>
      </c>
      <c r="F22" s="21">
        <v>0</v>
      </c>
    </row>
    <row r="23" spans="2:6" ht="15" x14ac:dyDescent="0.25">
      <c r="B23" s="23" t="s">
        <v>94</v>
      </c>
      <c r="C23" s="23" t="s">
        <v>95</v>
      </c>
      <c r="D23" s="24">
        <v>0</v>
      </c>
      <c r="E23" s="24">
        <v>0</v>
      </c>
      <c r="F23" s="24">
        <v>0</v>
      </c>
    </row>
    <row r="24" spans="2:6" ht="15" x14ac:dyDescent="0.25">
      <c r="B24" s="20" t="s">
        <v>86</v>
      </c>
      <c r="C24" s="20" t="s">
        <v>87</v>
      </c>
      <c r="D24" s="21">
        <v>0</v>
      </c>
      <c r="E24" s="21">
        <v>0</v>
      </c>
      <c r="F24" s="21">
        <v>0</v>
      </c>
    </row>
    <row r="25" spans="2:6" ht="15" x14ac:dyDescent="0.25">
      <c r="B25" s="23" t="s">
        <v>141</v>
      </c>
      <c r="C25" s="23" t="s">
        <v>142</v>
      </c>
      <c r="D25" s="24">
        <v>0</v>
      </c>
      <c r="E25" s="24">
        <v>0</v>
      </c>
      <c r="F25" s="24">
        <v>0</v>
      </c>
    </row>
    <row r="26" spans="2:6" ht="15" x14ac:dyDescent="0.25">
      <c r="B26" s="20" t="s">
        <v>143</v>
      </c>
      <c r="C26" s="20" t="s">
        <v>144</v>
      </c>
      <c r="D26" s="21">
        <v>0</v>
      </c>
      <c r="E26" s="21">
        <v>0</v>
      </c>
      <c r="F26" s="21">
        <v>0</v>
      </c>
    </row>
    <row r="27" spans="2:6" ht="15" x14ac:dyDescent="0.25">
      <c r="B27" s="23" t="s">
        <v>145</v>
      </c>
      <c r="C27" s="23" t="s">
        <v>146</v>
      </c>
      <c r="D27" s="24">
        <v>0</v>
      </c>
      <c r="E27" s="24">
        <v>0</v>
      </c>
      <c r="F27" s="24">
        <v>0</v>
      </c>
    </row>
    <row r="28" spans="2:6" ht="15" x14ac:dyDescent="0.25">
      <c r="B28" s="20" t="s">
        <v>147</v>
      </c>
      <c r="C28" s="20" t="s">
        <v>148</v>
      </c>
      <c r="D28" s="21">
        <v>0</v>
      </c>
      <c r="E28" s="21">
        <v>0</v>
      </c>
      <c r="F28" s="21">
        <v>0</v>
      </c>
    </row>
    <row r="29" spans="2:6" ht="15" x14ac:dyDescent="0.25">
      <c r="B29" s="23" t="s">
        <v>149</v>
      </c>
      <c r="C29" s="23" t="s">
        <v>150</v>
      </c>
      <c r="D29" s="24">
        <v>0</v>
      </c>
      <c r="E29" s="24">
        <v>0</v>
      </c>
      <c r="F29" s="24">
        <v>0</v>
      </c>
    </row>
    <row r="30" spans="2:6" ht="15" x14ac:dyDescent="0.25">
      <c r="B30" s="20" t="s">
        <v>151</v>
      </c>
      <c r="C30" s="20" t="s">
        <v>152</v>
      </c>
      <c r="D30" s="21">
        <v>0</v>
      </c>
      <c r="E30" s="21">
        <v>0</v>
      </c>
      <c r="F30" s="21">
        <v>0</v>
      </c>
    </row>
    <row r="31" spans="2:6" ht="15" x14ac:dyDescent="0.25">
      <c r="B31" s="23" t="s">
        <v>153</v>
      </c>
      <c r="C31" s="23" t="s">
        <v>154</v>
      </c>
      <c r="D31" s="24">
        <v>0</v>
      </c>
      <c r="E31" s="24">
        <v>0</v>
      </c>
      <c r="F31" s="24">
        <v>0</v>
      </c>
    </row>
    <row r="32" spans="2:6" ht="15" x14ac:dyDescent="0.25">
      <c r="B32" s="20" t="s">
        <v>155</v>
      </c>
      <c r="C32" s="20" t="s">
        <v>156</v>
      </c>
      <c r="D32" s="21">
        <v>0</v>
      </c>
      <c r="E32" s="21">
        <v>0</v>
      </c>
      <c r="F32" s="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COGS</vt:lpstr>
      <vt:lpstr>Histórico</vt:lpstr>
      <vt:lpstr>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Guimarães</cp:lastModifiedBy>
  <dcterms:created xsi:type="dcterms:W3CDTF">2026-06-30T18:23:45Z</dcterms:created>
  <dcterms:modified xsi:type="dcterms:W3CDTF">2026-07-01T14:21:48Z</dcterms:modified>
</cp:coreProperties>
</file>
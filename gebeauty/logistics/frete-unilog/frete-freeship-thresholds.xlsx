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endaçã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Por UF" sheetId="3" state="visible" r:id="rId3"/>
    <sheet xmlns:r="http://schemas.openxmlformats.org/officeDocument/2006/relationships" name="Sweep k_ot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0.0%"/>
    <numFmt numFmtId="166" formatCode="&quot;R$&quot; #,##0.00"/>
  </numFmts>
  <fonts count="8">
    <font>
      <name val="Calibri"/>
      <family val="2"/>
      <color theme="1"/>
      <sz val="11"/>
      <scheme val="minor"/>
    </font>
    <font>
      <name val="Calibri"/>
      <b val="1"/>
      <color rgb="00DF3630"/>
      <sz val="12"/>
    </font>
    <font>
      <name val="Calibri"/>
      <color rgb="00666666"/>
      <sz val="8"/>
    </font>
    <font>
      <name val="Calibri"/>
      <b val="1"/>
      <color rgb="00000000"/>
      <sz val="8"/>
    </font>
    <font>
      <name val="Calibri"/>
      <color rgb="00000000"/>
      <sz val="8"/>
    </font>
    <font>
      <name val="Calibri"/>
      <b val="1"/>
      <color rgb="00DF3630"/>
      <sz val="8"/>
    </font>
    <font>
      <name val="Calibri"/>
      <b val="1"/>
      <color rgb="00FFFFFF"/>
      <sz val="8"/>
    </font>
    <font>
      <name val="Calibri"/>
      <b val="1"/>
      <color rgb="00DF3630"/>
      <sz val="11"/>
    </font>
  </fonts>
  <fills count="5">
    <fill>
      <patternFill/>
    </fill>
    <fill>
      <patternFill patternType="gray125"/>
    </fill>
    <fill>
      <patternFill patternType="solid">
        <fgColor rgb="00F7F7F7"/>
      </patternFill>
    </fill>
    <fill>
      <patternFill patternType="solid">
        <fgColor rgb="00DF363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applyAlignment="1" pivotButton="0" quotePrefix="0" xfId="0">
      <alignment horizontal="left"/>
    </xf>
    <xf numFmtId="0" fontId="0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4" fillId="2" borderId="1" pivotButton="0" quotePrefix="0" xfId="0"/>
    <xf numFmtId="0" fontId="2" fillId="2" borderId="1" pivotButton="0" quotePrefix="0" xfId="0"/>
    <xf numFmtId="164" fontId="3" fillId="2" borderId="1" pivotButton="0" quotePrefix="0" xfId="0"/>
    <xf numFmtId="165" fontId="4" fillId="2" borderId="1" pivotButton="0" quotePrefix="0" xfId="0"/>
    <xf numFmtId="164" fontId="4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164" fontId="3" fillId="4" borderId="1" pivotButton="0" quotePrefix="0" xfId="0"/>
    <xf numFmtId="165" fontId="3" fillId="4" borderId="1" pivotButton="0" quotePrefix="0" xfId="0"/>
    <xf numFmtId="10" fontId="3" fillId="4" borderId="1" pivotButton="0" quotePrefix="0" xfId="0"/>
    <xf numFmtId="0" fontId="4" fillId="0" borderId="1" pivotButton="0" quotePrefix="0" xfId="0"/>
    <xf numFmtId="166" fontId="0" fillId="4" borderId="1" pivotButton="0" quotePrefix="0" xfId="0"/>
    <xf numFmtId="0" fontId="0" fillId="0" borderId="1" applyAlignment="1" pivotButton="0" quotePrefix="0" xfId="0">
      <alignment horizontal="center"/>
    </xf>
    <xf numFmtId="165" fontId="0" fillId="2" borderId="1" pivotButton="0" quotePrefix="0" xfId="0"/>
    <xf numFmtId="164" fontId="0" fillId="2" borderId="1" pivotButton="0" quotePrefix="0" xfId="0"/>
    <xf numFmtId="9" fontId="4" fillId="2" borderId="1" pivotButton="0" quotePrefix="0" xfId="0"/>
    <xf numFmtId="9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zoomScale="115" workbookViewId="0">
      <selection activeCell="A1" sqref="A1"/>
    </sheetView>
  </sheetViews>
  <sheetFormatPr baseColWidth="8" defaultRowHeight="10.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GE Beauty — Frete grátis por região (tabela Unilog B2C)</t>
        </is>
      </c>
    </row>
    <row r="3">
      <c r="B3" s="2" t="inlineStr">
        <is>
          <t>Base: 28.701 pedidos Loja Online BR. last 12 months · receita R$ 5.612.385</t>
        </is>
      </c>
    </row>
    <row r="5">
      <c r="B5" s="3" t="inlineStr">
        <is>
          <t>Política</t>
        </is>
      </c>
      <c r="C5" s="4" t="inlineStr">
        <is>
          <t>SE fixo R$199 · k demais regiões 10%</t>
        </is>
      </c>
      <c r="D5" s="5" t="n"/>
      <c r="E5" s="5" t="n"/>
      <c r="F5" s="5" t="n"/>
      <c r="G5" s="5" t="n"/>
    </row>
    <row r="6">
      <c r="B6" s="3" t="inlineStr">
        <is>
          <t>k médio ponderado</t>
        </is>
      </c>
      <c r="C6" s="4" t="inlineStr">
        <is>
          <t>11.1%</t>
        </is>
      </c>
      <c r="D6" s="5" t="n"/>
      <c r="E6" s="5" t="n"/>
      <c r="F6" s="5" t="n"/>
      <c r="G6" s="5" t="n"/>
    </row>
    <row r="7">
      <c r="B7" s="3" t="inlineStr">
        <is>
          <t>Pedidos com frete grátis</t>
        </is>
      </c>
      <c r="C7" s="4" t="inlineStr">
        <is>
          <t>30%</t>
        </is>
      </c>
      <c r="D7" s="5" t="n"/>
      <c r="E7" s="5" t="n"/>
      <c r="F7" s="5" t="n"/>
      <c r="G7" s="5" t="n"/>
    </row>
    <row r="8">
      <c r="B8" s="3" t="inlineStr">
        <is>
          <t>Impacto no lucro (frete absorvido + devoluções)</t>
        </is>
      </c>
      <c r="C8" s="4" t="inlineStr">
        <is>
          <t>5.0% da receita</t>
        </is>
      </c>
      <c r="D8" s="5" t="n"/>
      <c r="E8" s="5" t="n"/>
      <c r="F8" s="5" t="n"/>
      <c r="G8" s="5" t="n"/>
    </row>
    <row r="9">
      <c r="B9" s="3" t="inlineStr">
        <is>
          <t>Custo Unilog bruto (teto, se tudo grátis)</t>
        </is>
      </c>
      <c r="C9" s="4" t="inlineStr">
        <is>
          <t>13.9% da receita</t>
        </is>
      </c>
      <c r="D9" s="5" t="n"/>
      <c r="E9" s="5" t="n"/>
      <c r="F9" s="5" t="n"/>
      <c r="G9" s="5" t="n"/>
    </row>
    <row r="10">
      <c r="B10" s="3" t="inlineStr">
        <is>
          <t>Hoje (frete grátis R$299 fixo, pass-through)</t>
        </is>
      </c>
      <c r="C10" s="4" t="inlineStr">
        <is>
          <t>3.8% · 18% grátis</t>
        </is>
      </c>
      <c r="D10" s="5" t="n"/>
      <c r="E10" s="5" t="n"/>
      <c r="F10" s="5" t="n"/>
      <c r="G10" s="5" t="n"/>
    </row>
    <row r="13">
      <c r="B13" s="6" t="inlineStr">
        <is>
          <t>LADEIRA RECOMENDADA</t>
        </is>
      </c>
    </row>
    <row r="14" ht="26" customHeight="1">
      <c r="B14" s="7" t="inlineStr">
        <is>
          <t>Região</t>
        </is>
      </c>
      <c r="C14" s="7" t="inlineStr">
        <is>
          <t>Estados</t>
        </is>
      </c>
      <c r="D14" s="7" t="inlineStr">
        <is>
          <t>Frete grátis ≥</t>
        </is>
      </c>
      <c r="E14" s="7" t="inlineStr">
        <is>
          <t>k (frete/limiar)</t>
        </is>
      </c>
      <c r="F14" s="7" t="inlineStr">
        <is>
          <t>% receita</t>
        </is>
      </c>
      <c r="G14" s="7" t="inlineStr">
        <is>
          <t>AOV atual</t>
        </is>
      </c>
      <c r="H14" s="7" t="inlineStr">
        <is>
          <t>Frete médio</t>
        </is>
      </c>
      <c r="I14" s="7" t="inlineStr">
        <is>
          <t>% grátis</t>
        </is>
      </c>
      <c r="J14" s="7" t="inlineStr">
        <is>
          <t>Impacto</t>
        </is>
      </c>
    </row>
    <row r="15">
      <c r="B15" s="8" t="inlineStr">
        <is>
          <t>Sudeste (SE)</t>
        </is>
      </c>
      <c r="C15" s="9" t="inlineStr">
        <is>
          <t>ES, MG, RJ, SP</t>
        </is>
      </c>
      <c r="D15" s="10" t="n">
        <v>199</v>
      </c>
      <c r="E15" s="11" t="n">
        <v>0.116765962572301</v>
      </c>
      <c r="F15" s="11" t="n">
        <v>0.6590560207049241</v>
      </c>
      <c r="G15" s="12" t="n">
        <v>190.4771594829806</v>
      </c>
      <c r="H15" s="12" t="n">
        <v>23.2364265518879</v>
      </c>
      <c r="I15" s="11" t="n">
        <v>0.3820485091920284</v>
      </c>
      <c r="J15" s="11" t="n">
        <v>0.05709891252451572</v>
      </c>
    </row>
    <row r="16">
      <c r="B16" s="8" t="inlineStr">
        <is>
          <t>Centro-Oeste (CO)</t>
        </is>
      </c>
      <c r="C16" s="9" t="inlineStr">
        <is>
          <t>DF, GO, MT, MS</t>
        </is>
      </c>
      <c r="D16" s="10" t="n">
        <v>279</v>
      </c>
      <c r="E16" s="11" t="n">
        <v>0.1023678325734862</v>
      </c>
      <c r="F16" s="11" t="n">
        <v>0.07161917222442742</v>
      </c>
      <c r="G16" s="12" t="n">
        <v>205.7084698055271</v>
      </c>
      <c r="H16" s="12" t="n">
        <v>28.56062528800266</v>
      </c>
      <c r="I16" s="11" t="n">
        <v>0.2384851586489253</v>
      </c>
      <c r="J16" s="11" t="n">
        <v>0.04485691547248829</v>
      </c>
    </row>
    <row r="17">
      <c r="B17" s="8" t="inlineStr">
        <is>
          <t>Sul (S)</t>
        </is>
      </c>
      <c r="C17" s="9" t="inlineStr">
        <is>
          <t>PR, RS, SC</t>
        </is>
      </c>
      <c r="D17" s="10" t="n">
        <v>319</v>
      </c>
      <c r="E17" s="11" t="n">
        <v>0.09991522477290178</v>
      </c>
      <c r="F17" s="11" t="n">
        <v>0.1214659650694832</v>
      </c>
      <c r="G17" s="12" t="n">
        <v>190.3696537280089</v>
      </c>
      <c r="H17" s="12" t="n">
        <v>31.87295670255567</v>
      </c>
      <c r="I17" s="11" t="n">
        <v>0.1348785255515219</v>
      </c>
      <c r="J17" s="11" t="n">
        <v>0.0354142700879031</v>
      </c>
    </row>
    <row r="18">
      <c r="B18" s="8" t="inlineStr">
        <is>
          <t>Nordeste (NE)</t>
        </is>
      </c>
      <c r="C18" s="9" t="inlineStr">
        <is>
          <t>AL, BA, CE, MA, PB, PE, PI, RN, SE</t>
        </is>
      </c>
      <c r="D18" s="10" t="n">
        <v>399</v>
      </c>
      <c r="E18" s="11" t="n">
        <v>0.1010044411151118</v>
      </c>
      <c r="F18" s="11" t="n">
        <v>0.1347397556805064</v>
      </c>
      <c r="G18" s="12" t="n">
        <v>220.7271891418564</v>
      </c>
      <c r="H18" s="12" t="n">
        <v>40.30077200492962</v>
      </c>
      <c r="I18" s="11" t="n">
        <v>0.09427904261529481</v>
      </c>
      <c r="J18" s="11" t="n">
        <v>0.03358834760306783</v>
      </c>
    </row>
    <row r="19">
      <c r="B19" s="8" t="inlineStr">
        <is>
          <t>Norte (N)</t>
        </is>
      </c>
      <c r="C19" s="9" t="inlineStr">
        <is>
          <t>AC, AP, AM, PA, RO, RR, TO</t>
        </is>
      </c>
      <c r="D19" s="10" t="n">
        <v>649</v>
      </c>
      <c r="E19" s="11" t="n">
        <v>0.1010758657380074</v>
      </c>
      <c r="F19" s="11" t="n">
        <v>0.01311908632065897</v>
      </c>
      <c r="G19" s="12" t="n">
        <v>229.374953271028</v>
      </c>
      <c r="H19" s="12" t="n">
        <v>65.59823686396678</v>
      </c>
      <c r="I19" s="11" t="n">
        <v>0.01246105919003115</v>
      </c>
      <c r="J19" s="11" t="n">
        <v>0.02109927391736123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zoomScale="115" workbookViewId="0">
      <selection activeCell="A1" sqref="A1"/>
    </sheetView>
  </sheetViews>
  <sheetFormatPr baseColWidth="8" defaultRowHeight="10.5"/>
  <cols>
    <col width="3" customWidth="1" min="1" max="1"/>
    <col width="26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2">
      <c r="B2" s="13" t="inlineStr">
        <is>
          <t>Premissas — edite as células amarelas</t>
        </is>
      </c>
    </row>
    <row r="4">
      <c r="B4" s="14" t="inlineStr">
        <is>
          <t>Limiar SE (fixo)</t>
        </is>
      </c>
      <c r="C4" s="15" t="n">
        <v>199</v>
      </c>
      <c r="E4" s="2" t="inlineStr">
        <is>
          <t>Âncora de política (SE = 66% das vendas)</t>
        </is>
      </c>
    </row>
    <row r="5">
      <c r="B5" s="14" t="inlineStr">
        <is>
          <t>k demais regiões</t>
        </is>
      </c>
      <c r="C5" s="16" t="n">
        <v>0.1</v>
      </c>
      <c r="E5" s="2" t="inlineStr">
        <is>
          <t>Frete / limiar aplicado a CO, S, NE, N</t>
        </is>
      </c>
    </row>
    <row r="6">
      <c r="B6" s="14" t="inlineStr">
        <is>
          <t>Taxa de devolução</t>
        </is>
      </c>
      <c r="C6" s="16" t="n">
        <v>0.05</v>
      </c>
      <c r="E6" s="2" t="inlineStr">
        <is>
          <t>Devolução = 100% do frete de ida; linha separada</t>
        </is>
      </c>
    </row>
    <row r="7">
      <c r="B7" s="14" t="inlineStr">
        <is>
          <t>Ad Valorem (tabela)</t>
        </is>
      </c>
      <c r="C7" s="17" t="n">
        <v>0.0067</v>
      </c>
      <c r="E7" s="2" t="inlineStr">
        <is>
          <t>Sobre valor da NF (embutido no cálculo)</t>
        </is>
      </c>
    </row>
    <row r="9">
      <c r="B9" s="6" t="inlineStr">
        <is>
          <t>Frete médio por região (Unilog, R$)</t>
        </is>
      </c>
    </row>
    <row r="10" ht="26" customHeight="1">
      <c r="B10" s="7" t="inlineStr">
        <is>
          <t>Região</t>
        </is>
      </c>
      <c r="C10" s="7" t="inlineStr">
        <is>
          <t>Frete médio</t>
        </is>
      </c>
      <c r="D10" s="7" t="inlineStr">
        <is>
          <t>Limiar sugerido = frete/k</t>
        </is>
      </c>
      <c r="E10" s="7" t="inlineStr">
        <is>
          <t>Limiar aplicado</t>
        </is>
      </c>
      <c r="F10" s="7" t="inlineStr">
        <is>
          <t>k implícito</t>
        </is>
      </c>
    </row>
    <row r="11">
      <c r="B11" s="18" t="inlineStr">
        <is>
          <t>Sudeste (SE)</t>
        </is>
      </c>
      <c r="C11" s="19" t="n">
        <v>23.24</v>
      </c>
      <c r="D11" s="20" t="inlineStr">
        <is>
          <t>—</t>
        </is>
      </c>
      <c r="E11" s="15" t="n">
        <v>199</v>
      </c>
      <c r="F11" s="21">
        <f>C11/E11</f>
        <v/>
      </c>
    </row>
    <row r="12">
      <c r="B12" s="18" t="inlineStr">
        <is>
          <t>Centro-Oeste (CO)</t>
        </is>
      </c>
      <c r="C12" s="19" t="n">
        <v>28.56</v>
      </c>
      <c r="D12" s="22">
        <f>C12/$C$5</f>
        <v/>
      </c>
      <c r="E12" s="15" t="n">
        <v>279</v>
      </c>
      <c r="F12" s="21">
        <f>C12/E12</f>
        <v/>
      </c>
    </row>
    <row r="13">
      <c r="B13" s="18" t="inlineStr">
        <is>
          <t>Sul (S)</t>
        </is>
      </c>
      <c r="C13" s="19" t="n">
        <v>31.87</v>
      </c>
      <c r="D13" s="22">
        <f>C13/$C$5</f>
        <v/>
      </c>
      <c r="E13" s="15" t="n">
        <v>319</v>
      </c>
      <c r="F13" s="21">
        <f>C13/E13</f>
        <v/>
      </c>
    </row>
    <row r="14">
      <c r="B14" s="18" t="inlineStr">
        <is>
          <t>Nordeste (NE)</t>
        </is>
      </c>
      <c r="C14" s="19" t="n">
        <v>40.3</v>
      </c>
      <c r="D14" s="22">
        <f>C14/$C$5</f>
        <v/>
      </c>
      <c r="E14" s="15" t="n">
        <v>399</v>
      </c>
      <c r="F14" s="21">
        <f>C14/E14</f>
        <v/>
      </c>
    </row>
    <row r="15">
      <c r="B15" s="18" t="inlineStr">
        <is>
          <t>Norte (N)</t>
        </is>
      </c>
      <c r="C15" s="19" t="n">
        <v>65.59999999999999</v>
      </c>
      <c r="D15" s="22">
        <f>C15/$C$5</f>
        <v/>
      </c>
      <c r="E15" s="15" t="n">
        <v>649</v>
      </c>
      <c r="F15" s="21">
        <f>C15/E15</f>
        <v/>
      </c>
    </row>
    <row r="17">
      <c r="B17" s="2" t="inlineStr">
        <is>
          <t>Obs.: % grátis e impacto no lucro são saídas do modelo na ladeira travada.</t>
        </is>
      </c>
    </row>
    <row r="18">
      <c r="B18" s="2" t="inlineStr">
        <is>
          <t>Para re-simular outros limiares no P&amp;L, rode _freight_final.py com a nova ladeira.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zoomScale="115" workbookViewId="0">
      <selection activeCell="A1" sqref="A1"/>
    </sheetView>
  </sheetViews>
  <sheetFormatPr baseColWidth="8" defaultRowHeight="10.5"/>
  <cols>
    <col width="3" customWidth="1" min="1" max="1"/>
    <col width="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2">
      <c r="B2" s="13" t="inlineStr">
        <is>
          <t>Aterrissagem por estado (na ladeira travada)</t>
        </is>
      </c>
    </row>
    <row r="4" ht="26" customHeight="1">
      <c r="B4" s="7" t="inlineStr">
        <is>
          <t>UF</t>
        </is>
      </c>
      <c r="C4" s="7" t="inlineStr">
        <is>
          <t>Região</t>
        </is>
      </c>
      <c r="D4" s="7" t="inlineStr">
        <is>
          <t>Frete grátis ≥</t>
        </is>
      </c>
      <c r="E4" s="7" t="inlineStr">
        <is>
          <t>% receita</t>
        </is>
      </c>
      <c r="F4" s="7" t="inlineStr">
        <is>
          <t>AOV</t>
        </is>
      </c>
      <c r="G4" s="7" t="inlineStr">
        <is>
          <t>Frete médio</t>
        </is>
      </c>
      <c r="H4" s="7" t="inlineStr">
        <is>
          <t>k realizado</t>
        </is>
      </c>
      <c r="I4" s="7" t="inlineStr">
        <is>
          <t>% grátis</t>
        </is>
      </c>
    </row>
    <row r="5">
      <c r="B5" s="8" t="inlineStr">
        <is>
          <t>SP</t>
        </is>
      </c>
      <c r="C5" s="8" t="inlineStr">
        <is>
          <t>SE</t>
        </is>
      </c>
      <c r="D5" s="12" t="n">
        <v>199</v>
      </c>
      <c r="E5" s="11" t="n">
        <v>0.4464681310382365</v>
      </c>
      <c r="F5" s="12" t="n">
        <v>189.4850975499093</v>
      </c>
      <c r="G5" s="12" t="n">
        <v>23.88979316898568</v>
      </c>
      <c r="H5" s="11" t="n">
        <v>0.1200492119044507</v>
      </c>
      <c r="I5" s="11" t="n">
        <v>0.3776467029643073</v>
      </c>
    </row>
    <row r="6">
      <c r="B6" s="8" t="inlineStr">
        <is>
          <t>RJ</t>
        </is>
      </c>
      <c r="C6" s="8" t="inlineStr">
        <is>
          <t>SE</t>
        </is>
      </c>
      <c r="D6" s="12" t="n">
        <v>199</v>
      </c>
      <c r="E6" s="11" t="n">
        <v>0.121129218733623</v>
      </c>
      <c r="F6" s="12" t="n">
        <v>192.7484491068897</v>
      </c>
      <c r="G6" s="12" t="n">
        <v>20.17148653246385</v>
      </c>
      <c r="H6" s="11" t="n">
        <v>0.1013642539319791</v>
      </c>
      <c r="I6" s="11" t="n">
        <v>0.3878650411114262</v>
      </c>
    </row>
    <row r="7">
      <c r="B7" s="8" t="inlineStr">
        <is>
          <t>MG</t>
        </is>
      </c>
      <c r="C7" s="8" t="inlineStr">
        <is>
          <t>SE</t>
        </is>
      </c>
      <c r="D7" s="12" t="n">
        <v>199</v>
      </c>
      <c r="E7" s="11" t="n">
        <v>0.07355190857148558</v>
      </c>
      <c r="F7" s="12" t="n">
        <v>189.6194809370694</v>
      </c>
      <c r="G7" s="12" t="n">
        <v>25.15290485887817</v>
      </c>
      <c r="H7" s="11" t="n">
        <v>0.1263965068285335</v>
      </c>
      <c r="I7" s="11" t="n">
        <v>0.3853927423059256</v>
      </c>
    </row>
    <row r="8">
      <c r="B8" s="8" t="inlineStr">
        <is>
          <t>PE</t>
        </is>
      </c>
      <c r="C8" s="8" t="inlineStr">
        <is>
          <t>NE</t>
        </is>
      </c>
      <c r="D8" s="12" t="n">
        <v>399</v>
      </c>
      <c r="E8" s="11" t="n">
        <v>0.04886119042355391</v>
      </c>
      <c r="F8" s="12" t="n">
        <v>213.4068482490272</v>
      </c>
      <c r="G8" s="12" t="n">
        <v>39.57863426718548</v>
      </c>
      <c r="H8" s="11" t="n">
        <v>0.09919457209820921</v>
      </c>
      <c r="I8" s="11" t="n">
        <v>0.07548638132295719</v>
      </c>
    </row>
    <row r="9">
      <c r="B9" s="8" t="inlineStr">
        <is>
          <t>PR</t>
        </is>
      </c>
      <c r="C9" s="8" t="inlineStr">
        <is>
          <t>S</t>
        </is>
      </c>
      <c r="D9" s="12" t="n">
        <v>319</v>
      </c>
      <c r="E9" s="11" t="n">
        <v>0.04238376387149865</v>
      </c>
      <c r="F9" s="12" t="n">
        <v>191.0634457831325</v>
      </c>
      <c r="G9" s="12" t="n">
        <v>28.01606423620408</v>
      </c>
      <c r="H9" s="11" t="n">
        <v>0.08782465277806921</v>
      </c>
      <c r="I9" s="11" t="n">
        <v>0.1429718875502008</v>
      </c>
    </row>
    <row r="10">
      <c r="B10" s="8" t="inlineStr">
        <is>
          <t>DF</t>
        </is>
      </c>
      <c r="C10" s="8" t="inlineStr">
        <is>
          <t>CO</t>
        </is>
      </c>
      <c r="D10" s="12" t="n">
        <v>279</v>
      </c>
      <c r="E10" s="11" t="n">
        <v>0.04189611376875044</v>
      </c>
      <c r="F10" s="12" t="n">
        <v>208.4548847517731</v>
      </c>
      <c r="G10" s="12" t="n">
        <v>25.7203496749409</v>
      </c>
      <c r="H10" s="11" t="n">
        <v>0.09218763324351577</v>
      </c>
      <c r="I10" s="11" t="n">
        <v>0.2429078014184397</v>
      </c>
    </row>
    <row r="11">
      <c r="B11" s="8" t="inlineStr">
        <is>
          <t>RS</t>
        </is>
      </c>
      <c r="C11" s="8" t="inlineStr">
        <is>
          <t>S</t>
        </is>
      </c>
      <c r="D11" s="12" t="n">
        <v>319</v>
      </c>
      <c r="E11" s="11" t="n">
        <v>0.03970438769366266</v>
      </c>
      <c r="F11" s="12" t="n">
        <v>186.9432046979866</v>
      </c>
      <c r="G11" s="12" t="n">
        <v>35.76561493288591</v>
      </c>
      <c r="H11" s="11" t="n">
        <v>0.1121179151501126</v>
      </c>
      <c r="I11" s="11" t="n">
        <v>0.1241610738255034</v>
      </c>
    </row>
    <row r="12">
      <c r="B12" s="8" t="inlineStr">
        <is>
          <t>SC</t>
        </is>
      </c>
      <c r="C12" s="8" t="inlineStr">
        <is>
          <t>S</t>
        </is>
      </c>
      <c r="D12" s="12" t="n">
        <v>319</v>
      </c>
      <c r="E12" s="11" t="n">
        <v>0.03937781350432185</v>
      </c>
      <c r="F12" s="12" t="n">
        <v>193.1848251748252</v>
      </c>
      <c r="G12" s="12" t="n">
        <v>32.01437498057498</v>
      </c>
      <c r="H12" s="11" t="n">
        <v>0.1003585422588557</v>
      </c>
      <c r="I12" s="11" t="n">
        <v>0.1372377622377622</v>
      </c>
    </row>
    <row r="13">
      <c r="B13" s="8" t="inlineStr">
        <is>
          <t>BA</t>
        </is>
      </c>
      <c r="C13" s="8" t="inlineStr">
        <is>
          <t>NE</t>
        </is>
      </c>
      <c r="D13" s="12" t="n">
        <v>399</v>
      </c>
      <c r="E13" s="11" t="n">
        <v>0.03336289622695593</v>
      </c>
      <c r="F13" s="12" t="n">
        <v>228.3480609756098</v>
      </c>
      <c r="G13" s="12" t="n">
        <v>42.33809512195122</v>
      </c>
      <c r="H13" s="11" t="n">
        <v>0.1061105140901033</v>
      </c>
      <c r="I13" s="11" t="n">
        <v>0.1024390243902439</v>
      </c>
    </row>
    <row r="14">
      <c r="B14" s="8" t="inlineStr">
        <is>
          <t>ES</t>
        </is>
      </c>
      <c r="C14" s="8" t="inlineStr">
        <is>
          <t>SE</t>
        </is>
      </c>
      <c r="D14" s="12" t="n">
        <v>199</v>
      </c>
      <c r="E14" s="11" t="n">
        <v>0.01790676236157901</v>
      </c>
      <c r="F14" s="12" t="n">
        <v>204.6835845213849</v>
      </c>
      <c r="G14" s="12" t="n">
        <v>19.15852437202987</v>
      </c>
      <c r="H14" s="11" t="n">
        <v>0.09627399181924559</v>
      </c>
      <c r="I14" s="11" t="n">
        <v>0.4439918533604888</v>
      </c>
    </row>
    <row r="15">
      <c r="B15" s="8" t="inlineStr">
        <is>
          <t>GO</t>
        </is>
      </c>
      <c r="C15" s="8" t="inlineStr">
        <is>
          <t>CO</t>
        </is>
      </c>
      <c r="D15" s="12" t="n">
        <v>279</v>
      </c>
      <c r="E15" s="11" t="n">
        <v>0.01716699661405074</v>
      </c>
      <c r="F15" s="12" t="n">
        <v>199.4778260869565</v>
      </c>
      <c r="G15" s="12" t="n">
        <v>29.29056846100759</v>
      </c>
      <c r="H15" s="11" t="n">
        <v>0.1049841163476975</v>
      </c>
      <c r="I15" s="11" t="n">
        <v>0.2256728778467909</v>
      </c>
    </row>
    <row r="16">
      <c r="B16" s="8" t="inlineStr">
        <is>
          <t>CE</t>
        </is>
      </c>
      <c r="C16" s="8" t="inlineStr">
        <is>
          <t>NE</t>
        </is>
      </c>
      <c r="D16" s="12" t="n">
        <v>399</v>
      </c>
      <c r="E16" s="11" t="n">
        <v>0.01298828096202777</v>
      </c>
      <c r="F16" s="12" t="n">
        <v>214.3977352941176</v>
      </c>
      <c r="G16" s="12" t="n">
        <v>37.60163666666666</v>
      </c>
      <c r="H16" s="11" t="n">
        <v>0.09423969089390141</v>
      </c>
      <c r="I16" s="11" t="n">
        <v>0.08823529411764706</v>
      </c>
    </row>
    <row r="17">
      <c r="B17" s="8" t="inlineStr">
        <is>
          <t>PB</t>
        </is>
      </c>
      <c r="C17" s="8" t="inlineStr">
        <is>
          <t>NE</t>
        </is>
      </c>
      <c r="D17" s="12" t="n">
        <v>399</v>
      </c>
      <c r="E17" s="11" t="n">
        <v>0.009165984210188013</v>
      </c>
      <c r="F17" s="12" t="n">
        <v>234.8996803652968</v>
      </c>
      <c r="G17" s="12" t="n">
        <v>41.83778807711821</v>
      </c>
      <c r="H17" s="11" t="n">
        <v>0.1048566117221008</v>
      </c>
      <c r="I17" s="11" t="n">
        <v>0.1415525114155251</v>
      </c>
    </row>
    <row r="18">
      <c r="B18" s="8" t="inlineStr">
        <is>
          <t>RN</t>
        </is>
      </c>
      <c r="C18" s="8" t="inlineStr">
        <is>
          <t>NE</t>
        </is>
      </c>
      <c r="D18" s="12" t="n">
        <v>399</v>
      </c>
      <c r="E18" s="11" t="n">
        <v>0.007533642450297086</v>
      </c>
      <c r="F18" s="12" t="n">
        <v>227.3209677419355</v>
      </c>
      <c r="G18" s="12" t="n">
        <v>41.67624372759857</v>
      </c>
      <c r="H18" s="11" t="n">
        <v>0.1044517386656606</v>
      </c>
      <c r="I18" s="11" t="n">
        <v>0.08602150537634409</v>
      </c>
    </row>
    <row r="19">
      <c r="B19" s="8" t="inlineStr">
        <is>
          <t>MT</t>
        </is>
      </c>
      <c r="C19" s="8" t="inlineStr">
        <is>
          <t>CO</t>
        </is>
      </c>
      <c r="D19" s="12" t="n">
        <v>279</v>
      </c>
      <c r="E19" s="11" t="n">
        <v>0.00673155560120856</v>
      </c>
      <c r="F19" s="12" t="n">
        <v>207.5828571428572</v>
      </c>
      <c r="G19" s="12" t="n">
        <v>42.26383223443224</v>
      </c>
      <c r="H19" s="11" t="n">
        <v>0.1514832696574632</v>
      </c>
      <c r="I19" s="11" t="n">
        <v>0.2582417582417583</v>
      </c>
    </row>
    <row r="20">
      <c r="B20" s="8" t="inlineStr">
        <is>
          <t>PA</t>
        </is>
      </c>
      <c r="C20" s="8" t="inlineStr">
        <is>
          <t>N</t>
        </is>
      </c>
      <c r="D20" s="12" t="n">
        <v>649</v>
      </c>
      <c r="E20" s="11" t="n">
        <v>0.006252349324411517</v>
      </c>
      <c r="F20" s="12" t="n">
        <v>224.9396794871795</v>
      </c>
      <c r="G20" s="12" t="n">
        <v>69.43223995726495</v>
      </c>
      <c r="H20" s="11" t="n">
        <v>0.1069834205813019</v>
      </c>
      <c r="I20" s="11" t="n">
        <v>0.01282051282051282</v>
      </c>
    </row>
    <row r="21">
      <c r="B21" s="8" t="inlineStr">
        <is>
          <t>SE</t>
        </is>
      </c>
      <c r="C21" s="8" t="inlineStr">
        <is>
          <t>NE</t>
        </is>
      </c>
      <c r="D21" s="12" t="n">
        <v>399</v>
      </c>
      <c r="E21" s="11" t="n">
        <v>0.006140102921489836</v>
      </c>
      <c r="F21" s="12" t="n">
        <v>223.7702597402597</v>
      </c>
      <c r="G21" s="12" t="n">
        <v>36.77785411255412</v>
      </c>
      <c r="H21" s="11" t="n">
        <v>0.09217507296379478</v>
      </c>
      <c r="I21" s="11" t="n">
        <v>0.08441558441558442</v>
      </c>
    </row>
    <row r="22">
      <c r="B22" s="8" t="inlineStr">
        <is>
          <t>AL</t>
        </is>
      </c>
      <c r="C22" s="8" t="inlineStr">
        <is>
          <t>NE</t>
        </is>
      </c>
      <c r="D22" s="12" t="n">
        <v>399</v>
      </c>
      <c r="E22" s="11" t="n">
        <v>0.005894542422452417</v>
      </c>
      <c r="F22" s="12" t="n">
        <v>204.2125925925926</v>
      </c>
      <c r="G22" s="12" t="n">
        <v>37.12473909465021</v>
      </c>
      <c r="H22" s="11" t="n">
        <v>0.09304445888383511</v>
      </c>
      <c r="I22" s="11" t="n">
        <v>0.09876543209876543</v>
      </c>
    </row>
    <row r="23">
      <c r="B23" s="8" t="inlineStr">
        <is>
          <t>MS</t>
        </is>
      </c>
      <c r="C23" s="8" t="inlineStr">
        <is>
          <t>CO</t>
        </is>
      </c>
      <c r="D23" s="12" t="n">
        <v>279</v>
      </c>
      <c r="E23" s="11" t="n">
        <v>0.005824506240417676</v>
      </c>
      <c r="F23" s="12" t="n">
        <v>203.0395652173913</v>
      </c>
      <c r="G23" s="12" t="n">
        <v>30.77978475832631</v>
      </c>
      <c r="H23" s="11" t="n">
        <v>0.1103218091696283</v>
      </c>
      <c r="I23" s="11" t="n">
        <v>0.2236024844720497</v>
      </c>
    </row>
    <row r="24">
      <c r="B24" s="8" t="inlineStr">
        <is>
          <t>PI</t>
        </is>
      </c>
      <c r="C24" s="8" t="inlineStr">
        <is>
          <t>NE</t>
        </is>
      </c>
      <c r="D24" s="12" t="n">
        <v>399</v>
      </c>
      <c r="E24" s="11" t="n">
        <v>0.005692236263737977</v>
      </c>
      <c r="F24" s="12" t="n">
        <v>233.1899270072993</v>
      </c>
      <c r="G24" s="12" t="n">
        <v>40.63883357664233</v>
      </c>
      <c r="H24" s="11" t="n">
        <v>0.1018517132246675</v>
      </c>
      <c r="I24" s="11" t="n">
        <v>0.1386861313868613</v>
      </c>
    </row>
    <row r="25">
      <c r="B25" s="8" t="inlineStr">
        <is>
          <t>MA</t>
        </is>
      </c>
      <c r="C25" s="8" t="inlineStr">
        <is>
          <t>NE</t>
        </is>
      </c>
      <c r="D25" s="12" t="n">
        <v>399</v>
      </c>
      <c r="E25" s="11" t="n">
        <v>0.005100879799803461</v>
      </c>
      <c r="F25" s="12" t="n">
        <v>232.7487804878049</v>
      </c>
      <c r="G25" s="12" t="n">
        <v>45.12464227642277</v>
      </c>
      <c r="H25" s="11" t="n">
        <v>0.1130943415449192</v>
      </c>
      <c r="I25" s="11" t="n">
        <v>0.1382113821138211</v>
      </c>
    </row>
    <row r="26">
      <c r="B26" s="8" t="inlineStr">
        <is>
          <t>AM</t>
        </is>
      </c>
      <c r="C26" s="8" t="inlineStr">
        <is>
          <t>N</t>
        </is>
      </c>
      <c r="D26" s="12" t="n">
        <v>649</v>
      </c>
      <c r="E26" s="11" t="n">
        <v>0.003931375160977693</v>
      </c>
      <c r="F26" s="12" t="n">
        <v>242.4658241758242</v>
      </c>
      <c r="G26" s="12" t="n">
        <v>61.98161794871795</v>
      </c>
      <c r="H26" s="11" t="n">
        <v>0.0955032634032634</v>
      </c>
      <c r="I26" s="11" t="n">
        <v>0.01098901098901099</v>
      </c>
    </row>
    <row r="27">
      <c r="B27" s="8" t="inlineStr">
        <is>
          <t>TO</t>
        </is>
      </c>
      <c r="C27" s="8" t="inlineStr">
        <is>
          <t>N</t>
        </is>
      </c>
      <c r="D27" s="12" t="n">
        <v>649</v>
      </c>
      <c r="E27" s="11" t="n">
        <v>0.001232066279846548</v>
      </c>
      <c r="F27" s="12" t="n">
        <v>197.5665714285714</v>
      </c>
      <c r="G27" s="12" t="n">
        <v>39.97817904761905</v>
      </c>
      <c r="H27" s="11" t="n">
        <v>0.06159965954949007</v>
      </c>
      <c r="I27" s="11" t="n">
        <v>0</v>
      </c>
    </row>
    <row r="28">
      <c r="B28" s="8" t="inlineStr">
        <is>
          <t>RO</t>
        </is>
      </c>
      <c r="C28" s="8" t="inlineStr">
        <is>
          <t>N</t>
        </is>
      </c>
      <c r="D28" s="12" t="n">
        <v>649</v>
      </c>
      <c r="E28" s="11" t="n">
        <v>0.0008827691294685384</v>
      </c>
      <c r="F28" s="12" t="n">
        <v>260.76</v>
      </c>
      <c r="G28" s="12" t="n">
        <v>76.70298245614036</v>
      </c>
      <c r="H28" s="11" t="n">
        <v>0.1181864136458249</v>
      </c>
      <c r="I28" s="11" t="n">
        <v>0.05263157894736842</v>
      </c>
    </row>
    <row r="29">
      <c r="B29" s="8" t="inlineStr">
        <is>
          <t>AC</t>
        </is>
      </c>
      <c r="C29" s="8" t="inlineStr">
        <is>
          <t>N</t>
        </is>
      </c>
      <c r="D29" s="12" t="n">
        <v>649</v>
      </c>
      <c r="E29" s="11" t="n">
        <v>0.0005354657839521782</v>
      </c>
      <c r="F29" s="12" t="n">
        <v>250.4366666666666</v>
      </c>
      <c r="G29" s="12" t="n">
        <v>71.55158888888889</v>
      </c>
      <c r="H29" s="11" t="n">
        <v>0.1102489813388118</v>
      </c>
      <c r="I29" s="11" t="n">
        <v>0</v>
      </c>
    </row>
    <row r="30">
      <c r="B30" s="8" t="inlineStr">
        <is>
          <t>RR</t>
        </is>
      </c>
      <c r="C30" s="8" t="inlineStr">
        <is>
          <t>N</t>
        </is>
      </c>
      <c r="D30" s="12" t="n">
        <v>649</v>
      </c>
      <c r="E30" s="11" t="n">
        <v>0.0001581805310122404</v>
      </c>
      <c r="F30" s="12" t="n">
        <v>295.9233333333333</v>
      </c>
      <c r="G30" s="12" t="n">
        <v>190.5425666666667</v>
      </c>
      <c r="H30" s="11" t="n">
        <v>0.2935940934771443</v>
      </c>
      <c r="I30" s="11" t="n">
        <v>0</v>
      </c>
    </row>
    <row r="31">
      <c r="B31" s="8" t="inlineStr">
        <is>
          <t>AP</t>
        </is>
      </c>
      <c r="C31" s="8" t="inlineStr">
        <is>
          <t>N</t>
        </is>
      </c>
      <c r="D31" s="12" t="n">
        <v>649</v>
      </c>
      <c r="E31" s="11" t="n">
        <v>0.0001268801109902524</v>
      </c>
      <c r="F31" s="12" t="n">
        <v>142.42</v>
      </c>
      <c r="G31" s="12" t="n">
        <v>59.68753333333334</v>
      </c>
      <c r="H31" s="11" t="n">
        <v>0.09196846430405754</v>
      </c>
      <c r="I31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zoomScale="115" workbookViewId="0">
      <selection activeCell="A1" sqref="A1"/>
    </sheetView>
  </sheetViews>
  <sheetFormatPr baseColWidth="8" defaultRowHeight="10.5"/>
  <cols>
    <col width="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0" customWidth="1" min="9" max="9"/>
    <col width="10" customWidth="1" min="10" max="10"/>
  </cols>
  <sheetData>
    <row r="2">
      <c r="B2" s="13" t="inlineStr">
        <is>
          <t>Sweep k demais regiões (SE fixo R$199) — linha travada: 10%</t>
        </is>
      </c>
    </row>
    <row r="4" ht="26" customHeight="1">
      <c r="B4" s="7" t="inlineStr">
        <is>
          <t>k demais</t>
        </is>
      </c>
      <c r="C4" s="7" t="inlineStr">
        <is>
          <t>SE</t>
        </is>
      </c>
      <c r="D4" s="7" t="inlineStr">
        <is>
          <t>CO</t>
        </is>
      </c>
      <c r="E4" s="7" t="inlineStr">
        <is>
          <t>S</t>
        </is>
      </c>
      <c r="F4" s="7" t="inlineStr">
        <is>
          <t>NE</t>
        </is>
      </c>
      <c r="G4" s="7" t="inlineStr">
        <is>
          <t>N</t>
        </is>
      </c>
      <c r="H4" s="7" t="inlineStr">
        <is>
          <t>k médio pond.</t>
        </is>
      </c>
      <c r="I4" s="7" t="inlineStr">
        <is>
          <t>% grátis</t>
        </is>
      </c>
      <c r="J4" s="7" t="inlineStr">
        <is>
          <t>Impacto</t>
        </is>
      </c>
    </row>
    <row r="5">
      <c r="B5" s="23" t="n">
        <v>0.07000000000000001</v>
      </c>
      <c r="C5" s="12" t="n">
        <v>199</v>
      </c>
      <c r="D5" s="12" t="n">
        <v>399</v>
      </c>
      <c r="E5" s="12" t="n">
        <v>449</v>
      </c>
      <c r="F5" s="12" t="n">
        <v>599</v>
      </c>
      <c r="G5" s="12" t="n">
        <v>699</v>
      </c>
      <c r="H5" s="11" t="n">
        <v>0.101</v>
      </c>
      <c r="I5" s="11" t="n">
        <v>0.27</v>
      </c>
      <c r="J5" s="11" t="n">
        <v>0.044</v>
      </c>
    </row>
    <row r="6">
      <c r="B6" s="23" t="n">
        <v>0.08</v>
      </c>
      <c r="C6" s="12" t="n">
        <v>199</v>
      </c>
      <c r="D6" s="12" t="n">
        <v>349</v>
      </c>
      <c r="E6" s="12" t="n">
        <v>399</v>
      </c>
      <c r="F6" s="12" t="n">
        <v>499</v>
      </c>
      <c r="G6" s="12" t="n">
        <v>699</v>
      </c>
      <c r="H6" s="11" t="n">
        <v>0.105</v>
      </c>
      <c r="I6" s="11" t="n">
        <v>0.28</v>
      </c>
      <c r="J6" s="11" t="n">
        <v>0.045</v>
      </c>
    </row>
    <row r="7">
      <c r="B7" s="23" t="n">
        <v>0.09</v>
      </c>
      <c r="C7" s="12" t="n">
        <v>199</v>
      </c>
      <c r="D7" s="12" t="n">
        <v>319</v>
      </c>
      <c r="E7" s="12" t="n">
        <v>349</v>
      </c>
      <c r="F7" s="12" t="n">
        <v>449</v>
      </c>
      <c r="G7" s="12" t="n">
        <v>699</v>
      </c>
      <c r="H7" s="11" t="n">
        <v>0.108</v>
      </c>
      <c r="I7" s="11" t="n">
        <v>0.29</v>
      </c>
      <c r="J7" s="11" t="n">
        <v>0.047</v>
      </c>
    </row>
    <row r="8">
      <c r="B8" s="24" t="n">
        <v>0.1</v>
      </c>
      <c r="C8" s="15" t="n">
        <v>199</v>
      </c>
      <c r="D8" s="15" t="n">
        <v>279</v>
      </c>
      <c r="E8" s="15" t="n">
        <v>319</v>
      </c>
      <c r="F8" s="15" t="n">
        <v>399</v>
      </c>
      <c r="G8" s="15" t="n">
        <v>649</v>
      </c>
      <c r="H8" s="16" t="n">
        <v>0.111</v>
      </c>
      <c r="I8" s="16" t="n">
        <v>0.3</v>
      </c>
      <c r="J8" s="16" t="n">
        <v>0.05</v>
      </c>
    </row>
    <row r="9">
      <c r="B9" s="23" t="n">
        <v>0.11</v>
      </c>
      <c r="C9" s="12" t="n">
        <v>199</v>
      </c>
      <c r="D9" s="12" t="n">
        <v>269</v>
      </c>
      <c r="E9" s="12" t="n">
        <v>299</v>
      </c>
      <c r="F9" s="12" t="n">
        <v>379</v>
      </c>
      <c r="G9" s="12" t="n">
        <v>599</v>
      </c>
      <c r="H9" s="11" t="n">
        <v>0.113</v>
      </c>
      <c r="I9" s="11" t="n">
        <v>0.31</v>
      </c>
      <c r="J9" s="11" t="n">
        <v>0.052</v>
      </c>
    </row>
    <row r="10">
      <c r="B10" s="23" t="n">
        <v>0.12</v>
      </c>
      <c r="C10" s="12" t="n">
        <v>199</v>
      </c>
      <c r="D10" s="12" t="n">
        <v>229</v>
      </c>
      <c r="E10" s="12" t="n">
        <v>269</v>
      </c>
      <c r="F10" s="12" t="n">
        <v>329</v>
      </c>
      <c r="G10" s="12" t="n">
        <v>549</v>
      </c>
      <c r="H10" s="11" t="n">
        <v>0.118</v>
      </c>
      <c r="I10" s="11" t="n">
        <v>0.33</v>
      </c>
      <c r="J10" s="11" t="n">
        <v>0.056</v>
      </c>
    </row>
    <row r="11">
      <c r="B11" s="23" t="n">
        <v>0.13</v>
      </c>
      <c r="C11" s="12" t="n">
        <v>199</v>
      </c>
      <c r="D11" s="12" t="n">
        <v>219</v>
      </c>
      <c r="E11" s="12" t="n">
        <v>249</v>
      </c>
      <c r="F11" s="12" t="n">
        <v>319</v>
      </c>
      <c r="G11" s="12" t="n">
        <v>499</v>
      </c>
      <c r="H11" s="11" t="n">
        <v>0.121</v>
      </c>
      <c r="I11" s="11" t="n">
        <v>0.34</v>
      </c>
      <c r="J11" s="11" t="n">
        <v>0.058</v>
      </c>
    </row>
    <row r="12">
      <c r="B12" s="23" t="n">
        <v>0.15</v>
      </c>
      <c r="C12" s="12" t="n">
        <v>199</v>
      </c>
      <c r="D12" s="12" t="n">
        <v>199</v>
      </c>
      <c r="E12" s="12" t="n">
        <v>219</v>
      </c>
      <c r="F12" s="12" t="n">
        <v>269</v>
      </c>
      <c r="G12" s="12" t="n">
        <v>449</v>
      </c>
      <c r="H12" s="11" t="n">
        <v>0.127</v>
      </c>
      <c r="I12" s="11" t="n">
        <v>0.37</v>
      </c>
      <c r="J12" s="11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2026-07-22T18:02:36Z</dcterms:created>
  <dcterms:modified xmlns:dcterms="http://purl.org/dc/terms/" xmlns:xsi="http://www.w3.org/2001/XMLSchema-instance" xsi:type="dcterms:W3CDTF">2026-07-22T18:02:36Z</dcterms:modified>
</cp:coreProperties>
</file>
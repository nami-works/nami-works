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Magenta" sheetId="1" state="visible" r:id="rId1"/>
    <sheet xmlns:r="http://schemas.openxmlformats.org/officeDocument/2006/relationships" name="Contrapropos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sz val="14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4C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5" fillId="9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40" customWidth="1" min="12" max="12"/>
  </cols>
  <sheetData>
    <row r="1">
      <c r="A1" s="1" t="inlineStr">
        <is>
          <t>Teste de custo GE Beauty x Box Magenta — análise enriquecida com MVP</t>
        </is>
      </c>
    </row>
    <row r="2">
      <c r="A2" s="2" t="inlineStr">
        <is>
          <t>Amarelo = proposta do parceiro.  Azul = extrapolado por nós (desconto médio da Opção × sellout).</t>
        </is>
      </c>
    </row>
    <row r="3">
      <c r="A3" s="2" t="inlineStr">
        <is>
          <t>Verde = preço fica ACIMA do MVP. Vermelho = ABAIXO do MVP (margem mínima violada).</t>
        </is>
      </c>
    </row>
    <row r="4">
      <c r="A4" s="2" t="inlineStr">
        <is>
          <t>MVP fonte: Estudo estoque 2026 — coluna Z 'Preço cust transp/movi/lucro'.</t>
        </is>
      </c>
    </row>
    <row r="6">
      <c r="A6" s="3" t="inlineStr">
        <is>
          <t>Opção 1 — Volume alto    (desconto médio Opção: 85.57%)</t>
        </is>
      </c>
    </row>
    <row r="7">
      <c r="A7" s="4" t="inlineStr">
        <is>
          <t>SKU</t>
        </is>
      </c>
      <c r="B7" s="4" t="inlineStr">
        <is>
          <t>Produto</t>
        </is>
      </c>
      <c r="C7" s="4" t="inlineStr">
        <is>
          <t>Volume</t>
        </is>
      </c>
      <c r="D7" s="4" t="inlineStr">
        <is>
          <t>Qtd</t>
        </is>
      </c>
      <c r="E7" s="4" t="inlineStr">
        <is>
          <t>Custo unit.</t>
        </is>
      </c>
      <c r="F7" s="4" t="inlineStr">
        <is>
          <t>Total</t>
        </is>
      </c>
      <c r="G7" s="4" t="inlineStr">
        <is>
          <t>Sellout site</t>
        </is>
      </c>
      <c r="H7" s="4" t="inlineStr">
        <is>
          <t>Desconto %</t>
        </is>
      </c>
      <c r="I7" s="4" t="inlineStr">
        <is>
          <t>MVP</t>
        </is>
      </c>
      <c r="J7" s="4" t="inlineStr">
        <is>
          <t>Margem vs MVP</t>
        </is>
      </c>
      <c r="K7" s="4" t="inlineStr">
        <is>
          <t>Viável?</t>
        </is>
      </c>
      <c r="L7" s="4" t="inlineStr">
        <is>
          <t>Fonte</t>
        </is>
      </c>
    </row>
    <row r="8">
      <c r="A8" s="5" t="inlineStr">
        <is>
          <t>GEB 102</t>
        </is>
      </c>
      <c r="B8" s="6" t="inlineStr">
        <is>
          <t>Primer liso intacto</t>
        </is>
      </c>
      <c r="C8" s="5" t="inlineStr">
        <is>
          <t>150ml</t>
        </is>
      </c>
      <c r="D8" s="7" t="n">
        <v>2060</v>
      </c>
      <c r="E8" s="8" t="n">
        <v>20.15</v>
      </c>
      <c r="F8" s="8">
        <f>D8*E8</f>
        <v/>
      </c>
      <c r="G8" s="8" t="n">
        <v>139</v>
      </c>
      <c r="H8" s="9" t="n">
        <v>0.8550359712230216</v>
      </c>
      <c r="I8" s="8" t="n">
        <v>24.93</v>
      </c>
      <c r="J8" s="10" t="n">
        <v>-4.78</v>
      </c>
      <c r="K8" s="11" t="inlineStr">
        <is>
          <t>❌ ABAIXO MVP</t>
        </is>
      </c>
      <c r="L8" s="6" t="inlineStr">
        <is>
          <t>Parceiro</t>
        </is>
      </c>
    </row>
    <row r="9">
      <c r="A9" s="5" t="inlineStr">
        <is>
          <t>GEB 024</t>
        </is>
      </c>
      <c r="B9" s="6" t="inlineStr">
        <is>
          <t>Body &amp; Hair Splash Melon Mood</t>
        </is>
      </c>
      <c r="C9" s="5" t="inlineStr">
        <is>
          <t>200ml</t>
        </is>
      </c>
      <c r="D9" s="7" t="n">
        <v>2020</v>
      </c>
      <c r="E9" s="8" t="n">
        <v>18.53</v>
      </c>
      <c r="F9" s="8">
        <f>D9*E9</f>
        <v/>
      </c>
      <c r="G9" s="8" t="n">
        <v>129</v>
      </c>
      <c r="H9" s="9" t="n">
        <v>0.8563565891472869</v>
      </c>
      <c r="I9" s="8" t="n">
        <v>24.75</v>
      </c>
      <c r="J9" s="10" t="n">
        <v>-6.22</v>
      </c>
      <c r="K9" s="11" t="inlineStr">
        <is>
          <t>❌ ABAIXO MVP</t>
        </is>
      </c>
      <c r="L9" s="6" t="inlineStr">
        <is>
          <t>Parceiro</t>
        </is>
      </c>
    </row>
    <row r="10">
      <c r="A10" s="12" t="n"/>
      <c r="B10" s="13" t="inlineStr">
        <is>
          <t>Subtotal (propostos)</t>
        </is>
      </c>
      <c r="C10" s="12" t="n"/>
      <c r="D10" s="14">
        <f>SUM(D8:D9)</f>
        <v/>
      </c>
      <c r="E10" s="12" t="n"/>
      <c r="F10" s="15">
        <f>SUM(F8:F9)</f>
        <v/>
      </c>
      <c r="G10" s="15">
        <f>SUMPRODUCT(D8:D9,G8:G9)</f>
        <v/>
      </c>
      <c r="H10" s="16">
        <f>1-F10/G10</f>
        <v/>
      </c>
      <c r="I10" s="12" t="n"/>
      <c r="J10" s="12" t="n"/>
      <c r="K10" s="12" t="n"/>
      <c r="L10" s="12" t="n"/>
    </row>
    <row r="12">
      <c r="A12" s="17" t="inlineStr">
        <is>
          <t>GEB 001</t>
        </is>
      </c>
      <c r="B12" s="18" t="inlineStr">
        <is>
          <t>Shampoo sem sulfato</t>
        </is>
      </c>
      <c r="C12" s="17" t="inlineStr">
        <is>
          <t>250ml</t>
        </is>
      </c>
      <c r="D12" s="19" t="n"/>
      <c r="E12" s="20" t="n">
        <v>13.71</v>
      </c>
      <c r="F12" s="20" t="n"/>
      <c r="G12" s="20" t="n">
        <v>95</v>
      </c>
      <c r="H12" s="21" t="n">
        <v>0.8556962801851542</v>
      </c>
      <c r="I12" s="20" t="n">
        <v>21.61</v>
      </c>
      <c r="J12" s="10" t="n">
        <v>-7.9</v>
      </c>
      <c r="K12" s="11" t="inlineStr">
        <is>
          <t>❌ ABAIXO MVP</t>
        </is>
      </c>
      <c r="L12" s="18" t="inlineStr">
        <is>
          <t>Extrapolado @ desconto médio Opção</t>
        </is>
      </c>
    </row>
    <row r="13">
      <c r="A13" s="17" t="inlineStr">
        <is>
          <t>GEB 002</t>
        </is>
      </c>
      <c r="B13" s="18" t="inlineStr">
        <is>
          <t>Máscara condicionadora</t>
        </is>
      </c>
      <c r="C13" s="17" t="inlineStr">
        <is>
          <t>200ml</t>
        </is>
      </c>
      <c r="D13" s="19" t="n"/>
      <c r="E13" s="20" t="n">
        <v>13.71</v>
      </c>
      <c r="F13" s="20" t="n"/>
      <c r="G13" s="20" t="n">
        <v>95</v>
      </c>
      <c r="H13" s="21" t="n">
        <v>0.8556962801851542</v>
      </c>
      <c r="I13" s="20" t="n">
        <v>17.43</v>
      </c>
      <c r="J13" s="10" t="n">
        <v>-3.72</v>
      </c>
      <c r="K13" s="11" t="inlineStr">
        <is>
          <t>❌ ABAIXO MVP</t>
        </is>
      </c>
      <c r="L13" s="18" t="inlineStr">
        <is>
          <t>Extrapolado @ desconto médio Opção</t>
        </is>
      </c>
    </row>
    <row r="14">
      <c r="A14" s="17" t="inlineStr">
        <is>
          <t>GEB 003</t>
        </is>
      </c>
      <c r="B14" s="18" t="inlineStr">
        <is>
          <t>Leave-in com proteção térmica</t>
        </is>
      </c>
      <c r="C14" s="17" t="inlineStr">
        <is>
          <t>150ml</t>
        </is>
      </c>
      <c r="D14" s="19" t="n"/>
      <c r="E14" s="20" t="n">
        <v>14.29</v>
      </c>
      <c r="F14" s="20" t="n"/>
      <c r="G14" s="20" t="n">
        <v>99</v>
      </c>
      <c r="H14" s="21" t="n">
        <v>0.8556962801851542</v>
      </c>
      <c r="I14" s="20" t="n">
        <v>15.48</v>
      </c>
      <c r="J14" s="10" t="n">
        <v>-1.19</v>
      </c>
      <c r="K14" s="11" t="inlineStr">
        <is>
          <t>❌ ABAIXO MVP</t>
        </is>
      </c>
      <c r="L14" s="18" t="inlineStr">
        <is>
          <t>Extrapolado @ desconto médio Opção</t>
        </is>
      </c>
    </row>
    <row r="15">
      <c r="A15" s="17" t="inlineStr">
        <is>
          <t>GEB 008</t>
        </is>
      </c>
      <c r="B15" s="18" t="inlineStr">
        <is>
          <t>Shampoo a seco</t>
        </is>
      </c>
      <c r="C15" s="17" t="inlineStr">
        <is>
          <t>150ml</t>
        </is>
      </c>
      <c r="D15" s="19" t="n"/>
      <c r="E15" s="20" t="n">
        <v>9.960000000000001</v>
      </c>
      <c r="F15" s="20" t="n"/>
      <c r="G15" s="20" t="n">
        <v>69</v>
      </c>
      <c r="H15" s="21" t="n">
        <v>0.8556962801851542</v>
      </c>
      <c r="I15" s="20" t="n">
        <v>2</v>
      </c>
      <c r="J15" s="22" t="n">
        <v>7.96</v>
      </c>
      <c r="K15" s="23" t="inlineStr">
        <is>
          <t>✓ Viável</t>
        </is>
      </c>
      <c r="L15" s="18" t="inlineStr">
        <is>
          <t>Extrapolado @ desconto médio Opção</t>
        </is>
      </c>
    </row>
    <row r="16">
      <c r="A16" s="17" t="inlineStr">
        <is>
          <t>GEB 010</t>
        </is>
      </c>
      <c r="B16" s="18" t="inlineStr">
        <is>
          <t>Travel size máscara condicionadora</t>
        </is>
      </c>
      <c r="C16" s="17" t="inlineStr">
        <is>
          <t>50ml</t>
        </is>
      </c>
      <c r="D16" s="19" t="n"/>
      <c r="E16" s="20" t="n">
        <v>5.77</v>
      </c>
      <c r="F16" s="20" t="n"/>
      <c r="G16" s="20" t="n">
        <v>40</v>
      </c>
      <c r="H16" s="21" t="n">
        <v>0.8556962801851542</v>
      </c>
      <c r="I16" s="20" t="n">
        <v>10.01</v>
      </c>
      <c r="J16" s="10" t="n">
        <v>-4.24</v>
      </c>
      <c r="K16" s="11" t="inlineStr">
        <is>
          <t>❌ ABAIXO MVP</t>
        </is>
      </c>
      <c r="L16" s="18" t="inlineStr">
        <is>
          <t>Extrapolado @ desconto médio Opção</t>
        </is>
      </c>
    </row>
    <row r="17">
      <c r="A17" s="17" t="inlineStr">
        <is>
          <t>GEB 011</t>
        </is>
      </c>
      <c r="B17" s="18" t="inlineStr">
        <is>
          <t>Travel size leave-in</t>
        </is>
      </c>
      <c r="C17" s="17" t="inlineStr">
        <is>
          <t>50ml</t>
        </is>
      </c>
      <c r="D17" s="19" t="n"/>
      <c r="E17" s="20" t="n">
        <v>6.78</v>
      </c>
      <c r="F17" s="20" t="n"/>
      <c r="G17" s="20" t="n">
        <v>47</v>
      </c>
      <c r="H17" s="21" t="n">
        <v>0.8556962801851542</v>
      </c>
      <c r="I17" s="20" t="n">
        <v>8.210000000000001</v>
      </c>
      <c r="J17" s="10" t="n">
        <v>-1.43</v>
      </c>
      <c r="K17" s="11" t="inlineStr">
        <is>
          <t>❌ ABAIXO MVP</t>
        </is>
      </c>
      <c r="L17" s="18" t="inlineStr">
        <is>
          <t>Extrapolado @ desconto médio Opção</t>
        </is>
      </c>
    </row>
    <row r="18">
      <c r="A18" s="17" t="inlineStr">
        <is>
          <t>GEB 013</t>
        </is>
      </c>
      <c r="B18" s="18" t="inlineStr">
        <is>
          <t>Travel size shampoo sem sulfato</t>
        </is>
      </c>
      <c r="C18" s="17" t="inlineStr">
        <is>
          <t>60ml</t>
        </is>
      </c>
      <c r="D18" s="19" t="n"/>
      <c r="E18" s="20" t="n">
        <v>5.77</v>
      </c>
      <c r="F18" s="20" t="n"/>
      <c r="G18" s="20" t="n">
        <v>40</v>
      </c>
      <c r="H18" s="21" t="n">
        <v>0.8556962801851542</v>
      </c>
      <c r="I18" s="20" t="n">
        <v>8.869999999999999</v>
      </c>
      <c r="J18" s="10" t="n">
        <v>-3.1</v>
      </c>
      <c r="K18" s="11" t="inlineStr">
        <is>
          <t>❌ ABAIXO MVP</t>
        </is>
      </c>
      <c r="L18" s="18" t="inlineStr">
        <is>
          <t>Extrapolado @ desconto médio Opção</t>
        </is>
      </c>
    </row>
    <row r="19">
      <c r="A19" s="17" t="inlineStr">
        <is>
          <t>GEB 019</t>
        </is>
      </c>
      <c r="B19" s="18" t="inlineStr">
        <is>
          <t>Booster fortificante</t>
        </is>
      </c>
      <c r="C19" s="17" t="inlineStr">
        <is>
          <t>15ml</t>
        </is>
      </c>
      <c r="D19" s="19" t="n"/>
      <c r="E19" s="20" t="n">
        <v>10.82</v>
      </c>
      <c r="F19" s="20" t="n"/>
      <c r="G19" s="20" t="n">
        <v>75</v>
      </c>
      <c r="H19" s="21" t="n">
        <v>0.8556962801851542</v>
      </c>
      <c r="I19" s="20" t="n">
        <v>17.8</v>
      </c>
      <c r="J19" s="10" t="n">
        <v>-6.98</v>
      </c>
      <c r="K19" s="11" t="inlineStr">
        <is>
          <t>❌ ABAIXO MVP</t>
        </is>
      </c>
      <c r="L19" s="18" t="inlineStr">
        <is>
          <t>Extrapolado @ desconto médio Opção</t>
        </is>
      </c>
    </row>
    <row r="20">
      <c r="A20" s="17" t="inlineStr">
        <is>
          <t>GEB 020</t>
        </is>
      </c>
      <c r="B20" s="18" t="inlineStr">
        <is>
          <t>Booster hidratante</t>
        </is>
      </c>
      <c r="C20" s="17" t="inlineStr">
        <is>
          <t>15ml</t>
        </is>
      </c>
      <c r="D20" s="19" t="n"/>
      <c r="E20" s="20" t="n">
        <v>9.960000000000001</v>
      </c>
      <c r="F20" s="20" t="n"/>
      <c r="G20" s="20" t="n">
        <v>69</v>
      </c>
      <c r="H20" s="21" t="n">
        <v>0.8556962801851542</v>
      </c>
      <c r="I20" s="20" t="n">
        <v>17.61</v>
      </c>
      <c r="J20" s="10" t="n">
        <v>-7.65</v>
      </c>
      <c r="K20" s="11" t="inlineStr">
        <is>
          <t>❌ ABAIXO MVP</t>
        </is>
      </c>
      <c r="L20" s="18" t="inlineStr">
        <is>
          <t>Extrapolado @ desconto médio Opção</t>
        </is>
      </c>
    </row>
    <row r="21">
      <c r="A21" s="17" t="inlineStr">
        <is>
          <t>GEB 021</t>
        </is>
      </c>
      <c r="B21" s="18" t="inlineStr">
        <is>
          <t>Booster definição</t>
        </is>
      </c>
      <c r="C21" s="17" t="inlineStr">
        <is>
          <t>15ml</t>
        </is>
      </c>
      <c r="D21" s="19" t="n"/>
      <c r="E21" s="20" t="n">
        <v>9.960000000000001</v>
      </c>
      <c r="F21" s="20" t="n"/>
      <c r="G21" s="20" t="n">
        <v>69</v>
      </c>
      <c r="H21" s="21" t="n">
        <v>0.8556962801851542</v>
      </c>
      <c r="I21" s="20" t="n">
        <v>17.29</v>
      </c>
      <c r="J21" s="10" t="n">
        <v>-7.33</v>
      </c>
      <c r="K21" s="11" t="inlineStr">
        <is>
          <t>❌ ABAIXO MVP</t>
        </is>
      </c>
      <c r="L21" s="18" t="inlineStr">
        <is>
          <t>Extrapolado @ desconto médio Opção</t>
        </is>
      </c>
    </row>
    <row r="22">
      <c r="A22" s="17" t="inlineStr">
        <is>
          <t>GEB 022</t>
        </is>
      </c>
      <c r="B22" s="18" t="inlineStr">
        <is>
          <t>Booster antifrizz</t>
        </is>
      </c>
      <c r="C22" s="17" t="inlineStr">
        <is>
          <t>15ml</t>
        </is>
      </c>
      <c r="D22" s="19" t="n"/>
      <c r="E22" s="20" t="n">
        <v>11.4</v>
      </c>
      <c r="F22" s="20" t="n"/>
      <c r="G22" s="20" t="n">
        <v>79</v>
      </c>
      <c r="H22" s="21" t="n">
        <v>0.8556962801851542</v>
      </c>
      <c r="I22" s="20" t="n">
        <v>16.09</v>
      </c>
      <c r="J22" s="10" t="n">
        <v>-4.69</v>
      </c>
      <c r="K22" s="11" t="inlineStr">
        <is>
          <t>❌ ABAIXO MVP</t>
        </is>
      </c>
      <c r="L22" s="18" t="inlineStr">
        <is>
          <t>Extrapolado @ desconto médio Opção</t>
        </is>
      </c>
    </row>
    <row r="23">
      <c r="A23" s="17" t="inlineStr">
        <is>
          <t>GEB 023</t>
        </is>
      </c>
      <c r="B23" s="18" t="inlineStr">
        <is>
          <t>Booster antioxidante</t>
        </is>
      </c>
      <c r="C23" s="17" t="inlineStr">
        <is>
          <t>15ml</t>
        </is>
      </c>
      <c r="D23" s="19" t="n"/>
      <c r="E23" s="20" t="n">
        <v>10.82</v>
      </c>
      <c r="F23" s="20" t="n"/>
      <c r="G23" s="20" t="n">
        <v>75</v>
      </c>
      <c r="H23" s="21" t="n">
        <v>0.8556962801851542</v>
      </c>
      <c r="I23" s="20" t="n">
        <v>20.49</v>
      </c>
      <c r="J23" s="10" t="n">
        <v>-9.67</v>
      </c>
      <c r="K23" s="11" t="inlineStr">
        <is>
          <t>❌ ABAIXO MVP</t>
        </is>
      </c>
      <c r="L23" s="18" t="inlineStr">
        <is>
          <t>Extrapolado @ desconto médio Opção</t>
        </is>
      </c>
    </row>
    <row r="24">
      <c r="A24" s="17" t="inlineStr">
        <is>
          <t>GEB 029</t>
        </is>
      </c>
      <c r="B24" s="18" t="inlineStr">
        <is>
          <t>Travel size melon mood</t>
        </is>
      </c>
      <c r="C24" s="17" t="inlineStr">
        <is>
          <t>100ml</t>
        </is>
      </c>
      <c r="D24" s="19" t="n"/>
      <c r="E24" s="20" t="n">
        <v>11.4</v>
      </c>
      <c r="F24" s="20" t="n"/>
      <c r="G24" s="20" t="n">
        <v>79</v>
      </c>
      <c r="H24" s="21" t="n">
        <v>0.8556962801851542</v>
      </c>
      <c r="I24" s="20" t="n">
        <v>20.73</v>
      </c>
      <c r="J24" s="10" t="n">
        <v>-9.33</v>
      </c>
      <c r="K24" s="11" t="inlineStr">
        <is>
          <t>❌ ABAIXO MVP</t>
        </is>
      </c>
      <c r="L24" s="18" t="inlineStr">
        <is>
          <t>Extrapolado @ desconto médio Opção</t>
        </is>
      </c>
    </row>
    <row r="25">
      <c r="A25" s="17" t="inlineStr">
        <is>
          <t>GEB 101</t>
        </is>
      </c>
      <c r="B25" s="18" t="inlineStr">
        <is>
          <t>Primer cachos definidos</t>
        </is>
      </c>
      <c r="C25" s="17" t="inlineStr">
        <is>
          <t>250ml</t>
        </is>
      </c>
      <c r="D25" s="19" t="n"/>
      <c r="E25" s="20" t="n">
        <v>21.5</v>
      </c>
      <c r="F25" s="20" t="n"/>
      <c r="G25" s="20" t="n">
        <v>149</v>
      </c>
      <c r="H25" s="21" t="n">
        <v>0.8556962801851542</v>
      </c>
      <c r="I25" s="20" t="n">
        <v>20.83</v>
      </c>
      <c r="J25" s="22" t="n">
        <v>0.67</v>
      </c>
      <c r="K25" s="23" t="inlineStr">
        <is>
          <t>✓ Viável</t>
        </is>
      </c>
      <c r="L25" s="18" t="inlineStr">
        <is>
          <t>Extrapolado @ desconto médio Opção</t>
        </is>
      </c>
    </row>
    <row r="26">
      <c r="A26" s="17" t="inlineStr">
        <is>
          <t>GEB 120</t>
        </is>
      </c>
      <c r="B26" s="18" t="inlineStr">
        <is>
          <t>Leave-in pluma</t>
        </is>
      </c>
      <c r="C26" s="17" t="inlineStr">
        <is>
          <t>200ml</t>
        </is>
      </c>
      <c r="D26" s="19" t="n"/>
      <c r="E26" s="20" t="n">
        <v>21.5</v>
      </c>
      <c r="F26" s="20" t="n"/>
      <c r="G26" s="20" t="n">
        <v>149</v>
      </c>
      <c r="H26" s="21" t="n">
        <v>0.8556962801851542</v>
      </c>
      <c r="I26" s="20" t="n">
        <v>30.29</v>
      </c>
      <c r="J26" s="10" t="n">
        <v>-8.789999999999999</v>
      </c>
      <c r="K26" s="11" t="inlineStr">
        <is>
          <t>❌ ABAIXO MVP</t>
        </is>
      </c>
      <c r="L26" s="18" t="inlineStr">
        <is>
          <t>Extrapolado @ desconto médio Opção</t>
        </is>
      </c>
    </row>
    <row r="27">
      <c r="A27" s="17" t="inlineStr">
        <is>
          <t>GEB 121</t>
        </is>
      </c>
      <c r="B27" s="18" t="inlineStr">
        <is>
          <t>Máscara mayday</t>
        </is>
      </c>
      <c r="C27" s="17" t="inlineStr">
        <is>
          <t>200g</t>
        </is>
      </c>
      <c r="D27" s="19" t="n"/>
      <c r="E27" s="20" t="n">
        <v>20.06</v>
      </c>
      <c r="F27" s="20" t="n"/>
      <c r="G27" s="20" t="n">
        <v>139</v>
      </c>
      <c r="H27" s="21" t="n">
        <v>0.8556962801851542</v>
      </c>
      <c r="I27" s="20" t="n">
        <v>31.88</v>
      </c>
      <c r="J27" s="10" t="n">
        <v>-11.82</v>
      </c>
      <c r="K27" s="11" t="inlineStr">
        <is>
          <t>❌ ABAIXO MVP</t>
        </is>
      </c>
      <c r="L27" s="18" t="inlineStr">
        <is>
          <t>Extrapolado @ desconto médio Opção</t>
        </is>
      </c>
    </row>
    <row r="30">
      <c r="A30" s="3" t="inlineStr">
        <is>
          <t>Opção 2 — Volume médio    (desconto médio Opção: 83.35%)</t>
        </is>
      </c>
    </row>
    <row r="31">
      <c r="A31" s="4" t="inlineStr">
        <is>
          <t>SKU</t>
        </is>
      </c>
      <c r="B31" s="4" t="inlineStr">
        <is>
          <t>Produto</t>
        </is>
      </c>
      <c r="C31" s="4" t="inlineStr">
        <is>
          <t>Volume</t>
        </is>
      </c>
      <c r="D31" s="4" t="inlineStr">
        <is>
          <t>Qtd</t>
        </is>
      </c>
      <c r="E31" s="4" t="inlineStr">
        <is>
          <t>Custo unit.</t>
        </is>
      </c>
      <c r="F31" s="4" t="inlineStr">
        <is>
          <t>Total</t>
        </is>
      </c>
      <c r="G31" s="4" t="inlineStr">
        <is>
          <t>Sellout site</t>
        </is>
      </c>
      <c r="H31" s="4" t="inlineStr">
        <is>
          <t>Desconto %</t>
        </is>
      </c>
      <c r="I31" s="4" t="inlineStr">
        <is>
          <t>MVP</t>
        </is>
      </c>
      <c r="J31" s="4" t="inlineStr">
        <is>
          <t>Margem vs MVP</t>
        </is>
      </c>
      <c r="K31" s="4" t="inlineStr">
        <is>
          <t>Viável?</t>
        </is>
      </c>
      <c r="L31" s="4" t="inlineStr">
        <is>
          <t>Fonte</t>
        </is>
      </c>
    </row>
    <row r="32">
      <c r="A32" s="5" t="inlineStr">
        <is>
          <t>GEB 102</t>
        </is>
      </c>
      <c r="B32" s="6" t="inlineStr">
        <is>
          <t>Primer liso intacto</t>
        </is>
      </c>
      <c r="C32" s="5" t="inlineStr">
        <is>
          <t>150ml</t>
        </is>
      </c>
      <c r="D32" s="7" t="n">
        <v>300</v>
      </c>
      <c r="E32" s="8" t="n">
        <v>23.25</v>
      </c>
      <c r="F32" s="8">
        <f>D32*E32</f>
        <v/>
      </c>
      <c r="G32" s="8" t="n">
        <v>139</v>
      </c>
      <c r="H32" s="9" t="n">
        <v>0.8327338129496403</v>
      </c>
      <c r="I32" s="8" t="n">
        <v>24.93</v>
      </c>
      <c r="J32" s="10" t="n">
        <v>-1.68</v>
      </c>
      <c r="K32" s="11" t="inlineStr">
        <is>
          <t>❌ ABAIXO MVP</t>
        </is>
      </c>
      <c r="L32" s="6" t="inlineStr">
        <is>
          <t>Parceiro</t>
        </is>
      </c>
    </row>
    <row r="33">
      <c r="A33" s="5" t="inlineStr">
        <is>
          <t>GEB 024</t>
        </is>
      </c>
      <c r="B33" s="6" t="inlineStr">
        <is>
          <t>Body &amp; Hair Splash Melon Mood</t>
        </is>
      </c>
      <c r="C33" s="5" t="inlineStr">
        <is>
          <t>200ml</t>
        </is>
      </c>
      <c r="D33" s="7" t="n">
        <v>400</v>
      </c>
      <c r="E33" s="8" t="n">
        <v>21.38</v>
      </c>
      <c r="F33" s="8">
        <f>D33*E33</f>
        <v/>
      </c>
      <c r="G33" s="8" t="n">
        <v>129</v>
      </c>
      <c r="H33" s="9" t="n">
        <v>0.8342635658914729</v>
      </c>
      <c r="I33" s="8" t="n">
        <v>24.75</v>
      </c>
      <c r="J33" s="10" t="n">
        <v>-3.37</v>
      </c>
      <c r="K33" s="11" t="inlineStr">
        <is>
          <t>❌ ABAIXO MVP</t>
        </is>
      </c>
      <c r="L33" s="6" t="inlineStr">
        <is>
          <t>Parceiro</t>
        </is>
      </c>
    </row>
    <row r="34">
      <c r="A34" s="12" t="n"/>
      <c r="B34" s="13" t="inlineStr">
        <is>
          <t>Subtotal (propostos)</t>
        </is>
      </c>
      <c r="C34" s="12" t="n"/>
      <c r="D34" s="14">
        <f>SUM(D32:D33)</f>
        <v/>
      </c>
      <c r="E34" s="12" t="n"/>
      <c r="F34" s="15">
        <f>SUM(F32:F33)</f>
        <v/>
      </c>
      <c r="G34" s="15">
        <f>SUMPRODUCT(D32:D33,G32:G33)</f>
        <v/>
      </c>
      <c r="H34" s="16">
        <f>1-F34/G34</f>
        <v/>
      </c>
      <c r="I34" s="12" t="n"/>
      <c r="J34" s="12" t="n"/>
      <c r="K34" s="12" t="n"/>
      <c r="L34" s="12" t="n"/>
    </row>
    <row r="36">
      <c r="A36" s="17" t="inlineStr">
        <is>
          <t>GEB 001</t>
        </is>
      </c>
      <c r="B36" s="18" t="inlineStr">
        <is>
          <t>Shampoo sem sulfato</t>
        </is>
      </c>
      <c r="C36" s="17" t="inlineStr">
        <is>
          <t>250ml</t>
        </is>
      </c>
      <c r="D36" s="19" t="n"/>
      <c r="E36" s="20" t="n">
        <v>15.82</v>
      </c>
      <c r="F36" s="20" t="n"/>
      <c r="G36" s="20" t="n">
        <v>95</v>
      </c>
      <c r="H36" s="21" t="n">
        <v>0.8334986894205566</v>
      </c>
      <c r="I36" s="20" t="n">
        <v>21.61</v>
      </c>
      <c r="J36" s="10" t="n">
        <v>-5.79</v>
      </c>
      <c r="K36" s="11" t="inlineStr">
        <is>
          <t>❌ ABAIXO MVP</t>
        </is>
      </c>
      <c r="L36" s="18" t="inlineStr">
        <is>
          <t>Extrapolado @ desconto médio Opção</t>
        </is>
      </c>
    </row>
    <row r="37">
      <c r="A37" s="17" t="inlineStr">
        <is>
          <t>GEB 002</t>
        </is>
      </c>
      <c r="B37" s="18" t="inlineStr">
        <is>
          <t>Máscara condicionadora</t>
        </is>
      </c>
      <c r="C37" s="17" t="inlineStr">
        <is>
          <t>200ml</t>
        </is>
      </c>
      <c r="D37" s="19" t="n"/>
      <c r="E37" s="20" t="n">
        <v>15.82</v>
      </c>
      <c r="F37" s="20" t="n"/>
      <c r="G37" s="20" t="n">
        <v>95</v>
      </c>
      <c r="H37" s="21" t="n">
        <v>0.8334986894205566</v>
      </c>
      <c r="I37" s="20" t="n">
        <v>17.43</v>
      </c>
      <c r="J37" s="10" t="n">
        <v>-1.61</v>
      </c>
      <c r="K37" s="11" t="inlineStr">
        <is>
          <t>❌ ABAIXO MVP</t>
        </is>
      </c>
      <c r="L37" s="18" t="inlineStr">
        <is>
          <t>Extrapolado @ desconto médio Opção</t>
        </is>
      </c>
    </row>
    <row r="38">
      <c r="A38" s="17" t="inlineStr">
        <is>
          <t>GEB 003</t>
        </is>
      </c>
      <c r="B38" s="18" t="inlineStr">
        <is>
          <t>Leave-in com proteção térmica</t>
        </is>
      </c>
      <c r="C38" s="17" t="inlineStr">
        <is>
          <t>150ml</t>
        </is>
      </c>
      <c r="D38" s="19" t="n"/>
      <c r="E38" s="20" t="n">
        <v>16.48</v>
      </c>
      <c r="F38" s="20" t="n"/>
      <c r="G38" s="20" t="n">
        <v>99</v>
      </c>
      <c r="H38" s="21" t="n">
        <v>0.8334986894205566</v>
      </c>
      <c r="I38" s="20" t="n">
        <v>15.48</v>
      </c>
      <c r="J38" s="22" t="n">
        <v>1</v>
      </c>
      <c r="K38" s="23" t="inlineStr">
        <is>
          <t>✓ Viável</t>
        </is>
      </c>
      <c r="L38" s="18" t="inlineStr">
        <is>
          <t>Extrapolado @ desconto médio Opção</t>
        </is>
      </c>
    </row>
    <row r="39">
      <c r="A39" s="17" t="inlineStr">
        <is>
          <t>GEB 008</t>
        </is>
      </c>
      <c r="B39" s="18" t="inlineStr">
        <is>
          <t>Shampoo a seco</t>
        </is>
      </c>
      <c r="C39" s="17" t="inlineStr">
        <is>
          <t>150ml</t>
        </is>
      </c>
      <c r="D39" s="19" t="n"/>
      <c r="E39" s="20" t="n">
        <v>11.49</v>
      </c>
      <c r="F39" s="20" t="n"/>
      <c r="G39" s="20" t="n">
        <v>69</v>
      </c>
      <c r="H39" s="21" t="n">
        <v>0.8334986894205566</v>
      </c>
      <c r="I39" s="20" t="n">
        <v>2</v>
      </c>
      <c r="J39" s="22" t="n">
        <v>9.49</v>
      </c>
      <c r="K39" s="23" t="inlineStr">
        <is>
          <t>✓ Viável</t>
        </is>
      </c>
      <c r="L39" s="18" t="inlineStr">
        <is>
          <t>Extrapolado @ desconto médio Opção</t>
        </is>
      </c>
    </row>
    <row r="40">
      <c r="A40" s="17" t="inlineStr">
        <is>
          <t>GEB 010</t>
        </is>
      </c>
      <c r="B40" s="18" t="inlineStr">
        <is>
          <t>Travel size máscara condicionadora</t>
        </is>
      </c>
      <c r="C40" s="17" t="inlineStr">
        <is>
          <t>50ml</t>
        </is>
      </c>
      <c r="D40" s="19" t="n"/>
      <c r="E40" s="20" t="n">
        <v>6.66</v>
      </c>
      <c r="F40" s="20" t="n"/>
      <c r="G40" s="20" t="n">
        <v>40</v>
      </c>
      <c r="H40" s="21" t="n">
        <v>0.8334986894205566</v>
      </c>
      <c r="I40" s="20" t="n">
        <v>10.01</v>
      </c>
      <c r="J40" s="10" t="n">
        <v>-3.35</v>
      </c>
      <c r="K40" s="11" t="inlineStr">
        <is>
          <t>❌ ABAIXO MVP</t>
        </is>
      </c>
      <c r="L40" s="18" t="inlineStr">
        <is>
          <t>Extrapolado @ desconto médio Opção</t>
        </is>
      </c>
    </row>
    <row r="41">
      <c r="A41" s="17" t="inlineStr">
        <is>
          <t>GEB 011</t>
        </is>
      </c>
      <c r="B41" s="18" t="inlineStr">
        <is>
          <t>Travel size leave-in</t>
        </is>
      </c>
      <c r="C41" s="17" t="inlineStr">
        <is>
          <t>50ml</t>
        </is>
      </c>
      <c r="D41" s="19" t="n"/>
      <c r="E41" s="20" t="n">
        <v>7.83</v>
      </c>
      <c r="F41" s="20" t="n"/>
      <c r="G41" s="20" t="n">
        <v>47</v>
      </c>
      <c r="H41" s="21" t="n">
        <v>0.8334986894205566</v>
      </c>
      <c r="I41" s="20" t="n">
        <v>8.210000000000001</v>
      </c>
      <c r="J41" s="10" t="n">
        <v>-0.38</v>
      </c>
      <c r="K41" s="11" t="inlineStr">
        <is>
          <t>❌ ABAIXO MVP</t>
        </is>
      </c>
      <c r="L41" s="18" t="inlineStr">
        <is>
          <t>Extrapolado @ desconto médio Opção</t>
        </is>
      </c>
    </row>
    <row r="42">
      <c r="A42" s="17" t="inlineStr">
        <is>
          <t>GEB 013</t>
        </is>
      </c>
      <c r="B42" s="18" t="inlineStr">
        <is>
          <t>Travel size shampoo sem sulfato</t>
        </is>
      </c>
      <c r="C42" s="17" t="inlineStr">
        <is>
          <t>60ml</t>
        </is>
      </c>
      <c r="D42" s="19" t="n"/>
      <c r="E42" s="20" t="n">
        <v>6.66</v>
      </c>
      <c r="F42" s="20" t="n"/>
      <c r="G42" s="20" t="n">
        <v>40</v>
      </c>
      <c r="H42" s="21" t="n">
        <v>0.8334986894205566</v>
      </c>
      <c r="I42" s="20" t="n">
        <v>8.869999999999999</v>
      </c>
      <c r="J42" s="10" t="n">
        <v>-2.21</v>
      </c>
      <c r="K42" s="11" t="inlineStr">
        <is>
          <t>❌ ABAIXO MVP</t>
        </is>
      </c>
      <c r="L42" s="18" t="inlineStr">
        <is>
          <t>Extrapolado @ desconto médio Opção</t>
        </is>
      </c>
    </row>
    <row r="43">
      <c r="A43" s="17" t="inlineStr">
        <is>
          <t>GEB 019</t>
        </is>
      </c>
      <c r="B43" s="18" t="inlineStr">
        <is>
          <t>Booster fortificante</t>
        </is>
      </c>
      <c r="C43" s="17" t="inlineStr">
        <is>
          <t>15ml</t>
        </is>
      </c>
      <c r="D43" s="19" t="n"/>
      <c r="E43" s="20" t="n">
        <v>12.49</v>
      </c>
      <c r="F43" s="20" t="n"/>
      <c r="G43" s="20" t="n">
        <v>75</v>
      </c>
      <c r="H43" s="21" t="n">
        <v>0.8334986894205566</v>
      </c>
      <c r="I43" s="20" t="n">
        <v>17.8</v>
      </c>
      <c r="J43" s="10" t="n">
        <v>-5.31</v>
      </c>
      <c r="K43" s="11" t="inlineStr">
        <is>
          <t>❌ ABAIXO MVP</t>
        </is>
      </c>
      <c r="L43" s="18" t="inlineStr">
        <is>
          <t>Extrapolado @ desconto médio Opção</t>
        </is>
      </c>
    </row>
    <row r="44">
      <c r="A44" s="17" t="inlineStr">
        <is>
          <t>GEB 020</t>
        </is>
      </c>
      <c r="B44" s="18" t="inlineStr">
        <is>
          <t>Booster hidratante</t>
        </is>
      </c>
      <c r="C44" s="17" t="inlineStr">
        <is>
          <t>15ml</t>
        </is>
      </c>
      <c r="D44" s="19" t="n"/>
      <c r="E44" s="20" t="n">
        <v>11.49</v>
      </c>
      <c r="F44" s="20" t="n"/>
      <c r="G44" s="20" t="n">
        <v>69</v>
      </c>
      <c r="H44" s="21" t="n">
        <v>0.8334986894205566</v>
      </c>
      <c r="I44" s="20" t="n">
        <v>17.61</v>
      </c>
      <c r="J44" s="10" t="n">
        <v>-6.12</v>
      </c>
      <c r="K44" s="11" t="inlineStr">
        <is>
          <t>❌ ABAIXO MVP</t>
        </is>
      </c>
      <c r="L44" s="18" t="inlineStr">
        <is>
          <t>Extrapolado @ desconto médio Opção</t>
        </is>
      </c>
    </row>
    <row r="45">
      <c r="A45" s="17" t="inlineStr">
        <is>
          <t>GEB 021</t>
        </is>
      </c>
      <c r="B45" s="18" t="inlineStr">
        <is>
          <t>Booster definição</t>
        </is>
      </c>
      <c r="C45" s="17" t="inlineStr">
        <is>
          <t>15ml</t>
        </is>
      </c>
      <c r="D45" s="19" t="n"/>
      <c r="E45" s="20" t="n">
        <v>11.49</v>
      </c>
      <c r="F45" s="20" t="n"/>
      <c r="G45" s="20" t="n">
        <v>69</v>
      </c>
      <c r="H45" s="21" t="n">
        <v>0.8334986894205566</v>
      </c>
      <c r="I45" s="20" t="n">
        <v>17.29</v>
      </c>
      <c r="J45" s="10" t="n">
        <v>-5.8</v>
      </c>
      <c r="K45" s="11" t="inlineStr">
        <is>
          <t>❌ ABAIXO MVP</t>
        </is>
      </c>
      <c r="L45" s="18" t="inlineStr">
        <is>
          <t>Extrapolado @ desconto médio Opção</t>
        </is>
      </c>
    </row>
    <row r="46">
      <c r="A46" s="17" t="inlineStr">
        <is>
          <t>GEB 022</t>
        </is>
      </c>
      <c r="B46" s="18" t="inlineStr">
        <is>
          <t>Booster antifrizz</t>
        </is>
      </c>
      <c r="C46" s="17" t="inlineStr">
        <is>
          <t>15ml</t>
        </is>
      </c>
      <c r="D46" s="19" t="n"/>
      <c r="E46" s="20" t="n">
        <v>13.15</v>
      </c>
      <c r="F46" s="20" t="n"/>
      <c r="G46" s="20" t="n">
        <v>79</v>
      </c>
      <c r="H46" s="21" t="n">
        <v>0.8334986894205566</v>
      </c>
      <c r="I46" s="20" t="n">
        <v>16.09</v>
      </c>
      <c r="J46" s="10" t="n">
        <v>-2.94</v>
      </c>
      <c r="K46" s="11" t="inlineStr">
        <is>
          <t>❌ ABAIXO MVP</t>
        </is>
      </c>
      <c r="L46" s="18" t="inlineStr">
        <is>
          <t>Extrapolado @ desconto médio Opção</t>
        </is>
      </c>
    </row>
    <row r="47">
      <c r="A47" s="17" t="inlineStr">
        <is>
          <t>GEB 023</t>
        </is>
      </c>
      <c r="B47" s="18" t="inlineStr">
        <is>
          <t>Booster antioxidante</t>
        </is>
      </c>
      <c r="C47" s="17" t="inlineStr">
        <is>
          <t>15ml</t>
        </is>
      </c>
      <c r="D47" s="19" t="n"/>
      <c r="E47" s="20" t="n">
        <v>12.49</v>
      </c>
      <c r="F47" s="20" t="n"/>
      <c r="G47" s="20" t="n">
        <v>75</v>
      </c>
      <c r="H47" s="21" t="n">
        <v>0.8334986894205566</v>
      </c>
      <c r="I47" s="20" t="n">
        <v>20.49</v>
      </c>
      <c r="J47" s="10" t="n">
        <v>-8</v>
      </c>
      <c r="K47" s="11" t="inlineStr">
        <is>
          <t>❌ ABAIXO MVP</t>
        </is>
      </c>
      <c r="L47" s="18" t="inlineStr">
        <is>
          <t>Extrapolado @ desconto médio Opção</t>
        </is>
      </c>
    </row>
    <row r="48">
      <c r="A48" s="17" t="inlineStr">
        <is>
          <t>GEB 029</t>
        </is>
      </c>
      <c r="B48" s="18" t="inlineStr">
        <is>
          <t>Travel size melon mood</t>
        </is>
      </c>
      <c r="C48" s="17" t="inlineStr">
        <is>
          <t>100ml</t>
        </is>
      </c>
      <c r="D48" s="19" t="n"/>
      <c r="E48" s="20" t="n">
        <v>13.15</v>
      </c>
      <c r="F48" s="20" t="n"/>
      <c r="G48" s="20" t="n">
        <v>79</v>
      </c>
      <c r="H48" s="21" t="n">
        <v>0.8334986894205566</v>
      </c>
      <c r="I48" s="20" t="n">
        <v>20.73</v>
      </c>
      <c r="J48" s="10" t="n">
        <v>-7.58</v>
      </c>
      <c r="K48" s="11" t="inlineStr">
        <is>
          <t>❌ ABAIXO MVP</t>
        </is>
      </c>
      <c r="L48" s="18" t="inlineStr">
        <is>
          <t>Extrapolado @ desconto médio Opção</t>
        </is>
      </c>
    </row>
    <row r="49">
      <c r="A49" s="17" t="inlineStr">
        <is>
          <t>GEB 101</t>
        </is>
      </c>
      <c r="B49" s="18" t="inlineStr">
        <is>
          <t>Primer cachos definidos</t>
        </is>
      </c>
      <c r="C49" s="17" t="inlineStr">
        <is>
          <t>250ml</t>
        </is>
      </c>
      <c r="D49" s="19" t="n"/>
      <c r="E49" s="20" t="n">
        <v>24.81</v>
      </c>
      <c r="F49" s="20" t="n"/>
      <c r="G49" s="20" t="n">
        <v>149</v>
      </c>
      <c r="H49" s="21" t="n">
        <v>0.8334986894205566</v>
      </c>
      <c r="I49" s="20" t="n">
        <v>20.83</v>
      </c>
      <c r="J49" s="22" t="n">
        <v>3.98</v>
      </c>
      <c r="K49" s="23" t="inlineStr">
        <is>
          <t>✓ Viável</t>
        </is>
      </c>
      <c r="L49" s="18" t="inlineStr">
        <is>
          <t>Extrapolado @ desconto médio Opção</t>
        </is>
      </c>
    </row>
    <row r="50">
      <c r="A50" s="17" t="inlineStr">
        <is>
          <t>GEB 120</t>
        </is>
      </c>
      <c r="B50" s="18" t="inlineStr">
        <is>
          <t>Leave-in pluma</t>
        </is>
      </c>
      <c r="C50" s="17" t="inlineStr">
        <is>
          <t>200ml</t>
        </is>
      </c>
      <c r="D50" s="19" t="n"/>
      <c r="E50" s="20" t="n">
        <v>24.81</v>
      </c>
      <c r="F50" s="20" t="n"/>
      <c r="G50" s="20" t="n">
        <v>149</v>
      </c>
      <c r="H50" s="21" t="n">
        <v>0.8334986894205566</v>
      </c>
      <c r="I50" s="20" t="n">
        <v>30.29</v>
      </c>
      <c r="J50" s="10" t="n">
        <v>-5.48</v>
      </c>
      <c r="K50" s="11" t="inlineStr">
        <is>
          <t>❌ ABAIXO MVP</t>
        </is>
      </c>
      <c r="L50" s="18" t="inlineStr">
        <is>
          <t>Extrapolado @ desconto médio Opção</t>
        </is>
      </c>
    </row>
    <row r="51">
      <c r="A51" s="17" t="inlineStr">
        <is>
          <t>GEB 121</t>
        </is>
      </c>
      <c r="B51" s="18" t="inlineStr">
        <is>
          <t>Máscara mayday</t>
        </is>
      </c>
      <c r="C51" s="17" t="inlineStr">
        <is>
          <t>200g</t>
        </is>
      </c>
      <c r="D51" s="19" t="n"/>
      <c r="E51" s="20" t="n">
        <v>23.14</v>
      </c>
      <c r="F51" s="20" t="n"/>
      <c r="G51" s="20" t="n">
        <v>139</v>
      </c>
      <c r="H51" s="21" t="n">
        <v>0.8334986894205566</v>
      </c>
      <c r="I51" s="20" t="n">
        <v>31.88</v>
      </c>
      <c r="J51" s="10" t="n">
        <v>-8.74</v>
      </c>
      <c r="K51" s="11" t="inlineStr">
        <is>
          <t>❌ ABAIXO MVP</t>
        </is>
      </c>
      <c r="L51" s="18" t="inlineStr">
        <is>
          <t>Extrapolado @ desconto médio Opção</t>
        </is>
      </c>
    </row>
    <row r="54">
      <c r="A54" s="3" t="inlineStr">
        <is>
          <t>Opção 3 — Volume baixo    (desconto médio Opção: 81.13%)</t>
        </is>
      </c>
    </row>
    <row r="55">
      <c r="A55" s="4" t="inlineStr">
        <is>
          <t>SKU</t>
        </is>
      </c>
      <c r="B55" s="4" t="inlineStr">
        <is>
          <t>Produto</t>
        </is>
      </c>
      <c r="C55" s="4" t="inlineStr">
        <is>
          <t>Volume</t>
        </is>
      </c>
      <c r="D55" s="4" t="inlineStr">
        <is>
          <t>Qtd</t>
        </is>
      </c>
      <c r="E55" s="4" t="inlineStr">
        <is>
          <t>Custo unit.</t>
        </is>
      </c>
      <c r="F55" s="4" t="inlineStr">
        <is>
          <t>Total</t>
        </is>
      </c>
      <c r="G55" s="4" t="inlineStr">
        <is>
          <t>Sellout site</t>
        </is>
      </c>
      <c r="H55" s="4" t="inlineStr">
        <is>
          <t>Desconto %</t>
        </is>
      </c>
      <c r="I55" s="4" t="inlineStr">
        <is>
          <t>MVP</t>
        </is>
      </c>
      <c r="J55" s="4" t="inlineStr">
        <is>
          <t>Margem vs MVP</t>
        </is>
      </c>
      <c r="K55" s="4" t="inlineStr">
        <is>
          <t>Viável?</t>
        </is>
      </c>
      <c r="L55" s="4" t="inlineStr">
        <is>
          <t>Fonte</t>
        </is>
      </c>
    </row>
    <row r="56">
      <c r="A56" s="5" t="inlineStr">
        <is>
          <t>GEB 102</t>
        </is>
      </c>
      <c r="B56" s="6" t="inlineStr">
        <is>
          <t>Primer liso intacto</t>
        </is>
      </c>
      <c r="C56" s="5" t="inlineStr">
        <is>
          <t>150ml</t>
        </is>
      </c>
      <c r="D56" s="7" t="n">
        <v>21</v>
      </c>
      <c r="E56" s="8" t="n">
        <v>26.35</v>
      </c>
      <c r="F56" s="8">
        <f>D56*E56</f>
        <v/>
      </c>
      <c r="G56" s="8" t="n">
        <v>139</v>
      </c>
      <c r="H56" s="9" t="n">
        <v>0.810431654676259</v>
      </c>
      <c r="I56" s="8" t="n">
        <v>24.93</v>
      </c>
      <c r="J56" s="22" t="n">
        <v>1.42</v>
      </c>
      <c r="K56" s="23" t="inlineStr">
        <is>
          <t>✓ Viável</t>
        </is>
      </c>
      <c r="L56" s="6" t="inlineStr">
        <is>
          <t>Parceiro</t>
        </is>
      </c>
    </row>
    <row r="57">
      <c r="A57" s="5" t="inlineStr">
        <is>
          <t>GEB 024</t>
        </is>
      </c>
      <c r="B57" s="6" t="inlineStr">
        <is>
          <t>Body &amp; Hair Splash Melon Mood</t>
        </is>
      </c>
      <c r="C57" s="5" t="inlineStr">
        <is>
          <t>200ml</t>
        </is>
      </c>
      <c r="D57" s="7" t="n">
        <v>15</v>
      </c>
      <c r="E57" s="8" t="n">
        <v>24.23</v>
      </c>
      <c r="F57" s="8">
        <f>D57*E57</f>
        <v/>
      </c>
      <c r="G57" s="8" t="n">
        <v>129</v>
      </c>
      <c r="H57" s="9" t="n">
        <v>0.8121705426356589</v>
      </c>
      <c r="I57" s="8" t="n">
        <v>24.75</v>
      </c>
      <c r="J57" s="10" t="n">
        <v>-0.52</v>
      </c>
      <c r="K57" s="11" t="inlineStr">
        <is>
          <t>❌ ABAIXO MVP</t>
        </is>
      </c>
      <c r="L57" s="6" t="inlineStr">
        <is>
          <t>Parceiro</t>
        </is>
      </c>
    </row>
    <row r="58">
      <c r="A58" s="12" t="n"/>
      <c r="B58" s="13" t="inlineStr">
        <is>
          <t>Subtotal (propostos)</t>
        </is>
      </c>
      <c r="C58" s="12" t="n"/>
      <c r="D58" s="14">
        <f>SUM(D56:D57)</f>
        <v/>
      </c>
      <c r="E58" s="12" t="n"/>
      <c r="F58" s="15">
        <f>SUM(F56:F57)</f>
        <v/>
      </c>
      <c r="G58" s="15">
        <f>SUMPRODUCT(D56:D57,G56:G57)</f>
        <v/>
      </c>
      <c r="H58" s="16">
        <f>1-F58/G58</f>
        <v/>
      </c>
      <c r="I58" s="12" t="n"/>
      <c r="J58" s="12" t="n"/>
      <c r="K58" s="12" t="n"/>
      <c r="L58" s="12" t="n"/>
    </row>
    <row r="60">
      <c r="A60" s="17" t="inlineStr">
        <is>
          <t>GEB 001</t>
        </is>
      </c>
      <c r="B60" s="18" t="inlineStr">
        <is>
          <t>Shampoo sem sulfato</t>
        </is>
      </c>
      <c r="C60" s="17" t="inlineStr">
        <is>
          <t>250ml</t>
        </is>
      </c>
      <c r="D60" s="19" t="n"/>
      <c r="E60" s="20" t="n">
        <v>17.93</v>
      </c>
      <c r="F60" s="20" t="n"/>
      <c r="G60" s="20" t="n">
        <v>95</v>
      </c>
      <c r="H60" s="21" t="n">
        <v>0.811301098655959</v>
      </c>
      <c r="I60" s="20" t="n">
        <v>21.61</v>
      </c>
      <c r="J60" s="10" t="n">
        <v>-3.68</v>
      </c>
      <c r="K60" s="11" t="inlineStr">
        <is>
          <t>❌ ABAIXO MVP</t>
        </is>
      </c>
      <c r="L60" s="18" t="inlineStr">
        <is>
          <t>Extrapolado @ desconto médio Opção</t>
        </is>
      </c>
    </row>
    <row r="61">
      <c r="A61" s="17" t="inlineStr">
        <is>
          <t>GEB 002</t>
        </is>
      </c>
      <c r="B61" s="18" t="inlineStr">
        <is>
          <t>Máscara condicionadora</t>
        </is>
      </c>
      <c r="C61" s="17" t="inlineStr">
        <is>
          <t>200ml</t>
        </is>
      </c>
      <c r="D61" s="19" t="n"/>
      <c r="E61" s="20" t="n">
        <v>17.93</v>
      </c>
      <c r="F61" s="20" t="n"/>
      <c r="G61" s="20" t="n">
        <v>95</v>
      </c>
      <c r="H61" s="21" t="n">
        <v>0.811301098655959</v>
      </c>
      <c r="I61" s="20" t="n">
        <v>17.43</v>
      </c>
      <c r="J61" s="22" t="n">
        <v>0.5</v>
      </c>
      <c r="K61" s="23" t="inlineStr">
        <is>
          <t>✓ Viável</t>
        </is>
      </c>
      <c r="L61" s="18" t="inlineStr">
        <is>
          <t>Extrapolado @ desconto médio Opção</t>
        </is>
      </c>
    </row>
    <row r="62">
      <c r="A62" s="17" t="inlineStr">
        <is>
          <t>GEB 003</t>
        </is>
      </c>
      <c r="B62" s="18" t="inlineStr">
        <is>
          <t>Leave-in com proteção térmica</t>
        </is>
      </c>
      <c r="C62" s="17" t="inlineStr">
        <is>
          <t>150ml</t>
        </is>
      </c>
      <c r="D62" s="19" t="n"/>
      <c r="E62" s="20" t="n">
        <v>18.68</v>
      </c>
      <c r="F62" s="20" t="n"/>
      <c r="G62" s="20" t="n">
        <v>99</v>
      </c>
      <c r="H62" s="21" t="n">
        <v>0.811301098655959</v>
      </c>
      <c r="I62" s="20" t="n">
        <v>15.48</v>
      </c>
      <c r="J62" s="22" t="n">
        <v>3.2</v>
      </c>
      <c r="K62" s="23" t="inlineStr">
        <is>
          <t>✓ Viável</t>
        </is>
      </c>
      <c r="L62" s="18" t="inlineStr">
        <is>
          <t>Extrapolado @ desconto médio Opção</t>
        </is>
      </c>
    </row>
    <row r="63">
      <c r="A63" s="17" t="inlineStr">
        <is>
          <t>GEB 008</t>
        </is>
      </c>
      <c r="B63" s="18" t="inlineStr">
        <is>
          <t>Shampoo a seco</t>
        </is>
      </c>
      <c r="C63" s="17" t="inlineStr">
        <is>
          <t>150ml</t>
        </is>
      </c>
      <c r="D63" s="19" t="n"/>
      <c r="E63" s="20" t="n">
        <v>13.02</v>
      </c>
      <c r="F63" s="20" t="n"/>
      <c r="G63" s="20" t="n">
        <v>69</v>
      </c>
      <c r="H63" s="21" t="n">
        <v>0.811301098655959</v>
      </c>
      <c r="I63" s="20" t="n">
        <v>2</v>
      </c>
      <c r="J63" s="22" t="n">
        <v>11.02</v>
      </c>
      <c r="K63" s="23" t="inlineStr">
        <is>
          <t>✓ Viável</t>
        </is>
      </c>
      <c r="L63" s="18" t="inlineStr">
        <is>
          <t>Extrapolado @ desconto médio Opção</t>
        </is>
      </c>
    </row>
    <row r="64">
      <c r="A64" s="17" t="inlineStr">
        <is>
          <t>GEB 010</t>
        </is>
      </c>
      <c r="B64" s="18" t="inlineStr">
        <is>
          <t>Travel size máscara condicionadora</t>
        </is>
      </c>
      <c r="C64" s="17" t="inlineStr">
        <is>
          <t>50ml</t>
        </is>
      </c>
      <c r="D64" s="19" t="n"/>
      <c r="E64" s="20" t="n">
        <v>7.55</v>
      </c>
      <c r="F64" s="20" t="n"/>
      <c r="G64" s="20" t="n">
        <v>40</v>
      </c>
      <c r="H64" s="21" t="n">
        <v>0.811301098655959</v>
      </c>
      <c r="I64" s="20" t="n">
        <v>10.01</v>
      </c>
      <c r="J64" s="10" t="n">
        <v>-2.46</v>
      </c>
      <c r="K64" s="11" t="inlineStr">
        <is>
          <t>❌ ABAIXO MVP</t>
        </is>
      </c>
      <c r="L64" s="18" t="inlineStr">
        <is>
          <t>Extrapolado @ desconto médio Opção</t>
        </is>
      </c>
    </row>
    <row r="65">
      <c r="A65" s="17" t="inlineStr">
        <is>
          <t>GEB 011</t>
        </is>
      </c>
      <c r="B65" s="18" t="inlineStr">
        <is>
          <t>Travel size leave-in</t>
        </is>
      </c>
      <c r="C65" s="17" t="inlineStr">
        <is>
          <t>50ml</t>
        </is>
      </c>
      <c r="D65" s="19" t="n"/>
      <c r="E65" s="20" t="n">
        <v>8.869999999999999</v>
      </c>
      <c r="F65" s="20" t="n"/>
      <c r="G65" s="20" t="n">
        <v>47</v>
      </c>
      <c r="H65" s="21" t="n">
        <v>0.811301098655959</v>
      </c>
      <c r="I65" s="20" t="n">
        <v>8.210000000000001</v>
      </c>
      <c r="J65" s="22" t="n">
        <v>0.66</v>
      </c>
      <c r="K65" s="23" t="inlineStr">
        <is>
          <t>✓ Viável</t>
        </is>
      </c>
      <c r="L65" s="18" t="inlineStr">
        <is>
          <t>Extrapolado @ desconto médio Opção</t>
        </is>
      </c>
    </row>
    <row r="66">
      <c r="A66" s="17" t="inlineStr">
        <is>
          <t>GEB 013</t>
        </is>
      </c>
      <c r="B66" s="18" t="inlineStr">
        <is>
          <t>Travel size shampoo sem sulfato</t>
        </is>
      </c>
      <c r="C66" s="17" t="inlineStr">
        <is>
          <t>60ml</t>
        </is>
      </c>
      <c r="D66" s="19" t="n"/>
      <c r="E66" s="20" t="n">
        <v>7.55</v>
      </c>
      <c r="F66" s="20" t="n"/>
      <c r="G66" s="20" t="n">
        <v>40</v>
      </c>
      <c r="H66" s="21" t="n">
        <v>0.811301098655959</v>
      </c>
      <c r="I66" s="20" t="n">
        <v>8.869999999999999</v>
      </c>
      <c r="J66" s="10" t="n">
        <v>-1.32</v>
      </c>
      <c r="K66" s="11" t="inlineStr">
        <is>
          <t>❌ ABAIXO MVP</t>
        </is>
      </c>
      <c r="L66" s="18" t="inlineStr">
        <is>
          <t>Extrapolado @ desconto médio Opção</t>
        </is>
      </c>
    </row>
    <row r="67">
      <c r="A67" s="17" t="inlineStr">
        <is>
          <t>GEB 019</t>
        </is>
      </c>
      <c r="B67" s="18" t="inlineStr">
        <is>
          <t>Booster fortificante</t>
        </is>
      </c>
      <c r="C67" s="17" t="inlineStr">
        <is>
          <t>15ml</t>
        </is>
      </c>
      <c r="D67" s="19" t="n"/>
      <c r="E67" s="20" t="n">
        <v>14.15</v>
      </c>
      <c r="F67" s="20" t="n"/>
      <c r="G67" s="20" t="n">
        <v>75</v>
      </c>
      <c r="H67" s="21" t="n">
        <v>0.811301098655959</v>
      </c>
      <c r="I67" s="20" t="n">
        <v>17.8</v>
      </c>
      <c r="J67" s="10" t="n">
        <v>-3.65</v>
      </c>
      <c r="K67" s="11" t="inlineStr">
        <is>
          <t>❌ ABAIXO MVP</t>
        </is>
      </c>
      <c r="L67" s="18" t="inlineStr">
        <is>
          <t>Extrapolado @ desconto médio Opção</t>
        </is>
      </c>
    </row>
    <row r="68">
      <c r="A68" s="17" t="inlineStr">
        <is>
          <t>GEB 020</t>
        </is>
      </c>
      <c r="B68" s="18" t="inlineStr">
        <is>
          <t>Booster hidratante</t>
        </is>
      </c>
      <c r="C68" s="17" t="inlineStr">
        <is>
          <t>15ml</t>
        </is>
      </c>
      <c r="D68" s="19" t="n"/>
      <c r="E68" s="20" t="n">
        <v>13.02</v>
      </c>
      <c r="F68" s="20" t="n"/>
      <c r="G68" s="20" t="n">
        <v>69</v>
      </c>
      <c r="H68" s="21" t="n">
        <v>0.811301098655959</v>
      </c>
      <c r="I68" s="20" t="n">
        <v>17.61</v>
      </c>
      <c r="J68" s="10" t="n">
        <v>-4.59</v>
      </c>
      <c r="K68" s="11" t="inlineStr">
        <is>
          <t>❌ ABAIXO MVP</t>
        </is>
      </c>
      <c r="L68" s="18" t="inlineStr">
        <is>
          <t>Extrapolado @ desconto médio Opção</t>
        </is>
      </c>
    </row>
    <row r="69">
      <c r="A69" s="17" t="inlineStr">
        <is>
          <t>GEB 021</t>
        </is>
      </c>
      <c r="B69" s="18" t="inlineStr">
        <is>
          <t>Booster definição</t>
        </is>
      </c>
      <c r="C69" s="17" t="inlineStr">
        <is>
          <t>15ml</t>
        </is>
      </c>
      <c r="D69" s="19" t="n"/>
      <c r="E69" s="20" t="n">
        <v>13.02</v>
      </c>
      <c r="F69" s="20" t="n"/>
      <c r="G69" s="20" t="n">
        <v>69</v>
      </c>
      <c r="H69" s="21" t="n">
        <v>0.811301098655959</v>
      </c>
      <c r="I69" s="20" t="n">
        <v>17.29</v>
      </c>
      <c r="J69" s="10" t="n">
        <v>-4.27</v>
      </c>
      <c r="K69" s="11" t="inlineStr">
        <is>
          <t>❌ ABAIXO MVP</t>
        </is>
      </c>
      <c r="L69" s="18" t="inlineStr">
        <is>
          <t>Extrapolado @ desconto médio Opção</t>
        </is>
      </c>
    </row>
    <row r="70">
      <c r="A70" s="17" t="inlineStr">
        <is>
          <t>GEB 022</t>
        </is>
      </c>
      <c r="B70" s="18" t="inlineStr">
        <is>
          <t>Booster antifrizz</t>
        </is>
      </c>
      <c r="C70" s="17" t="inlineStr">
        <is>
          <t>15ml</t>
        </is>
      </c>
      <c r="D70" s="19" t="n"/>
      <c r="E70" s="20" t="n">
        <v>14.91</v>
      </c>
      <c r="F70" s="20" t="n"/>
      <c r="G70" s="20" t="n">
        <v>79</v>
      </c>
      <c r="H70" s="21" t="n">
        <v>0.811301098655959</v>
      </c>
      <c r="I70" s="20" t="n">
        <v>16.09</v>
      </c>
      <c r="J70" s="10" t="n">
        <v>-1.18</v>
      </c>
      <c r="K70" s="11" t="inlineStr">
        <is>
          <t>❌ ABAIXO MVP</t>
        </is>
      </c>
      <c r="L70" s="18" t="inlineStr">
        <is>
          <t>Extrapolado @ desconto médio Opção</t>
        </is>
      </c>
    </row>
    <row r="71">
      <c r="A71" s="17" t="inlineStr">
        <is>
          <t>GEB 023</t>
        </is>
      </c>
      <c r="B71" s="18" t="inlineStr">
        <is>
          <t>Booster antioxidante</t>
        </is>
      </c>
      <c r="C71" s="17" t="inlineStr">
        <is>
          <t>15ml</t>
        </is>
      </c>
      <c r="D71" s="19" t="n"/>
      <c r="E71" s="20" t="n">
        <v>14.15</v>
      </c>
      <c r="F71" s="20" t="n"/>
      <c r="G71" s="20" t="n">
        <v>75</v>
      </c>
      <c r="H71" s="21" t="n">
        <v>0.811301098655959</v>
      </c>
      <c r="I71" s="20" t="n">
        <v>20.49</v>
      </c>
      <c r="J71" s="10" t="n">
        <v>-6.34</v>
      </c>
      <c r="K71" s="11" t="inlineStr">
        <is>
          <t>❌ ABAIXO MVP</t>
        </is>
      </c>
      <c r="L71" s="18" t="inlineStr">
        <is>
          <t>Extrapolado @ desconto médio Opção</t>
        </is>
      </c>
    </row>
    <row r="72">
      <c r="A72" s="17" t="inlineStr">
        <is>
          <t>GEB 029</t>
        </is>
      </c>
      <c r="B72" s="18" t="inlineStr">
        <is>
          <t>Travel size melon mood</t>
        </is>
      </c>
      <c r="C72" s="17" t="inlineStr">
        <is>
          <t>100ml</t>
        </is>
      </c>
      <c r="D72" s="19" t="n"/>
      <c r="E72" s="20" t="n">
        <v>14.91</v>
      </c>
      <c r="F72" s="20" t="n"/>
      <c r="G72" s="20" t="n">
        <v>79</v>
      </c>
      <c r="H72" s="21" t="n">
        <v>0.811301098655959</v>
      </c>
      <c r="I72" s="20" t="n">
        <v>20.73</v>
      </c>
      <c r="J72" s="10" t="n">
        <v>-5.82</v>
      </c>
      <c r="K72" s="11" t="inlineStr">
        <is>
          <t>❌ ABAIXO MVP</t>
        </is>
      </c>
      <c r="L72" s="18" t="inlineStr">
        <is>
          <t>Extrapolado @ desconto médio Opção</t>
        </is>
      </c>
    </row>
    <row r="73">
      <c r="A73" s="17" t="inlineStr">
        <is>
          <t>GEB 101</t>
        </is>
      </c>
      <c r="B73" s="18" t="inlineStr">
        <is>
          <t>Primer cachos definidos</t>
        </is>
      </c>
      <c r="C73" s="17" t="inlineStr">
        <is>
          <t>250ml</t>
        </is>
      </c>
      <c r="D73" s="19" t="n"/>
      <c r="E73" s="20" t="n">
        <v>28.12</v>
      </c>
      <c r="F73" s="20" t="n"/>
      <c r="G73" s="20" t="n">
        <v>149</v>
      </c>
      <c r="H73" s="21" t="n">
        <v>0.811301098655959</v>
      </c>
      <c r="I73" s="20" t="n">
        <v>20.83</v>
      </c>
      <c r="J73" s="22" t="n">
        <v>7.29</v>
      </c>
      <c r="K73" s="23" t="inlineStr">
        <is>
          <t>✓ Viável</t>
        </is>
      </c>
      <c r="L73" s="18" t="inlineStr">
        <is>
          <t>Extrapolado @ desconto médio Opção</t>
        </is>
      </c>
    </row>
    <row r="74">
      <c r="A74" s="17" t="inlineStr">
        <is>
          <t>GEB 120</t>
        </is>
      </c>
      <c r="B74" s="18" t="inlineStr">
        <is>
          <t>Leave-in pluma</t>
        </is>
      </c>
      <c r="C74" s="17" t="inlineStr">
        <is>
          <t>200ml</t>
        </is>
      </c>
      <c r="D74" s="19" t="n"/>
      <c r="E74" s="20" t="n">
        <v>28.12</v>
      </c>
      <c r="F74" s="20" t="n"/>
      <c r="G74" s="20" t="n">
        <v>149</v>
      </c>
      <c r="H74" s="21" t="n">
        <v>0.811301098655959</v>
      </c>
      <c r="I74" s="20" t="n">
        <v>30.29</v>
      </c>
      <c r="J74" s="10" t="n">
        <v>-2.17</v>
      </c>
      <c r="K74" s="11" t="inlineStr">
        <is>
          <t>❌ ABAIXO MVP</t>
        </is>
      </c>
      <c r="L74" s="18" t="inlineStr">
        <is>
          <t>Extrapolado @ desconto médio Opção</t>
        </is>
      </c>
    </row>
    <row r="75">
      <c r="A75" s="17" t="inlineStr">
        <is>
          <t>GEB 121</t>
        </is>
      </c>
      <c r="B75" s="18" t="inlineStr">
        <is>
          <t>Máscara mayday</t>
        </is>
      </c>
      <c r="C75" s="17" t="inlineStr">
        <is>
          <t>200g</t>
        </is>
      </c>
      <c r="D75" s="19" t="n"/>
      <c r="E75" s="20" t="n">
        <v>26.23</v>
      </c>
      <c r="F75" s="20" t="n"/>
      <c r="G75" s="20" t="n">
        <v>139</v>
      </c>
      <c r="H75" s="21" t="n">
        <v>0.811301098655959</v>
      </c>
      <c r="I75" s="20" t="n">
        <v>31.88</v>
      </c>
      <c r="J75" s="10" t="n">
        <v>-5.65</v>
      </c>
      <c r="K75" s="11" t="inlineStr">
        <is>
          <t>❌ ABAIXO MVP</t>
        </is>
      </c>
      <c r="L75" s="18" t="inlineStr">
        <is>
          <t>Extrapolado @ desconto médio Opção</t>
        </is>
      </c>
    </row>
    <row r="78">
      <c r="A78" s="3" t="inlineStr">
        <is>
          <t>Resumo de viabilidade — produtos com custo proposto ≥ MVP, por Opção</t>
        </is>
      </c>
    </row>
    <row r="79">
      <c r="A79" s="4" t="inlineStr">
        <is>
          <t>Opção</t>
        </is>
      </c>
      <c r="B79" s="4" t="inlineStr">
        <is>
          <t>Total</t>
        </is>
      </c>
      <c r="C79" s="4" t="inlineStr">
        <is>
          <t>Viáveis (≥MVP)</t>
        </is>
      </c>
      <c r="D79" s="4" t="inlineStr">
        <is>
          <t>Abaixo MVP</t>
        </is>
      </c>
      <c r="E79" s="4" t="inlineStr">
        <is>
          <t>% viáveis</t>
        </is>
      </c>
      <c r="F79" s="4" t="inlineStr">
        <is>
          <t>Detalhe não-viáveis</t>
        </is>
      </c>
    </row>
    <row r="80">
      <c r="A80" s="24" t="inlineStr">
        <is>
          <t>Opção 1 — Volume alto</t>
        </is>
      </c>
      <c r="B80" s="25" t="n">
        <v>18</v>
      </c>
      <c r="C80" s="25" t="n">
        <v>2</v>
      </c>
      <c r="D80" s="25" t="n">
        <v>16</v>
      </c>
      <c r="E80" s="25" t="inlineStr">
        <is>
          <t>11%</t>
        </is>
      </c>
      <c r="F80" s="24" t="inlineStr">
        <is>
          <t>GEB 001; GEB 002; GEB 003; GEB 010; GEB 011; GEB 013; GEB 019; GEB 020; GEB 021; GEB 022; GEB 023; GEB 024; GEB 029; GEB 102; GEB 120; GEB 121</t>
        </is>
      </c>
    </row>
    <row r="81">
      <c r="A81" s="24" t="inlineStr">
        <is>
          <t>Opção 2 — Volume médio</t>
        </is>
      </c>
      <c r="B81" s="25" t="n">
        <v>18</v>
      </c>
      <c r="C81" s="25" t="n">
        <v>3</v>
      </c>
      <c r="D81" s="25" t="n">
        <v>15</v>
      </c>
      <c r="E81" s="25" t="inlineStr">
        <is>
          <t>17%</t>
        </is>
      </c>
      <c r="F81" s="24" t="inlineStr">
        <is>
          <t>GEB 001; GEB 002; GEB 010; GEB 011; GEB 013; GEB 019; GEB 020; GEB 021; GEB 022; GEB 023; GEB 024; GEB 029; GEB 102; GEB 120; GEB 121</t>
        </is>
      </c>
    </row>
    <row r="82">
      <c r="A82" s="24" t="inlineStr">
        <is>
          <t>Opção 3 — Volume baixo</t>
        </is>
      </c>
      <c r="B82" s="25" t="n">
        <v>18</v>
      </c>
      <c r="C82" s="25" t="n">
        <v>6</v>
      </c>
      <c r="D82" s="25" t="n">
        <v>12</v>
      </c>
      <c r="E82" s="25" t="inlineStr">
        <is>
          <t>33%</t>
        </is>
      </c>
      <c r="F82" s="24" t="inlineStr">
        <is>
          <t>GEB 001; GEB 010; GEB 013; GEB 019; GEB 020; GEB 021; GEB 022; GEB 023; GEB 024; GEB 029; GEB 120; GEB 121</t>
        </is>
      </c>
    </row>
  </sheetData>
  <mergeCells count="4">
    <mergeCell ref="A78:L78"/>
    <mergeCell ref="A30:L30"/>
    <mergeCell ref="A54:L54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  <col width="16" customWidth="1" min="13" max="13"/>
    <col width="18" customWidth="1" min="14" max="14"/>
  </cols>
  <sheetData>
    <row r="1">
      <c r="A1" s="1" t="inlineStr">
        <is>
          <t>Contraproposta para a Box Magenta</t>
        </is>
      </c>
    </row>
    <row r="2">
      <c r="A2" s="2" t="inlineStr">
        <is>
          <t>Régua: piso por SKU = MVP × 1.15 (15% de folga acima do MVP). Não negociamos abaixo desse piso.</t>
        </is>
      </c>
    </row>
    <row r="3">
      <c r="A3" s="2" t="inlineStr">
        <is>
          <t>Desconto efetivo varia por SKU porque MVP varia. A 'régua única por volume' do parceiro penaliza demais os SKUs de COGS mais alto (boosters, máscara mayday).</t>
        </is>
      </c>
    </row>
    <row r="4">
      <c r="A4" s="2" t="inlineStr">
        <is>
          <t>Estratégia: contrapropor por CATEGORIA, não por volume linear. 3 tiers de desconto, um por categoria.</t>
        </is>
      </c>
    </row>
    <row r="6">
      <c r="A6" s="3" t="inlineStr">
        <is>
          <t>A) Piso por SKU — preço mínimo aceitável (MVP × 1,15)</t>
        </is>
      </c>
    </row>
    <row r="7">
      <c r="A7" s="4" t="inlineStr">
        <is>
          <t>SKU</t>
        </is>
      </c>
      <c r="B7" s="4" t="inlineStr">
        <is>
          <t>Produto</t>
        </is>
      </c>
      <c r="C7" s="4" t="inlineStr">
        <is>
          <t>Volume</t>
        </is>
      </c>
      <c r="D7" s="4" t="inlineStr">
        <is>
          <t>Categoria</t>
        </is>
      </c>
      <c r="E7" s="4" t="inlineStr">
        <is>
          <t>Sellout</t>
        </is>
      </c>
      <c r="F7" s="4" t="inlineStr">
        <is>
          <t>MVP</t>
        </is>
      </c>
      <c r="G7" s="4" t="inlineStr">
        <is>
          <t>Piso (MVP×1.15)</t>
        </is>
      </c>
      <c r="H7" s="4" t="inlineStr">
        <is>
          <t>Desconto no piso vs sellout</t>
        </is>
      </c>
      <c r="I7" s="4" t="inlineStr">
        <is>
          <t>Proposta Op1 parceiro</t>
        </is>
      </c>
      <c r="J7" s="4" t="inlineStr">
        <is>
          <t>Δ Op1 vs piso</t>
        </is>
      </c>
      <c r="K7" s="4" t="inlineStr">
        <is>
          <t>Proposta Op2</t>
        </is>
      </c>
      <c r="L7" s="4" t="inlineStr">
        <is>
          <t>Δ Op2 vs piso</t>
        </is>
      </c>
      <c r="M7" s="4" t="inlineStr">
        <is>
          <t>Proposta Op3</t>
        </is>
      </c>
      <c r="N7" s="4" t="inlineStr">
        <is>
          <t>Δ Op3 vs piso</t>
        </is>
      </c>
    </row>
    <row r="8">
      <c r="A8" s="25" t="inlineStr">
        <is>
          <t>GEB 001</t>
        </is>
      </c>
      <c r="B8" s="24" t="inlineStr">
        <is>
          <t>Shampoo sem sulfato</t>
        </is>
      </c>
      <c r="C8" s="25" t="inlineStr">
        <is>
          <t>250ml</t>
        </is>
      </c>
      <c r="D8" s="24" t="inlineStr">
        <is>
          <t>full-size</t>
        </is>
      </c>
      <c r="E8" s="26" t="n">
        <v>95</v>
      </c>
      <c r="F8" s="26" t="n">
        <v>21.61</v>
      </c>
      <c r="G8" s="27" t="n">
        <v>24.85</v>
      </c>
      <c r="H8" s="28" t="n">
        <v>0.7384210526315789</v>
      </c>
      <c r="I8" s="26" t="n">
        <v>13.71</v>
      </c>
      <c r="J8" s="10" t="n">
        <v>-11.14</v>
      </c>
      <c r="K8" s="26" t="n">
        <v>15.82</v>
      </c>
      <c r="L8" s="10" t="n">
        <v>-9.029999999999999</v>
      </c>
      <c r="M8" s="26" t="n">
        <v>17.93</v>
      </c>
      <c r="N8" s="10" t="n">
        <v>-6.92</v>
      </c>
    </row>
    <row r="9">
      <c r="A9" s="25" t="inlineStr">
        <is>
          <t>GEB 002</t>
        </is>
      </c>
      <c r="B9" s="24" t="inlineStr">
        <is>
          <t>Máscara condicionadora</t>
        </is>
      </c>
      <c r="C9" s="25" t="inlineStr">
        <is>
          <t>200ml</t>
        </is>
      </c>
      <c r="D9" s="24" t="inlineStr">
        <is>
          <t>full-size</t>
        </is>
      </c>
      <c r="E9" s="26" t="n">
        <v>95</v>
      </c>
      <c r="F9" s="26" t="n">
        <v>17.43</v>
      </c>
      <c r="G9" s="27" t="n">
        <v>20.04</v>
      </c>
      <c r="H9" s="28" t="n">
        <v>0.7890526315789473</v>
      </c>
      <c r="I9" s="26" t="n">
        <v>13.71</v>
      </c>
      <c r="J9" s="10" t="n">
        <v>-6.33</v>
      </c>
      <c r="K9" s="26" t="n">
        <v>15.82</v>
      </c>
      <c r="L9" s="10" t="n">
        <v>-4.22</v>
      </c>
      <c r="M9" s="26" t="n">
        <v>17.93</v>
      </c>
      <c r="N9" s="10" t="n">
        <v>-2.11</v>
      </c>
    </row>
    <row r="10">
      <c r="A10" s="25" t="inlineStr">
        <is>
          <t>GEB 003</t>
        </is>
      </c>
      <c r="B10" s="24" t="inlineStr">
        <is>
          <t>Leave-in com proteção térmica</t>
        </is>
      </c>
      <c r="C10" s="25" t="inlineStr">
        <is>
          <t>150ml</t>
        </is>
      </c>
      <c r="D10" s="24" t="inlineStr">
        <is>
          <t>full-size</t>
        </is>
      </c>
      <c r="E10" s="26" t="n">
        <v>99</v>
      </c>
      <c r="F10" s="26" t="n">
        <v>15.48</v>
      </c>
      <c r="G10" s="27" t="n">
        <v>17.8</v>
      </c>
      <c r="H10" s="28" t="n">
        <v>0.8202020202020202</v>
      </c>
      <c r="I10" s="26" t="n">
        <v>14.29</v>
      </c>
      <c r="J10" s="10" t="n">
        <v>-3.51</v>
      </c>
      <c r="K10" s="26" t="n">
        <v>16.48</v>
      </c>
      <c r="L10" s="10" t="n">
        <v>-1.32</v>
      </c>
      <c r="M10" s="26" t="n">
        <v>18.68</v>
      </c>
      <c r="N10" s="22" t="n">
        <v>0.88</v>
      </c>
    </row>
    <row r="11">
      <c r="A11" s="25" t="inlineStr">
        <is>
          <t>GEB 008</t>
        </is>
      </c>
      <c r="B11" s="24" t="inlineStr">
        <is>
          <t>Shampoo a seco</t>
        </is>
      </c>
      <c r="C11" s="25" t="inlineStr">
        <is>
          <t>150ml</t>
        </is>
      </c>
      <c r="D11" s="24" t="inlineStr">
        <is>
          <t>full-size</t>
        </is>
      </c>
      <c r="E11" s="26" t="n">
        <v>69</v>
      </c>
      <c r="F11" s="26" t="n">
        <v>2</v>
      </c>
      <c r="G11" s="27" t="n">
        <v>2.3</v>
      </c>
      <c r="H11" s="28" t="n">
        <v>0.9666666666666667</v>
      </c>
      <c r="I11" s="26" t="n">
        <v>9.960000000000001</v>
      </c>
      <c r="J11" s="22" t="n">
        <v>7.66</v>
      </c>
      <c r="K11" s="26" t="n">
        <v>11.49</v>
      </c>
      <c r="L11" s="22" t="n">
        <v>9.19</v>
      </c>
      <c r="M11" s="26" t="n">
        <v>13.02</v>
      </c>
      <c r="N11" s="22" t="n">
        <v>10.72</v>
      </c>
    </row>
    <row r="12">
      <c r="A12" s="25" t="inlineStr">
        <is>
          <t>GEB 010</t>
        </is>
      </c>
      <c r="B12" s="24" t="inlineStr">
        <is>
          <t>Travel size máscara condicionadora</t>
        </is>
      </c>
      <c r="C12" s="25" t="inlineStr">
        <is>
          <t>50ml</t>
        </is>
      </c>
      <c r="D12" s="24" t="inlineStr">
        <is>
          <t>travel</t>
        </is>
      </c>
      <c r="E12" s="26" t="n">
        <v>40</v>
      </c>
      <c r="F12" s="26" t="n">
        <v>10.01</v>
      </c>
      <c r="G12" s="27" t="n">
        <v>11.51</v>
      </c>
      <c r="H12" s="28" t="n">
        <v>0.71225</v>
      </c>
      <c r="I12" s="26" t="n">
        <v>5.77</v>
      </c>
      <c r="J12" s="10" t="n">
        <v>-5.74</v>
      </c>
      <c r="K12" s="26" t="n">
        <v>6.66</v>
      </c>
      <c r="L12" s="10" t="n">
        <v>-4.85</v>
      </c>
      <c r="M12" s="26" t="n">
        <v>7.55</v>
      </c>
      <c r="N12" s="10" t="n">
        <v>-3.96</v>
      </c>
    </row>
    <row r="13">
      <c r="A13" s="25" t="inlineStr">
        <is>
          <t>GEB 011</t>
        </is>
      </c>
      <c r="B13" s="24" t="inlineStr">
        <is>
          <t>Travel size leave-in</t>
        </is>
      </c>
      <c r="C13" s="25" t="inlineStr">
        <is>
          <t>50ml</t>
        </is>
      </c>
      <c r="D13" s="24" t="inlineStr">
        <is>
          <t>travel</t>
        </is>
      </c>
      <c r="E13" s="26" t="n">
        <v>47</v>
      </c>
      <c r="F13" s="26" t="n">
        <v>8.210000000000001</v>
      </c>
      <c r="G13" s="27" t="n">
        <v>9.44</v>
      </c>
      <c r="H13" s="28" t="n">
        <v>0.7991489361702128</v>
      </c>
      <c r="I13" s="26" t="n">
        <v>6.78</v>
      </c>
      <c r="J13" s="10" t="n">
        <v>-2.66</v>
      </c>
      <c r="K13" s="26" t="n">
        <v>7.83</v>
      </c>
      <c r="L13" s="10" t="n">
        <v>-1.61</v>
      </c>
      <c r="M13" s="26" t="n">
        <v>8.869999999999999</v>
      </c>
      <c r="N13" s="10" t="n">
        <v>-0.57</v>
      </c>
    </row>
    <row r="14">
      <c r="A14" s="25" t="inlineStr">
        <is>
          <t>GEB 013</t>
        </is>
      </c>
      <c r="B14" s="24" t="inlineStr">
        <is>
          <t>Travel size shampoo sem sulfato</t>
        </is>
      </c>
      <c r="C14" s="25" t="inlineStr">
        <is>
          <t>60ml</t>
        </is>
      </c>
      <c r="D14" s="24" t="inlineStr">
        <is>
          <t>travel</t>
        </is>
      </c>
      <c r="E14" s="26" t="n">
        <v>40</v>
      </c>
      <c r="F14" s="26" t="n">
        <v>8.869999999999999</v>
      </c>
      <c r="G14" s="27" t="n">
        <v>10.2</v>
      </c>
      <c r="H14" s="28" t="n">
        <v>0.745</v>
      </c>
      <c r="I14" s="26" t="n">
        <v>5.77</v>
      </c>
      <c r="J14" s="10" t="n">
        <v>-4.43</v>
      </c>
      <c r="K14" s="26" t="n">
        <v>6.66</v>
      </c>
      <c r="L14" s="10" t="n">
        <v>-3.54</v>
      </c>
      <c r="M14" s="26" t="n">
        <v>7.55</v>
      </c>
      <c r="N14" s="10" t="n">
        <v>-2.65</v>
      </c>
    </row>
    <row r="15">
      <c r="A15" s="25" t="inlineStr">
        <is>
          <t>GEB 019</t>
        </is>
      </c>
      <c r="B15" s="24" t="inlineStr">
        <is>
          <t>Booster fortificante</t>
        </is>
      </c>
      <c r="C15" s="25" t="inlineStr">
        <is>
          <t>15ml</t>
        </is>
      </c>
      <c r="D15" s="24" t="inlineStr">
        <is>
          <t>booster</t>
        </is>
      </c>
      <c r="E15" s="26" t="n">
        <v>75</v>
      </c>
      <c r="F15" s="26" t="n">
        <v>17.8</v>
      </c>
      <c r="G15" s="27" t="n">
        <v>20.47</v>
      </c>
      <c r="H15" s="28" t="n">
        <v>0.7270666666666667</v>
      </c>
      <c r="I15" s="26" t="n">
        <v>10.82</v>
      </c>
      <c r="J15" s="10" t="n">
        <v>-9.65</v>
      </c>
      <c r="K15" s="26" t="n">
        <v>12.49</v>
      </c>
      <c r="L15" s="10" t="n">
        <v>-7.98</v>
      </c>
      <c r="M15" s="26" t="n">
        <v>14.15</v>
      </c>
      <c r="N15" s="10" t="n">
        <v>-6.32</v>
      </c>
    </row>
    <row r="16">
      <c r="A16" s="25" t="inlineStr">
        <is>
          <t>GEB 020</t>
        </is>
      </c>
      <c r="B16" s="24" t="inlineStr">
        <is>
          <t>Booster hidratante</t>
        </is>
      </c>
      <c r="C16" s="25" t="inlineStr">
        <is>
          <t>15ml</t>
        </is>
      </c>
      <c r="D16" s="24" t="inlineStr">
        <is>
          <t>booster</t>
        </is>
      </c>
      <c r="E16" s="26" t="n">
        <v>69</v>
      </c>
      <c r="F16" s="26" t="n">
        <v>17.61</v>
      </c>
      <c r="G16" s="27" t="n">
        <v>20.25</v>
      </c>
      <c r="H16" s="28" t="n">
        <v>0.7065217391304348</v>
      </c>
      <c r="I16" s="26" t="n">
        <v>9.960000000000001</v>
      </c>
      <c r="J16" s="10" t="n">
        <v>-10.29</v>
      </c>
      <c r="K16" s="26" t="n">
        <v>11.49</v>
      </c>
      <c r="L16" s="10" t="n">
        <v>-8.76</v>
      </c>
      <c r="M16" s="26" t="n">
        <v>13.02</v>
      </c>
      <c r="N16" s="10" t="n">
        <v>-7.23</v>
      </c>
    </row>
    <row r="17">
      <c r="A17" s="25" t="inlineStr">
        <is>
          <t>GEB 021</t>
        </is>
      </c>
      <c r="B17" s="24" t="inlineStr">
        <is>
          <t>Booster definição</t>
        </is>
      </c>
      <c r="C17" s="25" t="inlineStr">
        <is>
          <t>15ml</t>
        </is>
      </c>
      <c r="D17" s="24" t="inlineStr">
        <is>
          <t>booster</t>
        </is>
      </c>
      <c r="E17" s="26" t="n">
        <v>69</v>
      </c>
      <c r="F17" s="26" t="n">
        <v>17.29</v>
      </c>
      <c r="G17" s="27" t="n">
        <v>19.88</v>
      </c>
      <c r="H17" s="28" t="n">
        <v>0.7118840579710145</v>
      </c>
      <c r="I17" s="26" t="n">
        <v>9.960000000000001</v>
      </c>
      <c r="J17" s="10" t="n">
        <v>-9.92</v>
      </c>
      <c r="K17" s="26" t="n">
        <v>11.49</v>
      </c>
      <c r="L17" s="10" t="n">
        <v>-8.390000000000001</v>
      </c>
      <c r="M17" s="26" t="n">
        <v>13.02</v>
      </c>
      <c r="N17" s="10" t="n">
        <v>-6.86</v>
      </c>
    </row>
    <row r="18">
      <c r="A18" s="25" t="inlineStr">
        <is>
          <t>GEB 022</t>
        </is>
      </c>
      <c r="B18" s="24" t="inlineStr">
        <is>
          <t>Booster antifrizz</t>
        </is>
      </c>
      <c r="C18" s="25" t="inlineStr">
        <is>
          <t>15ml</t>
        </is>
      </c>
      <c r="D18" s="24" t="inlineStr">
        <is>
          <t>booster</t>
        </is>
      </c>
      <c r="E18" s="26" t="n">
        <v>79</v>
      </c>
      <c r="F18" s="26" t="n">
        <v>16.09</v>
      </c>
      <c r="G18" s="27" t="n">
        <v>18.5</v>
      </c>
      <c r="H18" s="28" t="n">
        <v>0.7658227848101266</v>
      </c>
      <c r="I18" s="26" t="n">
        <v>11.4</v>
      </c>
      <c r="J18" s="10" t="n">
        <v>-7.1</v>
      </c>
      <c r="K18" s="26" t="n">
        <v>13.15</v>
      </c>
      <c r="L18" s="10" t="n">
        <v>-5.35</v>
      </c>
      <c r="M18" s="26" t="n">
        <v>14.91</v>
      </c>
      <c r="N18" s="10" t="n">
        <v>-3.59</v>
      </c>
    </row>
    <row r="19">
      <c r="A19" s="25" t="inlineStr">
        <is>
          <t>GEB 023</t>
        </is>
      </c>
      <c r="B19" s="24" t="inlineStr">
        <is>
          <t>Booster antioxidante</t>
        </is>
      </c>
      <c r="C19" s="25" t="inlineStr">
        <is>
          <t>15ml</t>
        </is>
      </c>
      <c r="D19" s="24" t="inlineStr">
        <is>
          <t>booster</t>
        </is>
      </c>
      <c r="E19" s="26" t="n">
        <v>75</v>
      </c>
      <c r="F19" s="26" t="n">
        <v>20.49</v>
      </c>
      <c r="G19" s="27" t="n">
        <v>23.56</v>
      </c>
      <c r="H19" s="28" t="n">
        <v>0.6858666666666666</v>
      </c>
      <c r="I19" s="26" t="n">
        <v>10.82</v>
      </c>
      <c r="J19" s="10" t="n">
        <v>-12.74</v>
      </c>
      <c r="K19" s="26" t="n">
        <v>12.49</v>
      </c>
      <c r="L19" s="10" t="n">
        <v>-11.07</v>
      </c>
      <c r="M19" s="26" t="n">
        <v>14.15</v>
      </c>
      <c r="N19" s="10" t="n">
        <v>-9.41</v>
      </c>
    </row>
    <row r="20">
      <c r="A20" s="25" t="inlineStr">
        <is>
          <t>GEB 024</t>
        </is>
      </c>
      <c r="B20" s="24" t="inlineStr">
        <is>
          <t>Body &amp; Hair Splash Melon Mood</t>
        </is>
      </c>
      <c r="C20" s="25" t="inlineStr">
        <is>
          <t>200ml</t>
        </is>
      </c>
      <c r="D20" s="24" t="inlineStr">
        <is>
          <t>full-size</t>
        </is>
      </c>
      <c r="E20" s="26" t="n">
        <v>129</v>
      </c>
      <c r="F20" s="26" t="n">
        <v>24.75</v>
      </c>
      <c r="G20" s="27" t="n">
        <v>28.46</v>
      </c>
      <c r="H20" s="28" t="n">
        <v>0.7793798449612404</v>
      </c>
      <c r="I20" s="26" t="n">
        <v>18.53</v>
      </c>
      <c r="J20" s="10" t="n">
        <v>-9.93</v>
      </c>
      <c r="K20" s="26" t="n">
        <v>21.38</v>
      </c>
      <c r="L20" s="10" t="n">
        <v>-7.08</v>
      </c>
      <c r="M20" s="26" t="n">
        <v>24.23</v>
      </c>
      <c r="N20" s="10" t="n">
        <v>-4.23</v>
      </c>
    </row>
    <row r="21">
      <c r="A21" s="25" t="inlineStr">
        <is>
          <t>GEB 029</t>
        </is>
      </c>
      <c r="B21" s="24" t="inlineStr">
        <is>
          <t>Travel size melon mood</t>
        </is>
      </c>
      <c r="C21" s="25" t="inlineStr">
        <is>
          <t>100ml</t>
        </is>
      </c>
      <c r="D21" s="24" t="inlineStr">
        <is>
          <t>travel</t>
        </is>
      </c>
      <c r="E21" s="26" t="n">
        <v>79</v>
      </c>
      <c r="F21" s="26" t="n">
        <v>20.73</v>
      </c>
      <c r="G21" s="27" t="n">
        <v>23.84</v>
      </c>
      <c r="H21" s="28" t="n">
        <v>0.6982278481012658</v>
      </c>
      <c r="I21" s="26" t="n">
        <v>11.4</v>
      </c>
      <c r="J21" s="10" t="n">
        <v>-12.44</v>
      </c>
      <c r="K21" s="26" t="n">
        <v>13.15</v>
      </c>
      <c r="L21" s="10" t="n">
        <v>-10.69</v>
      </c>
      <c r="M21" s="26" t="n">
        <v>14.91</v>
      </c>
      <c r="N21" s="10" t="n">
        <v>-8.93</v>
      </c>
    </row>
    <row r="22">
      <c r="A22" s="25" t="inlineStr">
        <is>
          <t>GEB 101</t>
        </is>
      </c>
      <c r="B22" s="24" t="inlineStr">
        <is>
          <t>Primer cachos definidos</t>
        </is>
      </c>
      <c r="C22" s="25" t="inlineStr">
        <is>
          <t>250ml</t>
        </is>
      </c>
      <c r="D22" s="24" t="inlineStr">
        <is>
          <t>full-size</t>
        </is>
      </c>
      <c r="E22" s="26" t="n">
        <v>149</v>
      </c>
      <c r="F22" s="26" t="n">
        <v>20.83</v>
      </c>
      <c r="G22" s="27" t="n">
        <v>23.95</v>
      </c>
      <c r="H22" s="28" t="n">
        <v>0.839261744966443</v>
      </c>
      <c r="I22" s="26" t="n">
        <v>21.5</v>
      </c>
      <c r="J22" s="10" t="n">
        <v>-2.45</v>
      </c>
      <c r="K22" s="26" t="n">
        <v>24.81</v>
      </c>
      <c r="L22" s="22" t="n">
        <v>0.86</v>
      </c>
      <c r="M22" s="26" t="n">
        <v>28.12</v>
      </c>
      <c r="N22" s="22" t="n">
        <v>4.17</v>
      </c>
    </row>
    <row r="23">
      <c r="A23" s="25" t="inlineStr">
        <is>
          <t>GEB 102</t>
        </is>
      </c>
      <c r="B23" s="24" t="inlineStr">
        <is>
          <t>Primer liso intacto</t>
        </is>
      </c>
      <c r="C23" s="25" t="inlineStr">
        <is>
          <t>150ml</t>
        </is>
      </c>
      <c r="D23" s="24" t="inlineStr">
        <is>
          <t>full-size</t>
        </is>
      </c>
      <c r="E23" s="26" t="n">
        <v>139</v>
      </c>
      <c r="F23" s="26" t="n">
        <v>24.93</v>
      </c>
      <c r="G23" s="27" t="n">
        <v>28.67</v>
      </c>
      <c r="H23" s="28" t="n">
        <v>0.7937410071942446</v>
      </c>
      <c r="I23" s="26" t="n">
        <v>20.15</v>
      </c>
      <c r="J23" s="10" t="n">
        <v>-8.52</v>
      </c>
      <c r="K23" s="26" t="n">
        <v>23.25</v>
      </c>
      <c r="L23" s="10" t="n">
        <v>-5.42</v>
      </c>
      <c r="M23" s="26" t="n">
        <v>26.35</v>
      </c>
      <c r="N23" s="10" t="n">
        <v>-2.32</v>
      </c>
    </row>
    <row r="24">
      <c r="A24" s="25" t="inlineStr">
        <is>
          <t>GEB 120</t>
        </is>
      </c>
      <c r="B24" s="24" t="inlineStr">
        <is>
          <t>Leave-in pluma</t>
        </is>
      </c>
      <c r="C24" s="25" t="inlineStr">
        <is>
          <t>200ml</t>
        </is>
      </c>
      <c r="D24" s="24" t="inlineStr">
        <is>
          <t>full-size</t>
        </is>
      </c>
      <c r="E24" s="26" t="n">
        <v>149</v>
      </c>
      <c r="F24" s="26" t="n">
        <v>30.29</v>
      </c>
      <c r="G24" s="27" t="n">
        <v>34.83</v>
      </c>
      <c r="H24" s="28" t="n">
        <v>0.766241610738255</v>
      </c>
      <c r="I24" s="26" t="n">
        <v>21.5</v>
      </c>
      <c r="J24" s="10" t="n">
        <v>-13.33</v>
      </c>
      <c r="K24" s="26" t="n">
        <v>24.81</v>
      </c>
      <c r="L24" s="10" t="n">
        <v>-10.02</v>
      </c>
      <c r="M24" s="26" t="n">
        <v>28.12</v>
      </c>
      <c r="N24" s="10" t="n">
        <v>-6.71</v>
      </c>
    </row>
    <row r="25">
      <c r="A25" s="25" t="inlineStr">
        <is>
          <t>GEB 121</t>
        </is>
      </c>
      <c r="B25" s="24" t="inlineStr">
        <is>
          <t>Máscara mayday</t>
        </is>
      </c>
      <c r="C25" s="25" t="inlineStr">
        <is>
          <t>200g</t>
        </is>
      </c>
      <c r="D25" s="24" t="inlineStr">
        <is>
          <t>full-size</t>
        </is>
      </c>
      <c r="E25" s="26" t="n">
        <v>139</v>
      </c>
      <c r="F25" s="26" t="n">
        <v>31.88</v>
      </c>
      <c r="G25" s="27" t="n">
        <v>36.66</v>
      </c>
      <c r="H25" s="28" t="n">
        <v>0.7362589928057555</v>
      </c>
      <c r="I25" s="26" t="n">
        <v>20.06</v>
      </c>
      <c r="J25" s="10" t="n">
        <v>-16.6</v>
      </c>
      <c r="K25" s="26" t="n">
        <v>23.14</v>
      </c>
      <c r="L25" s="10" t="n">
        <v>-13.52</v>
      </c>
      <c r="M25" s="26" t="n">
        <v>26.23</v>
      </c>
      <c r="N25" s="10" t="n">
        <v>-10.43</v>
      </c>
    </row>
    <row r="27">
      <c r="A27" s="3" t="inlineStr">
        <is>
          <t>B) Sugestão de tiers por categoria (desconto único por categoria, calibrado pelo MVP médio)</t>
        </is>
      </c>
    </row>
    <row r="28">
      <c r="A28" s="4" t="inlineStr">
        <is>
          <t>Categoria</t>
        </is>
      </c>
      <c r="B28" s="4" t="inlineStr">
        <is>
          <t>Nº SKUs</t>
        </is>
      </c>
      <c r="C28" s="4" t="inlineStr">
        <is>
          <t>MVP médio</t>
        </is>
      </c>
      <c r="D28" s="4" t="inlineStr">
        <is>
          <t>Sellout médio</t>
        </is>
      </c>
      <c r="E28" s="4" t="inlineStr">
        <is>
          <t>Piso médio (×1.15)</t>
        </is>
      </c>
      <c r="F28" s="4" t="inlineStr">
        <is>
          <t>Desconto médio no piso</t>
        </is>
      </c>
      <c r="G28" s="4" t="inlineStr">
        <is>
          <t>Sugestão tier Op1 (alto vol)</t>
        </is>
      </c>
      <c r="H28" s="4" t="inlineStr">
        <is>
          <t>Sugestão tier Op2 (médio)</t>
        </is>
      </c>
      <c r="I28" s="4" t="inlineStr">
        <is>
          <t>Sugestão tier Op3 (baixo)</t>
        </is>
      </c>
    </row>
    <row r="29">
      <c r="A29" s="24" t="inlineStr">
        <is>
          <t>full-size</t>
        </is>
      </c>
      <c r="B29" s="25" t="n">
        <v>9</v>
      </c>
      <c r="C29" s="26" t="n">
        <v>21.02</v>
      </c>
      <c r="D29" s="26" t="n">
        <v>118.11</v>
      </c>
      <c r="E29" s="26" t="n">
        <v>24.18</v>
      </c>
      <c r="F29" s="28" t="n">
        <v>0.7953151458137347</v>
      </c>
      <c r="G29" s="29" t="n">
        <v>0.78</v>
      </c>
      <c r="H29" s="29" t="n">
        <v>0.74</v>
      </c>
      <c r="I29" s="29" t="n">
        <v>0.7</v>
      </c>
    </row>
    <row r="30">
      <c r="A30" s="24" t="inlineStr">
        <is>
          <t>booster</t>
        </is>
      </c>
      <c r="B30" s="25" t="n">
        <v>5</v>
      </c>
      <c r="C30" s="26" t="n">
        <v>17.86</v>
      </c>
      <c r="D30" s="26" t="n">
        <v>73.40000000000001</v>
      </c>
      <c r="E30" s="26" t="n">
        <v>20.53</v>
      </c>
      <c r="F30" s="28" t="n">
        <v>0.7202397820163488</v>
      </c>
      <c r="G30" s="29" t="n">
        <v>0.72</v>
      </c>
      <c r="H30" s="29" t="n">
        <v>0.68</v>
      </c>
      <c r="I30" s="29" t="n">
        <v>0.64</v>
      </c>
    </row>
    <row r="31">
      <c r="A31" s="24" t="inlineStr">
        <is>
          <t>travel</t>
        </is>
      </c>
      <c r="B31" s="25" t="n">
        <v>4</v>
      </c>
      <c r="C31" s="26" t="n">
        <v>11.96</v>
      </c>
      <c r="D31" s="26" t="n">
        <v>51.5</v>
      </c>
      <c r="E31" s="26" t="n">
        <v>13.75</v>
      </c>
      <c r="F31" s="28" t="n">
        <v>0.7330436893203884</v>
      </c>
      <c r="G31" s="29" t="n">
        <v>0.78</v>
      </c>
      <c r="H31" s="29" t="n">
        <v>0.74</v>
      </c>
      <c r="I31" s="29" t="n">
        <v>0.7</v>
      </c>
    </row>
    <row r="33">
      <c r="A33" s="3" t="inlineStr">
        <is>
          <t>C) Nossa contraproposta — preço por SKU em cada tier (categoria + volume)</t>
        </is>
      </c>
    </row>
    <row r="34">
      <c r="A34" s="4" t="inlineStr">
        <is>
          <t>SKU</t>
        </is>
      </c>
      <c r="B34" s="4" t="inlineStr">
        <is>
          <t>Produto</t>
        </is>
      </c>
      <c r="C34" s="4" t="inlineStr">
        <is>
          <t>Volume</t>
        </is>
      </c>
      <c r="D34" s="4" t="inlineStr">
        <is>
          <t>Categoria</t>
        </is>
      </c>
      <c r="E34" s="4" t="inlineStr">
        <is>
          <t>Sellout</t>
        </is>
      </c>
      <c r="F34" s="4" t="inlineStr">
        <is>
          <t>MVP</t>
        </is>
      </c>
      <c r="G34" s="4" t="inlineStr">
        <is>
          <t>Piso (MVP×1.15)</t>
        </is>
      </c>
      <c r="H34" s="4" t="inlineStr">
        <is>
          <t>Contraproposta Op1</t>
        </is>
      </c>
      <c r="I34" s="4" t="inlineStr">
        <is>
          <t>Δ vs piso Op1</t>
        </is>
      </c>
      <c r="J34" s="4" t="inlineStr">
        <is>
          <t>Contraproposta Op2</t>
        </is>
      </c>
      <c r="K34" s="4" t="inlineStr">
        <is>
          <t>Δ vs piso Op2</t>
        </is>
      </c>
      <c r="L34" s="4" t="inlineStr">
        <is>
          <t>Contraproposta Op3</t>
        </is>
      </c>
      <c r="M34" s="4" t="inlineStr">
        <is>
          <t>Δ vs piso Op3</t>
        </is>
      </c>
    </row>
    <row r="35">
      <c r="A35" s="25" t="inlineStr">
        <is>
          <t>GEB 001</t>
        </is>
      </c>
      <c r="B35" s="24" t="inlineStr">
        <is>
          <t>Shampoo sem sulfato</t>
        </is>
      </c>
      <c r="C35" s="25" t="inlineStr">
        <is>
          <t>250ml</t>
        </is>
      </c>
      <c r="D35" s="24" t="inlineStr">
        <is>
          <t>full-size</t>
        </is>
      </c>
      <c r="E35" s="26" t="n">
        <v>95</v>
      </c>
      <c r="F35" s="26" t="n">
        <v>21.61</v>
      </c>
      <c r="G35" s="26" t="n">
        <v>24.85</v>
      </c>
      <c r="H35" s="27" t="n">
        <v>24.85</v>
      </c>
      <c r="I35" s="22" t="n">
        <v>0</v>
      </c>
      <c r="J35" s="27" t="n">
        <v>24.85</v>
      </c>
      <c r="K35" s="22" t="n">
        <v>0</v>
      </c>
      <c r="L35" s="27" t="n">
        <v>28.5</v>
      </c>
      <c r="M35" s="22" t="n">
        <v>3.65</v>
      </c>
    </row>
    <row r="36">
      <c r="A36" s="25" t="inlineStr">
        <is>
          <t>GEB 002</t>
        </is>
      </c>
      <c r="B36" s="24" t="inlineStr">
        <is>
          <t>Máscara condicionadora</t>
        </is>
      </c>
      <c r="C36" s="25" t="inlineStr">
        <is>
          <t>200ml</t>
        </is>
      </c>
      <c r="D36" s="24" t="inlineStr">
        <is>
          <t>full-size</t>
        </is>
      </c>
      <c r="E36" s="26" t="n">
        <v>95</v>
      </c>
      <c r="F36" s="26" t="n">
        <v>17.43</v>
      </c>
      <c r="G36" s="26" t="n">
        <v>20.04</v>
      </c>
      <c r="H36" s="27" t="n">
        <v>20.9</v>
      </c>
      <c r="I36" s="22" t="n">
        <v>0.86</v>
      </c>
      <c r="J36" s="27" t="n">
        <v>24.7</v>
      </c>
      <c r="K36" s="22" t="n">
        <v>4.66</v>
      </c>
      <c r="L36" s="27" t="n">
        <v>28.5</v>
      </c>
      <c r="M36" s="22" t="n">
        <v>8.460000000000001</v>
      </c>
    </row>
    <row r="37">
      <c r="A37" s="25" t="inlineStr">
        <is>
          <t>GEB 003</t>
        </is>
      </c>
      <c r="B37" s="24" t="inlineStr">
        <is>
          <t>Leave-in com proteção térmica</t>
        </is>
      </c>
      <c r="C37" s="25" t="inlineStr">
        <is>
          <t>150ml</t>
        </is>
      </c>
      <c r="D37" s="24" t="inlineStr">
        <is>
          <t>full-size</t>
        </is>
      </c>
      <c r="E37" s="26" t="n">
        <v>99</v>
      </c>
      <c r="F37" s="26" t="n">
        <v>15.48</v>
      </c>
      <c r="G37" s="26" t="n">
        <v>17.8</v>
      </c>
      <c r="H37" s="27" t="n">
        <v>21.78</v>
      </c>
      <c r="I37" s="22" t="n">
        <v>3.98</v>
      </c>
      <c r="J37" s="27" t="n">
        <v>25.74</v>
      </c>
      <c r="K37" s="22" t="n">
        <v>7.94</v>
      </c>
      <c r="L37" s="27" t="n">
        <v>29.7</v>
      </c>
      <c r="M37" s="22" t="n">
        <v>11.9</v>
      </c>
    </row>
    <row r="38">
      <c r="A38" s="25" t="inlineStr">
        <is>
          <t>GEB 008</t>
        </is>
      </c>
      <c r="B38" s="24" t="inlineStr">
        <is>
          <t>Shampoo a seco</t>
        </is>
      </c>
      <c r="C38" s="25" t="inlineStr">
        <is>
          <t>150ml</t>
        </is>
      </c>
      <c r="D38" s="24" t="inlineStr">
        <is>
          <t>full-size</t>
        </is>
      </c>
      <c r="E38" s="26" t="n">
        <v>69</v>
      </c>
      <c r="F38" s="26" t="n">
        <v>2</v>
      </c>
      <c r="G38" s="26" t="n">
        <v>2.3</v>
      </c>
      <c r="H38" s="27" t="n">
        <v>15.18</v>
      </c>
      <c r="I38" s="22" t="n">
        <v>12.88</v>
      </c>
      <c r="J38" s="27" t="n">
        <v>17.94</v>
      </c>
      <c r="K38" s="22" t="n">
        <v>15.64</v>
      </c>
      <c r="L38" s="27" t="n">
        <v>20.7</v>
      </c>
      <c r="M38" s="22" t="n">
        <v>18.4</v>
      </c>
    </row>
    <row r="39">
      <c r="A39" s="25" t="inlineStr">
        <is>
          <t>GEB 010</t>
        </is>
      </c>
      <c r="B39" s="24" t="inlineStr">
        <is>
          <t>Travel size máscara condicionadora</t>
        </is>
      </c>
      <c r="C39" s="25" t="inlineStr">
        <is>
          <t>50ml</t>
        </is>
      </c>
      <c r="D39" s="24" t="inlineStr">
        <is>
          <t>travel</t>
        </is>
      </c>
      <c r="E39" s="26" t="n">
        <v>40</v>
      </c>
      <c r="F39" s="26" t="n">
        <v>10.01</v>
      </c>
      <c r="G39" s="26" t="n">
        <v>11.51</v>
      </c>
      <c r="H39" s="27" t="n">
        <v>11.51</v>
      </c>
      <c r="I39" s="22" t="n">
        <v>0</v>
      </c>
      <c r="J39" s="27" t="n">
        <v>11.51</v>
      </c>
      <c r="K39" s="22" t="n">
        <v>0</v>
      </c>
      <c r="L39" s="27" t="n">
        <v>12</v>
      </c>
      <c r="M39" s="22" t="n">
        <v>0.49</v>
      </c>
    </row>
    <row r="40">
      <c r="A40" s="25" t="inlineStr">
        <is>
          <t>GEB 011</t>
        </is>
      </c>
      <c r="B40" s="24" t="inlineStr">
        <is>
          <t>Travel size leave-in</t>
        </is>
      </c>
      <c r="C40" s="25" t="inlineStr">
        <is>
          <t>50ml</t>
        </is>
      </c>
      <c r="D40" s="24" t="inlineStr">
        <is>
          <t>travel</t>
        </is>
      </c>
      <c r="E40" s="26" t="n">
        <v>47</v>
      </c>
      <c r="F40" s="26" t="n">
        <v>8.210000000000001</v>
      </c>
      <c r="G40" s="26" t="n">
        <v>9.44</v>
      </c>
      <c r="H40" s="27" t="n">
        <v>10.34</v>
      </c>
      <c r="I40" s="22" t="n">
        <v>0.9</v>
      </c>
      <c r="J40" s="27" t="n">
        <v>12.22</v>
      </c>
      <c r="K40" s="22" t="n">
        <v>2.78</v>
      </c>
      <c r="L40" s="27" t="n">
        <v>14.1</v>
      </c>
      <c r="M40" s="22" t="n">
        <v>4.66</v>
      </c>
    </row>
    <row r="41">
      <c r="A41" s="25" t="inlineStr">
        <is>
          <t>GEB 013</t>
        </is>
      </c>
      <c r="B41" s="24" t="inlineStr">
        <is>
          <t>Travel size shampoo sem sulfato</t>
        </is>
      </c>
      <c r="C41" s="25" t="inlineStr">
        <is>
          <t>60ml</t>
        </is>
      </c>
      <c r="D41" s="24" t="inlineStr">
        <is>
          <t>travel</t>
        </is>
      </c>
      <c r="E41" s="26" t="n">
        <v>40</v>
      </c>
      <c r="F41" s="26" t="n">
        <v>8.869999999999999</v>
      </c>
      <c r="G41" s="26" t="n">
        <v>10.2</v>
      </c>
      <c r="H41" s="27" t="n">
        <v>10.2</v>
      </c>
      <c r="I41" s="22" t="n">
        <v>0</v>
      </c>
      <c r="J41" s="27" t="n">
        <v>10.4</v>
      </c>
      <c r="K41" s="22" t="n">
        <v>0.2</v>
      </c>
      <c r="L41" s="27" t="n">
        <v>12</v>
      </c>
      <c r="M41" s="22" t="n">
        <v>1.8</v>
      </c>
    </row>
    <row r="42">
      <c r="A42" s="25" t="inlineStr">
        <is>
          <t>GEB 019</t>
        </is>
      </c>
      <c r="B42" s="24" t="inlineStr">
        <is>
          <t>Booster fortificante</t>
        </is>
      </c>
      <c r="C42" s="25" t="inlineStr">
        <is>
          <t>15ml</t>
        </is>
      </c>
      <c r="D42" s="24" t="inlineStr">
        <is>
          <t>booster</t>
        </is>
      </c>
      <c r="E42" s="26" t="n">
        <v>75</v>
      </c>
      <c r="F42" s="26" t="n">
        <v>17.8</v>
      </c>
      <c r="G42" s="26" t="n">
        <v>20.47</v>
      </c>
      <c r="H42" s="27" t="n">
        <v>21</v>
      </c>
      <c r="I42" s="22" t="n">
        <v>0.53</v>
      </c>
      <c r="J42" s="27" t="n">
        <v>24</v>
      </c>
      <c r="K42" s="22" t="n">
        <v>3.53</v>
      </c>
      <c r="L42" s="27" t="n">
        <v>27</v>
      </c>
      <c r="M42" s="22" t="n">
        <v>6.53</v>
      </c>
    </row>
    <row r="43">
      <c r="A43" s="25" t="inlineStr">
        <is>
          <t>GEB 020</t>
        </is>
      </c>
      <c r="B43" s="24" t="inlineStr">
        <is>
          <t>Booster hidratante</t>
        </is>
      </c>
      <c r="C43" s="25" t="inlineStr">
        <is>
          <t>15ml</t>
        </is>
      </c>
      <c r="D43" s="24" t="inlineStr">
        <is>
          <t>booster</t>
        </is>
      </c>
      <c r="E43" s="26" t="n">
        <v>69</v>
      </c>
      <c r="F43" s="26" t="n">
        <v>17.61</v>
      </c>
      <c r="G43" s="26" t="n">
        <v>20.25</v>
      </c>
      <c r="H43" s="27" t="n">
        <v>20.25</v>
      </c>
      <c r="I43" s="22" t="n">
        <v>0</v>
      </c>
      <c r="J43" s="27" t="n">
        <v>22.08</v>
      </c>
      <c r="K43" s="22" t="n">
        <v>1.83</v>
      </c>
      <c r="L43" s="27" t="n">
        <v>24.84</v>
      </c>
      <c r="M43" s="22" t="n">
        <v>4.59</v>
      </c>
    </row>
    <row r="44">
      <c r="A44" s="25" t="inlineStr">
        <is>
          <t>GEB 021</t>
        </is>
      </c>
      <c r="B44" s="24" t="inlineStr">
        <is>
          <t>Booster definição</t>
        </is>
      </c>
      <c r="C44" s="25" t="inlineStr">
        <is>
          <t>15ml</t>
        </is>
      </c>
      <c r="D44" s="24" t="inlineStr">
        <is>
          <t>booster</t>
        </is>
      </c>
      <c r="E44" s="26" t="n">
        <v>69</v>
      </c>
      <c r="F44" s="26" t="n">
        <v>17.29</v>
      </c>
      <c r="G44" s="26" t="n">
        <v>19.88</v>
      </c>
      <c r="H44" s="27" t="n">
        <v>19.88</v>
      </c>
      <c r="I44" s="22" t="n">
        <v>0</v>
      </c>
      <c r="J44" s="27" t="n">
        <v>22.08</v>
      </c>
      <c r="K44" s="22" t="n">
        <v>2.2</v>
      </c>
      <c r="L44" s="27" t="n">
        <v>24.84</v>
      </c>
      <c r="M44" s="22" t="n">
        <v>4.96</v>
      </c>
    </row>
    <row r="45">
      <c r="A45" s="25" t="inlineStr">
        <is>
          <t>GEB 022</t>
        </is>
      </c>
      <c r="B45" s="24" t="inlineStr">
        <is>
          <t>Booster antifrizz</t>
        </is>
      </c>
      <c r="C45" s="25" t="inlineStr">
        <is>
          <t>15ml</t>
        </is>
      </c>
      <c r="D45" s="24" t="inlineStr">
        <is>
          <t>booster</t>
        </is>
      </c>
      <c r="E45" s="26" t="n">
        <v>79</v>
      </c>
      <c r="F45" s="26" t="n">
        <v>16.09</v>
      </c>
      <c r="G45" s="26" t="n">
        <v>18.5</v>
      </c>
      <c r="H45" s="27" t="n">
        <v>22.12</v>
      </c>
      <c r="I45" s="22" t="n">
        <v>3.62</v>
      </c>
      <c r="J45" s="27" t="n">
        <v>25.28</v>
      </c>
      <c r="K45" s="22" t="n">
        <v>6.78</v>
      </c>
      <c r="L45" s="27" t="n">
        <v>28.44</v>
      </c>
      <c r="M45" s="22" t="n">
        <v>9.94</v>
      </c>
    </row>
    <row r="46">
      <c r="A46" s="25" t="inlineStr">
        <is>
          <t>GEB 023</t>
        </is>
      </c>
      <c r="B46" s="24" t="inlineStr">
        <is>
          <t>Booster antioxidante</t>
        </is>
      </c>
      <c r="C46" s="25" t="inlineStr">
        <is>
          <t>15ml</t>
        </is>
      </c>
      <c r="D46" s="24" t="inlineStr">
        <is>
          <t>booster</t>
        </is>
      </c>
      <c r="E46" s="26" t="n">
        <v>75</v>
      </c>
      <c r="F46" s="26" t="n">
        <v>20.49</v>
      </c>
      <c r="G46" s="26" t="n">
        <v>23.56</v>
      </c>
      <c r="H46" s="27" t="n">
        <v>23.56</v>
      </c>
      <c r="I46" s="22" t="n">
        <v>0</v>
      </c>
      <c r="J46" s="27" t="n">
        <v>24</v>
      </c>
      <c r="K46" s="22" t="n">
        <v>0.44</v>
      </c>
      <c r="L46" s="27" t="n">
        <v>27</v>
      </c>
      <c r="M46" s="22" t="n">
        <v>3.44</v>
      </c>
    </row>
    <row r="47">
      <c r="A47" s="25" t="inlineStr">
        <is>
          <t>GEB 024</t>
        </is>
      </c>
      <c r="B47" s="24" t="inlineStr">
        <is>
          <t>Body &amp; Hair Splash Melon Mood</t>
        </is>
      </c>
      <c r="C47" s="25" t="inlineStr">
        <is>
          <t>200ml</t>
        </is>
      </c>
      <c r="D47" s="24" t="inlineStr">
        <is>
          <t>full-size</t>
        </is>
      </c>
      <c r="E47" s="26" t="n">
        <v>129</v>
      </c>
      <c r="F47" s="26" t="n">
        <v>24.75</v>
      </c>
      <c r="G47" s="26" t="n">
        <v>28.46</v>
      </c>
      <c r="H47" s="27" t="n">
        <v>28.46</v>
      </c>
      <c r="I47" s="22" t="n">
        <v>0</v>
      </c>
      <c r="J47" s="27" t="n">
        <v>33.54</v>
      </c>
      <c r="K47" s="22" t="n">
        <v>5.08</v>
      </c>
      <c r="L47" s="27" t="n">
        <v>38.7</v>
      </c>
      <c r="M47" s="22" t="n">
        <v>10.24</v>
      </c>
    </row>
    <row r="48">
      <c r="A48" s="25" t="inlineStr">
        <is>
          <t>GEB 029</t>
        </is>
      </c>
      <c r="B48" s="24" t="inlineStr">
        <is>
          <t>Travel size melon mood</t>
        </is>
      </c>
      <c r="C48" s="25" t="inlineStr">
        <is>
          <t>100ml</t>
        </is>
      </c>
      <c r="D48" s="24" t="inlineStr">
        <is>
          <t>travel</t>
        </is>
      </c>
      <c r="E48" s="26" t="n">
        <v>79</v>
      </c>
      <c r="F48" s="26" t="n">
        <v>20.73</v>
      </c>
      <c r="G48" s="26" t="n">
        <v>23.84</v>
      </c>
      <c r="H48" s="27" t="n">
        <v>23.84</v>
      </c>
      <c r="I48" s="22" t="n">
        <v>0</v>
      </c>
      <c r="J48" s="27" t="n">
        <v>23.84</v>
      </c>
      <c r="K48" s="22" t="n">
        <v>0</v>
      </c>
      <c r="L48" s="27" t="n">
        <v>23.84</v>
      </c>
      <c r="M48" s="22" t="n">
        <v>0</v>
      </c>
    </row>
    <row r="49">
      <c r="A49" s="25" t="inlineStr">
        <is>
          <t>GEB 101</t>
        </is>
      </c>
      <c r="B49" s="24" t="inlineStr">
        <is>
          <t>Primer cachos definidos</t>
        </is>
      </c>
      <c r="C49" s="25" t="inlineStr">
        <is>
          <t>250ml</t>
        </is>
      </c>
      <c r="D49" s="24" t="inlineStr">
        <is>
          <t>full-size</t>
        </is>
      </c>
      <c r="E49" s="26" t="n">
        <v>149</v>
      </c>
      <c r="F49" s="26" t="n">
        <v>20.83</v>
      </c>
      <c r="G49" s="26" t="n">
        <v>23.95</v>
      </c>
      <c r="H49" s="27" t="n">
        <v>32.78</v>
      </c>
      <c r="I49" s="22" t="n">
        <v>8.83</v>
      </c>
      <c r="J49" s="27" t="n">
        <v>38.74</v>
      </c>
      <c r="K49" s="22" t="n">
        <v>14.79</v>
      </c>
      <c r="L49" s="27" t="n">
        <v>44.7</v>
      </c>
      <c r="M49" s="22" t="n">
        <v>20.75</v>
      </c>
    </row>
    <row r="50">
      <c r="A50" s="25" t="inlineStr">
        <is>
          <t>GEB 102</t>
        </is>
      </c>
      <c r="B50" s="24" t="inlineStr">
        <is>
          <t>Primer liso intacto</t>
        </is>
      </c>
      <c r="C50" s="25" t="inlineStr">
        <is>
          <t>150ml</t>
        </is>
      </c>
      <c r="D50" s="24" t="inlineStr">
        <is>
          <t>full-size</t>
        </is>
      </c>
      <c r="E50" s="26" t="n">
        <v>139</v>
      </c>
      <c r="F50" s="26" t="n">
        <v>24.93</v>
      </c>
      <c r="G50" s="26" t="n">
        <v>28.67</v>
      </c>
      <c r="H50" s="27" t="n">
        <v>30.58</v>
      </c>
      <c r="I50" s="22" t="n">
        <v>1.91</v>
      </c>
      <c r="J50" s="27" t="n">
        <v>36.14</v>
      </c>
      <c r="K50" s="22" t="n">
        <v>7.47</v>
      </c>
      <c r="L50" s="27" t="n">
        <v>41.7</v>
      </c>
      <c r="M50" s="22" t="n">
        <v>13.03</v>
      </c>
    </row>
    <row r="51">
      <c r="A51" s="25" t="inlineStr">
        <is>
          <t>GEB 120</t>
        </is>
      </c>
      <c r="B51" s="24" t="inlineStr">
        <is>
          <t>Leave-in pluma</t>
        </is>
      </c>
      <c r="C51" s="25" t="inlineStr">
        <is>
          <t>200ml</t>
        </is>
      </c>
      <c r="D51" s="24" t="inlineStr">
        <is>
          <t>full-size</t>
        </is>
      </c>
      <c r="E51" s="26" t="n">
        <v>149</v>
      </c>
      <c r="F51" s="26" t="n">
        <v>30.29</v>
      </c>
      <c r="G51" s="26" t="n">
        <v>34.83</v>
      </c>
      <c r="H51" s="27" t="n">
        <v>34.83</v>
      </c>
      <c r="I51" s="22" t="n">
        <v>0</v>
      </c>
      <c r="J51" s="27" t="n">
        <v>38.74</v>
      </c>
      <c r="K51" s="22" t="n">
        <v>3.91</v>
      </c>
      <c r="L51" s="27" t="n">
        <v>44.7</v>
      </c>
      <c r="M51" s="22" t="n">
        <v>9.869999999999999</v>
      </c>
    </row>
    <row r="52">
      <c r="A52" s="25" t="inlineStr">
        <is>
          <t>GEB 121</t>
        </is>
      </c>
      <c r="B52" s="24" t="inlineStr">
        <is>
          <t>Máscara mayday</t>
        </is>
      </c>
      <c r="C52" s="25" t="inlineStr">
        <is>
          <t>200g</t>
        </is>
      </c>
      <c r="D52" s="24" t="inlineStr">
        <is>
          <t>full-size</t>
        </is>
      </c>
      <c r="E52" s="26" t="n">
        <v>139</v>
      </c>
      <c r="F52" s="26" t="n">
        <v>31.88</v>
      </c>
      <c r="G52" s="26" t="n">
        <v>36.66</v>
      </c>
      <c r="H52" s="27" t="n">
        <v>36.66</v>
      </c>
      <c r="I52" s="22" t="n">
        <v>0</v>
      </c>
      <c r="J52" s="27" t="n">
        <v>36.66</v>
      </c>
      <c r="K52" s="22" t="n">
        <v>0</v>
      </c>
      <c r="L52" s="27" t="n">
        <v>41.7</v>
      </c>
      <c r="M52" s="22" t="n">
        <v>5.04</v>
      </c>
    </row>
    <row r="54">
      <c r="A54" s="3" t="inlineStr">
        <is>
          <t>D) Pontos de negociação</t>
        </is>
      </c>
    </row>
    <row r="55">
      <c r="A55" s="30" t="inlineStr">
        <is>
          <t>1. Régua única por volume penaliza categorias com COGS alto (boosters, mayday). Em qualquer dos 3 tiers do parceiro, 12-16 dos 18 SKUs ficam ABAIXO do MVP.</t>
        </is>
      </c>
    </row>
    <row r="56">
      <c r="A56" s="30" t="inlineStr">
        <is>
          <t>2. Piso por SKU = MVP × 1,15 (15% de folga acima do mínimo). Abaixo disso, a operação perde dinheiro mesmo desconsiderando custo de oportunidade.</t>
        </is>
      </c>
    </row>
    <row r="57">
      <c r="A57" s="30" t="inlineStr">
        <is>
          <t>3. Tiers por categoria mantêm o conceito do parceiro (mais volume = mais desconto) mas calibram pelo COGS real de cada grupo de produto.</t>
        </is>
      </c>
    </row>
    <row r="58">
      <c r="A58" s="30" t="inlineStr">
        <is>
          <t>4. Mesmo os 2 SKUs que o parceiro JÁ propôs (Primer Liso e Splash Melon) ficam abaixo do MVP nas Opções 1 e 2 — não é defensável aceitar a proposta como está.</t>
        </is>
      </c>
    </row>
    <row r="59">
      <c r="A59" s="30" t="inlineStr">
        <is>
          <t>5. Para os volumes do parceiro (Op1: 4.080un, Op2: 700un, Op3: 36un), nossa contraproposta entrega aprox. 30%-35% off em Op3 e 70-78% off em Op1 — alinhado a margens B2B padrão da categoria.</t>
        </is>
      </c>
    </row>
    <row r="60">
      <c r="A60" s="30" t="inlineStr">
        <is>
          <t>6. Se o parceiro recusar tiers por categoria, contrapor com mix forçado: incluir SKUs viáveis (GEB 008, GEB 101) em maior proporção para diluir o impacto de margem dos SKUs sensíveis.</t>
        </is>
      </c>
    </row>
    <row r="61">
      <c r="A61" s="30" t="inlineStr">
        <is>
          <t>7. GEB 008 (shampoo a seco) tem MVP de R$2,00 na planilha — possível erro de digitação. Conferir antes de oferecer mais agressivamente.</t>
        </is>
      </c>
    </row>
  </sheetData>
  <mergeCells count="11">
    <mergeCell ref="A60:M60"/>
    <mergeCell ref="A54:L54"/>
    <mergeCell ref="A33:L33"/>
    <mergeCell ref="A61:M61"/>
    <mergeCell ref="A58:M58"/>
    <mergeCell ref="A56:M56"/>
    <mergeCell ref="A6:L6"/>
    <mergeCell ref="A55:M55"/>
    <mergeCell ref="A27:L27"/>
    <mergeCell ref="A57:M57"/>
    <mergeCell ref="A59:M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2026-05-21T22:32:03Z</dcterms:created>
  <dcterms:modified xmlns:dcterms="http://purl.org/dc/terms/" xmlns:xsi="http://www.w3.org/2001/XMLSchema-instance" xsi:type="dcterms:W3CDTF">2026-05-21T22:32:03Z</dcterms:modified>
</cp:coreProperties>
</file>